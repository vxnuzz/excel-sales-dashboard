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vinic\Downloads\Portfolio\"/>
    </mc:Choice>
  </mc:AlternateContent>
  <xr:revisionPtr revIDLastSave="0" documentId="13_ncr:1_{F97E231E-446D-4519-87BE-E671D2D3F1E3}" xr6:coauthVersionLast="47" xr6:coauthVersionMax="47" xr10:uidLastSave="{00000000-0000-0000-0000-000000000000}"/>
  <bookViews>
    <workbookView xWindow="-120" yWindow="-120" windowWidth="29040" windowHeight="16440" activeTab="1" xr2:uid="{FE1B6E7C-2989-4921-A112-5E5FF578984F}"/>
  </bookViews>
  <sheets>
    <sheet name="READ_ME" sheetId="1" r:id="rId1"/>
    <sheet name="CONTROLE_VENDAS" sheetId="2" r:id="rId2"/>
    <sheet name="BASE_VENDAS" sheetId="3" r:id="rId3"/>
    <sheet name="BASE_CALCULO" sheetId="4" state="hidden" r:id="rId4"/>
  </sheets>
  <definedNames>
    <definedName name="Slicer_MES">#N/A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018" i="4" l="1"/>
  <c r="B1018" i="4"/>
  <c r="C1018" i="4"/>
  <c r="F1018" i="4" s="1"/>
  <c r="D1018" i="4"/>
  <c r="E1018" i="4"/>
  <c r="O1018" i="4"/>
  <c r="P1018" i="4"/>
  <c r="A1017" i="4"/>
  <c r="B1017" i="4" s="1"/>
  <c r="A1016" i="4"/>
  <c r="B1016" i="4" s="1"/>
  <c r="A1015" i="4"/>
  <c r="B1015" i="4" s="1"/>
  <c r="A1014" i="4"/>
  <c r="D1014" i="4" s="1"/>
  <c r="A1013" i="4"/>
  <c r="B1013" i="4" s="1"/>
  <c r="A1012" i="4"/>
  <c r="B1012" i="4" s="1"/>
  <c r="A1011" i="4"/>
  <c r="D1011" i="4" s="1"/>
  <c r="A1010" i="4"/>
  <c r="B1010" i="4" s="1"/>
  <c r="A1009" i="4"/>
  <c r="B1009" i="4" s="1"/>
  <c r="A9" i="4"/>
  <c r="S48" i="4"/>
  <c r="S25" i="4"/>
  <c r="T36" i="4"/>
  <c r="T31" i="4"/>
  <c r="T28" i="4"/>
  <c r="S31" i="4"/>
  <c r="S28" i="4"/>
  <c r="T35" i="4"/>
  <c r="S27" i="4"/>
  <c r="T34" i="4"/>
  <c r="S34" i="4"/>
  <c r="T33" i="4"/>
  <c r="S36" i="4"/>
  <c r="T29" i="4"/>
  <c r="T27" i="4"/>
  <c r="S35" i="4"/>
  <c r="T26" i="4"/>
  <c r="S26" i="4"/>
  <c r="S30" i="4"/>
  <c r="S33" i="4"/>
  <c r="T25" i="4"/>
  <c r="S29" i="4"/>
  <c r="T32" i="4"/>
  <c r="T30" i="4"/>
  <c r="S32" i="4"/>
  <c r="Z15" i="4"/>
  <c r="Z16" i="4"/>
  <c r="Z14" i="4"/>
  <c r="Z12" i="4"/>
  <c r="Z13" i="4"/>
  <c r="Z11" i="4"/>
  <c r="L1018" i="4" l="1"/>
  <c r="K1018" i="4"/>
  <c r="J1018" i="4"/>
  <c r="I1018" i="4"/>
  <c r="N1018" i="4"/>
  <c r="M1018" i="4"/>
  <c r="H1018" i="4"/>
  <c r="G1018" i="4"/>
  <c r="D1016" i="4"/>
  <c r="E1017" i="4"/>
  <c r="D1017" i="4"/>
  <c r="C1017" i="4"/>
  <c r="E1016" i="4"/>
  <c r="C1016" i="4"/>
  <c r="E1014" i="4"/>
  <c r="C1014" i="4"/>
  <c r="P1014" i="4" s="1"/>
  <c r="B1014" i="4"/>
  <c r="E1015" i="4"/>
  <c r="D1015" i="4"/>
  <c r="C1015" i="4"/>
  <c r="E1012" i="4"/>
  <c r="D1012" i="4"/>
  <c r="C1012" i="4"/>
  <c r="N1012" i="4" s="1"/>
  <c r="E1013" i="4"/>
  <c r="C1011" i="4"/>
  <c r="M1011" i="4" s="1"/>
  <c r="D1013" i="4"/>
  <c r="B1011" i="4"/>
  <c r="C1013" i="4"/>
  <c r="E1011" i="4"/>
  <c r="E1010" i="4"/>
  <c r="D1010" i="4"/>
  <c r="C1010" i="4"/>
  <c r="E1009" i="4"/>
  <c r="D1009" i="4"/>
  <c r="C1009" i="4"/>
  <c r="B9" i="4"/>
  <c r="U29" i="4"/>
  <c r="U35" i="4"/>
  <c r="U32" i="4"/>
  <c r="U27" i="4"/>
  <c r="U36" i="4"/>
  <c r="U33" i="4"/>
  <c r="U25" i="4"/>
  <c r="U31" i="4"/>
  <c r="U28" i="4"/>
  <c r="U30" i="4"/>
  <c r="U26" i="4"/>
  <c r="U34" i="4"/>
  <c r="W39" i="4"/>
  <c r="M1017" i="4" l="1"/>
  <c r="N1017" i="4"/>
  <c r="O1017" i="4"/>
  <c r="P1017" i="4"/>
  <c r="F1017" i="4"/>
  <c r="G1017" i="4"/>
  <c r="H1017" i="4"/>
  <c r="I1017" i="4"/>
  <c r="J1017" i="4"/>
  <c r="K1017" i="4"/>
  <c r="L1017" i="4"/>
  <c r="M1016" i="4"/>
  <c r="N1016" i="4"/>
  <c r="O1016" i="4"/>
  <c r="J1016" i="4"/>
  <c r="L1016" i="4"/>
  <c r="P1016" i="4"/>
  <c r="K1016" i="4"/>
  <c r="F1016" i="4"/>
  <c r="G1016" i="4"/>
  <c r="H1016" i="4"/>
  <c r="I1016" i="4"/>
  <c r="N1014" i="4"/>
  <c r="M1015" i="4"/>
  <c r="N1015" i="4"/>
  <c r="O1015" i="4"/>
  <c r="P1015" i="4"/>
  <c r="F1015" i="4"/>
  <c r="G1015" i="4"/>
  <c r="L1015" i="4"/>
  <c r="H1015" i="4"/>
  <c r="I1015" i="4"/>
  <c r="J1015" i="4"/>
  <c r="K1015" i="4"/>
  <c r="M1014" i="4"/>
  <c r="J1014" i="4"/>
  <c r="K1014" i="4"/>
  <c r="L1014" i="4"/>
  <c r="O1014" i="4"/>
  <c r="I1014" i="4"/>
  <c r="F1014" i="4"/>
  <c r="G1014" i="4"/>
  <c r="H1014" i="4"/>
  <c r="H1011" i="4"/>
  <c r="I1011" i="4"/>
  <c r="J1011" i="4"/>
  <c r="O1011" i="4"/>
  <c r="P1011" i="4"/>
  <c r="F1011" i="4"/>
  <c r="G1011" i="4"/>
  <c r="K1011" i="4"/>
  <c r="N1011" i="4"/>
  <c r="L1011" i="4"/>
  <c r="M1012" i="4"/>
  <c r="L1012" i="4"/>
  <c r="O1012" i="4"/>
  <c r="M1013" i="4"/>
  <c r="N1013" i="4"/>
  <c r="O1013" i="4"/>
  <c r="P1013" i="4"/>
  <c r="L1013" i="4"/>
  <c r="F1013" i="4"/>
  <c r="G1013" i="4"/>
  <c r="H1013" i="4"/>
  <c r="I1013" i="4"/>
  <c r="J1013" i="4"/>
  <c r="K1013" i="4"/>
  <c r="K1012" i="4"/>
  <c r="J1012" i="4"/>
  <c r="I1012" i="4"/>
  <c r="F1012" i="4"/>
  <c r="G1012" i="4"/>
  <c r="H1012" i="4"/>
  <c r="P1012" i="4"/>
  <c r="M1010" i="4"/>
  <c r="N1010" i="4"/>
  <c r="L1010" i="4"/>
  <c r="O1010" i="4"/>
  <c r="P1010" i="4"/>
  <c r="F1010" i="4"/>
  <c r="K1010" i="4"/>
  <c r="G1010" i="4"/>
  <c r="H1010" i="4"/>
  <c r="I1010" i="4"/>
  <c r="J1010" i="4"/>
  <c r="N1009" i="4"/>
  <c r="L1009" i="4"/>
  <c r="O1009" i="4"/>
  <c r="P1009" i="4"/>
  <c r="F1009" i="4"/>
  <c r="M1009" i="4"/>
  <c r="G1009" i="4"/>
  <c r="H1009" i="4"/>
  <c r="K1009" i="4"/>
  <c r="I1009" i="4"/>
  <c r="J1009" i="4"/>
  <c r="W41" i="4"/>
  <c r="T48" i="4"/>
  <c r="C9" i="4"/>
  <c r="U48" i="4" l="1"/>
  <c r="T11" i="4"/>
  <c r="T12" i="4" s="1"/>
  <c r="T13" i="4" s="1"/>
  <c r="T14" i="4" s="1"/>
  <c r="T15" i="4" s="1"/>
  <c r="T16" i="4" s="1"/>
  <c r="T17" i="4" s="1"/>
  <c r="T18" i="4" s="1"/>
  <c r="T19" i="4" s="1"/>
  <c r="T20" i="4" s="1"/>
  <c r="T9" i="4"/>
  <c r="U6" i="4"/>
  <c r="U7" i="4" s="1"/>
  <c r="U8" i="4" s="1"/>
  <c r="U9" i="4" s="1"/>
  <c r="U10" i="4" s="1"/>
  <c r="U11" i="4" s="1"/>
  <c r="U12" i="4" s="1"/>
  <c r="U13" i="4" s="1"/>
  <c r="U14" i="4" s="1"/>
  <c r="U15" i="4" s="1"/>
  <c r="U16" i="4" s="1"/>
  <c r="U17" i="4" s="1"/>
  <c r="S6" i="4"/>
  <c r="S7" i="4" s="1"/>
  <c r="S8" i="4" s="1"/>
  <c r="S9" i="4" s="1"/>
  <c r="S10" i="4" s="1"/>
  <c r="S11" i="4" s="1"/>
  <c r="S12" i="4" s="1"/>
  <c r="S13" i="4" s="1"/>
  <c r="S14" i="4" s="1"/>
  <c r="S15" i="4" s="1"/>
  <c r="S16" i="4" s="1"/>
  <c r="S17" i="4" s="1"/>
  <c r="S18" i="4" s="1"/>
  <c r="S19" i="4" s="1"/>
  <c r="R6" i="4"/>
  <c r="D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V39" i="4"/>
  <c r="U39" i="4"/>
  <c r="S39" i="4"/>
  <c r="T39" i="4"/>
  <c r="S41" i="4" l="1"/>
  <c r="T41" i="4"/>
  <c r="U41" i="4"/>
  <c r="V41" i="4"/>
  <c r="W48" i="4"/>
  <c r="C983" i="4"/>
  <c r="B983" i="4"/>
  <c r="C911" i="4"/>
  <c r="B911" i="4"/>
  <c r="C851" i="4"/>
  <c r="B851" i="4"/>
  <c r="C791" i="4"/>
  <c r="H791" i="4" s="1"/>
  <c r="B791" i="4"/>
  <c r="C719" i="4"/>
  <c r="B719" i="4"/>
  <c r="C623" i="4"/>
  <c r="N623" i="4" s="1"/>
  <c r="B623" i="4"/>
  <c r="C551" i="4"/>
  <c r="B551" i="4"/>
  <c r="D467" i="4"/>
  <c r="B467" i="4"/>
  <c r="D371" i="4"/>
  <c r="B371" i="4"/>
  <c r="D299" i="4"/>
  <c r="B299" i="4"/>
  <c r="D227" i="4"/>
  <c r="B227" i="4"/>
  <c r="D155" i="4"/>
  <c r="B155" i="4"/>
  <c r="D95" i="4"/>
  <c r="B95" i="4"/>
  <c r="D71" i="4"/>
  <c r="B71" i="4"/>
  <c r="C994" i="4"/>
  <c r="B994" i="4"/>
  <c r="C898" i="4"/>
  <c r="J898" i="4" s="1"/>
  <c r="B898" i="4"/>
  <c r="C826" i="4"/>
  <c r="B826" i="4"/>
  <c r="D730" i="4"/>
  <c r="B730" i="4"/>
  <c r="D634" i="4"/>
  <c r="B634" i="4"/>
  <c r="D466" i="4"/>
  <c r="B466" i="4"/>
  <c r="D58" i="4"/>
  <c r="B58" i="4"/>
  <c r="D981" i="4"/>
  <c r="B981" i="4"/>
  <c r="D897" i="4"/>
  <c r="B897" i="4"/>
  <c r="D825" i="4"/>
  <c r="B825" i="4"/>
  <c r="D753" i="4"/>
  <c r="B753" i="4"/>
  <c r="D717" i="4"/>
  <c r="B717" i="4"/>
  <c r="D657" i="4"/>
  <c r="B657" i="4"/>
  <c r="D609" i="4"/>
  <c r="B609" i="4"/>
  <c r="D597" i="4"/>
  <c r="B597" i="4"/>
  <c r="D573" i="4"/>
  <c r="B573" i="4"/>
  <c r="D525" i="4"/>
  <c r="B525" i="4"/>
  <c r="D513" i="4"/>
  <c r="B513" i="4"/>
  <c r="D501" i="4"/>
  <c r="B501" i="4"/>
  <c r="D489" i="4"/>
  <c r="B489" i="4"/>
  <c r="D477" i="4"/>
  <c r="B477" i="4"/>
  <c r="D465" i="4"/>
  <c r="B465" i="4"/>
  <c r="D453" i="4"/>
  <c r="B453" i="4"/>
  <c r="D441" i="4"/>
  <c r="B441" i="4"/>
  <c r="D429" i="4"/>
  <c r="B429" i="4"/>
  <c r="D417" i="4"/>
  <c r="B417" i="4"/>
  <c r="D405" i="4"/>
  <c r="B405" i="4"/>
  <c r="D393" i="4"/>
  <c r="B393" i="4"/>
  <c r="D381" i="4"/>
  <c r="B381" i="4"/>
  <c r="D369" i="4"/>
  <c r="B369" i="4"/>
  <c r="D357" i="4"/>
  <c r="B357" i="4"/>
  <c r="D345" i="4"/>
  <c r="B345" i="4"/>
  <c r="D333" i="4"/>
  <c r="B333" i="4"/>
  <c r="D321" i="4"/>
  <c r="B321" i="4"/>
  <c r="D309" i="4"/>
  <c r="B309" i="4"/>
  <c r="D297" i="4"/>
  <c r="B297" i="4"/>
  <c r="D285" i="4"/>
  <c r="B285" i="4"/>
  <c r="D273" i="4"/>
  <c r="B273" i="4"/>
  <c r="D261" i="4"/>
  <c r="B261" i="4"/>
  <c r="D249" i="4"/>
  <c r="B249" i="4"/>
  <c r="D237" i="4"/>
  <c r="B237" i="4"/>
  <c r="D225" i="4"/>
  <c r="B225" i="4"/>
  <c r="D213" i="4"/>
  <c r="B213" i="4"/>
  <c r="D201" i="4"/>
  <c r="B201" i="4"/>
  <c r="D189" i="4"/>
  <c r="B189" i="4"/>
  <c r="D177" i="4"/>
  <c r="B177" i="4"/>
  <c r="D165" i="4"/>
  <c r="B165" i="4"/>
  <c r="D153" i="4"/>
  <c r="B153" i="4"/>
  <c r="D141" i="4"/>
  <c r="B141" i="4"/>
  <c r="D129" i="4"/>
  <c r="B129" i="4"/>
  <c r="D117" i="4"/>
  <c r="B117" i="4"/>
  <c r="D105" i="4"/>
  <c r="B105" i="4"/>
  <c r="D93" i="4"/>
  <c r="B93" i="4"/>
  <c r="D81" i="4"/>
  <c r="B81" i="4"/>
  <c r="D69" i="4"/>
  <c r="B69" i="4"/>
  <c r="D57" i="4"/>
  <c r="B57" i="4"/>
  <c r="D45" i="4"/>
  <c r="B45" i="4"/>
  <c r="D33" i="4"/>
  <c r="B33" i="4"/>
  <c r="D21" i="4"/>
  <c r="B21" i="4"/>
  <c r="C1004" i="4"/>
  <c r="B1004" i="4"/>
  <c r="C992" i="4"/>
  <c r="B992" i="4"/>
  <c r="C980" i="4"/>
  <c r="I980" i="4" s="1"/>
  <c r="B980" i="4"/>
  <c r="C968" i="4"/>
  <c r="B968" i="4"/>
  <c r="C956" i="4"/>
  <c r="G956" i="4" s="1"/>
  <c r="B956" i="4"/>
  <c r="C944" i="4"/>
  <c r="B944" i="4"/>
  <c r="C932" i="4"/>
  <c r="B932" i="4"/>
  <c r="C920" i="4"/>
  <c r="B920" i="4"/>
  <c r="C908" i="4"/>
  <c r="J908" i="4" s="1"/>
  <c r="B908" i="4"/>
  <c r="C896" i="4"/>
  <c r="B896" i="4"/>
  <c r="C884" i="4"/>
  <c r="J884" i="4" s="1"/>
  <c r="B884" i="4"/>
  <c r="C872" i="4"/>
  <c r="B872" i="4"/>
  <c r="C860" i="4"/>
  <c r="B860" i="4"/>
  <c r="C848" i="4"/>
  <c r="B848" i="4"/>
  <c r="C836" i="4"/>
  <c r="I836" i="4" s="1"/>
  <c r="B836" i="4"/>
  <c r="C824" i="4"/>
  <c r="B824" i="4"/>
  <c r="C812" i="4"/>
  <c r="H812" i="4" s="1"/>
  <c r="B812" i="4"/>
  <c r="C800" i="4"/>
  <c r="B800" i="4"/>
  <c r="C788" i="4"/>
  <c r="B788" i="4"/>
  <c r="C776" i="4"/>
  <c r="B776" i="4"/>
  <c r="C764" i="4"/>
  <c r="L764" i="4" s="1"/>
  <c r="B764" i="4"/>
  <c r="C752" i="4"/>
  <c r="B752" i="4"/>
  <c r="D740" i="4"/>
  <c r="B740" i="4"/>
  <c r="D728" i="4"/>
  <c r="B728" i="4"/>
  <c r="D716" i="4"/>
  <c r="B716" i="4"/>
  <c r="D704" i="4"/>
  <c r="B704" i="4"/>
  <c r="D692" i="4"/>
  <c r="B692" i="4"/>
  <c r="D680" i="4"/>
  <c r="B680" i="4"/>
  <c r="D668" i="4"/>
  <c r="B668" i="4"/>
  <c r="D656" i="4"/>
  <c r="B656" i="4"/>
  <c r="D644" i="4"/>
  <c r="B644" i="4"/>
  <c r="D632" i="4"/>
  <c r="B632" i="4"/>
  <c r="D620" i="4"/>
  <c r="B620" i="4"/>
  <c r="D608" i="4"/>
  <c r="B608" i="4"/>
  <c r="D596" i="4"/>
  <c r="B596" i="4"/>
  <c r="D584" i="4"/>
  <c r="B584" i="4"/>
  <c r="D572" i="4"/>
  <c r="B572" i="4"/>
  <c r="D560" i="4"/>
  <c r="B560" i="4"/>
  <c r="D548" i="4"/>
  <c r="B548" i="4"/>
  <c r="D536" i="4"/>
  <c r="B536" i="4"/>
  <c r="D524" i="4"/>
  <c r="B524" i="4"/>
  <c r="D512" i="4"/>
  <c r="B512" i="4"/>
  <c r="D500" i="4"/>
  <c r="B500" i="4"/>
  <c r="D488" i="4"/>
  <c r="B488" i="4"/>
  <c r="D476" i="4"/>
  <c r="B476" i="4"/>
  <c r="D464" i="4"/>
  <c r="B464" i="4"/>
  <c r="D452" i="4"/>
  <c r="B452" i="4"/>
  <c r="D440" i="4"/>
  <c r="B440" i="4"/>
  <c r="D428" i="4"/>
  <c r="B428" i="4"/>
  <c r="D416" i="4"/>
  <c r="B416" i="4"/>
  <c r="D404" i="4"/>
  <c r="B404" i="4"/>
  <c r="D392" i="4"/>
  <c r="B392" i="4"/>
  <c r="D380" i="4"/>
  <c r="B380" i="4"/>
  <c r="D368" i="4"/>
  <c r="B368" i="4"/>
  <c r="D356" i="4"/>
  <c r="B356" i="4"/>
  <c r="D344" i="4"/>
  <c r="B344" i="4"/>
  <c r="D332" i="4"/>
  <c r="B332" i="4"/>
  <c r="D320" i="4"/>
  <c r="B320" i="4"/>
  <c r="D308" i="4"/>
  <c r="B308" i="4"/>
  <c r="D296" i="4"/>
  <c r="B296" i="4"/>
  <c r="D284" i="4"/>
  <c r="B284" i="4"/>
  <c r="D272" i="4"/>
  <c r="B272" i="4"/>
  <c r="D260" i="4"/>
  <c r="B260" i="4"/>
  <c r="D248" i="4"/>
  <c r="B248" i="4"/>
  <c r="D236" i="4"/>
  <c r="B236" i="4"/>
  <c r="D224" i="4"/>
  <c r="B224" i="4"/>
  <c r="D212" i="4"/>
  <c r="B212" i="4"/>
  <c r="D200" i="4"/>
  <c r="B200" i="4"/>
  <c r="D188" i="4"/>
  <c r="B188" i="4"/>
  <c r="D176" i="4"/>
  <c r="B176" i="4"/>
  <c r="D164" i="4"/>
  <c r="B164" i="4"/>
  <c r="D152" i="4"/>
  <c r="B152" i="4"/>
  <c r="D140" i="4"/>
  <c r="B140" i="4"/>
  <c r="D128" i="4"/>
  <c r="B128" i="4"/>
  <c r="D116" i="4"/>
  <c r="B116" i="4"/>
  <c r="D104" i="4"/>
  <c r="B104" i="4"/>
  <c r="D92" i="4"/>
  <c r="B92" i="4"/>
  <c r="D80" i="4"/>
  <c r="B80" i="4"/>
  <c r="D68" i="4"/>
  <c r="B68" i="4"/>
  <c r="D56" i="4"/>
  <c r="B56" i="4"/>
  <c r="D44" i="4"/>
  <c r="B44" i="4"/>
  <c r="D32" i="4"/>
  <c r="B32" i="4"/>
  <c r="D20" i="4"/>
  <c r="B20" i="4"/>
  <c r="C995" i="4"/>
  <c r="B995" i="4"/>
  <c r="C947" i="4"/>
  <c r="B947" i="4"/>
  <c r="C875" i="4"/>
  <c r="B875" i="4"/>
  <c r="C815" i="4"/>
  <c r="J815" i="4" s="1"/>
  <c r="B815" i="4"/>
  <c r="C743" i="4"/>
  <c r="B743" i="4"/>
  <c r="C683" i="4"/>
  <c r="H683" i="4" s="1"/>
  <c r="B683" i="4"/>
  <c r="C611" i="4"/>
  <c r="B611" i="4"/>
  <c r="C527" i="4"/>
  <c r="B527" i="4"/>
  <c r="D431" i="4"/>
  <c r="B431" i="4"/>
  <c r="D359" i="4"/>
  <c r="B359" i="4"/>
  <c r="D287" i="4"/>
  <c r="B287" i="4"/>
  <c r="D215" i="4"/>
  <c r="B215" i="4"/>
  <c r="D167" i="4"/>
  <c r="B167" i="4"/>
  <c r="D47" i="4"/>
  <c r="B47" i="4"/>
  <c r="C958" i="4"/>
  <c r="B958" i="4"/>
  <c r="C874" i="4"/>
  <c r="I874" i="4" s="1"/>
  <c r="B874" i="4"/>
  <c r="D778" i="4"/>
  <c r="B778" i="4"/>
  <c r="D706" i="4"/>
  <c r="B706" i="4"/>
  <c r="D622" i="4"/>
  <c r="B622" i="4"/>
  <c r="D526" i="4"/>
  <c r="B526" i="4"/>
  <c r="D454" i="4"/>
  <c r="B454" i="4"/>
  <c r="D382" i="4"/>
  <c r="B382" i="4"/>
  <c r="D298" i="4"/>
  <c r="B298" i="4"/>
  <c r="D178" i="4"/>
  <c r="B178" i="4"/>
  <c r="C22" i="4"/>
  <c r="B22" i="4"/>
  <c r="D957" i="4"/>
  <c r="B957" i="4"/>
  <c r="D873" i="4"/>
  <c r="B873" i="4"/>
  <c r="D789" i="4"/>
  <c r="B789" i="4"/>
  <c r="D693" i="4"/>
  <c r="B693" i="4"/>
  <c r="D549" i="4"/>
  <c r="B549" i="4"/>
  <c r="C1003" i="4"/>
  <c r="B1003" i="4"/>
  <c r="C955" i="4"/>
  <c r="B955" i="4"/>
  <c r="C907" i="4"/>
  <c r="B907" i="4"/>
  <c r="C871" i="4"/>
  <c r="J871" i="4" s="1"/>
  <c r="B871" i="4"/>
  <c r="C799" i="4"/>
  <c r="B799" i="4"/>
  <c r="C715" i="4"/>
  <c r="P715" i="4" s="1"/>
  <c r="B715" i="4"/>
  <c r="C667" i="4"/>
  <c r="B667" i="4"/>
  <c r="D631" i="4"/>
  <c r="B631" i="4"/>
  <c r="D583" i="4"/>
  <c r="B583" i="4"/>
  <c r="D535" i="4"/>
  <c r="B535" i="4"/>
  <c r="D511" i="4"/>
  <c r="B511" i="4"/>
  <c r="D487" i="4"/>
  <c r="B487" i="4"/>
  <c r="D451" i="4"/>
  <c r="B451" i="4"/>
  <c r="D427" i="4"/>
  <c r="B427" i="4"/>
  <c r="D415" i="4"/>
  <c r="B415" i="4"/>
  <c r="D403" i="4"/>
  <c r="B403" i="4"/>
  <c r="D391" i="4"/>
  <c r="B391" i="4"/>
  <c r="D379" i="4"/>
  <c r="B379" i="4"/>
  <c r="D367" i="4"/>
  <c r="B367" i="4"/>
  <c r="D355" i="4"/>
  <c r="B355" i="4"/>
  <c r="D343" i="4"/>
  <c r="B343" i="4"/>
  <c r="D331" i="4"/>
  <c r="B331" i="4"/>
  <c r="D319" i="4"/>
  <c r="B319" i="4"/>
  <c r="D307" i="4"/>
  <c r="B307" i="4"/>
  <c r="D295" i="4"/>
  <c r="B295" i="4"/>
  <c r="D283" i="4"/>
  <c r="B283" i="4"/>
  <c r="D271" i="4"/>
  <c r="B271" i="4"/>
  <c r="D259" i="4"/>
  <c r="B259" i="4"/>
  <c r="D247" i="4"/>
  <c r="B247" i="4"/>
  <c r="D235" i="4"/>
  <c r="B235" i="4"/>
  <c r="D223" i="4"/>
  <c r="B223" i="4"/>
  <c r="D211" i="4"/>
  <c r="B211" i="4"/>
  <c r="D199" i="4"/>
  <c r="B199" i="4"/>
  <c r="D187" i="4"/>
  <c r="B187" i="4"/>
  <c r="D175" i="4"/>
  <c r="B175" i="4"/>
  <c r="D163" i="4"/>
  <c r="B163" i="4"/>
  <c r="D151" i="4"/>
  <c r="B151" i="4"/>
  <c r="D139" i="4"/>
  <c r="B139" i="4"/>
  <c r="D127" i="4"/>
  <c r="B127" i="4"/>
  <c r="D115" i="4"/>
  <c r="B115" i="4"/>
  <c r="D103" i="4"/>
  <c r="B103" i="4"/>
  <c r="D91" i="4"/>
  <c r="B91" i="4"/>
  <c r="D79" i="4"/>
  <c r="B79" i="4"/>
  <c r="D67" i="4"/>
  <c r="B67" i="4"/>
  <c r="D55" i="4"/>
  <c r="B55" i="4"/>
  <c r="D43" i="4"/>
  <c r="B43" i="4"/>
  <c r="D31" i="4"/>
  <c r="B31" i="4"/>
  <c r="C19" i="4"/>
  <c r="I19" i="4" s="1"/>
  <c r="B19" i="4"/>
  <c r="C1002" i="4"/>
  <c r="B1002" i="4"/>
  <c r="C990" i="4"/>
  <c r="B990" i="4"/>
  <c r="E978" i="4"/>
  <c r="B978" i="4"/>
  <c r="C966" i="4"/>
  <c r="L966" i="4" s="1"/>
  <c r="B966" i="4"/>
  <c r="C954" i="4"/>
  <c r="B954" i="4"/>
  <c r="C942" i="4"/>
  <c r="B942" i="4"/>
  <c r="E930" i="4"/>
  <c r="B930" i="4"/>
  <c r="C918" i="4"/>
  <c r="B918" i="4"/>
  <c r="C906" i="4"/>
  <c r="B906" i="4"/>
  <c r="C894" i="4"/>
  <c r="F894" i="4" s="1"/>
  <c r="B894" i="4"/>
  <c r="E882" i="4"/>
  <c r="B882" i="4"/>
  <c r="C870" i="4"/>
  <c r="J870" i="4" s="1"/>
  <c r="B870" i="4"/>
  <c r="C858" i="4"/>
  <c r="B858" i="4"/>
  <c r="C846" i="4"/>
  <c r="B846" i="4"/>
  <c r="E834" i="4"/>
  <c r="B834" i="4"/>
  <c r="C822" i="4"/>
  <c r="J822" i="4" s="1"/>
  <c r="B822" i="4"/>
  <c r="C810" i="4"/>
  <c r="B810" i="4"/>
  <c r="C798" i="4"/>
  <c r="J798" i="4" s="1"/>
  <c r="B798" i="4"/>
  <c r="E786" i="4"/>
  <c r="B786" i="4"/>
  <c r="C774" i="4"/>
  <c r="B774" i="4"/>
  <c r="C762" i="4"/>
  <c r="B762" i="4"/>
  <c r="C750" i="4"/>
  <c r="H750" i="4" s="1"/>
  <c r="B750" i="4"/>
  <c r="E738" i="4"/>
  <c r="B738" i="4"/>
  <c r="C726" i="4"/>
  <c r="G726" i="4" s="1"/>
  <c r="B726" i="4"/>
  <c r="C714" i="4"/>
  <c r="B714" i="4"/>
  <c r="C702" i="4"/>
  <c r="B702" i="4"/>
  <c r="E690" i="4"/>
  <c r="B690" i="4"/>
  <c r="C678" i="4"/>
  <c r="M678" i="4" s="1"/>
  <c r="B678" i="4"/>
  <c r="C666" i="4"/>
  <c r="B666" i="4"/>
  <c r="D654" i="4"/>
  <c r="B654" i="4"/>
  <c r="E642" i="4"/>
  <c r="B642" i="4"/>
  <c r="D630" i="4"/>
  <c r="B630" i="4"/>
  <c r="D618" i="4"/>
  <c r="B618" i="4"/>
  <c r="D606" i="4"/>
  <c r="B606" i="4"/>
  <c r="E594" i="4"/>
  <c r="B594" i="4"/>
  <c r="D582" i="4"/>
  <c r="B582" i="4"/>
  <c r="D570" i="4"/>
  <c r="B570" i="4"/>
  <c r="D558" i="4"/>
  <c r="B558" i="4"/>
  <c r="E546" i="4"/>
  <c r="B546" i="4"/>
  <c r="D534" i="4"/>
  <c r="B534" i="4"/>
  <c r="D522" i="4"/>
  <c r="B522" i="4"/>
  <c r="D510" i="4"/>
  <c r="B510" i="4"/>
  <c r="E498" i="4"/>
  <c r="B498" i="4"/>
  <c r="D486" i="4"/>
  <c r="B486" i="4"/>
  <c r="D474" i="4"/>
  <c r="B474" i="4"/>
  <c r="D462" i="4"/>
  <c r="B462" i="4"/>
  <c r="E450" i="4"/>
  <c r="B450" i="4"/>
  <c r="D438" i="4"/>
  <c r="B438" i="4"/>
  <c r="D426" i="4"/>
  <c r="B426" i="4"/>
  <c r="D414" i="4"/>
  <c r="B414" i="4"/>
  <c r="E402" i="4"/>
  <c r="B402" i="4"/>
  <c r="D390" i="4"/>
  <c r="B390" i="4"/>
  <c r="D378" i="4"/>
  <c r="B378" i="4"/>
  <c r="D366" i="4"/>
  <c r="B366" i="4"/>
  <c r="E354" i="4"/>
  <c r="B354" i="4"/>
  <c r="D342" i="4"/>
  <c r="B342" i="4"/>
  <c r="D330" i="4"/>
  <c r="B330" i="4"/>
  <c r="D318" i="4"/>
  <c r="B318" i="4"/>
  <c r="E306" i="4"/>
  <c r="B306" i="4"/>
  <c r="D294" i="4"/>
  <c r="B294" i="4"/>
  <c r="D282" i="4"/>
  <c r="B282" i="4"/>
  <c r="D270" i="4"/>
  <c r="B270" i="4"/>
  <c r="E258" i="4"/>
  <c r="B258" i="4"/>
  <c r="D246" i="4"/>
  <c r="B246" i="4"/>
  <c r="D234" i="4"/>
  <c r="B234" i="4"/>
  <c r="D222" i="4"/>
  <c r="B222" i="4"/>
  <c r="E210" i="4"/>
  <c r="B210" i="4"/>
  <c r="D198" i="4"/>
  <c r="B198" i="4"/>
  <c r="D186" i="4"/>
  <c r="B186" i="4"/>
  <c r="D174" i="4"/>
  <c r="B174" i="4"/>
  <c r="E162" i="4"/>
  <c r="B162" i="4"/>
  <c r="D150" i="4"/>
  <c r="B150" i="4"/>
  <c r="D138" i="4"/>
  <c r="B138" i="4"/>
  <c r="D126" i="4"/>
  <c r="B126" i="4"/>
  <c r="E114" i="4"/>
  <c r="B114" i="4"/>
  <c r="D102" i="4"/>
  <c r="B102" i="4"/>
  <c r="D90" i="4"/>
  <c r="B90" i="4"/>
  <c r="D78" i="4"/>
  <c r="B78" i="4"/>
  <c r="E66" i="4"/>
  <c r="B66" i="4"/>
  <c r="D54" i="4"/>
  <c r="B54" i="4"/>
  <c r="D42" i="4"/>
  <c r="B42" i="4"/>
  <c r="D30" i="4"/>
  <c r="B30" i="4"/>
  <c r="E18" i="4"/>
  <c r="B18" i="4"/>
  <c r="C1007" i="4"/>
  <c r="G1007" i="4" s="1"/>
  <c r="B1007" i="4"/>
  <c r="C935" i="4"/>
  <c r="B935" i="4"/>
  <c r="C887" i="4"/>
  <c r="B887" i="4"/>
  <c r="C827" i="4"/>
  <c r="B827" i="4"/>
  <c r="C755" i="4"/>
  <c r="F755" i="4" s="1"/>
  <c r="B755" i="4"/>
  <c r="C671" i="4"/>
  <c r="B671" i="4"/>
  <c r="C587" i="4"/>
  <c r="I587" i="4" s="1"/>
  <c r="B587" i="4"/>
  <c r="D491" i="4"/>
  <c r="B491" i="4"/>
  <c r="D407" i="4"/>
  <c r="B407" i="4"/>
  <c r="D311" i="4"/>
  <c r="B311" i="4"/>
  <c r="D239" i="4"/>
  <c r="B239" i="4"/>
  <c r="D143" i="4"/>
  <c r="B143" i="4"/>
  <c r="D23" i="4"/>
  <c r="B23" i="4"/>
  <c r="C946" i="4"/>
  <c r="B946" i="4"/>
  <c r="C862" i="4"/>
  <c r="B862" i="4"/>
  <c r="D766" i="4"/>
  <c r="B766" i="4"/>
  <c r="D670" i="4"/>
  <c r="B670" i="4"/>
  <c r="D574" i="4"/>
  <c r="B574" i="4"/>
  <c r="D514" i="4"/>
  <c r="B514" i="4"/>
  <c r="D442" i="4"/>
  <c r="B442" i="4"/>
  <c r="D394" i="4"/>
  <c r="B394" i="4"/>
  <c r="D334" i="4"/>
  <c r="B334" i="4"/>
  <c r="D262" i="4"/>
  <c r="B262" i="4"/>
  <c r="D190" i="4"/>
  <c r="B190" i="4"/>
  <c r="D10" i="4"/>
  <c r="B10" i="4"/>
  <c r="D945" i="4"/>
  <c r="B945" i="4"/>
  <c r="D885" i="4"/>
  <c r="B885" i="4"/>
  <c r="D777" i="4"/>
  <c r="B777" i="4"/>
  <c r="D681" i="4"/>
  <c r="B681" i="4"/>
  <c r="D561" i="4"/>
  <c r="B561" i="4"/>
  <c r="C991" i="4"/>
  <c r="L991" i="4" s="1"/>
  <c r="B991" i="4"/>
  <c r="C943" i="4"/>
  <c r="B943" i="4"/>
  <c r="C895" i="4"/>
  <c r="B895" i="4"/>
  <c r="C847" i="4"/>
  <c r="B847" i="4"/>
  <c r="C775" i="4"/>
  <c r="P775" i="4" s="1"/>
  <c r="B775" i="4"/>
  <c r="C727" i="4"/>
  <c r="B727" i="4"/>
  <c r="C679" i="4"/>
  <c r="K679" i="4" s="1"/>
  <c r="B679" i="4"/>
  <c r="D619" i="4"/>
  <c r="B619" i="4"/>
  <c r="D559" i="4"/>
  <c r="B559" i="4"/>
  <c r="D475" i="4"/>
  <c r="B475" i="4"/>
  <c r="D989" i="4"/>
  <c r="B989" i="4"/>
  <c r="D965" i="4"/>
  <c r="B965" i="4"/>
  <c r="D941" i="4"/>
  <c r="B941" i="4"/>
  <c r="D905" i="4"/>
  <c r="B905" i="4"/>
  <c r="E881" i="4"/>
  <c r="B881" i="4"/>
  <c r="D857" i="4"/>
  <c r="B857" i="4"/>
  <c r="E833" i="4"/>
  <c r="B833" i="4"/>
  <c r="D797" i="4"/>
  <c r="B797" i="4"/>
  <c r="D749" i="4"/>
  <c r="B749" i="4"/>
  <c r="D725" i="4"/>
  <c r="B725" i="4"/>
  <c r="D689" i="4"/>
  <c r="B689" i="4"/>
  <c r="D665" i="4"/>
  <c r="B665" i="4"/>
  <c r="D629" i="4"/>
  <c r="B629" i="4"/>
  <c r="E593" i="4"/>
  <c r="B593" i="4"/>
  <c r="D557" i="4"/>
  <c r="B557" i="4"/>
  <c r="D509" i="4"/>
  <c r="B509" i="4"/>
  <c r="D485" i="4"/>
  <c r="B485" i="4"/>
  <c r="D461" i="4"/>
  <c r="B461" i="4"/>
  <c r="D413" i="4"/>
  <c r="B413" i="4"/>
  <c r="D401" i="4"/>
  <c r="B401" i="4"/>
  <c r="D377" i="4"/>
  <c r="B377" i="4"/>
  <c r="E353" i="4"/>
  <c r="B353" i="4"/>
  <c r="D329" i="4"/>
  <c r="B329" i="4"/>
  <c r="E305" i="4"/>
  <c r="B305" i="4"/>
  <c r="D281" i="4"/>
  <c r="B281" i="4"/>
  <c r="E257" i="4"/>
  <c r="B257" i="4"/>
  <c r="D233" i="4"/>
  <c r="B233" i="4"/>
  <c r="D221" i="4"/>
  <c r="B221" i="4"/>
  <c r="D197" i="4"/>
  <c r="B197" i="4"/>
  <c r="D173" i="4"/>
  <c r="B173" i="4"/>
  <c r="D149" i="4"/>
  <c r="B149" i="4"/>
  <c r="D137" i="4"/>
  <c r="B137" i="4"/>
  <c r="D113" i="4"/>
  <c r="B113" i="4"/>
  <c r="D89" i="4"/>
  <c r="B89" i="4"/>
  <c r="E65" i="4"/>
  <c r="B65" i="4"/>
  <c r="D53" i="4"/>
  <c r="B53" i="4"/>
  <c r="D29" i="4"/>
  <c r="B29" i="4"/>
  <c r="C1000" i="4"/>
  <c r="B1000" i="4"/>
  <c r="C988" i="4"/>
  <c r="F988" i="4" s="1"/>
  <c r="B988" i="4"/>
  <c r="C976" i="4"/>
  <c r="B976" i="4"/>
  <c r="C964" i="4"/>
  <c r="B964" i="4"/>
  <c r="C952" i="4"/>
  <c r="B952" i="4"/>
  <c r="C940" i="4"/>
  <c r="H940" i="4" s="1"/>
  <c r="B940" i="4"/>
  <c r="C928" i="4"/>
  <c r="B928" i="4"/>
  <c r="C916" i="4"/>
  <c r="G916" i="4" s="1"/>
  <c r="B916" i="4"/>
  <c r="C904" i="4"/>
  <c r="B904" i="4"/>
  <c r="C892" i="4"/>
  <c r="B892" i="4"/>
  <c r="C880" i="4"/>
  <c r="B880" i="4"/>
  <c r="C868" i="4"/>
  <c r="J868" i="4" s="1"/>
  <c r="B868" i="4"/>
  <c r="C856" i="4"/>
  <c r="B856" i="4"/>
  <c r="C844" i="4"/>
  <c r="B844" i="4"/>
  <c r="C832" i="4"/>
  <c r="B832" i="4"/>
  <c r="C820" i="4"/>
  <c r="B820" i="4"/>
  <c r="C808" i="4"/>
  <c r="B808" i="4"/>
  <c r="C796" i="4"/>
  <c r="J796" i="4" s="1"/>
  <c r="B796" i="4"/>
  <c r="C784" i="4"/>
  <c r="B784" i="4"/>
  <c r="C772" i="4"/>
  <c r="L772" i="4" s="1"/>
  <c r="B772" i="4"/>
  <c r="C760" i="4"/>
  <c r="B760" i="4"/>
  <c r="C748" i="4"/>
  <c r="B748" i="4"/>
  <c r="C736" i="4"/>
  <c r="B736" i="4"/>
  <c r="C724" i="4"/>
  <c r="N724" i="4" s="1"/>
  <c r="B724" i="4"/>
  <c r="C712" i="4"/>
  <c r="B712" i="4"/>
  <c r="C700" i="4"/>
  <c r="K700" i="4" s="1"/>
  <c r="B700" i="4"/>
  <c r="C688" i="4"/>
  <c r="B688" i="4"/>
  <c r="C676" i="4"/>
  <c r="B676" i="4"/>
  <c r="C664" i="4"/>
  <c r="B664" i="4"/>
  <c r="C652" i="4"/>
  <c r="O652" i="4" s="1"/>
  <c r="B652" i="4"/>
  <c r="C640" i="4"/>
  <c r="B640" i="4"/>
  <c r="C628" i="4"/>
  <c r="G628" i="4" s="1"/>
  <c r="B628" i="4"/>
  <c r="C616" i="4"/>
  <c r="B616" i="4"/>
  <c r="C604" i="4"/>
  <c r="B604" i="4"/>
  <c r="C592" i="4"/>
  <c r="B592" i="4"/>
  <c r="C580" i="4"/>
  <c r="H580" i="4" s="1"/>
  <c r="B580" i="4"/>
  <c r="C568" i="4"/>
  <c r="B568" i="4"/>
  <c r="C556" i="4"/>
  <c r="K556" i="4" s="1"/>
  <c r="B556" i="4"/>
  <c r="C544" i="4"/>
  <c r="B544" i="4"/>
  <c r="C532" i="4"/>
  <c r="B532" i="4"/>
  <c r="C520" i="4"/>
  <c r="B520" i="4"/>
  <c r="C508" i="4"/>
  <c r="I508" i="4" s="1"/>
  <c r="B508" i="4"/>
  <c r="C496" i="4"/>
  <c r="B496" i="4"/>
  <c r="C484" i="4"/>
  <c r="G484" i="4" s="1"/>
  <c r="B484" i="4"/>
  <c r="C472" i="4"/>
  <c r="B472" i="4"/>
  <c r="C460" i="4"/>
  <c r="B460" i="4"/>
  <c r="C448" i="4"/>
  <c r="B448" i="4"/>
  <c r="C436" i="4"/>
  <c r="J436" i="4" s="1"/>
  <c r="B436" i="4"/>
  <c r="C424" i="4"/>
  <c r="B424" i="4"/>
  <c r="C412" i="4"/>
  <c r="P412" i="4" s="1"/>
  <c r="B412" i="4"/>
  <c r="C400" i="4"/>
  <c r="B400" i="4"/>
  <c r="C388" i="4"/>
  <c r="B388" i="4"/>
  <c r="C376" i="4"/>
  <c r="B376" i="4"/>
  <c r="C364" i="4"/>
  <c r="M364" i="4" s="1"/>
  <c r="B364" i="4"/>
  <c r="C352" i="4"/>
  <c r="B352" i="4"/>
  <c r="C340" i="4"/>
  <c r="G340" i="4" s="1"/>
  <c r="B340" i="4"/>
  <c r="C328" i="4"/>
  <c r="B328" i="4"/>
  <c r="C316" i="4"/>
  <c r="B316" i="4"/>
  <c r="C304" i="4"/>
  <c r="B304" i="4"/>
  <c r="C292" i="4"/>
  <c r="F292" i="4" s="1"/>
  <c r="B292" i="4"/>
  <c r="C280" i="4"/>
  <c r="B280" i="4"/>
  <c r="C268" i="4"/>
  <c r="B268" i="4"/>
  <c r="C256" i="4"/>
  <c r="B256" i="4"/>
  <c r="C244" i="4"/>
  <c r="B244" i="4"/>
  <c r="C232" i="4"/>
  <c r="B232" i="4"/>
  <c r="C220" i="4"/>
  <c r="G220" i="4" s="1"/>
  <c r="B220" i="4"/>
  <c r="C208" i="4"/>
  <c r="B208" i="4"/>
  <c r="C196" i="4"/>
  <c r="G196" i="4" s="1"/>
  <c r="B196" i="4"/>
  <c r="C184" i="4"/>
  <c r="B184" i="4"/>
  <c r="C172" i="4"/>
  <c r="B172" i="4"/>
  <c r="C160" i="4"/>
  <c r="B160" i="4"/>
  <c r="C148" i="4"/>
  <c r="H148" i="4" s="1"/>
  <c r="B148" i="4"/>
  <c r="C136" i="4"/>
  <c r="B136" i="4"/>
  <c r="C124" i="4"/>
  <c r="F124" i="4" s="1"/>
  <c r="B124" i="4"/>
  <c r="C112" i="4"/>
  <c r="B112" i="4"/>
  <c r="C100" i="4"/>
  <c r="B100" i="4"/>
  <c r="C88" i="4"/>
  <c r="B88" i="4"/>
  <c r="D76" i="4"/>
  <c r="B76" i="4"/>
  <c r="D64" i="4"/>
  <c r="B64" i="4"/>
  <c r="D52" i="4"/>
  <c r="B52" i="4"/>
  <c r="D40" i="4"/>
  <c r="B40" i="4"/>
  <c r="D28" i="4"/>
  <c r="B28" i="4"/>
  <c r="D16" i="4"/>
  <c r="B16" i="4"/>
  <c r="D821" i="4"/>
  <c r="B821" i="4"/>
  <c r="D761" i="4"/>
  <c r="B761" i="4"/>
  <c r="D713" i="4"/>
  <c r="B713" i="4"/>
  <c r="D677" i="4"/>
  <c r="B677" i="4"/>
  <c r="E641" i="4"/>
  <c r="B641" i="4"/>
  <c r="D605" i="4"/>
  <c r="B605" i="4"/>
  <c r="E545" i="4"/>
  <c r="B545" i="4"/>
  <c r="E497" i="4"/>
  <c r="B497" i="4"/>
  <c r="D473" i="4"/>
  <c r="B473" i="4"/>
  <c r="D425" i="4"/>
  <c r="B425" i="4"/>
  <c r="D389" i="4"/>
  <c r="B389" i="4"/>
  <c r="D365" i="4"/>
  <c r="B365" i="4"/>
  <c r="D341" i="4"/>
  <c r="B341" i="4"/>
  <c r="D317" i="4"/>
  <c r="B317" i="4"/>
  <c r="D293" i="4"/>
  <c r="B293" i="4"/>
  <c r="D269" i="4"/>
  <c r="B269" i="4"/>
  <c r="D245" i="4"/>
  <c r="B245" i="4"/>
  <c r="D209" i="4"/>
  <c r="B209" i="4"/>
  <c r="D185" i="4"/>
  <c r="B185" i="4"/>
  <c r="E161" i="4"/>
  <c r="B161" i="4"/>
  <c r="D125" i="4"/>
  <c r="B125" i="4"/>
  <c r="D101" i="4"/>
  <c r="B101" i="4"/>
  <c r="D77" i="4"/>
  <c r="B77" i="4"/>
  <c r="D41" i="4"/>
  <c r="B41" i="4"/>
  <c r="E17" i="4"/>
  <c r="B17" i="4"/>
  <c r="C999" i="4"/>
  <c r="B999" i="4"/>
  <c r="C987" i="4"/>
  <c r="J987" i="4" s="1"/>
  <c r="B987" i="4"/>
  <c r="C975" i="4"/>
  <c r="B975" i="4"/>
  <c r="C963" i="4"/>
  <c r="B963" i="4"/>
  <c r="C951" i="4"/>
  <c r="B951" i="4"/>
  <c r="C939" i="4"/>
  <c r="P939" i="4" s="1"/>
  <c r="B939" i="4"/>
  <c r="C927" i="4"/>
  <c r="B927" i="4"/>
  <c r="C915" i="4"/>
  <c r="N915" i="4" s="1"/>
  <c r="B915" i="4"/>
  <c r="C903" i="4"/>
  <c r="B903" i="4"/>
  <c r="C891" i="4"/>
  <c r="B891" i="4"/>
  <c r="C879" i="4"/>
  <c r="B879" i="4"/>
  <c r="C867" i="4"/>
  <c r="I867" i="4" s="1"/>
  <c r="B867" i="4"/>
  <c r="C855" i="4"/>
  <c r="B855" i="4"/>
  <c r="C843" i="4"/>
  <c r="K843" i="4" s="1"/>
  <c r="B843" i="4"/>
  <c r="C831" i="4"/>
  <c r="B831" i="4"/>
  <c r="C819" i="4"/>
  <c r="B819" i="4"/>
  <c r="C807" i="4"/>
  <c r="B807" i="4"/>
  <c r="C795" i="4"/>
  <c r="M795" i="4" s="1"/>
  <c r="B795" i="4"/>
  <c r="C783" i="4"/>
  <c r="B783" i="4"/>
  <c r="C771" i="4"/>
  <c r="B771" i="4"/>
  <c r="C759" i="4"/>
  <c r="B759" i="4"/>
  <c r="C747" i="4"/>
  <c r="B747" i="4"/>
  <c r="C735" i="4"/>
  <c r="B735" i="4"/>
  <c r="C723" i="4"/>
  <c r="P723" i="4" s="1"/>
  <c r="B723" i="4"/>
  <c r="C711" i="4"/>
  <c r="B711" i="4"/>
  <c r="C699" i="4"/>
  <c r="O699" i="4" s="1"/>
  <c r="B699" i="4"/>
  <c r="C687" i="4"/>
  <c r="B687" i="4"/>
  <c r="C675" i="4"/>
  <c r="B675" i="4"/>
  <c r="C663" i="4"/>
  <c r="B663" i="4"/>
  <c r="D651" i="4"/>
  <c r="B651" i="4"/>
  <c r="D639" i="4"/>
  <c r="B639" i="4"/>
  <c r="D627" i="4"/>
  <c r="B627" i="4"/>
  <c r="D615" i="4"/>
  <c r="B615" i="4"/>
  <c r="D603" i="4"/>
  <c r="B603" i="4"/>
  <c r="D591" i="4"/>
  <c r="B591" i="4"/>
  <c r="D579" i="4"/>
  <c r="B579" i="4"/>
  <c r="D567" i="4"/>
  <c r="B567" i="4"/>
  <c r="D555" i="4"/>
  <c r="B555" i="4"/>
  <c r="D543" i="4"/>
  <c r="B543" i="4"/>
  <c r="D531" i="4"/>
  <c r="B531" i="4"/>
  <c r="D519" i="4"/>
  <c r="B519" i="4"/>
  <c r="D507" i="4"/>
  <c r="B507" i="4"/>
  <c r="D495" i="4"/>
  <c r="B495" i="4"/>
  <c r="D483" i="4"/>
  <c r="B483" i="4"/>
  <c r="D471" i="4"/>
  <c r="B471" i="4"/>
  <c r="D459" i="4"/>
  <c r="B459" i="4"/>
  <c r="D447" i="4"/>
  <c r="B447" i="4"/>
  <c r="D435" i="4"/>
  <c r="B435" i="4"/>
  <c r="D423" i="4"/>
  <c r="B423" i="4"/>
  <c r="D411" i="4"/>
  <c r="B411" i="4"/>
  <c r="D399" i="4"/>
  <c r="B399" i="4"/>
  <c r="D387" i="4"/>
  <c r="B387" i="4"/>
  <c r="D375" i="4"/>
  <c r="B375" i="4"/>
  <c r="D363" i="4"/>
  <c r="B363" i="4"/>
  <c r="D351" i="4"/>
  <c r="B351" i="4"/>
  <c r="D339" i="4"/>
  <c r="B339" i="4"/>
  <c r="D327" i="4"/>
  <c r="B327" i="4"/>
  <c r="D315" i="4"/>
  <c r="B315" i="4"/>
  <c r="D303" i="4"/>
  <c r="B303" i="4"/>
  <c r="D291" i="4"/>
  <c r="B291" i="4"/>
  <c r="D279" i="4"/>
  <c r="B279" i="4"/>
  <c r="D267" i="4"/>
  <c r="B267" i="4"/>
  <c r="D255" i="4"/>
  <c r="B255" i="4"/>
  <c r="D243" i="4"/>
  <c r="B243" i="4"/>
  <c r="D231" i="4"/>
  <c r="B231" i="4"/>
  <c r="D219" i="4"/>
  <c r="B219" i="4"/>
  <c r="D207" i="4"/>
  <c r="B207" i="4"/>
  <c r="D195" i="4"/>
  <c r="B195" i="4"/>
  <c r="D183" i="4"/>
  <c r="B183" i="4"/>
  <c r="D171" i="4"/>
  <c r="B171" i="4"/>
  <c r="D159" i="4"/>
  <c r="B159" i="4"/>
  <c r="D147" i="4"/>
  <c r="B147" i="4"/>
  <c r="D135" i="4"/>
  <c r="B135" i="4"/>
  <c r="D123" i="4"/>
  <c r="B123" i="4"/>
  <c r="D111" i="4"/>
  <c r="B111" i="4"/>
  <c r="D99" i="4"/>
  <c r="B99" i="4"/>
  <c r="D87" i="4"/>
  <c r="B87" i="4"/>
  <c r="C75" i="4"/>
  <c r="J75" i="4" s="1"/>
  <c r="B75" i="4"/>
  <c r="D63" i="4"/>
  <c r="B63" i="4"/>
  <c r="D51" i="4"/>
  <c r="B51" i="4"/>
  <c r="D39" i="4"/>
  <c r="B39" i="4"/>
  <c r="D27" i="4"/>
  <c r="B27" i="4"/>
  <c r="D15" i="4"/>
  <c r="B15" i="4"/>
  <c r="C707" i="4"/>
  <c r="P707" i="4" s="1"/>
  <c r="B707" i="4"/>
  <c r="C635" i="4"/>
  <c r="B635" i="4"/>
  <c r="C563" i="4"/>
  <c r="J563" i="4" s="1"/>
  <c r="B563" i="4"/>
  <c r="D503" i="4"/>
  <c r="B503" i="4"/>
  <c r="D443" i="4"/>
  <c r="B443" i="4"/>
  <c r="D395" i="4"/>
  <c r="B395" i="4"/>
  <c r="D323" i="4"/>
  <c r="B323" i="4"/>
  <c r="D251" i="4"/>
  <c r="B251" i="4"/>
  <c r="D179" i="4"/>
  <c r="B179" i="4"/>
  <c r="D107" i="4"/>
  <c r="B107" i="4"/>
  <c r="C35" i="4"/>
  <c r="B35" i="4"/>
  <c r="C970" i="4"/>
  <c r="B970" i="4"/>
  <c r="C910" i="4"/>
  <c r="J910" i="4" s="1"/>
  <c r="B910" i="4"/>
  <c r="C838" i="4"/>
  <c r="B838" i="4"/>
  <c r="D802" i="4"/>
  <c r="B802" i="4"/>
  <c r="D754" i="4"/>
  <c r="B754" i="4"/>
  <c r="D682" i="4"/>
  <c r="B682" i="4"/>
  <c r="D646" i="4"/>
  <c r="B646" i="4"/>
  <c r="D598" i="4"/>
  <c r="B598" i="4"/>
  <c r="D550" i="4"/>
  <c r="B550" i="4"/>
  <c r="D502" i="4"/>
  <c r="B502" i="4"/>
  <c r="D418" i="4"/>
  <c r="B418" i="4"/>
  <c r="D346" i="4"/>
  <c r="B346" i="4"/>
  <c r="D274" i="4"/>
  <c r="B274" i="4"/>
  <c r="D226" i="4"/>
  <c r="B226" i="4"/>
  <c r="D166" i="4"/>
  <c r="B166" i="4"/>
  <c r="D118" i="4"/>
  <c r="B118" i="4"/>
  <c r="D82" i="4"/>
  <c r="B82" i="4"/>
  <c r="D34" i="4"/>
  <c r="B34" i="4"/>
  <c r="D993" i="4"/>
  <c r="B993" i="4"/>
  <c r="D933" i="4"/>
  <c r="B933" i="4"/>
  <c r="D861" i="4"/>
  <c r="B861" i="4"/>
  <c r="D801" i="4"/>
  <c r="B801" i="4"/>
  <c r="D729" i="4"/>
  <c r="B729" i="4"/>
  <c r="D645" i="4"/>
  <c r="B645" i="4"/>
  <c r="C823" i="4"/>
  <c r="B823" i="4"/>
  <c r="C763" i="4"/>
  <c r="J763" i="4" s="1"/>
  <c r="B763" i="4"/>
  <c r="D362" i="4"/>
  <c r="B362" i="4"/>
  <c r="D350" i="4"/>
  <c r="B350" i="4"/>
  <c r="D338" i="4"/>
  <c r="B338" i="4"/>
  <c r="D326" i="4"/>
  <c r="B326" i="4"/>
  <c r="D314" i="4"/>
  <c r="B314" i="4"/>
  <c r="D302" i="4"/>
  <c r="B302" i="4"/>
  <c r="D290" i="4"/>
  <c r="B290" i="4"/>
  <c r="D278" i="4"/>
  <c r="B278" i="4"/>
  <c r="D266" i="4"/>
  <c r="B266" i="4"/>
  <c r="D254" i="4"/>
  <c r="B254" i="4"/>
  <c r="D242" i="4"/>
  <c r="B242" i="4"/>
  <c r="D230" i="4"/>
  <c r="B230" i="4"/>
  <c r="D218" i="4"/>
  <c r="B218" i="4"/>
  <c r="D206" i="4"/>
  <c r="B206" i="4"/>
  <c r="D194" i="4"/>
  <c r="B194" i="4"/>
  <c r="D182" i="4"/>
  <c r="B182" i="4"/>
  <c r="D170" i="4"/>
  <c r="B170" i="4"/>
  <c r="D158" i="4"/>
  <c r="B158" i="4"/>
  <c r="D146" i="4"/>
  <c r="B146" i="4"/>
  <c r="D134" i="4"/>
  <c r="B134" i="4"/>
  <c r="D122" i="4"/>
  <c r="B122" i="4"/>
  <c r="D110" i="4"/>
  <c r="B110" i="4"/>
  <c r="D98" i="4"/>
  <c r="B98" i="4"/>
  <c r="D86" i="4"/>
  <c r="B86" i="4"/>
  <c r="D74" i="4"/>
  <c r="B74" i="4"/>
  <c r="D62" i="4"/>
  <c r="B62" i="4"/>
  <c r="D50" i="4"/>
  <c r="B50" i="4"/>
  <c r="D38" i="4"/>
  <c r="B38" i="4"/>
  <c r="D26" i="4"/>
  <c r="B26" i="4"/>
  <c r="D14" i="4"/>
  <c r="B14" i="4"/>
  <c r="C971" i="4"/>
  <c r="B971" i="4"/>
  <c r="C923" i="4"/>
  <c r="F923" i="4" s="1"/>
  <c r="B923" i="4"/>
  <c r="C863" i="4"/>
  <c r="B863" i="4"/>
  <c r="C803" i="4"/>
  <c r="B803" i="4"/>
  <c r="C767" i="4"/>
  <c r="B767" i="4"/>
  <c r="C695" i="4"/>
  <c r="F695" i="4" s="1"/>
  <c r="B695" i="4"/>
  <c r="C647" i="4"/>
  <c r="B647" i="4"/>
  <c r="C575" i="4"/>
  <c r="H575" i="4" s="1"/>
  <c r="B575" i="4"/>
  <c r="D515" i="4"/>
  <c r="B515" i="4"/>
  <c r="D455" i="4"/>
  <c r="B455" i="4"/>
  <c r="D383" i="4"/>
  <c r="B383" i="4"/>
  <c r="D335" i="4"/>
  <c r="B335" i="4"/>
  <c r="D275" i="4"/>
  <c r="B275" i="4"/>
  <c r="D203" i="4"/>
  <c r="B203" i="4"/>
  <c r="D131" i="4"/>
  <c r="B131" i="4"/>
  <c r="D83" i="4"/>
  <c r="B83" i="4"/>
  <c r="D11" i="4"/>
  <c r="B11" i="4"/>
  <c r="C982" i="4"/>
  <c r="P982" i="4" s="1"/>
  <c r="B982" i="4"/>
  <c r="C922" i="4"/>
  <c r="B922" i="4"/>
  <c r="C886" i="4"/>
  <c r="K886" i="4" s="1"/>
  <c r="B886" i="4"/>
  <c r="D814" i="4"/>
  <c r="B814" i="4"/>
  <c r="D718" i="4"/>
  <c r="B718" i="4"/>
  <c r="D658" i="4"/>
  <c r="B658" i="4"/>
  <c r="D586" i="4"/>
  <c r="B586" i="4"/>
  <c r="D538" i="4"/>
  <c r="B538" i="4"/>
  <c r="D478" i="4"/>
  <c r="B478" i="4"/>
  <c r="D406" i="4"/>
  <c r="B406" i="4"/>
  <c r="D358" i="4"/>
  <c r="B358" i="4"/>
  <c r="D310" i="4"/>
  <c r="B310" i="4"/>
  <c r="D238" i="4"/>
  <c r="B238" i="4"/>
  <c r="D202" i="4"/>
  <c r="B202" i="4"/>
  <c r="D142" i="4"/>
  <c r="B142" i="4"/>
  <c r="D106" i="4"/>
  <c r="B106" i="4"/>
  <c r="D46" i="4"/>
  <c r="B46" i="4"/>
  <c r="D969" i="4"/>
  <c r="B969" i="4"/>
  <c r="D909" i="4"/>
  <c r="B909" i="4"/>
  <c r="D837" i="4"/>
  <c r="B837" i="4"/>
  <c r="D765" i="4"/>
  <c r="B765" i="4"/>
  <c r="D705" i="4"/>
  <c r="B705" i="4"/>
  <c r="D633" i="4"/>
  <c r="B633" i="4"/>
  <c r="D585" i="4"/>
  <c r="B585" i="4"/>
  <c r="C979" i="4"/>
  <c r="J979" i="4" s="1"/>
  <c r="B979" i="4"/>
  <c r="C919" i="4"/>
  <c r="B919" i="4"/>
  <c r="C859" i="4"/>
  <c r="M859" i="4" s="1"/>
  <c r="B859" i="4"/>
  <c r="C811" i="4"/>
  <c r="B811" i="4"/>
  <c r="C751" i="4"/>
  <c r="B751" i="4"/>
  <c r="C703" i="4"/>
  <c r="B703" i="4"/>
  <c r="D655" i="4"/>
  <c r="B655" i="4"/>
  <c r="D607" i="4"/>
  <c r="B607" i="4"/>
  <c r="D571" i="4"/>
  <c r="B571" i="4"/>
  <c r="D523" i="4"/>
  <c r="B523" i="4"/>
  <c r="D463" i="4"/>
  <c r="B463" i="4"/>
  <c r="D1001" i="4"/>
  <c r="B1001" i="4"/>
  <c r="D953" i="4"/>
  <c r="B953" i="4"/>
  <c r="D773" i="4"/>
  <c r="B773" i="4"/>
  <c r="D569" i="4"/>
  <c r="B569" i="4"/>
  <c r="D533" i="4"/>
  <c r="B533" i="4"/>
  <c r="E449" i="4"/>
  <c r="B449" i="4"/>
  <c r="C998" i="4"/>
  <c r="B998" i="4"/>
  <c r="C962" i="4"/>
  <c r="J962" i="4" s="1"/>
  <c r="B962" i="4"/>
  <c r="C938" i="4"/>
  <c r="B938" i="4"/>
  <c r="C926" i="4"/>
  <c r="N926" i="4" s="1"/>
  <c r="B926" i="4"/>
  <c r="C902" i="4"/>
  <c r="B902" i="4"/>
  <c r="C878" i="4"/>
  <c r="B878" i="4"/>
  <c r="C854" i="4"/>
  <c r="B854" i="4"/>
  <c r="C830" i="4"/>
  <c r="P830" i="4" s="1"/>
  <c r="B830" i="4"/>
  <c r="C806" i="4"/>
  <c r="B806" i="4"/>
  <c r="C782" i="4"/>
  <c r="H782" i="4" s="1"/>
  <c r="B782" i="4"/>
  <c r="C770" i="4"/>
  <c r="B770" i="4"/>
  <c r="C746" i="4"/>
  <c r="B746" i="4"/>
  <c r="C734" i="4"/>
  <c r="B734" i="4"/>
  <c r="C722" i="4"/>
  <c r="P722" i="4" s="1"/>
  <c r="B722" i="4"/>
  <c r="C698" i="4"/>
  <c r="K698" i="4" s="1"/>
  <c r="B698" i="4"/>
  <c r="C686" i="4"/>
  <c r="J686" i="4" s="1"/>
  <c r="B686" i="4"/>
  <c r="C662" i="4"/>
  <c r="B662" i="4"/>
  <c r="D638" i="4"/>
  <c r="B638" i="4"/>
  <c r="D626" i="4"/>
  <c r="B626" i="4"/>
  <c r="D602" i="4"/>
  <c r="B602" i="4"/>
  <c r="D578" i="4"/>
  <c r="B578" i="4"/>
  <c r="D554" i="4"/>
  <c r="B554" i="4"/>
  <c r="D530" i="4"/>
  <c r="B530" i="4"/>
  <c r="D506" i="4"/>
  <c r="B506" i="4"/>
  <c r="D482" i="4"/>
  <c r="B482" i="4"/>
  <c r="D458" i="4"/>
  <c r="B458" i="4"/>
  <c r="D434" i="4"/>
  <c r="B434" i="4"/>
  <c r="D422" i="4"/>
  <c r="B422" i="4"/>
  <c r="D386" i="4"/>
  <c r="B386" i="4"/>
  <c r="C997" i="4"/>
  <c r="B997" i="4"/>
  <c r="C973" i="4"/>
  <c r="B973" i="4"/>
  <c r="C949" i="4"/>
  <c r="J949" i="4" s="1"/>
  <c r="B949" i="4"/>
  <c r="C925" i="4"/>
  <c r="B925" i="4"/>
  <c r="C901" i="4"/>
  <c r="J901" i="4" s="1"/>
  <c r="B901" i="4"/>
  <c r="C865" i="4"/>
  <c r="B865" i="4"/>
  <c r="C841" i="4"/>
  <c r="B841" i="4"/>
  <c r="C817" i="4"/>
  <c r="B817" i="4"/>
  <c r="C793" i="4"/>
  <c r="N793" i="4" s="1"/>
  <c r="B793" i="4"/>
  <c r="C769" i="4"/>
  <c r="B769" i="4"/>
  <c r="C757" i="4"/>
  <c r="G757" i="4" s="1"/>
  <c r="B757" i="4"/>
  <c r="C745" i="4"/>
  <c r="B745" i="4"/>
  <c r="C733" i="4"/>
  <c r="B733" i="4"/>
  <c r="C721" i="4"/>
  <c r="B721" i="4"/>
  <c r="C709" i="4"/>
  <c r="P709" i="4" s="1"/>
  <c r="B709" i="4"/>
  <c r="C697" i="4"/>
  <c r="B697" i="4"/>
  <c r="C685" i="4"/>
  <c r="M685" i="4" s="1"/>
  <c r="B685" i="4"/>
  <c r="C673" i="4"/>
  <c r="B673" i="4"/>
  <c r="C661" i="4"/>
  <c r="B661" i="4"/>
  <c r="C649" i="4"/>
  <c r="B649" i="4"/>
  <c r="C637" i="4"/>
  <c r="G637" i="4" s="1"/>
  <c r="B637" i="4"/>
  <c r="C625" i="4"/>
  <c r="O625" i="4" s="1"/>
  <c r="B625" i="4"/>
  <c r="C613" i="4"/>
  <c r="I613" i="4" s="1"/>
  <c r="B613" i="4"/>
  <c r="C601" i="4"/>
  <c r="B601" i="4"/>
  <c r="C589" i="4"/>
  <c r="B589" i="4"/>
  <c r="C577" i="4"/>
  <c r="B577" i="4"/>
  <c r="C565" i="4"/>
  <c r="P565" i="4" s="1"/>
  <c r="B565" i="4"/>
  <c r="C553" i="4"/>
  <c r="B553" i="4"/>
  <c r="C541" i="4"/>
  <c r="H541" i="4" s="1"/>
  <c r="B541" i="4"/>
  <c r="C529" i="4"/>
  <c r="B529" i="4"/>
  <c r="D517" i="4"/>
  <c r="B517" i="4"/>
  <c r="D505" i="4"/>
  <c r="B505" i="4"/>
  <c r="D493" i="4"/>
  <c r="B493" i="4"/>
  <c r="D481" i="4"/>
  <c r="B481" i="4"/>
  <c r="D469" i="4"/>
  <c r="B469" i="4"/>
  <c r="D457" i="4"/>
  <c r="B457" i="4"/>
  <c r="D445" i="4"/>
  <c r="B445" i="4"/>
  <c r="D433" i="4"/>
  <c r="B433" i="4"/>
  <c r="D421" i="4"/>
  <c r="B421" i="4"/>
  <c r="D409" i="4"/>
  <c r="B409" i="4"/>
  <c r="D397" i="4"/>
  <c r="B397" i="4"/>
  <c r="D385" i="4"/>
  <c r="B385" i="4"/>
  <c r="D373" i="4"/>
  <c r="B373" i="4"/>
  <c r="D361" i="4"/>
  <c r="B361" i="4"/>
  <c r="D349" i="4"/>
  <c r="B349" i="4"/>
  <c r="D337" i="4"/>
  <c r="B337" i="4"/>
  <c r="D325" i="4"/>
  <c r="B325" i="4"/>
  <c r="D313" i="4"/>
  <c r="B313" i="4"/>
  <c r="D301" i="4"/>
  <c r="B301" i="4"/>
  <c r="D289" i="4"/>
  <c r="B289" i="4"/>
  <c r="D277" i="4"/>
  <c r="B277" i="4"/>
  <c r="D265" i="4"/>
  <c r="B265" i="4"/>
  <c r="D253" i="4"/>
  <c r="B253" i="4"/>
  <c r="D241" i="4"/>
  <c r="B241" i="4"/>
  <c r="D229" i="4"/>
  <c r="B229" i="4"/>
  <c r="D217" i="4"/>
  <c r="B217" i="4"/>
  <c r="D205" i="4"/>
  <c r="B205" i="4"/>
  <c r="D193" i="4"/>
  <c r="B193" i="4"/>
  <c r="D181" i="4"/>
  <c r="B181" i="4"/>
  <c r="D169" i="4"/>
  <c r="B169" i="4"/>
  <c r="D157" i="4"/>
  <c r="B157" i="4"/>
  <c r="D145" i="4"/>
  <c r="B145" i="4"/>
  <c r="D133" i="4"/>
  <c r="B133" i="4"/>
  <c r="D121" i="4"/>
  <c r="B121" i="4"/>
  <c r="D109" i="4"/>
  <c r="B109" i="4"/>
  <c r="D97" i="4"/>
  <c r="B97" i="4"/>
  <c r="D85" i="4"/>
  <c r="B85" i="4"/>
  <c r="D73" i="4"/>
  <c r="B73" i="4"/>
  <c r="C61" i="4"/>
  <c r="O61" i="4" s="1"/>
  <c r="B61" i="4"/>
  <c r="D49" i="4"/>
  <c r="B49" i="4"/>
  <c r="D37" i="4"/>
  <c r="B37" i="4"/>
  <c r="D25" i="4"/>
  <c r="B25" i="4"/>
  <c r="D13" i="4"/>
  <c r="B13" i="4"/>
  <c r="C959" i="4"/>
  <c r="B959" i="4"/>
  <c r="C899" i="4"/>
  <c r="J899" i="4" s="1"/>
  <c r="B899" i="4"/>
  <c r="C839" i="4"/>
  <c r="O839" i="4" s="1"/>
  <c r="B839" i="4"/>
  <c r="C779" i="4"/>
  <c r="K779" i="4" s="1"/>
  <c r="B779" i="4"/>
  <c r="C731" i="4"/>
  <c r="B731" i="4"/>
  <c r="C659" i="4"/>
  <c r="B659" i="4"/>
  <c r="C599" i="4"/>
  <c r="N599" i="4" s="1"/>
  <c r="B599" i="4"/>
  <c r="C539" i="4"/>
  <c r="J539" i="4" s="1"/>
  <c r="B539" i="4"/>
  <c r="D479" i="4"/>
  <c r="B479" i="4"/>
  <c r="D419" i="4"/>
  <c r="B419" i="4"/>
  <c r="D347" i="4"/>
  <c r="B347" i="4"/>
  <c r="D263" i="4"/>
  <c r="B263" i="4"/>
  <c r="D191" i="4"/>
  <c r="B191" i="4"/>
  <c r="D119" i="4"/>
  <c r="B119" i="4"/>
  <c r="D59" i="4"/>
  <c r="B59" i="4"/>
  <c r="C1006" i="4"/>
  <c r="I1006" i="4" s="1"/>
  <c r="B1006" i="4"/>
  <c r="C934" i="4"/>
  <c r="B934" i="4"/>
  <c r="C850" i="4"/>
  <c r="B850" i="4"/>
  <c r="D790" i="4"/>
  <c r="B790" i="4"/>
  <c r="D742" i="4"/>
  <c r="B742" i="4"/>
  <c r="D694" i="4"/>
  <c r="B694" i="4"/>
  <c r="D610" i="4"/>
  <c r="B610" i="4"/>
  <c r="D562" i="4"/>
  <c r="B562" i="4"/>
  <c r="D490" i="4"/>
  <c r="B490" i="4"/>
  <c r="D430" i="4"/>
  <c r="B430" i="4"/>
  <c r="D370" i="4"/>
  <c r="B370" i="4"/>
  <c r="D322" i="4"/>
  <c r="B322" i="4"/>
  <c r="D286" i="4"/>
  <c r="B286" i="4"/>
  <c r="D250" i="4"/>
  <c r="B250" i="4"/>
  <c r="D214" i="4"/>
  <c r="B214" i="4"/>
  <c r="D154" i="4"/>
  <c r="B154" i="4"/>
  <c r="D130" i="4"/>
  <c r="B130" i="4"/>
  <c r="D94" i="4"/>
  <c r="B94" i="4"/>
  <c r="D70" i="4"/>
  <c r="B70" i="4"/>
  <c r="D1005" i="4"/>
  <c r="B1005" i="4"/>
  <c r="D921" i="4"/>
  <c r="B921" i="4"/>
  <c r="D849" i="4"/>
  <c r="B849" i="4"/>
  <c r="D813" i="4"/>
  <c r="B813" i="4"/>
  <c r="D741" i="4"/>
  <c r="B741" i="4"/>
  <c r="D669" i="4"/>
  <c r="B669" i="4"/>
  <c r="D621" i="4"/>
  <c r="B621" i="4"/>
  <c r="D537" i="4"/>
  <c r="B537" i="4"/>
  <c r="C967" i="4"/>
  <c r="B967" i="4"/>
  <c r="C931" i="4"/>
  <c r="I931" i="4" s="1"/>
  <c r="B931" i="4"/>
  <c r="C883" i="4"/>
  <c r="B883" i="4"/>
  <c r="C835" i="4"/>
  <c r="I835" i="4" s="1"/>
  <c r="B835" i="4"/>
  <c r="C787" i="4"/>
  <c r="B787" i="4"/>
  <c r="C739" i="4"/>
  <c r="B739" i="4"/>
  <c r="C691" i="4"/>
  <c r="B691" i="4"/>
  <c r="D643" i="4"/>
  <c r="B643" i="4"/>
  <c r="D595" i="4"/>
  <c r="B595" i="4"/>
  <c r="D547" i="4"/>
  <c r="B547" i="4"/>
  <c r="D499" i="4"/>
  <c r="B499" i="4"/>
  <c r="D439" i="4"/>
  <c r="B439" i="4"/>
  <c r="D977" i="4"/>
  <c r="B977" i="4"/>
  <c r="E929" i="4"/>
  <c r="B929" i="4"/>
  <c r="D917" i="4"/>
  <c r="B917" i="4"/>
  <c r="D893" i="4"/>
  <c r="B893" i="4"/>
  <c r="D869" i="4"/>
  <c r="B869" i="4"/>
  <c r="D845" i="4"/>
  <c r="B845" i="4"/>
  <c r="D809" i="4"/>
  <c r="B809" i="4"/>
  <c r="E785" i="4"/>
  <c r="B785" i="4"/>
  <c r="E737" i="4"/>
  <c r="B737" i="4"/>
  <c r="D701" i="4"/>
  <c r="B701" i="4"/>
  <c r="D653" i="4"/>
  <c r="B653" i="4"/>
  <c r="D617" i="4"/>
  <c r="B617" i="4"/>
  <c r="D581" i="4"/>
  <c r="B581" i="4"/>
  <c r="D521" i="4"/>
  <c r="B521" i="4"/>
  <c r="D437" i="4"/>
  <c r="B437" i="4"/>
  <c r="C986" i="4"/>
  <c r="G986" i="4" s="1"/>
  <c r="B986" i="4"/>
  <c r="C974" i="4"/>
  <c r="B974" i="4"/>
  <c r="C950" i="4"/>
  <c r="B950" i="4"/>
  <c r="C914" i="4"/>
  <c r="B914" i="4"/>
  <c r="C890" i="4"/>
  <c r="N890" i="4" s="1"/>
  <c r="B890" i="4"/>
  <c r="C866" i="4"/>
  <c r="B866" i="4"/>
  <c r="C842" i="4"/>
  <c r="K842" i="4" s="1"/>
  <c r="B842" i="4"/>
  <c r="C818" i="4"/>
  <c r="B818" i="4"/>
  <c r="C794" i="4"/>
  <c r="B794" i="4"/>
  <c r="C758" i="4"/>
  <c r="B758" i="4"/>
  <c r="C710" i="4"/>
  <c r="F710" i="4" s="1"/>
  <c r="B710" i="4"/>
  <c r="C674" i="4"/>
  <c r="B674" i="4"/>
  <c r="D650" i="4"/>
  <c r="B650" i="4"/>
  <c r="D614" i="4"/>
  <c r="B614" i="4"/>
  <c r="D590" i="4"/>
  <c r="B590" i="4"/>
  <c r="D566" i="4"/>
  <c r="B566" i="4"/>
  <c r="D542" i="4"/>
  <c r="B542" i="4"/>
  <c r="D518" i="4"/>
  <c r="B518" i="4"/>
  <c r="D494" i="4"/>
  <c r="B494" i="4"/>
  <c r="D470" i="4"/>
  <c r="B470" i="4"/>
  <c r="D446" i="4"/>
  <c r="B446" i="4"/>
  <c r="D410" i="4"/>
  <c r="B410" i="4"/>
  <c r="D398" i="4"/>
  <c r="B398" i="4"/>
  <c r="D374" i="4"/>
  <c r="B374" i="4"/>
  <c r="C985" i="4"/>
  <c r="M985" i="4" s="1"/>
  <c r="B985" i="4"/>
  <c r="C961" i="4"/>
  <c r="B961" i="4"/>
  <c r="C937" i="4"/>
  <c r="L937" i="4" s="1"/>
  <c r="B937" i="4"/>
  <c r="C913" i="4"/>
  <c r="B913" i="4"/>
  <c r="C889" i="4"/>
  <c r="I889" i="4" s="1"/>
  <c r="B889" i="4"/>
  <c r="C877" i="4"/>
  <c r="P877" i="4" s="1"/>
  <c r="B877" i="4"/>
  <c r="C853" i="4"/>
  <c r="I853" i="4" s="1"/>
  <c r="B853" i="4"/>
  <c r="C829" i="4"/>
  <c r="B829" i="4"/>
  <c r="C805" i="4"/>
  <c r="B805" i="4"/>
  <c r="C781" i="4"/>
  <c r="B781" i="4"/>
  <c r="C1008" i="4"/>
  <c r="J1008" i="4" s="1"/>
  <c r="B1008" i="4"/>
  <c r="C996" i="4"/>
  <c r="B996" i="4"/>
  <c r="C984" i="4"/>
  <c r="M984" i="4" s="1"/>
  <c r="B984" i="4"/>
  <c r="C972" i="4"/>
  <c r="O972" i="4" s="1"/>
  <c r="B972" i="4"/>
  <c r="C960" i="4"/>
  <c r="M960" i="4" s="1"/>
  <c r="B960" i="4"/>
  <c r="C948" i="4"/>
  <c r="P948" i="4" s="1"/>
  <c r="B948" i="4"/>
  <c r="D936" i="4"/>
  <c r="B936" i="4"/>
  <c r="D924" i="4"/>
  <c r="B924" i="4"/>
  <c r="D912" i="4"/>
  <c r="B912" i="4"/>
  <c r="D900" i="4"/>
  <c r="B900" i="4"/>
  <c r="D888" i="4"/>
  <c r="B888" i="4"/>
  <c r="D876" i="4"/>
  <c r="B876" i="4"/>
  <c r="D864" i="4"/>
  <c r="B864" i="4"/>
  <c r="D852" i="4"/>
  <c r="B852" i="4"/>
  <c r="D840" i="4"/>
  <c r="B840" i="4"/>
  <c r="D828" i="4"/>
  <c r="B828" i="4"/>
  <c r="D816" i="4"/>
  <c r="B816" i="4"/>
  <c r="D804" i="4"/>
  <c r="B804" i="4"/>
  <c r="D792" i="4"/>
  <c r="B792" i="4"/>
  <c r="D780" i="4"/>
  <c r="B780" i="4"/>
  <c r="D768" i="4"/>
  <c r="B768" i="4"/>
  <c r="D756" i="4"/>
  <c r="B756" i="4"/>
  <c r="D744" i="4"/>
  <c r="B744" i="4"/>
  <c r="D732" i="4"/>
  <c r="B732" i="4"/>
  <c r="D720" i="4"/>
  <c r="B720" i="4"/>
  <c r="D708" i="4"/>
  <c r="B708" i="4"/>
  <c r="D696" i="4"/>
  <c r="B696" i="4"/>
  <c r="D684" i="4"/>
  <c r="B684" i="4"/>
  <c r="D672" i="4"/>
  <c r="B672" i="4"/>
  <c r="D660" i="4"/>
  <c r="B660" i="4"/>
  <c r="D648" i="4"/>
  <c r="B648" i="4"/>
  <c r="D636" i="4"/>
  <c r="B636" i="4"/>
  <c r="D624" i="4"/>
  <c r="B624" i="4"/>
  <c r="D612" i="4"/>
  <c r="B612" i="4"/>
  <c r="D600" i="4"/>
  <c r="B600" i="4"/>
  <c r="D588" i="4"/>
  <c r="B588" i="4"/>
  <c r="D576" i="4"/>
  <c r="B576" i="4"/>
  <c r="D564" i="4"/>
  <c r="B564" i="4"/>
  <c r="D552" i="4"/>
  <c r="B552" i="4"/>
  <c r="D540" i="4"/>
  <c r="B540" i="4"/>
  <c r="D528" i="4"/>
  <c r="B528" i="4"/>
  <c r="D516" i="4"/>
  <c r="B516" i="4"/>
  <c r="D504" i="4"/>
  <c r="B504" i="4"/>
  <c r="D492" i="4"/>
  <c r="B492" i="4"/>
  <c r="D480" i="4"/>
  <c r="B480" i="4"/>
  <c r="D468" i="4"/>
  <c r="B468" i="4"/>
  <c r="D456" i="4"/>
  <c r="B456" i="4"/>
  <c r="D444" i="4"/>
  <c r="B444" i="4"/>
  <c r="D432" i="4"/>
  <c r="B432" i="4"/>
  <c r="D420" i="4"/>
  <c r="B420" i="4"/>
  <c r="D408" i="4"/>
  <c r="B408" i="4"/>
  <c r="D396" i="4"/>
  <c r="B396" i="4"/>
  <c r="D384" i="4"/>
  <c r="B384" i="4"/>
  <c r="D372" i="4"/>
  <c r="B372" i="4"/>
  <c r="D360" i="4"/>
  <c r="B360" i="4"/>
  <c r="D348" i="4"/>
  <c r="B348" i="4"/>
  <c r="D336" i="4"/>
  <c r="B336" i="4"/>
  <c r="D324" i="4"/>
  <c r="B324" i="4"/>
  <c r="D312" i="4"/>
  <c r="B312" i="4"/>
  <c r="D300" i="4"/>
  <c r="B300" i="4"/>
  <c r="D288" i="4"/>
  <c r="B288" i="4"/>
  <c r="D276" i="4"/>
  <c r="B276" i="4"/>
  <c r="D264" i="4"/>
  <c r="B264" i="4"/>
  <c r="D252" i="4"/>
  <c r="B252" i="4"/>
  <c r="D240" i="4"/>
  <c r="B240" i="4"/>
  <c r="D228" i="4"/>
  <c r="B228" i="4"/>
  <c r="D216" i="4"/>
  <c r="B216" i="4"/>
  <c r="D204" i="4"/>
  <c r="B204" i="4"/>
  <c r="D192" i="4"/>
  <c r="B192" i="4"/>
  <c r="D180" i="4"/>
  <c r="B180" i="4"/>
  <c r="D168" i="4"/>
  <c r="B168" i="4"/>
  <c r="D156" i="4"/>
  <c r="B156" i="4"/>
  <c r="D144" i="4"/>
  <c r="B144" i="4"/>
  <c r="D132" i="4"/>
  <c r="B132" i="4"/>
  <c r="D120" i="4"/>
  <c r="B120" i="4"/>
  <c r="D108" i="4"/>
  <c r="B108" i="4"/>
  <c r="D96" i="4"/>
  <c r="B96" i="4"/>
  <c r="D84" i="4"/>
  <c r="B84" i="4"/>
  <c r="D72" i="4"/>
  <c r="B72" i="4"/>
  <c r="D60" i="4"/>
  <c r="B60" i="4"/>
  <c r="C48" i="4"/>
  <c r="H48" i="4" s="1"/>
  <c r="B48" i="4"/>
  <c r="D36" i="4"/>
  <c r="B36" i="4"/>
  <c r="D24" i="4"/>
  <c r="B24" i="4"/>
  <c r="D12" i="4"/>
  <c r="B12" i="4"/>
  <c r="T47" i="4"/>
  <c r="U18" i="4"/>
  <c r="U19" i="4" s="1"/>
  <c r="U20" i="4" s="1"/>
  <c r="R7" i="4"/>
  <c r="R8" i="4" s="1"/>
  <c r="R9" i="4" s="1"/>
  <c r="R10" i="4" s="1"/>
  <c r="R11" i="4" s="1"/>
  <c r="R12" i="4" s="1"/>
  <c r="R13" i="4" s="1"/>
  <c r="R14" i="4" s="1"/>
  <c r="R15" i="4" s="1"/>
  <c r="R16" i="4" s="1"/>
  <c r="R17" i="4" s="1"/>
  <c r="R18" i="4" s="1"/>
  <c r="R19" i="4" s="1"/>
  <c r="D1006" i="4"/>
  <c r="D994" i="4"/>
  <c r="D862" i="4"/>
  <c r="D850" i="4"/>
  <c r="D982" i="4"/>
  <c r="D838" i="4"/>
  <c r="D970" i="4"/>
  <c r="D826" i="4"/>
  <c r="D958" i="4"/>
  <c r="D946" i="4"/>
  <c r="D934" i="4"/>
  <c r="D922" i="4"/>
  <c r="D910" i="4"/>
  <c r="D898" i="4"/>
  <c r="D886" i="4"/>
  <c r="D22" i="4"/>
  <c r="D874" i="4"/>
  <c r="D1004" i="4"/>
  <c r="D992" i="4"/>
  <c r="D980" i="4"/>
  <c r="D968" i="4"/>
  <c r="D956" i="4"/>
  <c r="D944" i="4"/>
  <c r="D932" i="4"/>
  <c r="D920" i="4"/>
  <c r="D908" i="4"/>
  <c r="D896" i="4"/>
  <c r="D884" i="4"/>
  <c r="D872" i="4"/>
  <c r="D860" i="4"/>
  <c r="D848" i="4"/>
  <c r="D836" i="4"/>
  <c r="D824" i="4"/>
  <c r="D812" i="4"/>
  <c r="D800" i="4"/>
  <c r="D788" i="4"/>
  <c r="D776" i="4"/>
  <c r="D764" i="4"/>
  <c r="D752" i="4"/>
  <c r="D1003" i="4"/>
  <c r="D991" i="4"/>
  <c r="D979" i="4"/>
  <c r="D967" i="4"/>
  <c r="D955" i="4"/>
  <c r="D943" i="4"/>
  <c r="D931" i="4"/>
  <c r="D919" i="4"/>
  <c r="D907" i="4"/>
  <c r="D895" i="4"/>
  <c r="D883" i="4"/>
  <c r="D871" i="4"/>
  <c r="D859" i="4"/>
  <c r="D847" i="4"/>
  <c r="D835" i="4"/>
  <c r="D823" i="4"/>
  <c r="D811" i="4"/>
  <c r="D799" i="4"/>
  <c r="D787" i="4"/>
  <c r="D775" i="4"/>
  <c r="D763" i="4"/>
  <c r="D751" i="4"/>
  <c r="D739" i="4"/>
  <c r="D727" i="4"/>
  <c r="D715" i="4"/>
  <c r="D703" i="4"/>
  <c r="D691" i="4"/>
  <c r="D679" i="4"/>
  <c r="D667" i="4"/>
  <c r="D19" i="4"/>
  <c r="D1002" i="4"/>
  <c r="D990" i="4"/>
  <c r="D978" i="4"/>
  <c r="D966" i="4"/>
  <c r="D954" i="4"/>
  <c r="D942" i="4"/>
  <c r="D930" i="4"/>
  <c r="D918" i="4"/>
  <c r="D906" i="4"/>
  <c r="D894" i="4"/>
  <c r="D882" i="4"/>
  <c r="D870" i="4"/>
  <c r="D858" i="4"/>
  <c r="D846" i="4"/>
  <c r="D834" i="4"/>
  <c r="D822" i="4"/>
  <c r="D810" i="4"/>
  <c r="D798" i="4"/>
  <c r="D786" i="4"/>
  <c r="D774" i="4"/>
  <c r="D762" i="4"/>
  <c r="D750" i="4"/>
  <c r="D738" i="4"/>
  <c r="D726" i="4"/>
  <c r="D714" i="4"/>
  <c r="D702" i="4"/>
  <c r="D690" i="4"/>
  <c r="D678" i="4"/>
  <c r="D666" i="4"/>
  <c r="D642" i="4"/>
  <c r="D594" i="4"/>
  <c r="D546" i="4"/>
  <c r="D498" i="4"/>
  <c r="D450" i="4"/>
  <c r="D402" i="4"/>
  <c r="D354" i="4"/>
  <c r="D306" i="4"/>
  <c r="D258" i="4"/>
  <c r="D210" i="4"/>
  <c r="D162" i="4"/>
  <c r="D114" i="4"/>
  <c r="D66" i="4"/>
  <c r="D18" i="4"/>
  <c r="D929" i="4"/>
  <c r="D881" i="4"/>
  <c r="D833" i="4"/>
  <c r="D785" i="4"/>
  <c r="D737" i="4"/>
  <c r="D641" i="4"/>
  <c r="D593" i="4"/>
  <c r="D545" i="4"/>
  <c r="D497" i="4"/>
  <c r="D449" i="4"/>
  <c r="D353" i="4"/>
  <c r="D305" i="4"/>
  <c r="D257" i="4"/>
  <c r="D161" i="4"/>
  <c r="D65" i="4"/>
  <c r="D17" i="4"/>
  <c r="D1000" i="4"/>
  <c r="D988" i="4"/>
  <c r="D976" i="4"/>
  <c r="D964" i="4"/>
  <c r="D952" i="4"/>
  <c r="D940" i="4"/>
  <c r="D928" i="4"/>
  <c r="D916" i="4"/>
  <c r="D904" i="4"/>
  <c r="D892" i="4"/>
  <c r="D880" i="4"/>
  <c r="D868" i="4"/>
  <c r="D856" i="4"/>
  <c r="D844" i="4"/>
  <c r="D832" i="4"/>
  <c r="D820" i="4"/>
  <c r="D808" i="4"/>
  <c r="D796" i="4"/>
  <c r="D784" i="4"/>
  <c r="D772" i="4"/>
  <c r="D760" i="4"/>
  <c r="D748" i="4"/>
  <c r="D736" i="4"/>
  <c r="D724" i="4"/>
  <c r="D712" i="4"/>
  <c r="D700" i="4"/>
  <c r="D688" i="4"/>
  <c r="D676" i="4"/>
  <c r="D664" i="4"/>
  <c r="D652" i="4"/>
  <c r="D640" i="4"/>
  <c r="D628" i="4"/>
  <c r="D616" i="4"/>
  <c r="D604" i="4"/>
  <c r="D592" i="4"/>
  <c r="D580" i="4"/>
  <c r="D568" i="4"/>
  <c r="D556" i="4"/>
  <c r="D544" i="4"/>
  <c r="D532" i="4"/>
  <c r="D520" i="4"/>
  <c r="D508" i="4"/>
  <c r="D496" i="4"/>
  <c r="D484" i="4"/>
  <c r="D472" i="4"/>
  <c r="D460" i="4"/>
  <c r="D448" i="4"/>
  <c r="D436" i="4"/>
  <c r="D424" i="4"/>
  <c r="D412" i="4"/>
  <c r="D400" i="4"/>
  <c r="D388" i="4"/>
  <c r="D376" i="4"/>
  <c r="D364" i="4"/>
  <c r="D352" i="4"/>
  <c r="D340" i="4"/>
  <c r="D328" i="4"/>
  <c r="D316" i="4"/>
  <c r="D304" i="4"/>
  <c r="D292" i="4"/>
  <c r="D280" i="4"/>
  <c r="D268" i="4"/>
  <c r="D256" i="4"/>
  <c r="D244" i="4"/>
  <c r="D232" i="4"/>
  <c r="D220" i="4"/>
  <c r="D208" i="4"/>
  <c r="D196" i="4"/>
  <c r="D184" i="4"/>
  <c r="D172" i="4"/>
  <c r="D160" i="4"/>
  <c r="D148" i="4"/>
  <c r="D136" i="4"/>
  <c r="D124" i="4"/>
  <c r="D112" i="4"/>
  <c r="D100" i="4"/>
  <c r="D88" i="4"/>
  <c r="D999" i="4"/>
  <c r="D987" i="4"/>
  <c r="D975" i="4"/>
  <c r="D963" i="4"/>
  <c r="D951" i="4"/>
  <c r="D939" i="4"/>
  <c r="D927" i="4"/>
  <c r="D915" i="4"/>
  <c r="D903" i="4"/>
  <c r="D891" i="4"/>
  <c r="D879" i="4"/>
  <c r="D867" i="4"/>
  <c r="D855" i="4"/>
  <c r="D843" i="4"/>
  <c r="D831" i="4"/>
  <c r="D819" i="4"/>
  <c r="D807" i="4"/>
  <c r="D795" i="4"/>
  <c r="D783" i="4"/>
  <c r="D771" i="4"/>
  <c r="D759" i="4"/>
  <c r="D747" i="4"/>
  <c r="D735" i="4"/>
  <c r="D723" i="4"/>
  <c r="D711" i="4"/>
  <c r="D699" i="4"/>
  <c r="D687" i="4"/>
  <c r="D675" i="4"/>
  <c r="D663" i="4"/>
  <c r="D75" i="4"/>
  <c r="E986" i="4"/>
  <c r="D998" i="4"/>
  <c r="D986" i="4"/>
  <c r="D974" i="4"/>
  <c r="D962" i="4"/>
  <c r="D950" i="4"/>
  <c r="D938" i="4"/>
  <c r="D926" i="4"/>
  <c r="D914" i="4"/>
  <c r="D902" i="4"/>
  <c r="D890" i="4"/>
  <c r="D878" i="4"/>
  <c r="D866" i="4"/>
  <c r="D854" i="4"/>
  <c r="D842" i="4"/>
  <c r="D830" i="4"/>
  <c r="D818" i="4"/>
  <c r="D806" i="4"/>
  <c r="D794" i="4"/>
  <c r="D782" i="4"/>
  <c r="D770" i="4"/>
  <c r="D758" i="4"/>
  <c r="D746" i="4"/>
  <c r="D734" i="4"/>
  <c r="D722" i="4"/>
  <c r="D710" i="4"/>
  <c r="D698" i="4"/>
  <c r="D686" i="4"/>
  <c r="D674" i="4"/>
  <c r="D662" i="4"/>
  <c r="D997" i="4"/>
  <c r="D985" i="4"/>
  <c r="D973" i="4"/>
  <c r="D961" i="4"/>
  <c r="D949" i="4"/>
  <c r="D937" i="4"/>
  <c r="D925" i="4"/>
  <c r="D913" i="4"/>
  <c r="D901" i="4"/>
  <c r="D889" i="4"/>
  <c r="D877" i="4"/>
  <c r="D865" i="4"/>
  <c r="D853" i="4"/>
  <c r="D841" i="4"/>
  <c r="D829" i="4"/>
  <c r="D817" i="4"/>
  <c r="D805" i="4"/>
  <c r="D793" i="4"/>
  <c r="D781" i="4"/>
  <c r="D769" i="4"/>
  <c r="D757" i="4"/>
  <c r="D745" i="4"/>
  <c r="D733" i="4"/>
  <c r="D721" i="4"/>
  <c r="D709" i="4"/>
  <c r="D697" i="4"/>
  <c r="D685" i="4"/>
  <c r="D673" i="4"/>
  <c r="D661" i="4"/>
  <c r="D649" i="4"/>
  <c r="D637" i="4"/>
  <c r="D625" i="4"/>
  <c r="D613" i="4"/>
  <c r="D601" i="4"/>
  <c r="D589" i="4"/>
  <c r="D577" i="4"/>
  <c r="D565" i="4"/>
  <c r="D553" i="4"/>
  <c r="D541" i="4"/>
  <c r="D529" i="4"/>
  <c r="D61" i="4"/>
  <c r="D1008" i="4"/>
  <c r="D996" i="4"/>
  <c r="D984" i="4"/>
  <c r="D972" i="4"/>
  <c r="D960" i="4"/>
  <c r="D948" i="4"/>
  <c r="D48" i="4"/>
  <c r="D1007" i="4"/>
  <c r="D995" i="4"/>
  <c r="D983" i="4"/>
  <c r="D971" i="4"/>
  <c r="D959" i="4"/>
  <c r="D947" i="4"/>
  <c r="D935" i="4"/>
  <c r="D923" i="4"/>
  <c r="D911" i="4"/>
  <c r="D899" i="4"/>
  <c r="D887" i="4"/>
  <c r="D875" i="4"/>
  <c r="D863" i="4"/>
  <c r="D851" i="4"/>
  <c r="D839" i="4"/>
  <c r="D827" i="4"/>
  <c r="D815" i="4"/>
  <c r="D803" i="4"/>
  <c r="D791" i="4"/>
  <c r="D779" i="4"/>
  <c r="D767" i="4"/>
  <c r="D755" i="4"/>
  <c r="D743" i="4"/>
  <c r="D731" i="4"/>
  <c r="D719" i="4"/>
  <c r="D707" i="4"/>
  <c r="D695" i="4"/>
  <c r="D683" i="4"/>
  <c r="D671" i="4"/>
  <c r="D659" i="4"/>
  <c r="D647" i="4"/>
  <c r="D635" i="4"/>
  <c r="D623" i="4"/>
  <c r="D611" i="4"/>
  <c r="D599" i="4"/>
  <c r="D587" i="4"/>
  <c r="D575" i="4"/>
  <c r="D563" i="4"/>
  <c r="D551" i="4"/>
  <c r="D539" i="4"/>
  <c r="D527" i="4"/>
  <c r="D35" i="4"/>
  <c r="E796" i="4"/>
  <c r="E972" i="4"/>
  <c r="K972" i="4" s="1"/>
  <c r="E779" i="4"/>
  <c r="E958" i="4"/>
  <c r="L958" i="4" s="1"/>
  <c r="E760" i="4"/>
  <c r="O760" i="4" s="1"/>
  <c r="E943" i="4"/>
  <c r="O943" i="4" s="1"/>
  <c r="E743" i="4"/>
  <c r="L743" i="4" s="1"/>
  <c r="E927" i="4"/>
  <c r="L927" i="4" s="1"/>
  <c r="E722" i="4"/>
  <c r="E911" i="4"/>
  <c r="L911" i="4" s="1"/>
  <c r="E700" i="4"/>
  <c r="E895" i="4"/>
  <c r="K895" i="4" s="1"/>
  <c r="E679" i="4"/>
  <c r="M679" i="4" s="1"/>
  <c r="E879" i="4"/>
  <c r="O879" i="4" s="1"/>
  <c r="E508" i="4"/>
  <c r="C786" i="4"/>
  <c r="E863" i="4"/>
  <c r="P863" i="4" s="1"/>
  <c r="E364" i="4"/>
  <c r="C497" i="4"/>
  <c r="P497" i="4" s="1"/>
  <c r="E847" i="4"/>
  <c r="K847" i="4" s="1"/>
  <c r="E220" i="4"/>
  <c r="C161" i="4"/>
  <c r="K161" i="4" s="1"/>
  <c r="E831" i="4"/>
  <c r="M831" i="4" s="1"/>
  <c r="E75" i="4"/>
  <c r="E1000" i="4"/>
  <c r="P1000" i="4" s="1"/>
  <c r="E815" i="4"/>
  <c r="C385" i="4"/>
  <c r="I385" i="4" s="1"/>
  <c r="E385" i="4"/>
  <c r="C217" i="4"/>
  <c r="J217" i="4" s="1"/>
  <c r="E217" i="4"/>
  <c r="P972" i="4"/>
  <c r="N972" i="4"/>
  <c r="L972" i="4"/>
  <c r="P960" i="4"/>
  <c r="C936" i="4"/>
  <c r="J936" i="4" s="1"/>
  <c r="E936" i="4"/>
  <c r="C924" i="4"/>
  <c r="G924" i="4" s="1"/>
  <c r="E924" i="4"/>
  <c r="C912" i="4"/>
  <c r="I912" i="4" s="1"/>
  <c r="E912" i="4"/>
  <c r="C900" i="4"/>
  <c r="J900" i="4" s="1"/>
  <c r="E900" i="4"/>
  <c r="C888" i="4"/>
  <c r="J888" i="4" s="1"/>
  <c r="E888" i="4"/>
  <c r="C876" i="4"/>
  <c r="I876" i="4" s="1"/>
  <c r="E876" i="4"/>
  <c r="C864" i="4"/>
  <c r="J864" i="4" s="1"/>
  <c r="E864" i="4"/>
  <c r="C852" i="4"/>
  <c r="G852" i="4" s="1"/>
  <c r="E852" i="4"/>
  <c r="C840" i="4"/>
  <c r="F840" i="4" s="1"/>
  <c r="E840" i="4"/>
  <c r="C828" i="4"/>
  <c r="H828" i="4" s="1"/>
  <c r="E828" i="4"/>
  <c r="C816" i="4"/>
  <c r="J816" i="4" s="1"/>
  <c r="E816" i="4"/>
  <c r="C804" i="4"/>
  <c r="I804" i="4" s="1"/>
  <c r="E804" i="4"/>
  <c r="C792" i="4"/>
  <c r="J792" i="4" s="1"/>
  <c r="E792" i="4"/>
  <c r="C780" i="4"/>
  <c r="J780" i="4" s="1"/>
  <c r="E780" i="4"/>
  <c r="C768" i="4"/>
  <c r="J768" i="4" s="1"/>
  <c r="E768" i="4"/>
  <c r="C756" i="4"/>
  <c r="J756" i="4" s="1"/>
  <c r="E756" i="4"/>
  <c r="C744" i="4"/>
  <c r="J744" i="4" s="1"/>
  <c r="E744" i="4"/>
  <c r="C732" i="4"/>
  <c r="J732" i="4" s="1"/>
  <c r="E732" i="4"/>
  <c r="C720" i="4"/>
  <c r="F720" i="4" s="1"/>
  <c r="E720" i="4"/>
  <c r="C708" i="4"/>
  <c r="F708" i="4" s="1"/>
  <c r="E708" i="4"/>
  <c r="C696" i="4"/>
  <c r="J696" i="4" s="1"/>
  <c r="E696" i="4"/>
  <c r="C684" i="4"/>
  <c r="H684" i="4" s="1"/>
  <c r="E684" i="4"/>
  <c r="C672" i="4"/>
  <c r="F672" i="4" s="1"/>
  <c r="E672" i="4"/>
  <c r="C660" i="4"/>
  <c r="J660" i="4" s="1"/>
  <c r="E660" i="4"/>
  <c r="C648" i="4"/>
  <c r="J648" i="4" s="1"/>
  <c r="E648" i="4"/>
  <c r="C636" i="4"/>
  <c r="J636" i="4" s="1"/>
  <c r="E636" i="4"/>
  <c r="C624" i="4"/>
  <c r="J624" i="4" s="1"/>
  <c r="E624" i="4"/>
  <c r="C612" i="4"/>
  <c r="J612" i="4" s="1"/>
  <c r="E612" i="4"/>
  <c r="C600" i="4"/>
  <c r="J600" i="4" s="1"/>
  <c r="E600" i="4"/>
  <c r="C588" i="4"/>
  <c r="J588" i="4" s="1"/>
  <c r="E588" i="4"/>
  <c r="C576" i="4"/>
  <c r="I576" i="4" s="1"/>
  <c r="E576" i="4"/>
  <c r="C564" i="4"/>
  <c r="J564" i="4" s="1"/>
  <c r="E564" i="4"/>
  <c r="C552" i="4"/>
  <c r="H552" i="4" s="1"/>
  <c r="E552" i="4"/>
  <c r="C540" i="4"/>
  <c r="J540" i="4" s="1"/>
  <c r="E540" i="4"/>
  <c r="C528" i="4"/>
  <c r="F528" i="4" s="1"/>
  <c r="E528" i="4"/>
  <c r="C516" i="4"/>
  <c r="J516" i="4" s="1"/>
  <c r="E516" i="4"/>
  <c r="C504" i="4"/>
  <c r="J504" i="4" s="1"/>
  <c r="E504" i="4"/>
  <c r="C492" i="4"/>
  <c r="J492" i="4" s="1"/>
  <c r="E492" i="4"/>
  <c r="C480" i="4"/>
  <c r="H480" i="4" s="1"/>
  <c r="E480" i="4"/>
  <c r="C468" i="4"/>
  <c r="J468" i="4" s="1"/>
  <c r="E468" i="4"/>
  <c r="C456" i="4"/>
  <c r="H456" i="4" s="1"/>
  <c r="E456" i="4"/>
  <c r="C444" i="4"/>
  <c r="I444" i="4" s="1"/>
  <c r="E444" i="4"/>
  <c r="C432" i="4"/>
  <c r="I432" i="4" s="1"/>
  <c r="E432" i="4"/>
  <c r="C420" i="4"/>
  <c r="G420" i="4" s="1"/>
  <c r="E420" i="4"/>
  <c r="C408" i="4"/>
  <c r="J408" i="4" s="1"/>
  <c r="E408" i="4"/>
  <c r="C396" i="4"/>
  <c r="J396" i="4" s="1"/>
  <c r="E396" i="4"/>
  <c r="C384" i="4"/>
  <c r="G384" i="4" s="1"/>
  <c r="E384" i="4"/>
  <c r="C372" i="4"/>
  <c r="J372" i="4" s="1"/>
  <c r="E372" i="4"/>
  <c r="C360" i="4"/>
  <c r="G360" i="4" s="1"/>
  <c r="E360" i="4"/>
  <c r="C348" i="4"/>
  <c r="E348" i="4"/>
  <c r="C336" i="4"/>
  <c r="I336" i="4" s="1"/>
  <c r="E336" i="4"/>
  <c r="C324" i="4"/>
  <c r="I324" i="4" s="1"/>
  <c r="E324" i="4"/>
  <c r="C312" i="4"/>
  <c r="I312" i="4" s="1"/>
  <c r="E312" i="4"/>
  <c r="C300" i="4"/>
  <c r="J300" i="4" s="1"/>
  <c r="E300" i="4"/>
  <c r="C288" i="4"/>
  <c r="J288" i="4" s="1"/>
  <c r="E288" i="4"/>
  <c r="C276" i="4"/>
  <c r="I276" i="4" s="1"/>
  <c r="E276" i="4"/>
  <c r="C264" i="4"/>
  <c r="F264" i="4" s="1"/>
  <c r="E264" i="4"/>
  <c r="C252" i="4"/>
  <c r="J252" i="4" s="1"/>
  <c r="E252" i="4"/>
  <c r="C240" i="4"/>
  <c r="J240" i="4" s="1"/>
  <c r="E240" i="4"/>
  <c r="C228" i="4"/>
  <c r="J228" i="4" s="1"/>
  <c r="E228" i="4"/>
  <c r="C216" i="4"/>
  <c r="I216" i="4" s="1"/>
  <c r="E216" i="4"/>
  <c r="C204" i="4"/>
  <c r="E204" i="4"/>
  <c r="C192" i="4"/>
  <c r="I192" i="4" s="1"/>
  <c r="E192" i="4"/>
  <c r="C180" i="4"/>
  <c r="H180" i="4" s="1"/>
  <c r="E180" i="4"/>
  <c r="C168" i="4"/>
  <c r="J168" i="4" s="1"/>
  <c r="E168" i="4"/>
  <c r="C156" i="4"/>
  <c r="J156" i="4" s="1"/>
  <c r="E156" i="4"/>
  <c r="C144" i="4"/>
  <c r="H144" i="4" s="1"/>
  <c r="E144" i="4"/>
  <c r="C132" i="4"/>
  <c r="J132" i="4" s="1"/>
  <c r="E132" i="4"/>
  <c r="C120" i="4"/>
  <c r="G120" i="4" s="1"/>
  <c r="E120" i="4"/>
  <c r="C108" i="4"/>
  <c r="J108" i="4" s="1"/>
  <c r="E108" i="4"/>
  <c r="C96" i="4"/>
  <c r="J96" i="4" s="1"/>
  <c r="E96" i="4"/>
  <c r="C84" i="4"/>
  <c r="J84" i="4" s="1"/>
  <c r="E84" i="4"/>
  <c r="C72" i="4"/>
  <c r="J72" i="4" s="1"/>
  <c r="E72" i="4"/>
  <c r="C60" i="4"/>
  <c r="G60" i="4" s="1"/>
  <c r="E60" i="4"/>
  <c r="C36" i="4"/>
  <c r="I36" i="4" s="1"/>
  <c r="E36" i="4"/>
  <c r="C24" i="4"/>
  <c r="J24" i="4" s="1"/>
  <c r="E24" i="4"/>
  <c r="C12" i="4"/>
  <c r="J12" i="4" s="1"/>
  <c r="E12" i="4"/>
  <c r="C785" i="4"/>
  <c r="J785" i="4" s="1"/>
  <c r="C450" i="4"/>
  <c r="J450" i="4" s="1"/>
  <c r="C114" i="4"/>
  <c r="J114" i="4" s="1"/>
  <c r="E999" i="4"/>
  <c r="L999" i="4" s="1"/>
  <c r="E985" i="4"/>
  <c r="E971" i="4"/>
  <c r="K971" i="4" s="1"/>
  <c r="E956" i="4"/>
  <c r="E942" i="4"/>
  <c r="E926" i="4"/>
  <c r="E910" i="4"/>
  <c r="E894" i="4"/>
  <c r="E878" i="4"/>
  <c r="O878" i="4" s="1"/>
  <c r="E862" i="4"/>
  <c r="L862" i="4" s="1"/>
  <c r="E846" i="4"/>
  <c r="O846" i="4" s="1"/>
  <c r="E830" i="4"/>
  <c r="E812" i="4"/>
  <c r="E795" i="4"/>
  <c r="E776" i="4"/>
  <c r="O776" i="4" s="1"/>
  <c r="E759" i="4"/>
  <c r="O759" i="4" s="1"/>
  <c r="E739" i="4"/>
  <c r="E721" i="4"/>
  <c r="M721" i="4" s="1"/>
  <c r="E699" i="4"/>
  <c r="E678" i="4"/>
  <c r="E659" i="4"/>
  <c r="L659" i="4" s="1"/>
  <c r="E611" i="4"/>
  <c r="M611" i="4" s="1"/>
  <c r="E563" i="4"/>
  <c r="E496" i="4"/>
  <c r="L496" i="4" s="1"/>
  <c r="E352" i="4"/>
  <c r="K352" i="4" s="1"/>
  <c r="E208" i="4"/>
  <c r="M208" i="4" s="1"/>
  <c r="E61" i="4"/>
  <c r="O937" i="4"/>
  <c r="M661" i="4"/>
  <c r="M577" i="4"/>
  <c r="C421" i="4"/>
  <c r="I421" i="4" s="1"/>
  <c r="E421" i="4"/>
  <c r="C277" i="4"/>
  <c r="H277" i="4" s="1"/>
  <c r="E277" i="4"/>
  <c r="M995" i="4"/>
  <c r="P983" i="4"/>
  <c r="M983" i="4"/>
  <c r="L983" i="4"/>
  <c r="N959" i="4"/>
  <c r="M959" i="4"/>
  <c r="P947" i="4"/>
  <c r="O935" i="4"/>
  <c r="K935" i="4"/>
  <c r="P911" i="4"/>
  <c r="N911" i="4"/>
  <c r="M911" i="4"/>
  <c r="K911" i="4"/>
  <c r="M887" i="4"/>
  <c r="P875" i="4"/>
  <c r="K875" i="4"/>
  <c r="O863" i="4"/>
  <c r="N863" i="4"/>
  <c r="K863" i="4"/>
  <c r="L851" i="4"/>
  <c r="N839" i="4"/>
  <c r="K839" i="4"/>
  <c r="P827" i="4"/>
  <c r="L803" i="4"/>
  <c r="M767" i="4"/>
  <c r="L767" i="4"/>
  <c r="N743" i="4"/>
  <c r="M743" i="4"/>
  <c r="O731" i="4"/>
  <c r="L731" i="4"/>
  <c r="K731" i="4"/>
  <c r="P719" i="4"/>
  <c r="L719" i="4"/>
  <c r="M671" i="4"/>
  <c r="O659" i="4"/>
  <c r="M659" i="4"/>
  <c r="O647" i="4"/>
  <c r="N647" i="4"/>
  <c r="L647" i="4"/>
  <c r="P635" i="4"/>
  <c r="M635" i="4"/>
  <c r="O611" i="4"/>
  <c r="N611" i="4"/>
  <c r="L611" i="4"/>
  <c r="O599" i="4"/>
  <c r="L551" i="4"/>
  <c r="K551" i="4"/>
  <c r="O527" i="4"/>
  <c r="L527" i="4"/>
  <c r="C515" i="4"/>
  <c r="J515" i="4" s="1"/>
  <c r="E515" i="4"/>
  <c r="C503" i="4"/>
  <c r="I503" i="4" s="1"/>
  <c r="E503" i="4"/>
  <c r="C491" i="4"/>
  <c r="J491" i="4" s="1"/>
  <c r="E491" i="4"/>
  <c r="C479" i="4"/>
  <c r="J479" i="4" s="1"/>
  <c r="E479" i="4"/>
  <c r="C467" i="4"/>
  <c r="H467" i="4" s="1"/>
  <c r="E467" i="4"/>
  <c r="C455" i="4"/>
  <c r="J455" i="4" s="1"/>
  <c r="E455" i="4"/>
  <c r="C443" i="4"/>
  <c r="F443" i="4" s="1"/>
  <c r="E443" i="4"/>
  <c r="C431" i="4"/>
  <c r="G431" i="4" s="1"/>
  <c r="E431" i="4"/>
  <c r="C419" i="4"/>
  <c r="J419" i="4" s="1"/>
  <c r="E419" i="4"/>
  <c r="C407" i="4"/>
  <c r="G407" i="4" s="1"/>
  <c r="E407" i="4"/>
  <c r="C395" i="4"/>
  <c r="J395" i="4" s="1"/>
  <c r="E395" i="4"/>
  <c r="C383" i="4"/>
  <c r="G383" i="4" s="1"/>
  <c r="E383" i="4"/>
  <c r="C371" i="4"/>
  <c r="J371" i="4" s="1"/>
  <c r="E371" i="4"/>
  <c r="C359" i="4"/>
  <c r="G359" i="4" s="1"/>
  <c r="E359" i="4"/>
  <c r="C347" i="4"/>
  <c r="I347" i="4" s="1"/>
  <c r="E347" i="4"/>
  <c r="C335" i="4"/>
  <c r="J335" i="4" s="1"/>
  <c r="E335" i="4"/>
  <c r="C323" i="4"/>
  <c r="F323" i="4" s="1"/>
  <c r="E323" i="4"/>
  <c r="C311" i="4"/>
  <c r="H311" i="4" s="1"/>
  <c r="E311" i="4"/>
  <c r="C299" i="4"/>
  <c r="G299" i="4" s="1"/>
  <c r="E299" i="4"/>
  <c r="C287" i="4"/>
  <c r="H287" i="4" s="1"/>
  <c r="E287" i="4"/>
  <c r="C275" i="4"/>
  <c r="J275" i="4" s="1"/>
  <c r="E275" i="4"/>
  <c r="C263" i="4"/>
  <c r="F263" i="4" s="1"/>
  <c r="E263" i="4"/>
  <c r="C251" i="4"/>
  <c r="J251" i="4" s="1"/>
  <c r="E251" i="4"/>
  <c r="C239" i="4"/>
  <c r="J239" i="4" s="1"/>
  <c r="E239" i="4"/>
  <c r="C227" i="4"/>
  <c r="J227" i="4" s="1"/>
  <c r="E227" i="4"/>
  <c r="C215" i="4"/>
  <c r="J215" i="4" s="1"/>
  <c r="E215" i="4"/>
  <c r="C203" i="4"/>
  <c r="J203" i="4" s="1"/>
  <c r="E203" i="4"/>
  <c r="C191" i="4"/>
  <c r="J191" i="4" s="1"/>
  <c r="E191" i="4"/>
  <c r="C179" i="4"/>
  <c r="F179" i="4" s="1"/>
  <c r="E179" i="4"/>
  <c r="C167" i="4"/>
  <c r="J167" i="4" s="1"/>
  <c r="E167" i="4"/>
  <c r="C155" i="4"/>
  <c r="F155" i="4" s="1"/>
  <c r="E155" i="4"/>
  <c r="C143" i="4"/>
  <c r="J143" i="4" s="1"/>
  <c r="E143" i="4"/>
  <c r="C131" i="4"/>
  <c r="I131" i="4" s="1"/>
  <c r="E131" i="4"/>
  <c r="C119" i="4"/>
  <c r="F119" i="4" s="1"/>
  <c r="E119" i="4"/>
  <c r="C107" i="4"/>
  <c r="J107" i="4" s="1"/>
  <c r="E107" i="4"/>
  <c r="C95" i="4"/>
  <c r="J95" i="4" s="1"/>
  <c r="E95" i="4"/>
  <c r="C83" i="4"/>
  <c r="I83" i="4" s="1"/>
  <c r="E83" i="4"/>
  <c r="C71" i="4"/>
  <c r="F71" i="4" s="1"/>
  <c r="E71" i="4"/>
  <c r="C59" i="4"/>
  <c r="J59" i="4" s="1"/>
  <c r="E59" i="4"/>
  <c r="C47" i="4"/>
  <c r="J47" i="4" s="1"/>
  <c r="E47" i="4"/>
  <c r="C23" i="4"/>
  <c r="J23" i="4" s="1"/>
  <c r="E23" i="4"/>
  <c r="C11" i="4"/>
  <c r="J11" i="4" s="1"/>
  <c r="E11" i="4"/>
  <c r="C738" i="4"/>
  <c r="J738" i="4" s="1"/>
  <c r="C449" i="4"/>
  <c r="H449" i="4" s="1"/>
  <c r="C66" i="4"/>
  <c r="J66" i="4" s="1"/>
  <c r="E998" i="4"/>
  <c r="K998" i="4" s="1"/>
  <c r="E984" i="4"/>
  <c r="E970" i="4"/>
  <c r="L970" i="4" s="1"/>
  <c r="E955" i="4"/>
  <c r="O955" i="4" s="1"/>
  <c r="E940" i="4"/>
  <c r="E925" i="4"/>
  <c r="N925" i="4" s="1"/>
  <c r="E908" i="4"/>
  <c r="E892" i="4"/>
  <c r="P892" i="4" s="1"/>
  <c r="E877" i="4"/>
  <c r="E860" i="4"/>
  <c r="M860" i="4" s="1"/>
  <c r="E844" i="4"/>
  <c r="E829" i="4"/>
  <c r="O829" i="4" s="1"/>
  <c r="E811" i="4"/>
  <c r="P811" i="4" s="1"/>
  <c r="E794" i="4"/>
  <c r="K794" i="4" s="1"/>
  <c r="E775" i="4"/>
  <c r="E758" i="4"/>
  <c r="O758" i="4" s="1"/>
  <c r="E719" i="4"/>
  <c r="K719" i="4" s="1"/>
  <c r="E698" i="4"/>
  <c r="M698" i="4" s="1"/>
  <c r="E676" i="4"/>
  <c r="L676" i="4" s="1"/>
  <c r="E652" i="4"/>
  <c r="E604" i="4"/>
  <c r="M604" i="4" s="1"/>
  <c r="E556" i="4"/>
  <c r="E484" i="4"/>
  <c r="E340" i="4"/>
  <c r="E196" i="4"/>
  <c r="E48" i="4"/>
  <c r="N625" i="4"/>
  <c r="C493" i="4"/>
  <c r="E493" i="4"/>
  <c r="C373" i="4"/>
  <c r="F373" i="4" s="1"/>
  <c r="E373" i="4"/>
  <c r="C265" i="4"/>
  <c r="H265" i="4" s="1"/>
  <c r="E265" i="4"/>
  <c r="C157" i="4"/>
  <c r="J157" i="4" s="1"/>
  <c r="E157" i="4"/>
  <c r="C85" i="4"/>
  <c r="E85" i="4"/>
  <c r="C25" i="4"/>
  <c r="J25" i="4" s="1"/>
  <c r="E25" i="4"/>
  <c r="M994" i="4"/>
  <c r="P958" i="4"/>
  <c r="O958" i="4"/>
  <c r="N958" i="4"/>
  <c r="M958" i="4"/>
  <c r="K958" i="4"/>
  <c r="N934" i="4"/>
  <c r="K934" i="4"/>
  <c r="O922" i="4"/>
  <c r="P862" i="4"/>
  <c r="N862" i="4"/>
  <c r="O862" i="4"/>
  <c r="M862" i="4"/>
  <c r="K862" i="4"/>
  <c r="O838" i="4"/>
  <c r="N838" i="4"/>
  <c r="L838" i="4"/>
  <c r="F826" i="4"/>
  <c r="C814" i="4"/>
  <c r="J814" i="4" s="1"/>
  <c r="E814" i="4"/>
  <c r="C802" i="4"/>
  <c r="F802" i="4" s="1"/>
  <c r="E802" i="4"/>
  <c r="C790" i="4"/>
  <c r="G790" i="4" s="1"/>
  <c r="E790" i="4"/>
  <c r="C778" i="4"/>
  <c r="J778" i="4" s="1"/>
  <c r="E778" i="4"/>
  <c r="C766" i="4"/>
  <c r="F766" i="4" s="1"/>
  <c r="E766" i="4"/>
  <c r="C754" i="4"/>
  <c r="J754" i="4" s="1"/>
  <c r="E754" i="4"/>
  <c r="C742" i="4"/>
  <c r="H742" i="4" s="1"/>
  <c r="E742" i="4"/>
  <c r="C730" i="4"/>
  <c r="J730" i="4" s="1"/>
  <c r="E730" i="4"/>
  <c r="C718" i="4"/>
  <c r="I718" i="4" s="1"/>
  <c r="E718" i="4"/>
  <c r="C706" i="4"/>
  <c r="J706" i="4" s="1"/>
  <c r="E706" i="4"/>
  <c r="C694" i="4"/>
  <c r="F694" i="4" s="1"/>
  <c r="E694" i="4"/>
  <c r="C682" i="4"/>
  <c r="J682" i="4" s="1"/>
  <c r="E682" i="4"/>
  <c r="C670" i="4"/>
  <c r="J670" i="4" s="1"/>
  <c r="E670" i="4"/>
  <c r="C658" i="4"/>
  <c r="J658" i="4" s="1"/>
  <c r="E658" i="4"/>
  <c r="C646" i="4"/>
  <c r="J646" i="4" s="1"/>
  <c r="E646" i="4"/>
  <c r="C634" i="4"/>
  <c r="J634" i="4" s="1"/>
  <c r="E634" i="4"/>
  <c r="C622" i="4"/>
  <c r="H622" i="4" s="1"/>
  <c r="E622" i="4"/>
  <c r="C610" i="4"/>
  <c r="H610" i="4" s="1"/>
  <c r="E610" i="4"/>
  <c r="C598" i="4"/>
  <c r="J598" i="4" s="1"/>
  <c r="E598" i="4"/>
  <c r="C586" i="4"/>
  <c r="F586" i="4" s="1"/>
  <c r="E586" i="4"/>
  <c r="C574" i="4"/>
  <c r="H574" i="4" s="1"/>
  <c r="E574" i="4"/>
  <c r="C562" i="4"/>
  <c r="J562" i="4" s="1"/>
  <c r="E562" i="4"/>
  <c r="C550" i="4"/>
  <c r="G550" i="4" s="1"/>
  <c r="E550" i="4"/>
  <c r="C538" i="4"/>
  <c r="F538" i="4" s="1"/>
  <c r="E538" i="4"/>
  <c r="C526" i="4"/>
  <c r="F526" i="4" s="1"/>
  <c r="E526" i="4"/>
  <c r="C514" i="4"/>
  <c r="J514" i="4" s="1"/>
  <c r="E514" i="4"/>
  <c r="C502" i="4"/>
  <c r="J502" i="4" s="1"/>
  <c r="E502" i="4"/>
  <c r="C490" i="4"/>
  <c r="J490" i="4" s="1"/>
  <c r="E490" i="4"/>
  <c r="C478" i="4"/>
  <c r="E478" i="4"/>
  <c r="C466" i="4"/>
  <c r="G466" i="4" s="1"/>
  <c r="E466" i="4"/>
  <c r="C454" i="4"/>
  <c r="I454" i="4" s="1"/>
  <c r="E454" i="4"/>
  <c r="C442" i="4"/>
  <c r="J442" i="4" s="1"/>
  <c r="E442" i="4"/>
  <c r="C430" i="4"/>
  <c r="F430" i="4" s="1"/>
  <c r="E430" i="4"/>
  <c r="C418" i="4"/>
  <c r="F418" i="4" s="1"/>
  <c r="E418" i="4"/>
  <c r="C406" i="4"/>
  <c r="G406" i="4" s="1"/>
  <c r="E406" i="4"/>
  <c r="C394" i="4"/>
  <c r="G394" i="4" s="1"/>
  <c r="E394" i="4"/>
  <c r="C382" i="4"/>
  <c r="J382" i="4" s="1"/>
  <c r="E382" i="4"/>
  <c r="C370" i="4"/>
  <c r="H370" i="4" s="1"/>
  <c r="E370" i="4"/>
  <c r="C358" i="4"/>
  <c r="J358" i="4" s="1"/>
  <c r="E358" i="4"/>
  <c r="C346" i="4"/>
  <c r="G346" i="4" s="1"/>
  <c r="E346" i="4"/>
  <c r="C334" i="4"/>
  <c r="G334" i="4" s="1"/>
  <c r="E334" i="4"/>
  <c r="C322" i="4"/>
  <c r="J322" i="4" s="1"/>
  <c r="E322" i="4"/>
  <c r="C310" i="4"/>
  <c r="G310" i="4" s="1"/>
  <c r="E310" i="4"/>
  <c r="C298" i="4"/>
  <c r="J298" i="4" s="1"/>
  <c r="E298" i="4"/>
  <c r="C286" i="4"/>
  <c r="F286" i="4" s="1"/>
  <c r="E286" i="4"/>
  <c r="C274" i="4"/>
  <c r="H274" i="4" s="1"/>
  <c r="E274" i="4"/>
  <c r="C262" i="4"/>
  <c r="I262" i="4" s="1"/>
  <c r="E262" i="4"/>
  <c r="C250" i="4"/>
  <c r="J250" i="4" s="1"/>
  <c r="E250" i="4"/>
  <c r="C238" i="4"/>
  <c r="J238" i="4" s="1"/>
  <c r="E238" i="4"/>
  <c r="C226" i="4"/>
  <c r="J226" i="4" s="1"/>
  <c r="E226" i="4"/>
  <c r="C214" i="4"/>
  <c r="I214" i="4" s="1"/>
  <c r="E214" i="4"/>
  <c r="C202" i="4"/>
  <c r="I202" i="4" s="1"/>
  <c r="E202" i="4"/>
  <c r="C190" i="4"/>
  <c r="E190" i="4"/>
  <c r="C178" i="4"/>
  <c r="J178" i="4" s="1"/>
  <c r="E178" i="4"/>
  <c r="C166" i="4"/>
  <c r="I166" i="4" s="1"/>
  <c r="E166" i="4"/>
  <c r="C154" i="4"/>
  <c r="J154" i="4" s="1"/>
  <c r="E154" i="4"/>
  <c r="C142" i="4"/>
  <c r="J142" i="4" s="1"/>
  <c r="E142" i="4"/>
  <c r="C130" i="4"/>
  <c r="J130" i="4" s="1"/>
  <c r="E130" i="4"/>
  <c r="C118" i="4"/>
  <c r="J118" i="4" s="1"/>
  <c r="E118" i="4"/>
  <c r="C106" i="4"/>
  <c r="J106" i="4" s="1"/>
  <c r="E106" i="4"/>
  <c r="C94" i="4"/>
  <c r="G94" i="4" s="1"/>
  <c r="E94" i="4"/>
  <c r="C82" i="4"/>
  <c r="G82" i="4" s="1"/>
  <c r="E82" i="4"/>
  <c r="C70" i="4"/>
  <c r="H70" i="4" s="1"/>
  <c r="E70" i="4"/>
  <c r="C58" i="4"/>
  <c r="J58" i="4" s="1"/>
  <c r="E58" i="4"/>
  <c r="C46" i="4"/>
  <c r="E46" i="4"/>
  <c r="C34" i="4"/>
  <c r="J34" i="4" s="1"/>
  <c r="E34" i="4"/>
  <c r="O22" i="4"/>
  <c r="N22" i="4"/>
  <c r="C10" i="4"/>
  <c r="I10" i="4" s="1"/>
  <c r="E10" i="4"/>
  <c r="C737" i="4"/>
  <c r="C402" i="4"/>
  <c r="F402" i="4" s="1"/>
  <c r="C65" i="4"/>
  <c r="I65" i="4" s="1"/>
  <c r="E997" i="4"/>
  <c r="N997" i="4" s="1"/>
  <c r="E983" i="4"/>
  <c r="N983" i="4" s="1"/>
  <c r="E968" i="4"/>
  <c r="L968" i="4" s="1"/>
  <c r="E954" i="4"/>
  <c r="O954" i="4" s="1"/>
  <c r="E939" i="4"/>
  <c r="E923" i="4"/>
  <c r="E907" i="4"/>
  <c r="M907" i="4" s="1"/>
  <c r="E891" i="4"/>
  <c r="L891" i="4" s="1"/>
  <c r="E875" i="4"/>
  <c r="O875" i="4" s="1"/>
  <c r="E859" i="4"/>
  <c r="E843" i="4"/>
  <c r="E827" i="4"/>
  <c r="L827" i="4" s="1"/>
  <c r="E810" i="4"/>
  <c r="N810" i="4" s="1"/>
  <c r="E793" i="4"/>
  <c r="E774" i="4"/>
  <c r="P774" i="4" s="1"/>
  <c r="E757" i="4"/>
  <c r="E736" i="4"/>
  <c r="L736" i="4" s="1"/>
  <c r="E715" i="4"/>
  <c r="E697" i="4"/>
  <c r="P697" i="4" s="1"/>
  <c r="E675" i="4"/>
  <c r="L675" i="4" s="1"/>
  <c r="E649" i="4"/>
  <c r="P649" i="4" s="1"/>
  <c r="E601" i="4"/>
  <c r="K601" i="4" s="1"/>
  <c r="E553" i="4"/>
  <c r="L553" i="4" s="1"/>
  <c r="E472" i="4"/>
  <c r="L472" i="4" s="1"/>
  <c r="E328" i="4"/>
  <c r="K328" i="4" s="1"/>
  <c r="E184" i="4"/>
  <c r="O184" i="4" s="1"/>
  <c r="E35" i="4"/>
  <c r="P35" i="4" s="1"/>
  <c r="O973" i="4"/>
  <c r="O817" i="4"/>
  <c r="O601" i="4"/>
  <c r="N601" i="4"/>
  <c r="C481" i="4"/>
  <c r="J481" i="4" s="1"/>
  <c r="E481" i="4"/>
  <c r="C337" i="4"/>
  <c r="G337" i="4" s="1"/>
  <c r="E337" i="4"/>
  <c r="C229" i="4"/>
  <c r="J229" i="4" s="1"/>
  <c r="E229" i="4"/>
  <c r="C109" i="4"/>
  <c r="E109" i="4"/>
  <c r="C1005" i="4"/>
  <c r="G1005" i="4" s="1"/>
  <c r="E1005" i="4"/>
  <c r="C993" i="4"/>
  <c r="I993" i="4" s="1"/>
  <c r="E993" i="4"/>
  <c r="C981" i="4"/>
  <c r="H981" i="4" s="1"/>
  <c r="E981" i="4"/>
  <c r="C969" i="4"/>
  <c r="F969" i="4" s="1"/>
  <c r="E969" i="4"/>
  <c r="C957" i="4"/>
  <c r="G957" i="4" s="1"/>
  <c r="E957" i="4"/>
  <c r="C945" i="4"/>
  <c r="J945" i="4" s="1"/>
  <c r="E945" i="4"/>
  <c r="C933" i="4"/>
  <c r="J933" i="4" s="1"/>
  <c r="E933" i="4"/>
  <c r="C921" i="4"/>
  <c r="J921" i="4" s="1"/>
  <c r="E921" i="4"/>
  <c r="C909" i="4"/>
  <c r="J909" i="4" s="1"/>
  <c r="E909" i="4"/>
  <c r="C897" i="4"/>
  <c r="F897" i="4" s="1"/>
  <c r="E897" i="4"/>
  <c r="C885" i="4"/>
  <c r="J885" i="4" s="1"/>
  <c r="E885" i="4"/>
  <c r="C873" i="4"/>
  <c r="E873" i="4"/>
  <c r="C861" i="4"/>
  <c r="J861" i="4" s="1"/>
  <c r="E861" i="4"/>
  <c r="C849" i="4"/>
  <c r="I849" i="4" s="1"/>
  <c r="E849" i="4"/>
  <c r="C837" i="4"/>
  <c r="J837" i="4" s="1"/>
  <c r="E837" i="4"/>
  <c r="C825" i="4"/>
  <c r="F825" i="4" s="1"/>
  <c r="E825" i="4"/>
  <c r="C813" i="4"/>
  <c r="G813" i="4" s="1"/>
  <c r="E813" i="4"/>
  <c r="C801" i="4"/>
  <c r="J801" i="4" s="1"/>
  <c r="E801" i="4"/>
  <c r="C789" i="4"/>
  <c r="F789" i="4" s="1"/>
  <c r="E789" i="4"/>
  <c r="C777" i="4"/>
  <c r="I777" i="4" s="1"/>
  <c r="E777" i="4"/>
  <c r="C765" i="4"/>
  <c r="F765" i="4" s="1"/>
  <c r="E765" i="4"/>
  <c r="C753" i="4"/>
  <c r="G753" i="4" s="1"/>
  <c r="E753" i="4"/>
  <c r="C741" i="4"/>
  <c r="J741" i="4" s="1"/>
  <c r="E741" i="4"/>
  <c r="C729" i="4"/>
  <c r="F729" i="4" s="1"/>
  <c r="E729" i="4"/>
  <c r="C717" i="4"/>
  <c r="J717" i="4" s="1"/>
  <c r="E717" i="4"/>
  <c r="C705" i="4"/>
  <c r="G705" i="4" s="1"/>
  <c r="E705" i="4"/>
  <c r="C693" i="4"/>
  <c r="J693" i="4" s="1"/>
  <c r="E693" i="4"/>
  <c r="C681" i="4"/>
  <c r="H681" i="4" s="1"/>
  <c r="E681" i="4"/>
  <c r="C669" i="4"/>
  <c r="I669" i="4" s="1"/>
  <c r="E669" i="4"/>
  <c r="C657" i="4"/>
  <c r="J657" i="4" s="1"/>
  <c r="E657" i="4"/>
  <c r="C645" i="4"/>
  <c r="J645" i="4" s="1"/>
  <c r="E645" i="4"/>
  <c r="C633" i="4"/>
  <c r="F633" i="4" s="1"/>
  <c r="E633" i="4"/>
  <c r="C621" i="4"/>
  <c r="J621" i="4" s="1"/>
  <c r="E621" i="4"/>
  <c r="C609" i="4"/>
  <c r="J609" i="4" s="1"/>
  <c r="E609" i="4"/>
  <c r="C597" i="4"/>
  <c r="J597" i="4" s="1"/>
  <c r="E597" i="4"/>
  <c r="C585" i="4"/>
  <c r="I585" i="4" s="1"/>
  <c r="E585" i="4"/>
  <c r="C573" i="4"/>
  <c r="G573" i="4" s="1"/>
  <c r="E573" i="4"/>
  <c r="C561" i="4"/>
  <c r="H561" i="4" s="1"/>
  <c r="E561" i="4"/>
  <c r="C549" i="4"/>
  <c r="F549" i="4" s="1"/>
  <c r="E549" i="4"/>
  <c r="C537" i="4"/>
  <c r="J537" i="4" s="1"/>
  <c r="E537" i="4"/>
  <c r="C525" i="4"/>
  <c r="J525" i="4" s="1"/>
  <c r="E525" i="4"/>
  <c r="C513" i="4"/>
  <c r="G513" i="4" s="1"/>
  <c r="E513" i="4"/>
  <c r="C501" i="4"/>
  <c r="F501" i="4" s="1"/>
  <c r="E501" i="4"/>
  <c r="C489" i="4"/>
  <c r="H489" i="4" s="1"/>
  <c r="E489" i="4"/>
  <c r="C477" i="4"/>
  <c r="J477" i="4" s="1"/>
  <c r="E477" i="4"/>
  <c r="C465" i="4"/>
  <c r="J465" i="4" s="1"/>
  <c r="E465" i="4"/>
  <c r="C453" i="4"/>
  <c r="G453" i="4" s="1"/>
  <c r="E453" i="4"/>
  <c r="C441" i="4"/>
  <c r="G441" i="4" s="1"/>
  <c r="E441" i="4"/>
  <c r="C429" i="4"/>
  <c r="J429" i="4" s="1"/>
  <c r="E429" i="4"/>
  <c r="C417" i="4"/>
  <c r="J417" i="4" s="1"/>
  <c r="E417" i="4"/>
  <c r="C405" i="4"/>
  <c r="J405" i="4" s="1"/>
  <c r="E405" i="4"/>
  <c r="C393" i="4"/>
  <c r="J393" i="4" s="1"/>
  <c r="E393" i="4"/>
  <c r="C381" i="4"/>
  <c r="J381" i="4" s="1"/>
  <c r="E381" i="4"/>
  <c r="C369" i="4"/>
  <c r="J369" i="4" s="1"/>
  <c r="E369" i="4"/>
  <c r="C357" i="4"/>
  <c r="J357" i="4" s="1"/>
  <c r="E357" i="4"/>
  <c r="C345" i="4"/>
  <c r="J345" i="4" s="1"/>
  <c r="E345" i="4"/>
  <c r="C333" i="4"/>
  <c r="F333" i="4" s="1"/>
  <c r="E333" i="4"/>
  <c r="C321" i="4"/>
  <c r="J321" i="4" s="1"/>
  <c r="E321" i="4"/>
  <c r="C309" i="4"/>
  <c r="F309" i="4" s="1"/>
  <c r="E309" i="4"/>
  <c r="C297" i="4"/>
  <c r="E297" i="4"/>
  <c r="C285" i="4"/>
  <c r="G285" i="4" s="1"/>
  <c r="E285" i="4"/>
  <c r="C273" i="4"/>
  <c r="J273" i="4" s="1"/>
  <c r="E273" i="4"/>
  <c r="C261" i="4"/>
  <c r="J261" i="4" s="1"/>
  <c r="E261" i="4"/>
  <c r="C249" i="4"/>
  <c r="I249" i="4" s="1"/>
  <c r="E249" i="4"/>
  <c r="C237" i="4"/>
  <c r="J237" i="4" s="1"/>
  <c r="E237" i="4"/>
  <c r="C225" i="4"/>
  <c r="H225" i="4" s="1"/>
  <c r="E225" i="4"/>
  <c r="C213" i="4"/>
  <c r="H213" i="4" s="1"/>
  <c r="E213" i="4"/>
  <c r="C201" i="4"/>
  <c r="J201" i="4" s="1"/>
  <c r="E201" i="4"/>
  <c r="C189" i="4"/>
  <c r="G189" i="4" s="1"/>
  <c r="E189" i="4"/>
  <c r="C177" i="4"/>
  <c r="G177" i="4" s="1"/>
  <c r="E177" i="4"/>
  <c r="C165" i="4"/>
  <c r="J165" i="4" s="1"/>
  <c r="E165" i="4"/>
  <c r="C153" i="4"/>
  <c r="E153" i="4"/>
  <c r="C141" i="4"/>
  <c r="J141" i="4" s="1"/>
  <c r="E141" i="4"/>
  <c r="C129" i="4"/>
  <c r="J129" i="4" s="1"/>
  <c r="E129" i="4"/>
  <c r="C117" i="4"/>
  <c r="I117" i="4" s="1"/>
  <c r="E117" i="4"/>
  <c r="C105" i="4"/>
  <c r="H105" i="4" s="1"/>
  <c r="E105" i="4"/>
  <c r="C93" i="4"/>
  <c r="G93" i="4" s="1"/>
  <c r="E93" i="4"/>
  <c r="C81" i="4"/>
  <c r="J81" i="4" s="1"/>
  <c r="E81" i="4"/>
  <c r="C69" i="4"/>
  <c r="J69" i="4" s="1"/>
  <c r="E69" i="4"/>
  <c r="C57" i="4"/>
  <c r="J57" i="4" s="1"/>
  <c r="E57" i="4"/>
  <c r="C45" i="4"/>
  <c r="J45" i="4" s="1"/>
  <c r="E45" i="4"/>
  <c r="C33" i="4"/>
  <c r="J33" i="4" s="1"/>
  <c r="E33" i="4"/>
  <c r="C21" i="4"/>
  <c r="J21" i="4" s="1"/>
  <c r="E21" i="4"/>
  <c r="C690" i="4"/>
  <c r="J690" i="4" s="1"/>
  <c r="C354" i="4"/>
  <c r="J354" i="4" s="1"/>
  <c r="C18" i="4"/>
  <c r="J18" i="4" s="1"/>
  <c r="E996" i="4"/>
  <c r="M996" i="4" s="1"/>
  <c r="E982" i="4"/>
  <c r="E967" i="4"/>
  <c r="M967" i="4" s="1"/>
  <c r="E952" i="4"/>
  <c r="N952" i="4" s="1"/>
  <c r="E938" i="4"/>
  <c r="L938" i="4" s="1"/>
  <c r="E922" i="4"/>
  <c r="N922" i="4" s="1"/>
  <c r="E906" i="4"/>
  <c r="K906" i="4" s="1"/>
  <c r="E890" i="4"/>
  <c r="E874" i="4"/>
  <c r="E858" i="4"/>
  <c r="O858" i="4" s="1"/>
  <c r="E842" i="4"/>
  <c r="E826" i="4"/>
  <c r="L826" i="4" s="1"/>
  <c r="E808" i="4"/>
  <c r="P808" i="4" s="1"/>
  <c r="E791" i="4"/>
  <c r="E772" i="4"/>
  <c r="E755" i="4"/>
  <c r="E735" i="4"/>
  <c r="O735" i="4" s="1"/>
  <c r="E714" i="4"/>
  <c r="K714" i="4" s="1"/>
  <c r="E695" i="4"/>
  <c r="E674" i="4"/>
  <c r="L674" i="4" s="1"/>
  <c r="E647" i="4"/>
  <c r="P647" i="4" s="1"/>
  <c r="E599" i="4"/>
  <c r="M599" i="4" s="1"/>
  <c r="E551" i="4"/>
  <c r="O551" i="4" s="1"/>
  <c r="E460" i="4"/>
  <c r="O460" i="4" s="1"/>
  <c r="E316" i="4"/>
  <c r="M316" i="4" s="1"/>
  <c r="E172" i="4"/>
  <c r="K172" i="4" s="1"/>
  <c r="E22" i="4"/>
  <c r="L22" i="4" s="1"/>
  <c r="L841" i="4"/>
  <c r="K841" i="4"/>
  <c r="N745" i="4"/>
  <c r="C517" i="4"/>
  <c r="G517" i="4" s="1"/>
  <c r="E517" i="4"/>
  <c r="C409" i="4"/>
  <c r="I409" i="4" s="1"/>
  <c r="E409" i="4"/>
  <c r="C313" i="4"/>
  <c r="H313" i="4" s="1"/>
  <c r="E313" i="4"/>
  <c r="C193" i="4"/>
  <c r="J193" i="4" s="1"/>
  <c r="E193" i="4"/>
  <c r="C73" i="4"/>
  <c r="F73" i="4" s="1"/>
  <c r="E73" i="4"/>
  <c r="C13" i="4"/>
  <c r="J13" i="4" s="1"/>
  <c r="E13" i="4"/>
  <c r="L1004" i="4"/>
  <c r="F992" i="4"/>
  <c r="P992" i="4"/>
  <c r="M992" i="4"/>
  <c r="L992" i="4"/>
  <c r="N968" i="4"/>
  <c r="M968" i="4"/>
  <c r="N944" i="4"/>
  <c r="K944" i="4"/>
  <c r="O932" i="4"/>
  <c r="N932" i="4"/>
  <c r="K932" i="4"/>
  <c r="O920" i="4"/>
  <c r="N896" i="4"/>
  <c r="L872" i="4"/>
  <c r="K872" i="4"/>
  <c r="O860" i="4"/>
  <c r="N860" i="4"/>
  <c r="K860" i="4"/>
  <c r="L848" i="4"/>
  <c r="O824" i="4"/>
  <c r="N788" i="4"/>
  <c r="K788" i="4"/>
  <c r="P776" i="4"/>
  <c r="M776" i="4"/>
  <c r="L776" i="4"/>
  <c r="K752" i="4"/>
  <c r="C740" i="4"/>
  <c r="J740" i="4" s="1"/>
  <c r="E740" i="4"/>
  <c r="C728" i="4"/>
  <c r="F728" i="4" s="1"/>
  <c r="E728" i="4"/>
  <c r="C716" i="4"/>
  <c r="J716" i="4" s="1"/>
  <c r="E716" i="4"/>
  <c r="C704" i="4"/>
  <c r="J704" i="4" s="1"/>
  <c r="E704" i="4"/>
  <c r="C692" i="4"/>
  <c r="J692" i="4" s="1"/>
  <c r="E692" i="4"/>
  <c r="C680" i="4"/>
  <c r="J680" i="4" s="1"/>
  <c r="E680" i="4"/>
  <c r="C668" i="4"/>
  <c r="J668" i="4" s="1"/>
  <c r="E668" i="4"/>
  <c r="C656" i="4"/>
  <c r="I656" i="4" s="1"/>
  <c r="E656" i="4"/>
  <c r="C644" i="4"/>
  <c r="J644" i="4" s="1"/>
  <c r="E644" i="4"/>
  <c r="C632" i="4"/>
  <c r="G632" i="4" s="1"/>
  <c r="E632" i="4"/>
  <c r="C620" i="4"/>
  <c r="I620" i="4" s="1"/>
  <c r="E620" i="4"/>
  <c r="C608" i="4"/>
  <c r="G608" i="4" s="1"/>
  <c r="E608" i="4"/>
  <c r="C596" i="4"/>
  <c r="J596" i="4" s="1"/>
  <c r="E596" i="4"/>
  <c r="C584" i="4"/>
  <c r="J584" i="4" s="1"/>
  <c r="E584" i="4"/>
  <c r="C572" i="4"/>
  <c r="I572" i="4" s="1"/>
  <c r="E572" i="4"/>
  <c r="C560" i="4"/>
  <c r="I560" i="4" s="1"/>
  <c r="E560" i="4"/>
  <c r="C548" i="4"/>
  <c r="J548" i="4" s="1"/>
  <c r="E548" i="4"/>
  <c r="C536" i="4"/>
  <c r="J536" i="4" s="1"/>
  <c r="E536" i="4"/>
  <c r="C524" i="4"/>
  <c r="J524" i="4" s="1"/>
  <c r="E524" i="4"/>
  <c r="C512" i="4"/>
  <c r="G512" i="4" s="1"/>
  <c r="E512" i="4"/>
  <c r="C500" i="4"/>
  <c r="J500" i="4" s="1"/>
  <c r="E500" i="4"/>
  <c r="C488" i="4"/>
  <c r="J488" i="4" s="1"/>
  <c r="E488" i="4"/>
  <c r="C476" i="4"/>
  <c r="I476" i="4" s="1"/>
  <c r="E476" i="4"/>
  <c r="C464" i="4"/>
  <c r="G464" i="4" s="1"/>
  <c r="E464" i="4"/>
  <c r="C452" i="4"/>
  <c r="F452" i="4" s="1"/>
  <c r="E452" i="4"/>
  <c r="C440" i="4"/>
  <c r="H440" i="4" s="1"/>
  <c r="E440" i="4"/>
  <c r="C428" i="4"/>
  <c r="I428" i="4" s="1"/>
  <c r="E428" i="4"/>
  <c r="C416" i="4"/>
  <c r="F416" i="4" s="1"/>
  <c r="E416" i="4"/>
  <c r="C404" i="4"/>
  <c r="J404" i="4" s="1"/>
  <c r="E404" i="4"/>
  <c r="C392" i="4"/>
  <c r="J392" i="4" s="1"/>
  <c r="E392" i="4"/>
  <c r="C380" i="4"/>
  <c r="F380" i="4" s="1"/>
  <c r="E380" i="4"/>
  <c r="C368" i="4"/>
  <c r="J368" i="4" s="1"/>
  <c r="E368" i="4"/>
  <c r="C356" i="4"/>
  <c r="J356" i="4" s="1"/>
  <c r="E356" i="4"/>
  <c r="C344" i="4"/>
  <c r="J344" i="4" s="1"/>
  <c r="E344" i="4"/>
  <c r="C332" i="4"/>
  <c r="H332" i="4" s="1"/>
  <c r="E332" i="4"/>
  <c r="C320" i="4"/>
  <c r="J320" i="4" s="1"/>
  <c r="E320" i="4"/>
  <c r="C308" i="4"/>
  <c r="G308" i="4" s="1"/>
  <c r="E308" i="4"/>
  <c r="C296" i="4"/>
  <c r="J296" i="4" s="1"/>
  <c r="E296" i="4"/>
  <c r="C284" i="4"/>
  <c r="J284" i="4" s="1"/>
  <c r="E284" i="4"/>
  <c r="C272" i="4"/>
  <c r="I272" i="4" s="1"/>
  <c r="E272" i="4"/>
  <c r="C260" i="4"/>
  <c r="J260" i="4" s="1"/>
  <c r="E260" i="4"/>
  <c r="C248" i="4"/>
  <c r="J248" i="4" s="1"/>
  <c r="E248" i="4"/>
  <c r="C236" i="4"/>
  <c r="I236" i="4" s="1"/>
  <c r="E236" i="4"/>
  <c r="C224" i="4"/>
  <c r="G224" i="4" s="1"/>
  <c r="E224" i="4"/>
  <c r="C212" i="4"/>
  <c r="J212" i="4" s="1"/>
  <c r="E212" i="4"/>
  <c r="C200" i="4"/>
  <c r="J200" i="4" s="1"/>
  <c r="E200" i="4"/>
  <c r="C188" i="4"/>
  <c r="H188" i="4" s="1"/>
  <c r="E188" i="4"/>
  <c r="C176" i="4"/>
  <c r="J176" i="4" s="1"/>
  <c r="E176" i="4"/>
  <c r="C164" i="4"/>
  <c r="J164" i="4" s="1"/>
  <c r="E164" i="4"/>
  <c r="C152" i="4"/>
  <c r="J152" i="4" s="1"/>
  <c r="E152" i="4"/>
  <c r="C140" i="4"/>
  <c r="J140" i="4" s="1"/>
  <c r="E140" i="4"/>
  <c r="C128" i="4"/>
  <c r="F128" i="4" s="1"/>
  <c r="E128" i="4"/>
  <c r="C116" i="4"/>
  <c r="J116" i="4" s="1"/>
  <c r="E116" i="4"/>
  <c r="C104" i="4"/>
  <c r="F104" i="4" s="1"/>
  <c r="E104" i="4"/>
  <c r="C92" i="4"/>
  <c r="J92" i="4" s="1"/>
  <c r="E92" i="4"/>
  <c r="C80" i="4"/>
  <c r="J80" i="4" s="1"/>
  <c r="E80" i="4"/>
  <c r="C68" i="4"/>
  <c r="H68" i="4" s="1"/>
  <c r="E68" i="4"/>
  <c r="C56" i="4"/>
  <c r="J56" i="4" s="1"/>
  <c r="E56" i="4"/>
  <c r="C44" i="4"/>
  <c r="H44" i="4" s="1"/>
  <c r="E44" i="4"/>
  <c r="C32" i="4"/>
  <c r="J32" i="4" s="1"/>
  <c r="E32" i="4"/>
  <c r="C20" i="4"/>
  <c r="J20" i="4" s="1"/>
  <c r="E20" i="4"/>
  <c r="C978" i="4"/>
  <c r="J978" i="4" s="1"/>
  <c r="C642" i="4"/>
  <c r="J642" i="4" s="1"/>
  <c r="C353" i="4"/>
  <c r="J353" i="4" s="1"/>
  <c r="C17" i="4"/>
  <c r="J17" i="4" s="1"/>
  <c r="E995" i="4"/>
  <c r="P995" i="4" s="1"/>
  <c r="E980" i="4"/>
  <c r="E966" i="4"/>
  <c r="E951" i="4"/>
  <c r="M951" i="4" s="1"/>
  <c r="E937" i="4"/>
  <c r="K937" i="4" s="1"/>
  <c r="E920" i="4"/>
  <c r="M920" i="4" s="1"/>
  <c r="E904" i="4"/>
  <c r="M904" i="4" s="1"/>
  <c r="E889" i="4"/>
  <c r="E872" i="4"/>
  <c r="N872" i="4" s="1"/>
  <c r="E856" i="4"/>
  <c r="K856" i="4" s="1"/>
  <c r="E841" i="4"/>
  <c r="P841" i="4" s="1"/>
  <c r="E824" i="4"/>
  <c r="M824" i="4" s="1"/>
  <c r="E807" i="4"/>
  <c r="O807" i="4" s="1"/>
  <c r="E788" i="4"/>
  <c r="O788" i="4" s="1"/>
  <c r="E771" i="4"/>
  <c r="E752" i="4"/>
  <c r="N752" i="4" s="1"/>
  <c r="E734" i="4"/>
  <c r="L734" i="4" s="1"/>
  <c r="E712" i="4"/>
  <c r="P712" i="4" s="1"/>
  <c r="E691" i="4"/>
  <c r="M691" i="4" s="1"/>
  <c r="E673" i="4"/>
  <c r="M673" i="4" s="1"/>
  <c r="E640" i="4"/>
  <c r="P640" i="4" s="1"/>
  <c r="E592" i="4"/>
  <c r="P592" i="4" s="1"/>
  <c r="E544" i="4"/>
  <c r="O544" i="4" s="1"/>
  <c r="E448" i="4"/>
  <c r="O448" i="4" s="1"/>
  <c r="E304" i="4"/>
  <c r="N304" i="4" s="1"/>
  <c r="E160" i="4"/>
  <c r="M160" i="4" s="1"/>
  <c r="E9" i="4"/>
  <c r="P9" i="4" s="1"/>
  <c r="N865" i="4"/>
  <c r="C505" i="4"/>
  <c r="J505" i="4" s="1"/>
  <c r="E505" i="4"/>
  <c r="L1003" i="4"/>
  <c r="K1003" i="4"/>
  <c r="L967" i="4"/>
  <c r="K967" i="4"/>
  <c r="P955" i="4"/>
  <c r="N955" i="4"/>
  <c r="M955" i="4"/>
  <c r="N943" i="4"/>
  <c r="O919" i="4"/>
  <c r="K919" i="4"/>
  <c r="P907" i="4"/>
  <c r="O907" i="4"/>
  <c r="N907" i="4"/>
  <c r="L907" i="4"/>
  <c r="P895" i="4"/>
  <c r="N895" i="4"/>
  <c r="M895" i="4"/>
  <c r="L895" i="4"/>
  <c r="M883" i="4"/>
  <c r="N847" i="4"/>
  <c r="L847" i="4"/>
  <c r="O823" i="4"/>
  <c r="O811" i="4"/>
  <c r="M811" i="4"/>
  <c r="L811" i="4"/>
  <c r="K811" i="4"/>
  <c r="L799" i="4"/>
  <c r="K787" i="4"/>
  <c r="P739" i="4"/>
  <c r="N739" i="4"/>
  <c r="L739" i="4"/>
  <c r="M739" i="4"/>
  <c r="K739" i="4"/>
  <c r="O727" i="4"/>
  <c r="L727" i="4"/>
  <c r="K703" i="4"/>
  <c r="F691" i="4"/>
  <c r="N691" i="4"/>
  <c r="L691" i="4"/>
  <c r="K691" i="4"/>
  <c r="N679" i="4"/>
  <c r="L679" i="4"/>
  <c r="N667" i="4"/>
  <c r="L667" i="4"/>
  <c r="C655" i="4"/>
  <c r="F655" i="4" s="1"/>
  <c r="E655" i="4"/>
  <c r="C643" i="4"/>
  <c r="J643" i="4" s="1"/>
  <c r="E643" i="4"/>
  <c r="C631" i="4"/>
  <c r="J631" i="4" s="1"/>
  <c r="E631" i="4"/>
  <c r="C619" i="4"/>
  <c r="J619" i="4" s="1"/>
  <c r="E619" i="4"/>
  <c r="C607" i="4"/>
  <c r="H607" i="4" s="1"/>
  <c r="E607" i="4"/>
  <c r="C595" i="4"/>
  <c r="H595" i="4" s="1"/>
  <c r="E595" i="4"/>
  <c r="C583" i="4"/>
  <c r="J583" i="4" s="1"/>
  <c r="E583" i="4"/>
  <c r="C571" i="4"/>
  <c r="G571" i="4" s="1"/>
  <c r="E571" i="4"/>
  <c r="C559" i="4"/>
  <c r="F559" i="4" s="1"/>
  <c r="E559" i="4"/>
  <c r="C547" i="4"/>
  <c r="G547" i="4" s="1"/>
  <c r="E547" i="4"/>
  <c r="C535" i="4"/>
  <c r="J535" i="4" s="1"/>
  <c r="E535" i="4"/>
  <c r="C523" i="4"/>
  <c r="J523" i="4" s="1"/>
  <c r="E523" i="4"/>
  <c r="C511" i="4"/>
  <c r="I511" i="4" s="1"/>
  <c r="E511" i="4"/>
  <c r="C499" i="4"/>
  <c r="F499" i="4" s="1"/>
  <c r="E499" i="4"/>
  <c r="C487" i="4"/>
  <c r="G487" i="4" s="1"/>
  <c r="E487" i="4"/>
  <c r="C475" i="4"/>
  <c r="J475" i="4" s="1"/>
  <c r="E475" i="4"/>
  <c r="C463" i="4"/>
  <c r="I463" i="4" s="1"/>
  <c r="E463" i="4"/>
  <c r="C451" i="4"/>
  <c r="J451" i="4" s="1"/>
  <c r="E451" i="4"/>
  <c r="C439" i="4"/>
  <c r="F439" i="4" s="1"/>
  <c r="E439" i="4"/>
  <c r="C427" i="4"/>
  <c r="J427" i="4" s="1"/>
  <c r="E427" i="4"/>
  <c r="C415" i="4"/>
  <c r="I415" i="4" s="1"/>
  <c r="E415" i="4"/>
  <c r="C403" i="4"/>
  <c r="F403" i="4" s="1"/>
  <c r="E403" i="4"/>
  <c r="C391" i="4"/>
  <c r="I391" i="4" s="1"/>
  <c r="E391" i="4"/>
  <c r="C379" i="4"/>
  <c r="I379" i="4" s="1"/>
  <c r="E379" i="4"/>
  <c r="C367" i="4"/>
  <c r="G367" i="4" s="1"/>
  <c r="E367" i="4"/>
  <c r="C355" i="4"/>
  <c r="J355" i="4" s="1"/>
  <c r="E355" i="4"/>
  <c r="C343" i="4"/>
  <c r="J343" i="4" s="1"/>
  <c r="E343" i="4"/>
  <c r="C331" i="4"/>
  <c r="J331" i="4" s="1"/>
  <c r="E331" i="4"/>
  <c r="C319" i="4"/>
  <c r="H319" i="4" s="1"/>
  <c r="E319" i="4"/>
  <c r="C307" i="4"/>
  <c r="J307" i="4" s="1"/>
  <c r="E307" i="4"/>
  <c r="C295" i="4"/>
  <c r="G295" i="4" s="1"/>
  <c r="E295" i="4"/>
  <c r="C283" i="4"/>
  <c r="I283" i="4" s="1"/>
  <c r="E283" i="4"/>
  <c r="C271" i="4"/>
  <c r="J271" i="4" s="1"/>
  <c r="E271" i="4"/>
  <c r="C259" i="4"/>
  <c r="J259" i="4" s="1"/>
  <c r="E259" i="4"/>
  <c r="C247" i="4"/>
  <c r="G247" i="4" s="1"/>
  <c r="E247" i="4"/>
  <c r="C235" i="4"/>
  <c r="F235" i="4" s="1"/>
  <c r="E235" i="4"/>
  <c r="C223" i="4"/>
  <c r="E223" i="4"/>
  <c r="C211" i="4"/>
  <c r="J211" i="4" s="1"/>
  <c r="E211" i="4"/>
  <c r="C199" i="4"/>
  <c r="J199" i="4" s="1"/>
  <c r="E199" i="4"/>
  <c r="C187" i="4"/>
  <c r="H187" i="4" s="1"/>
  <c r="E187" i="4"/>
  <c r="C175" i="4"/>
  <c r="I175" i="4" s="1"/>
  <c r="E175" i="4"/>
  <c r="C163" i="4"/>
  <c r="I163" i="4" s="1"/>
  <c r="E163" i="4"/>
  <c r="C151" i="4"/>
  <c r="J151" i="4" s="1"/>
  <c r="E151" i="4"/>
  <c r="C139" i="4"/>
  <c r="H139" i="4" s="1"/>
  <c r="E139" i="4"/>
  <c r="C127" i="4"/>
  <c r="J127" i="4" s="1"/>
  <c r="E127" i="4"/>
  <c r="C115" i="4"/>
  <c r="J115" i="4" s="1"/>
  <c r="E115" i="4"/>
  <c r="C103" i="4"/>
  <c r="F103" i="4" s="1"/>
  <c r="E103" i="4"/>
  <c r="C91" i="4"/>
  <c r="J91" i="4" s="1"/>
  <c r="E91" i="4"/>
  <c r="C79" i="4"/>
  <c r="E79" i="4"/>
  <c r="C67" i="4"/>
  <c r="F67" i="4" s="1"/>
  <c r="E67" i="4"/>
  <c r="C55" i="4"/>
  <c r="J55" i="4" s="1"/>
  <c r="E55" i="4"/>
  <c r="C43" i="4"/>
  <c r="J43" i="4" s="1"/>
  <c r="E43" i="4"/>
  <c r="C31" i="4"/>
  <c r="F31" i="4" s="1"/>
  <c r="E31" i="4"/>
  <c r="C930" i="4"/>
  <c r="I930" i="4" s="1"/>
  <c r="C641" i="4"/>
  <c r="F641" i="4" s="1"/>
  <c r="C306" i="4"/>
  <c r="J306" i="4" s="1"/>
  <c r="E1008" i="4"/>
  <c r="E994" i="4"/>
  <c r="O994" i="4" s="1"/>
  <c r="E979" i="4"/>
  <c r="E964" i="4"/>
  <c r="M964" i="4" s="1"/>
  <c r="E950" i="4"/>
  <c r="L950" i="4" s="1"/>
  <c r="E935" i="4"/>
  <c r="N935" i="4" s="1"/>
  <c r="E919" i="4"/>
  <c r="M919" i="4" s="1"/>
  <c r="E903" i="4"/>
  <c r="O903" i="4" s="1"/>
  <c r="E887" i="4"/>
  <c r="K887" i="4" s="1"/>
  <c r="E871" i="4"/>
  <c r="E855" i="4"/>
  <c r="K855" i="4" s="1"/>
  <c r="E839" i="4"/>
  <c r="L839" i="4" s="1"/>
  <c r="E823" i="4"/>
  <c r="M823" i="4" s="1"/>
  <c r="E806" i="4"/>
  <c r="K806" i="4" s="1"/>
  <c r="E787" i="4"/>
  <c r="M787" i="4" s="1"/>
  <c r="E770" i="4"/>
  <c r="O770" i="4" s="1"/>
  <c r="E751" i="4"/>
  <c r="M751" i="4" s="1"/>
  <c r="E733" i="4"/>
  <c r="L733" i="4" s="1"/>
  <c r="E711" i="4"/>
  <c r="L711" i="4" s="1"/>
  <c r="E671" i="4"/>
  <c r="N671" i="4" s="1"/>
  <c r="E637" i="4"/>
  <c r="E589" i="4"/>
  <c r="P589" i="4" s="1"/>
  <c r="E541" i="4"/>
  <c r="E436" i="4"/>
  <c r="E292" i="4"/>
  <c r="E148" i="4"/>
  <c r="P961" i="4"/>
  <c r="M961" i="4"/>
  <c r="P829" i="4"/>
  <c r="M829" i="4"/>
  <c r="K829" i="4"/>
  <c r="O697" i="4"/>
  <c r="M697" i="4"/>
  <c r="K697" i="4"/>
  <c r="L697" i="4"/>
  <c r="O589" i="4"/>
  <c r="M589" i="4"/>
  <c r="C457" i="4"/>
  <c r="I457" i="4" s="1"/>
  <c r="E457" i="4"/>
  <c r="C361" i="4"/>
  <c r="G361" i="4" s="1"/>
  <c r="E361" i="4"/>
  <c r="C241" i="4"/>
  <c r="J241" i="4" s="1"/>
  <c r="E241" i="4"/>
  <c r="C133" i="4"/>
  <c r="J133" i="4" s="1"/>
  <c r="E133" i="4"/>
  <c r="P786" i="4"/>
  <c r="O786" i="4"/>
  <c r="N786" i="4"/>
  <c r="M786" i="4"/>
  <c r="L786" i="4"/>
  <c r="K786" i="4"/>
  <c r="L1002" i="4"/>
  <c r="L990" i="4"/>
  <c r="M990" i="4"/>
  <c r="P954" i="4"/>
  <c r="N954" i="4"/>
  <c r="M954" i="4"/>
  <c r="L954" i="4"/>
  <c r="O918" i="4"/>
  <c r="P906" i="4"/>
  <c r="O906" i="4"/>
  <c r="N906" i="4"/>
  <c r="L906" i="4"/>
  <c r="N858" i="4"/>
  <c r="P846" i="4"/>
  <c r="N846" i="4"/>
  <c r="M846" i="4"/>
  <c r="L846" i="4"/>
  <c r="M810" i="4"/>
  <c r="L810" i="4"/>
  <c r="N774" i="4"/>
  <c r="M774" i="4"/>
  <c r="L774" i="4"/>
  <c r="M762" i="4"/>
  <c r="L762" i="4"/>
  <c r="P714" i="4"/>
  <c r="O714" i="4"/>
  <c r="N714" i="4"/>
  <c r="K702" i="4"/>
  <c r="M666" i="4"/>
  <c r="C654" i="4"/>
  <c r="J654" i="4" s="1"/>
  <c r="E654" i="4"/>
  <c r="C630" i="4"/>
  <c r="F630" i="4" s="1"/>
  <c r="E630" i="4"/>
  <c r="C618" i="4"/>
  <c r="J618" i="4" s="1"/>
  <c r="E618" i="4"/>
  <c r="C606" i="4"/>
  <c r="I606" i="4" s="1"/>
  <c r="E606" i="4"/>
  <c r="C582" i="4"/>
  <c r="I582" i="4" s="1"/>
  <c r="E582" i="4"/>
  <c r="C570" i="4"/>
  <c r="J570" i="4" s="1"/>
  <c r="E570" i="4"/>
  <c r="C558" i="4"/>
  <c r="J558" i="4" s="1"/>
  <c r="E558" i="4"/>
  <c r="C534" i="4"/>
  <c r="J534" i="4" s="1"/>
  <c r="E534" i="4"/>
  <c r="C522" i="4"/>
  <c r="I522" i="4" s="1"/>
  <c r="E522" i="4"/>
  <c r="C510" i="4"/>
  <c r="J510" i="4" s="1"/>
  <c r="E510" i="4"/>
  <c r="C486" i="4"/>
  <c r="J486" i="4" s="1"/>
  <c r="E486" i="4"/>
  <c r="C474" i="4"/>
  <c r="F474" i="4" s="1"/>
  <c r="E474" i="4"/>
  <c r="C462" i="4"/>
  <c r="J462" i="4" s="1"/>
  <c r="E462" i="4"/>
  <c r="C438" i="4"/>
  <c r="H438" i="4" s="1"/>
  <c r="E438" i="4"/>
  <c r="C426" i="4"/>
  <c r="G426" i="4" s="1"/>
  <c r="E426" i="4"/>
  <c r="C414" i="4"/>
  <c r="J414" i="4" s="1"/>
  <c r="E414" i="4"/>
  <c r="C390" i="4"/>
  <c r="J390" i="4" s="1"/>
  <c r="E390" i="4"/>
  <c r="C378" i="4"/>
  <c r="H378" i="4" s="1"/>
  <c r="E378" i="4"/>
  <c r="C366" i="4"/>
  <c r="J366" i="4" s="1"/>
  <c r="E366" i="4"/>
  <c r="C342" i="4"/>
  <c r="J342" i="4" s="1"/>
  <c r="E342" i="4"/>
  <c r="C330" i="4"/>
  <c r="J330" i="4" s="1"/>
  <c r="E330" i="4"/>
  <c r="C318" i="4"/>
  <c r="H318" i="4" s="1"/>
  <c r="E318" i="4"/>
  <c r="C294" i="4"/>
  <c r="J294" i="4" s="1"/>
  <c r="E294" i="4"/>
  <c r="C282" i="4"/>
  <c r="J282" i="4" s="1"/>
  <c r="E282" i="4"/>
  <c r="C270" i="4"/>
  <c r="H270" i="4" s="1"/>
  <c r="E270" i="4"/>
  <c r="C246" i="4"/>
  <c r="J246" i="4" s="1"/>
  <c r="E246" i="4"/>
  <c r="C234" i="4"/>
  <c r="J234" i="4" s="1"/>
  <c r="E234" i="4"/>
  <c r="C222" i="4"/>
  <c r="F222" i="4" s="1"/>
  <c r="E222" i="4"/>
  <c r="C198" i="4"/>
  <c r="J198" i="4" s="1"/>
  <c r="E198" i="4"/>
  <c r="C186" i="4"/>
  <c r="G186" i="4" s="1"/>
  <c r="E186" i="4"/>
  <c r="C174" i="4"/>
  <c r="J174" i="4" s="1"/>
  <c r="E174" i="4"/>
  <c r="C150" i="4"/>
  <c r="I150" i="4" s="1"/>
  <c r="E150" i="4"/>
  <c r="C138" i="4"/>
  <c r="J138" i="4" s="1"/>
  <c r="E138" i="4"/>
  <c r="C126" i="4"/>
  <c r="J126" i="4" s="1"/>
  <c r="E126" i="4"/>
  <c r="C102" i="4"/>
  <c r="F102" i="4" s="1"/>
  <c r="E102" i="4"/>
  <c r="C90" i="4"/>
  <c r="J90" i="4" s="1"/>
  <c r="E90" i="4"/>
  <c r="C78" i="4"/>
  <c r="J78" i="4" s="1"/>
  <c r="E78" i="4"/>
  <c r="C54" i="4"/>
  <c r="F54" i="4" s="1"/>
  <c r="E54" i="4"/>
  <c r="C42" i="4"/>
  <c r="J42" i="4" s="1"/>
  <c r="E42" i="4"/>
  <c r="C30" i="4"/>
  <c r="F30" i="4" s="1"/>
  <c r="E30" i="4"/>
  <c r="C929" i="4"/>
  <c r="J929" i="4" s="1"/>
  <c r="C594" i="4"/>
  <c r="I594" i="4" s="1"/>
  <c r="C305" i="4"/>
  <c r="G305" i="4" s="1"/>
  <c r="E1007" i="4"/>
  <c r="E992" i="4"/>
  <c r="N992" i="4" s="1"/>
  <c r="E963" i="4"/>
  <c r="M963" i="4" s="1"/>
  <c r="E949" i="4"/>
  <c r="E934" i="4"/>
  <c r="O934" i="4" s="1"/>
  <c r="E918" i="4"/>
  <c r="P918" i="4" s="1"/>
  <c r="E902" i="4"/>
  <c r="M902" i="4" s="1"/>
  <c r="E886" i="4"/>
  <c r="E870" i="4"/>
  <c r="E854" i="4"/>
  <c r="N854" i="4" s="1"/>
  <c r="E838" i="4"/>
  <c r="K838" i="4" s="1"/>
  <c r="E822" i="4"/>
  <c r="E805" i="4"/>
  <c r="P805" i="4" s="1"/>
  <c r="E769" i="4"/>
  <c r="O769" i="4" s="1"/>
  <c r="E750" i="4"/>
  <c r="E731" i="4"/>
  <c r="N731" i="4" s="1"/>
  <c r="E710" i="4"/>
  <c r="E688" i="4"/>
  <c r="O688" i="4" s="1"/>
  <c r="E667" i="4"/>
  <c r="P667" i="4" s="1"/>
  <c r="E635" i="4"/>
  <c r="K635" i="4" s="1"/>
  <c r="E587" i="4"/>
  <c r="E539" i="4"/>
  <c r="E424" i="4"/>
  <c r="M424" i="4" s="1"/>
  <c r="E280" i="4"/>
  <c r="P280" i="4" s="1"/>
  <c r="E136" i="4"/>
  <c r="N136" i="4" s="1"/>
  <c r="P925" i="4"/>
  <c r="L925" i="4"/>
  <c r="K925" i="4"/>
  <c r="M805" i="4"/>
  <c r="L805" i="4"/>
  <c r="K805" i="4"/>
  <c r="P673" i="4"/>
  <c r="N673" i="4"/>
  <c r="N553" i="4"/>
  <c r="K553" i="4"/>
  <c r="C445" i="4"/>
  <c r="H445" i="4" s="1"/>
  <c r="E445" i="4"/>
  <c r="C289" i="4"/>
  <c r="G289" i="4" s="1"/>
  <c r="E289" i="4"/>
  <c r="C145" i="4"/>
  <c r="J145" i="4" s="1"/>
  <c r="E145" i="4"/>
  <c r="E661" i="4"/>
  <c r="P661" i="4" s="1"/>
  <c r="C1001" i="4"/>
  <c r="J1001" i="4" s="1"/>
  <c r="E1001" i="4"/>
  <c r="C989" i="4"/>
  <c r="J989" i="4" s="1"/>
  <c r="E989" i="4"/>
  <c r="E977" i="4"/>
  <c r="C977" i="4"/>
  <c r="J977" i="4" s="1"/>
  <c r="C965" i="4"/>
  <c r="I965" i="4" s="1"/>
  <c r="E965" i="4"/>
  <c r="C953" i="4"/>
  <c r="H953" i="4" s="1"/>
  <c r="E953" i="4"/>
  <c r="C941" i="4"/>
  <c r="H941" i="4" s="1"/>
  <c r="E941" i="4"/>
  <c r="C917" i="4"/>
  <c r="H917" i="4" s="1"/>
  <c r="E917" i="4"/>
  <c r="C905" i="4"/>
  <c r="J905" i="4" s="1"/>
  <c r="E905" i="4"/>
  <c r="C893" i="4"/>
  <c r="J893" i="4" s="1"/>
  <c r="E893" i="4"/>
  <c r="C869" i="4"/>
  <c r="J869" i="4" s="1"/>
  <c r="E869" i="4"/>
  <c r="C857" i="4"/>
  <c r="J857" i="4" s="1"/>
  <c r="E857" i="4"/>
  <c r="C845" i="4"/>
  <c r="J845" i="4" s="1"/>
  <c r="E845" i="4"/>
  <c r="C821" i="4"/>
  <c r="J821" i="4" s="1"/>
  <c r="E821" i="4"/>
  <c r="C809" i="4"/>
  <c r="H809" i="4" s="1"/>
  <c r="E809" i="4"/>
  <c r="C797" i="4"/>
  <c r="F797" i="4" s="1"/>
  <c r="E797" i="4"/>
  <c r="C773" i="4"/>
  <c r="J773" i="4" s="1"/>
  <c r="E773" i="4"/>
  <c r="C761" i="4"/>
  <c r="J761" i="4" s="1"/>
  <c r="E761" i="4"/>
  <c r="C749" i="4"/>
  <c r="J749" i="4" s="1"/>
  <c r="E749" i="4"/>
  <c r="C725" i="4"/>
  <c r="F725" i="4" s="1"/>
  <c r="E725" i="4"/>
  <c r="C713" i="4"/>
  <c r="J713" i="4" s="1"/>
  <c r="E713" i="4"/>
  <c r="C701" i="4"/>
  <c r="J701" i="4" s="1"/>
  <c r="E701" i="4"/>
  <c r="E689" i="4"/>
  <c r="C689" i="4"/>
  <c r="J689" i="4" s="1"/>
  <c r="C677" i="4"/>
  <c r="J677" i="4" s="1"/>
  <c r="E677" i="4"/>
  <c r="C665" i="4"/>
  <c r="J665" i="4" s="1"/>
  <c r="E665" i="4"/>
  <c r="C653" i="4"/>
  <c r="J653" i="4" s="1"/>
  <c r="E653" i="4"/>
  <c r="C629" i="4"/>
  <c r="I629" i="4" s="1"/>
  <c r="E629" i="4"/>
  <c r="C617" i="4"/>
  <c r="J617" i="4" s="1"/>
  <c r="E617" i="4"/>
  <c r="C605" i="4"/>
  <c r="H605" i="4" s="1"/>
  <c r="E605" i="4"/>
  <c r="C581" i="4"/>
  <c r="H581" i="4" s="1"/>
  <c r="E581" i="4"/>
  <c r="C569" i="4"/>
  <c r="J569" i="4" s="1"/>
  <c r="E569" i="4"/>
  <c r="C557" i="4"/>
  <c r="J557" i="4" s="1"/>
  <c r="E557" i="4"/>
  <c r="C533" i="4"/>
  <c r="I533" i="4" s="1"/>
  <c r="E533" i="4"/>
  <c r="C521" i="4"/>
  <c r="G521" i="4" s="1"/>
  <c r="E521" i="4"/>
  <c r="C509" i="4"/>
  <c r="F509" i="4" s="1"/>
  <c r="E509" i="4"/>
  <c r="C485" i="4"/>
  <c r="F485" i="4" s="1"/>
  <c r="E485" i="4"/>
  <c r="C473" i="4"/>
  <c r="I473" i="4" s="1"/>
  <c r="E473" i="4"/>
  <c r="C461" i="4"/>
  <c r="J461" i="4" s="1"/>
  <c r="E461" i="4"/>
  <c r="C437" i="4"/>
  <c r="J437" i="4" s="1"/>
  <c r="E437" i="4"/>
  <c r="C425" i="4"/>
  <c r="J425" i="4" s="1"/>
  <c r="E425" i="4"/>
  <c r="C413" i="4"/>
  <c r="J413" i="4" s="1"/>
  <c r="E413" i="4"/>
  <c r="E401" i="4"/>
  <c r="C401" i="4"/>
  <c r="H401" i="4" s="1"/>
  <c r="C389" i="4"/>
  <c r="J389" i="4" s="1"/>
  <c r="E389" i="4"/>
  <c r="C377" i="4"/>
  <c r="H377" i="4" s="1"/>
  <c r="E377" i="4"/>
  <c r="C365" i="4"/>
  <c r="I365" i="4" s="1"/>
  <c r="E365" i="4"/>
  <c r="C341" i="4"/>
  <c r="H341" i="4" s="1"/>
  <c r="E341" i="4"/>
  <c r="C329" i="4"/>
  <c r="J329" i="4" s="1"/>
  <c r="E329" i="4"/>
  <c r="C317" i="4"/>
  <c r="I317" i="4" s="1"/>
  <c r="E317" i="4"/>
  <c r="C293" i="4"/>
  <c r="J293" i="4" s="1"/>
  <c r="E293" i="4"/>
  <c r="C281" i="4"/>
  <c r="F281" i="4" s="1"/>
  <c r="E281" i="4"/>
  <c r="C269" i="4"/>
  <c r="G269" i="4" s="1"/>
  <c r="E269" i="4"/>
  <c r="C245" i="4"/>
  <c r="J245" i="4" s="1"/>
  <c r="E245" i="4"/>
  <c r="C233" i="4"/>
  <c r="H233" i="4" s="1"/>
  <c r="E233" i="4"/>
  <c r="C221" i="4"/>
  <c r="G221" i="4" s="1"/>
  <c r="E221" i="4"/>
  <c r="E209" i="4"/>
  <c r="C209" i="4"/>
  <c r="F209" i="4" s="1"/>
  <c r="C197" i="4"/>
  <c r="H197" i="4" s="1"/>
  <c r="E197" i="4"/>
  <c r="C185" i="4"/>
  <c r="H185" i="4" s="1"/>
  <c r="E185" i="4"/>
  <c r="C173" i="4"/>
  <c r="J173" i="4" s="1"/>
  <c r="E173" i="4"/>
  <c r="C149" i="4"/>
  <c r="G149" i="4" s="1"/>
  <c r="E149" i="4"/>
  <c r="C137" i="4"/>
  <c r="I137" i="4" s="1"/>
  <c r="E137" i="4"/>
  <c r="C125" i="4"/>
  <c r="F125" i="4" s="1"/>
  <c r="E125" i="4"/>
  <c r="E113" i="4"/>
  <c r="C113" i="4"/>
  <c r="F113" i="4" s="1"/>
  <c r="C101" i="4"/>
  <c r="I101" i="4" s="1"/>
  <c r="E101" i="4"/>
  <c r="C89" i="4"/>
  <c r="J89" i="4" s="1"/>
  <c r="E89" i="4"/>
  <c r="C77" i="4"/>
  <c r="J77" i="4" s="1"/>
  <c r="E77" i="4"/>
  <c r="C53" i="4"/>
  <c r="J53" i="4" s="1"/>
  <c r="E53" i="4"/>
  <c r="C41" i="4"/>
  <c r="J41" i="4" s="1"/>
  <c r="E41" i="4"/>
  <c r="C29" i="4"/>
  <c r="J29" i="4" s="1"/>
  <c r="E29" i="4"/>
  <c r="C882" i="4"/>
  <c r="G882" i="4" s="1"/>
  <c r="C593" i="4"/>
  <c r="C258" i="4"/>
  <c r="F258" i="4" s="1"/>
  <c r="E1006" i="4"/>
  <c r="E991" i="4"/>
  <c r="E976" i="4"/>
  <c r="N976" i="4" s="1"/>
  <c r="E962" i="4"/>
  <c r="E948" i="4"/>
  <c r="K948" i="4" s="1"/>
  <c r="E932" i="4"/>
  <c r="L932" i="4" s="1"/>
  <c r="E916" i="4"/>
  <c r="E901" i="4"/>
  <c r="E884" i="4"/>
  <c r="E868" i="4"/>
  <c r="E853" i="4"/>
  <c r="E836" i="4"/>
  <c r="E820" i="4"/>
  <c r="N820" i="4" s="1"/>
  <c r="E803" i="4"/>
  <c r="P803" i="4" s="1"/>
  <c r="E784" i="4"/>
  <c r="L784" i="4" s="1"/>
  <c r="E767" i="4"/>
  <c r="N767" i="4" s="1"/>
  <c r="E748" i="4"/>
  <c r="N748" i="4" s="1"/>
  <c r="E727" i="4"/>
  <c r="M727" i="4" s="1"/>
  <c r="E709" i="4"/>
  <c r="E687" i="4"/>
  <c r="P687" i="4" s="1"/>
  <c r="E666" i="4"/>
  <c r="N666" i="4" s="1"/>
  <c r="E628" i="4"/>
  <c r="E580" i="4"/>
  <c r="E532" i="4"/>
  <c r="L532" i="4" s="1"/>
  <c r="E412" i="4"/>
  <c r="E268" i="4"/>
  <c r="E124" i="4"/>
  <c r="P913" i="4"/>
  <c r="P781" i="4"/>
  <c r="M781" i="4"/>
  <c r="O649" i="4"/>
  <c r="N649" i="4"/>
  <c r="M649" i="4"/>
  <c r="L649" i="4"/>
  <c r="C433" i="4"/>
  <c r="J433" i="4" s="1"/>
  <c r="E433" i="4"/>
  <c r="C349" i="4"/>
  <c r="J349" i="4" s="1"/>
  <c r="E349" i="4"/>
  <c r="C253" i="4"/>
  <c r="J253" i="4" s="1"/>
  <c r="E253" i="4"/>
  <c r="C181" i="4"/>
  <c r="I181" i="4" s="1"/>
  <c r="E181" i="4"/>
  <c r="C97" i="4"/>
  <c r="I97" i="4" s="1"/>
  <c r="E97" i="4"/>
  <c r="E613" i="4"/>
  <c r="O1000" i="4"/>
  <c r="N1000" i="4"/>
  <c r="L1000" i="4"/>
  <c r="K1000" i="4"/>
  <c r="P976" i="4"/>
  <c r="O976" i="4"/>
  <c r="P964" i="4"/>
  <c r="K964" i="4"/>
  <c r="P952" i="4"/>
  <c r="O952" i="4"/>
  <c r="L952" i="4"/>
  <c r="P928" i="4"/>
  <c r="P916" i="4"/>
  <c r="N904" i="4"/>
  <c r="L904" i="4"/>
  <c r="K904" i="4"/>
  <c r="O892" i="4"/>
  <c r="P880" i="4"/>
  <c r="N880" i="4"/>
  <c r="P856" i="4"/>
  <c r="O856" i="4"/>
  <c r="N856" i="4"/>
  <c r="M856" i="4"/>
  <c r="P832" i="4"/>
  <c r="O820" i="4"/>
  <c r="L820" i="4"/>
  <c r="K820" i="4"/>
  <c r="N808" i="4"/>
  <c r="L808" i="4"/>
  <c r="K808" i="4"/>
  <c r="M784" i="4"/>
  <c r="K784" i="4"/>
  <c r="P760" i="4"/>
  <c r="N760" i="4"/>
  <c r="M760" i="4"/>
  <c r="L760" i="4"/>
  <c r="K760" i="4"/>
  <c r="P748" i="4"/>
  <c r="M748" i="4"/>
  <c r="N736" i="4"/>
  <c r="M736" i="4"/>
  <c r="K736" i="4"/>
  <c r="O712" i="4"/>
  <c r="L712" i="4"/>
  <c r="L700" i="4"/>
  <c r="N688" i="4"/>
  <c r="M688" i="4"/>
  <c r="L688" i="4"/>
  <c r="P676" i="4"/>
  <c r="O676" i="4"/>
  <c r="N664" i="4"/>
  <c r="N640" i="4"/>
  <c r="M640" i="4"/>
  <c r="K640" i="4"/>
  <c r="P604" i="4"/>
  <c r="O604" i="4"/>
  <c r="N604" i="4"/>
  <c r="L604" i="4"/>
  <c r="K604" i="4"/>
  <c r="N592" i="4"/>
  <c r="M592" i="4"/>
  <c r="L592" i="4"/>
  <c r="K592" i="4"/>
  <c r="P568" i="4"/>
  <c r="P544" i="4"/>
  <c r="K544" i="4"/>
  <c r="L544" i="4"/>
  <c r="O532" i="4"/>
  <c r="M532" i="4"/>
  <c r="K532" i="4"/>
  <c r="L520" i="4"/>
  <c r="P496" i="4"/>
  <c r="N496" i="4"/>
  <c r="M496" i="4"/>
  <c r="K496" i="4"/>
  <c r="P472" i="4"/>
  <c r="N472" i="4"/>
  <c r="M472" i="4"/>
  <c r="K472" i="4"/>
  <c r="P460" i="4"/>
  <c r="N460" i="4"/>
  <c r="M460" i="4"/>
  <c r="K460" i="4"/>
  <c r="P448" i="4"/>
  <c r="N448" i="4"/>
  <c r="M448" i="4"/>
  <c r="N424" i="4"/>
  <c r="K424" i="4"/>
  <c r="L400" i="4"/>
  <c r="K400" i="4"/>
  <c r="N388" i="4"/>
  <c r="P352" i="4"/>
  <c r="O352" i="4"/>
  <c r="N352" i="4"/>
  <c r="L352" i="4"/>
  <c r="P328" i="4"/>
  <c r="O328" i="4"/>
  <c r="P316" i="4"/>
  <c r="O316" i="4"/>
  <c r="K316" i="4"/>
  <c r="K304" i="4"/>
  <c r="M280" i="4"/>
  <c r="L280" i="4"/>
  <c r="M256" i="4"/>
  <c r="N244" i="4"/>
  <c r="K244" i="4"/>
  <c r="L244" i="4"/>
  <c r="L232" i="4"/>
  <c r="O208" i="4"/>
  <c r="N208" i="4"/>
  <c r="K208" i="4"/>
  <c r="P184" i="4"/>
  <c r="N184" i="4"/>
  <c r="M184" i="4"/>
  <c r="L184" i="4"/>
  <c r="P172" i="4"/>
  <c r="O172" i="4"/>
  <c r="N172" i="4"/>
  <c r="M172" i="4"/>
  <c r="O160" i="4"/>
  <c r="N160" i="4"/>
  <c r="K160" i="4"/>
  <c r="P136" i="4"/>
  <c r="O112" i="4"/>
  <c r="M112" i="4"/>
  <c r="L100" i="4"/>
  <c r="K100" i="4"/>
  <c r="C76" i="4"/>
  <c r="J76" i="4" s="1"/>
  <c r="E76" i="4"/>
  <c r="C64" i="4"/>
  <c r="J64" i="4" s="1"/>
  <c r="E64" i="4"/>
  <c r="C52" i="4"/>
  <c r="J52" i="4" s="1"/>
  <c r="E52" i="4"/>
  <c r="C40" i="4"/>
  <c r="J40" i="4" s="1"/>
  <c r="E40" i="4"/>
  <c r="C28" i="4"/>
  <c r="H28" i="4" s="1"/>
  <c r="E28" i="4"/>
  <c r="C16" i="4"/>
  <c r="J16" i="4" s="1"/>
  <c r="E16" i="4"/>
  <c r="C881" i="4"/>
  <c r="J881" i="4" s="1"/>
  <c r="C546" i="4"/>
  <c r="I546" i="4" s="1"/>
  <c r="C257" i="4"/>
  <c r="I257" i="4" s="1"/>
  <c r="E1004" i="4"/>
  <c r="O1004" i="4" s="1"/>
  <c r="E990" i="4"/>
  <c r="K990" i="4" s="1"/>
  <c r="E975" i="4"/>
  <c r="K975" i="4" s="1"/>
  <c r="E961" i="4"/>
  <c r="O961" i="4" s="1"/>
  <c r="E947" i="4"/>
  <c r="O947" i="4" s="1"/>
  <c r="E931" i="4"/>
  <c r="E915" i="4"/>
  <c r="E899" i="4"/>
  <c r="E883" i="4"/>
  <c r="K883" i="4" s="1"/>
  <c r="E867" i="4"/>
  <c r="E851" i="4"/>
  <c r="M851" i="4" s="1"/>
  <c r="E835" i="4"/>
  <c r="E819" i="4"/>
  <c r="P819" i="4" s="1"/>
  <c r="E800" i="4"/>
  <c r="L800" i="4" s="1"/>
  <c r="E783" i="4"/>
  <c r="P783" i="4" s="1"/>
  <c r="E764" i="4"/>
  <c r="E747" i="4"/>
  <c r="N747" i="4" s="1"/>
  <c r="E726" i="4"/>
  <c r="E707" i="4"/>
  <c r="E686" i="4"/>
  <c r="E664" i="4"/>
  <c r="K664" i="4" s="1"/>
  <c r="E625" i="4"/>
  <c r="L625" i="4" s="1"/>
  <c r="E577" i="4"/>
  <c r="O577" i="4" s="1"/>
  <c r="E529" i="4"/>
  <c r="P529" i="4" s="1"/>
  <c r="E400" i="4"/>
  <c r="O400" i="4" s="1"/>
  <c r="E256" i="4"/>
  <c r="K256" i="4" s="1"/>
  <c r="E112" i="4"/>
  <c r="L112" i="4" s="1"/>
  <c r="N769" i="4"/>
  <c r="M769" i="4"/>
  <c r="L769" i="4"/>
  <c r="C469" i="4"/>
  <c r="J469" i="4" s="1"/>
  <c r="E469" i="4"/>
  <c r="C325" i="4"/>
  <c r="J325" i="4" s="1"/>
  <c r="E325" i="4"/>
  <c r="C205" i="4"/>
  <c r="H205" i="4" s="1"/>
  <c r="E205" i="4"/>
  <c r="C121" i="4"/>
  <c r="H121" i="4" s="1"/>
  <c r="E121" i="4"/>
  <c r="C49" i="4"/>
  <c r="E49" i="4"/>
  <c r="E565" i="4"/>
  <c r="P999" i="4"/>
  <c r="N999" i="4"/>
  <c r="M999" i="4"/>
  <c r="K999" i="4"/>
  <c r="F975" i="4"/>
  <c r="O975" i="4"/>
  <c r="N975" i="4"/>
  <c r="P963" i="4"/>
  <c r="N963" i="4"/>
  <c r="K963" i="4"/>
  <c r="F951" i="4"/>
  <c r="P951" i="4"/>
  <c r="O951" i="4"/>
  <c r="K951" i="4"/>
  <c r="P927" i="4"/>
  <c r="O927" i="4"/>
  <c r="N903" i="4"/>
  <c r="L903" i="4"/>
  <c r="K903" i="4"/>
  <c r="N891" i="4"/>
  <c r="O891" i="4"/>
  <c r="M891" i="4"/>
  <c r="P879" i="4"/>
  <c r="N879" i="4"/>
  <c r="M879" i="4"/>
  <c r="K879" i="4"/>
  <c r="P855" i="4"/>
  <c r="O855" i="4"/>
  <c r="P831" i="4"/>
  <c r="O831" i="4"/>
  <c r="N831" i="4"/>
  <c r="L831" i="4"/>
  <c r="K831" i="4"/>
  <c r="O819" i="4"/>
  <c r="M807" i="4"/>
  <c r="L807" i="4"/>
  <c r="M783" i="4"/>
  <c r="N759" i="4"/>
  <c r="M759" i="4"/>
  <c r="L759" i="4"/>
  <c r="K759" i="4"/>
  <c r="P747" i="4"/>
  <c r="M747" i="4"/>
  <c r="M735" i="4"/>
  <c r="K735" i="4"/>
  <c r="P711" i="4"/>
  <c r="O711" i="4"/>
  <c r="N711" i="4"/>
  <c r="N687" i="4"/>
  <c r="M687" i="4"/>
  <c r="P675" i="4"/>
  <c r="O675" i="4"/>
  <c r="K675" i="4"/>
  <c r="G663" i="4"/>
  <c r="C651" i="4"/>
  <c r="J651" i="4" s="1"/>
  <c r="E651" i="4"/>
  <c r="C639" i="4"/>
  <c r="F639" i="4" s="1"/>
  <c r="E639" i="4"/>
  <c r="C627" i="4"/>
  <c r="J627" i="4" s="1"/>
  <c r="E627" i="4"/>
  <c r="C615" i="4"/>
  <c r="J615" i="4" s="1"/>
  <c r="E615" i="4"/>
  <c r="C603" i="4"/>
  <c r="I603" i="4" s="1"/>
  <c r="E603" i="4"/>
  <c r="C591" i="4"/>
  <c r="J591" i="4" s="1"/>
  <c r="E591" i="4"/>
  <c r="C579" i="4"/>
  <c r="I579" i="4" s="1"/>
  <c r="E579" i="4"/>
  <c r="C567" i="4"/>
  <c r="I567" i="4" s="1"/>
  <c r="E567" i="4"/>
  <c r="C555" i="4"/>
  <c r="I555" i="4" s="1"/>
  <c r="E555" i="4"/>
  <c r="C543" i="4"/>
  <c r="I543" i="4" s="1"/>
  <c r="E543" i="4"/>
  <c r="C531" i="4"/>
  <c r="I531" i="4" s="1"/>
  <c r="E531" i="4"/>
  <c r="C519" i="4"/>
  <c r="I519" i="4" s="1"/>
  <c r="E519" i="4"/>
  <c r="C507" i="4"/>
  <c r="I507" i="4" s="1"/>
  <c r="E507" i="4"/>
  <c r="C495" i="4"/>
  <c r="I495" i="4" s="1"/>
  <c r="E495" i="4"/>
  <c r="C483" i="4"/>
  <c r="J483" i="4" s="1"/>
  <c r="E483" i="4"/>
  <c r="C471" i="4"/>
  <c r="J471" i="4" s="1"/>
  <c r="E471" i="4"/>
  <c r="C459" i="4"/>
  <c r="G459" i="4" s="1"/>
  <c r="E459" i="4"/>
  <c r="C447" i="4"/>
  <c r="I447" i="4" s="1"/>
  <c r="E447" i="4"/>
  <c r="C435" i="4"/>
  <c r="F435" i="4" s="1"/>
  <c r="E435" i="4"/>
  <c r="C423" i="4"/>
  <c r="G423" i="4" s="1"/>
  <c r="E423" i="4"/>
  <c r="C411" i="4"/>
  <c r="J411" i="4" s="1"/>
  <c r="E411" i="4"/>
  <c r="C399" i="4"/>
  <c r="J399" i="4" s="1"/>
  <c r="E399" i="4"/>
  <c r="C387" i="4"/>
  <c r="J387" i="4" s="1"/>
  <c r="E387" i="4"/>
  <c r="C375" i="4"/>
  <c r="J375" i="4" s="1"/>
  <c r="E375" i="4"/>
  <c r="C363" i="4"/>
  <c r="I363" i="4" s="1"/>
  <c r="E363" i="4"/>
  <c r="C351" i="4"/>
  <c r="F351" i="4" s="1"/>
  <c r="E351" i="4"/>
  <c r="C339" i="4"/>
  <c r="H339" i="4" s="1"/>
  <c r="E339" i="4"/>
  <c r="C327" i="4"/>
  <c r="J327" i="4" s="1"/>
  <c r="E327" i="4"/>
  <c r="C315" i="4"/>
  <c r="J315" i="4" s="1"/>
  <c r="E315" i="4"/>
  <c r="C303" i="4"/>
  <c r="J303" i="4" s="1"/>
  <c r="E303" i="4"/>
  <c r="C291" i="4"/>
  <c r="F291" i="4" s="1"/>
  <c r="E291" i="4"/>
  <c r="C279" i="4"/>
  <c r="J279" i="4" s="1"/>
  <c r="E279" i="4"/>
  <c r="C267" i="4"/>
  <c r="J267" i="4" s="1"/>
  <c r="E267" i="4"/>
  <c r="C255" i="4"/>
  <c r="G255" i="4" s="1"/>
  <c r="E255" i="4"/>
  <c r="C243" i="4"/>
  <c r="J243" i="4" s="1"/>
  <c r="E243" i="4"/>
  <c r="C231" i="4"/>
  <c r="J231" i="4" s="1"/>
  <c r="E231" i="4"/>
  <c r="C219" i="4"/>
  <c r="J219" i="4" s="1"/>
  <c r="E219" i="4"/>
  <c r="C207" i="4"/>
  <c r="H207" i="4" s="1"/>
  <c r="E207" i="4"/>
  <c r="C195" i="4"/>
  <c r="J195" i="4" s="1"/>
  <c r="E195" i="4"/>
  <c r="C183" i="4"/>
  <c r="I183" i="4" s="1"/>
  <c r="E183" i="4"/>
  <c r="C171" i="4"/>
  <c r="G171" i="4" s="1"/>
  <c r="E171" i="4"/>
  <c r="C159" i="4"/>
  <c r="H159" i="4" s="1"/>
  <c r="E159" i="4"/>
  <c r="C147" i="4"/>
  <c r="J147" i="4" s="1"/>
  <c r="E147" i="4"/>
  <c r="C135" i="4"/>
  <c r="I135" i="4" s="1"/>
  <c r="E135" i="4"/>
  <c r="C123" i="4"/>
  <c r="J123" i="4" s="1"/>
  <c r="E123" i="4"/>
  <c r="C111" i="4"/>
  <c r="J111" i="4" s="1"/>
  <c r="E111" i="4"/>
  <c r="C99" i="4"/>
  <c r="J99" i="4" s="1"/>
  <c r="E99" i="4"/>
  <c r="C87" i="4"/>
  <c r="I87" i="4" s="1"/>
  <c r="E87" i="4"/>
  <c r="C63" i="4"/>
  <c r="J63" i="4" s="1"/>
  <c r="E63" i="4"/>
  <c r="C51" i="4"/>
  <c r="I51" i="4" s="1"/>
  <c r="E51" i="4"/>
  <c r="C39" i="4"/>
  <c r="E39" i="4"/>
  <c r="C27" i="4"/>
  <c r="J27" i="4" s="1"/>
  <c r="E27" i="4"/>
  <c r="C15" i="4"/>
  <c r="J15" i="4" s="1"/>
  <c r="E15" i="4"/>
  <c r="C834" i="4"/>
  <c r="J834" i="4" s="1"/>
  <c r="C545" i="4"/>
  <c r="I545" i="4" s="1"/>
  <c r="C210" i="4"/>
  <c r="J210" i="4" s="1"/>
  <c r="E1003" i="4"/>
  <c r="M1003" i="4" s="1"/>
  <c r="E988" i="4"/>
  <c r="E974" i="4"/>
  <c r="P974" i="4" s="1"/>
  <c r="E960" i="4"/>
  <c r="K960" i="4" s="1"/>
  <c r="E946" i="4"/>
  <c r="O946" i="4" s="1"/>
  <c r="E914" i="4"/>
  <c r="L914" i="4" s="1"/>
  <c r="E898" i="4"/>
  <c r="E866" i="4"/>
  <c r="L866" i="4" s="1"/>
  <c r="E850" i="4"/>
  <c r="L850" i="4" s="1"/>
  <c r="E818" i="4"/>
  <c r="N818" i="4" s="1"/>
  <c r="E799" i="4"/>
  <c r="M799" i="4" s="1"/>
  <c r="E782" i="4"/>
  <c r="E763" i="4"/>
  <c r="E746" i="4"/>
  <c r="N746" i="4" s="1"/>
  <c r="E724" i="4"/>
  <c r="E703" i="4"/>
  <c r="M703" i="4" s="1"/>
  <c r="E685" i="4"/>
  <c r="E663" i="4"/>
  <c r="P663" i="4" s="1"/>
  <c r="E623" i="4"/>
  <c r="E575" i="4"/>
  <c r="E527" i="4"/>
  <c r="P527" i="4" s="1"/>
  <c r="E388" i="4"/>
  <c r="L388" i="4" s="1"/>
  <c r="E244" i="4"/>
  <c r="M244" i="4" s="1"/>
  <c r="E100" i="4"/>
  <c r="M100" i="4" s="1"/>
  <c r="K943" i="4"/>
  <c r="P721" i="4"/>
  <c r="O721" i="4"/>
  <c r="N721" i="4"/>
  <c r="L721" i="4"/>
  <c r="N529" i="4"/>
  <c r="M529" i="4"/>
  <c r="L529" i="4"/>
  <c r="C397" i="4"/>
  <c r="G397" i="4" s="1"/>
  <c r="E397" i="4"/>
  <c r="C301" i="4"/>
  <c r="G301" i="4" s="1"/>
  <c r="E301" i="4"/>
  <c r="C169" i="4"/>
  <c r="I169" i="4" s="1"/>
  <c r="E169" i="4"/>
  <c r="C37" i="4"/>
  <c r="J37" i="4" s="1"/>
  <c r="E37" i="4"/>
  <c r="P998" i="4"/>
  <c r="M998" i="4"/>
  <c r="L998" i="4"/>
  <c r="O974" i="4"/>
  <c r="N974" i="4"/>
  <c r="L974" i="4"/>
  <c r="P950" i="4"/>
  <c r="N950" i="4"/>
  <c r="M950" i="4"/>
  <c r="P938" i="4"/>
  <c r="O938" i="4"/>
  <c r="N938" i="4"/>
  <c r="K938" i="4"/>
  <c r="P926" i="4"/>
  <c r="O926" i="4"/>
  <c r="P914" i="4"/>
  <c r="P902" i="4"/>
  <c r="O902" i="4"/>
  <c r="N902" i="4"/>
  <c r="P878" i="4"/>
  <c r="N878" i="4"/>
  <c r="M878" i="4"/>
  <c r="K878" i="4"/>
  <c r="N866" i="4"/>
  <c r="M866" i="4"/>
  <c r="K866" i="4"/>
  <c r="O854" i="4"/>
  <c r="L854" i="4"/>
  <c r="O818" i="4"/>
  <c r="K818" i="4"/>
  <c r="P806" i="4"/>
  <c r="M806" i="4"/>
  <c r="L806" i="4"/>
  <c r="O794" i="4"/>
  <c r="N794" i="4"/>
  <c r="L794" i="4"/>
  <c r="P770" i="4"/>
  <c r="N770" i="4"/>
  <c r="M770" i="4"/>
  <c r="L770" i="4"/>
  <c r="N758" i="4"/>
  <c r="L758" i="4"/>
  <c r="M758" i="4"/>
  <c r="K758" i="4"/>
  <c r="P746" i="4"/>
  <c r="M746" i="4"/>
  <c r="N734" i="4"/>
  <c r="M734" i="4"/>
  <c r="K734" i="4"/>
  <c r="P698" i="4"/>
  <c r="O698" i="4"/>
  <c r="P674" i="4"/>
  <c r="N674" i="4"/>
  <c r="M674" i="4"/>
  <c r="K674" i="4"/>
  <c r="O662" i="4"/>
  <c r="M662" i="4"/>
  <c r="C650" i="4"/>
  <c r="J650" i="4" s="1"/>
  <c r="E650" i="4"/>
  <c r="C638" i="4"/>
  <c r="J638" i="4" s="1"/>
  <c r="E638" i="4"/>
  <c r="C626" i="4"/>
  <c r="G626" i="4" s="1"/>
  <c r="E626" i="4"/>
  <c r="C614" i="4"/>
  <c r="J614" i="4" s="1"/>
  <c r="E614" i="4"/>
  <c r="C602" i="4"/>
  <c r="J602" i="4" s="1"/>
  <c r="E602" i="4"/>
  <c r="C590" i="4"/>
  <c r="H590" i="4" s="1"/>
  <c r="E590" i="4"/>
  <c r="C578" i="4"/>
  <c r="I578" i="4" s="1"/>
  <c r="E578" i="4"/>
  <c r="C566" i="4"/>
  <c r="J566" i="4" s="1"/>
  <c r="E566" i="4"/>
  <c r="C554" i="4"/>
  <c r="H554" i="4" s="1"/>
  <c r="E554" i="4"/>
  <c r="C542" i="4"/>
  <c r="J542" i="4" s="1"/>
  <c r="E542" i="4"/>
  <c r="C530" i="4"/>
  <c r="J530" i="4" s="1"/>
  <c r="E530" i="4"/>
  <c r="C518" i="4"/>
  <c r="G518" i="4" s="1"/>
  <c r="E518" i="4"/>
  <c r="C506" i="4"/>
  <c r="F506" i="4" s="1"/>
  <c r="E506" i="4"/>
  <c r="C494" i="4"/>
  <c r="J494" i="4" s="1"/>
  <c r="E494" i="4"/>
  <c r="C482" i="4"/>
  <c r="J482" i="4" s="1"/>
  <c r="E482" i="4"/>
  <c r="C470" i="4"/>
  <c r="J470" i="4" s="1"/>
  <c r="E470" i="4"/>
  <c r="C458" i="4"/>
  <c r="J458" i="4" s="1"/>
  <c r="E458" i="4"/>
  <c r="C446" i="4"/>
  <c r="I446" i="4" s="1"/>
  <c r="E446" i="4"/>
  <c r="C434" i="4"/>
  <c r="I434" i="4" s="1"/>
  <c r="E434" i="4"/>
  <c r="C422" i="4"/>
  <c r="J422" i="4" s="1"/>
  <c r="E422" i="4"/>
  <c r="C410" i="4"/>
  <c r="H410" i="4" s="1"/>
  <c r="E410" i="4"/>
  <c r="C398" i="4"/>
  <c r="J398" i="4" s="1"/>
  <c r="E398" i="4"/>
  <c r="C386" i="4"/>
  <c r="J386" i="4" s="1"/>
  <c r="E386" i="4"/>
  <c r="C374" i="4"/>
  <c r="G374" i="4" s="1"/>
  <c r="E374" i="4"/>
  <c r="C362" i="4"/>
  <c r="J362" i="4" s="1"/>
  <c r="E362" i="4"/>
  <c r="C350" i="4"/>
  <c r="H350" i="4" s="1"/>
  <c r="E350" i="4"/>
  <c r="C338" i="4"/>
  <c r="J338" i="4" s="1"/>
  <c r="E338" i="4"/>
  <c r="C326" i="4"/>
  <c r="J326" i="4" s="1"/>
  <c r="E326" i="4"/>
  <c r="C314" i="4"/>
  <c r="I314" i="4" s="1"/>
  <c r="E314" i="4"/>
  <c r="C302" i="4"/>
  <c r="J302" i="4" s="1"/>
  <c r="E302" i="4"/>
  <c r="C290" i="4"/>
  <c r="J290" i="4" s="1"/>
  <c r="E290" i="4"/>
  <c r="C278" i="4"/>
  <c r="J278" i="4" s="1"/>
  <c r="E278" i="4"/>
  <c r="C266" i="4"/>
  <c r="J266" i="4" s="1"/>
  <c r="E266" i="4"/>
  <c r="C254" i="4"/>
  <c r="J254" i="4" s="1"/>
  <c r="E254" i="4"/>
  <c r="C242" i="4"/>
  <c r="J242" i="4" s="1"/>
  <c r="E242" i="4"/>
  <c r="C230" i="4"/>
  <c r="F230" i="4" s="1"/>
  <c r="E230" i="4"/>
  <c r="C218" i="4"/>
  <c r="J218" i="4" s="1"/>
  <c r="E218" i="4"/>
  <c r="C206" i="4"/>
  <c r="F206" i="4" s="1"/>
  <c r="E206" i="4"/>
  <c r="C194" i="4"/>
  <c r="F194" i="4" s="1"/>
  <c r="E194" i="4"/>
  <c r="C182" i="4"/>
  <c r="J182" i="4" s="1"/>
  <c r="E182" i="4"/>
  <c r="C170" i="4"/>
  <c r="I170" i="4" s="1"/>
  <c r="E170" i="4"/>
  <c r="C158" i="4"/>
  <c r="H158" i="4" s="1"/>
  <c r="E158" i="4"/>
  <c r="C146" i="4"/>
  <c r="J146" i="4" s="1"/>
  <c r="E146" i="4"/>
  <c r="C134" i="4"/>
  <c r="J134" i="4" s="1"/>
  <c r="E134" i="4"/>
  <c r="C122" i="4"/>
  <c r="F122" i="4" s="1"/>
  <c r="E122" i="4"/>
  <c r="C110" i="4"/>
  <c r="I110" i="4" s="1"/>
  <c r="E110" i="4"/>
  <c r="C98" i="4"/>
  <c r="G98" i="4" s="1"/>
  <c r="E98" i="4"/>
  <c r="C86" i="4"/>
  <c r="J86" i="4" s="1"/>
  <c r="E86" i="4"/>
  <c r="C74" i="4"/>
  <c r="J74" i="4" s="1"/>
  <c r="E74" i="4"/>
  <c r="C62" i="4"/>
  <c r="J62" i="4" s="1"/>
  <c r="E62" i="4"/>
  <c r="C50" i="4"/>
  <c r="J50" i="4" s="1"/>
  <c r="E50" i="4"/>
  <c r="C38" i="4"/>
  <c r="F38" i="4" s="1"/>
  <c r="E38" i="4"/>
  <c r="C26" i="4"/>
  <c r="I26" i="4" s="1"/>
  <c r="E26" i="4"/>
  <c r="C14" i="4"/>
  <c r="J14" i="4" s="1"/>
  <c r="E14" i="4"/>
  <c r="C833" i="4"/>
  <c r="J833" i="4" s="1"/>
  <c r="C498" i="4"/>
  <c r="F498" i="4" s="1"/>
  <c r="C162" i="4"/>
  <c r="J162" i="4" s="1"/>
  <c r="E1002" i="4"/>
  <c r="K1002" i="4" s="1"/>
  <c r="E987" i="4"/>
  <c r="E973" i="4"/>
  <c r="N973" i="4" s="1"/>
  <c r="E959" i="4"/>
  <c r="P959" i="4" s="1"/>
  <c r="E944" i="4"/>
  <c r="O944" i="4" s="1"/>
  <c r="E928" i="4"/>
  <c r="M928" i="4" s="1"/>
  <c r="E913" i="4"/>
  <c r="M913" i="4" s="1"/>
  <c r="E896" i="4"/>
  <c r="L896" i="4" s="1"/>
  <c r="E880" i="4"/>
  <c r="M880" i="4" s="1"/>
  <c r="E865" i="4"/>
  <c r="L865" i="4" s="1"/>
  <c r="E848" i="4"/>
  <c r="N848" i="4" s="1"/>
  <c r="E832" i="4"/>
  <c r="L832" i="4" s="1"/>
  <c r="E817" i="4"/>
  <c r="M817" i="4" s="1"/>
  <c r="E798" i="4"/>
  <c r="E781" i="4"/>
  <c r="L781" i="4" s="1"/>
  <c r="E762" i="4"/>
  <c r="O762" i="4" s="1"/>
  <c r="E745" i="4"/>
  <c r="M745" i="4" s="1"/>
  <c r="E723" i="4"/>
  <c r="E702" i="4"/>
  <c r="P702" i="4" s="1"/>
  <c r="E683" i="4"/>
  <c r="E662" i="4"/>
  <c r="K662" i="4" s="1"/>
  <c r="E616" i="4"/>
  <c r="P616" i="4" s="1"/>
  <c r="E568" i="4"/>
  <c r="N568" i="4" s="1"/>
  <c r="E520" i="4"/>
  <c r="K520" i="4" s="1"/>
  <c r="E376" i="4"/>
  <c r="L376" i="4" s="1"/>
  <c r="E232" i="4"/>
  <c r="K232" i="4" s="1"/>
  <c r="E88" i="4"/>
  <c r="L88" i="4" s="1"/>
  <c r="E19" i="4"/>
  <c r="J1000" i="4"/>
  <c r="I1000" i="4"/>
  <c r="G1000" i="4"/>
  <c r="H1000" i="4"/>
  <c r="F1000" i="4"/>
  <c r="J976" i="4"/>
  <c r="I976" i="4"/>
  <c r="H976" i="4"/>
  <c r="G976" i="4"/>
  <c r="F976" i="4"/>
  <c r="J964" i="4"/>
  <c r="G964" i="4"/>
  <c r="I964" i="4"/>
  <c r="H964" i="4"/>
  <c r="F964" i="4"/>
  <c r="J952" i="4"/>
  <c r="I952" i="4"/>
  <c r="G952" i="4"/>
  <c r="H952" i="4"/>
  <c r="F952" i="4"/>
  <c r="J928" i="4"/>
  <c r="I928" i="4"/>
  <c r="H928" i="4"/>
  <c r="G928" i="4"/>
  <c r="F928" i="4"/>
  <c r="J904" i="4"/>
  <c r="I904" i="4"/>
  <c r="H904" i="4"/>
  <c r="G904" i="4"/>
  <c r="F904" i="4"/>
  <c r="J892" i="4"/>
  <c r="H892" i="4"/>
  <c r="I892" i="4"/>
  <c r="G892" i="4"/>
  <c r="F892" i="4"/>
  <c r="J880" i="4"/>
  <c r="H880" i="4"/>
  <c r="I880" i="4"/>
  <c r="G880" i="4"/>
  <c r="F880" i="4"/>
  <c r="J856" i="4"/>
  <c r="I856" i="4"/>
  <c r="H856" i="4"/>
  <c r="G856" i="4"/>
  <c r="F856" i="4"/>
  <c r="J832" i="4"/>
  <c r="I832" i="4"/>
  <c r="H832" i="4"/>
  <c r="G832" i="4"/>
  <c r="F832" i="4"/>
  <c r="J820" i="4"/>
  <c r="I820" i="4"/>
  <c r="H820" i="4"/>
  <c r="G820" i="4"/>
  <c r="F820" i="4"/>
  <c r="J808" i="4"/>
  <c r="I808" i="4"/>
  <c r="H808" i="4"/>
  <c r="G808" i="4"/>
  <c r="F808" i="4"/>
  <c r="J784" i="4"/>
  <c r="I784" i="4"/>
  <c r="H784" i="4"/>
  <c r="G784" i="4"/>
  <c r="F784" i="4"/>
  <c r="J760" i="4"/>
  <c r="I760" i="4"/>
  <c r="H760" i="4"/>
  <c r="G760" i="4"/>
  <c r="F760" i="4"/>
  <c r="J748" i="4"/>
  <c r="H748" i="4"/>
  <c r="I748" i="4"/>
  <c r="G748" i="4"/>
  <c r="F748" i="4"/>
  <c r="J736" i="4"/>
  <c r="I736" i="4"/>
  <c r="H736" i="4"/>
  <c r="G736" i="4"/>
  <c r="F736" i="4"/>
  <c r="J712" i="4"/>
  <c r="I712" i="4"/>
  <c r="H712" i="4"/>
  <c r="G712" i="4"/>
  <c r="F712" i="4"/>
  <c r="J688" i="4"/>
  <c r="I688" i="4"/>
  <c r="H688" i="4"/>
  <c r="G688" i="4"/>
  <c r="F688" i="4"/>
  <c r="J676" i="4"/>
  <c r="I676" i="4"/>
  <c r="H676" i="4"/>
  <c r="G676" i="4"/>
  <c r="F676" i="4"/>
  <c r="J664" i="4"/>
  <c r="I664" i="4"/>
  <c r="H664" i="4"/>
  <c r="F664" i="4"/>
  <c r="G664" i="4"/>
  <c r="J640" i="4"/>
  <c r="I640" i="4"/>
  <c r="H640" i="4"/>
  <c r="G640" i="4"/>
  <c r="F640" i="4"/>
  <c r="J616" i="4"/>
  <c r="I616" i="4"/>
  <c r="H616" i="4"/>
  <c r="G616" i="4"/>
  <c r="F616" i="4"/>
  <c r="J604" i="4"/>
  <c r="H604" i="4"/>
  <c r="I604" i="4"/>
  <c r="G604" i="4"/>
  <c r="F604" i="4"/>
  <c r="J592" i="4"/>
  <c r="I592" i="4"/>
  <c r="H592" i="4"/>
  <c r="G592" i="4"/>
  <c r="F592" i="4"/>
  <c r="J568" i="4"/>
  <c r="I568" i="4"/>
  <c r="H568" i="4"/>
  <c r="G568" i="4"/>
  <c r="F568" i="4"/>
  <c r="J544" i="4"/>
  <c r="H544" i="4"/>
  <c r="I544" i="4"/>
  <c r="G544" i="4"/>
  <c r="F544" i="4"/>
  <c r="J532" i="4"/>
  <c r="I532" i="4"/>
  <c r="H532" i="4"/>
  <c r="G532" i="4"/>
  <c r="F532" i="4"/>
  <c r="J520" i="4"/>
  <c r="I520" i="4"/>
  <c r="H520" i="4"/>
  <c r="G520" i="4"/>
  <c r="F520" i="4"/>
  <c r="J496" i="4"/>
  <c r="I496" i="4"/>
  <c r="H496" i="4"/>
  <c r="G496" i="4"/>
  <c r="F496" i="4"/>
  <c r="J472" i="4"/>
  <c r="I472" i="4"/>
  <c r="G472" i="4"/>
  <c r="H472" i="4"/>
  <c r="F472" i="4"/>
  <c r="J460" i="4"/>
  <c r="I460" i="4"/>
  <c r="H460" i="4"/>
  <c r="G460" i="4"/>
  <c r="F460" i="4"/>
  <c r="J448" i="4"/>
  <c r="I448" i="4"/>
  <c r="H448" i="4"/>
  <c r="G448" i="4"/>
  <c r="F448" i="4"/>
  <c r="J424" i="4"/>
  <c r="I424" i="4"/>
  <c r="H424" i="4"/>
  <c r="G424" i="4"/>
  <c r="F424" i="4"/>
  <c r="J400" i="4"/>
  <c r="I400" i="4"/>
  <c r="H400" i="4"/>
  <c r="G400" i="4"/>
  <c r="F400" i="4"/>
  <c r="J388" i="4"/>
  <c r="I388" i="4"/>
  <c r="H388" i="4"/>
  <c r="G388" i="4"/>
  <c r="F388" i="4"/>
  <c r="J376" i="4"/>
  <c r="I376" i="4"/>
  <c r="H376" i="4"/>
  <c r="G376" i="4"/>
  <c r="F376" i="4"/>
  <c r="J352" i="4"/>
  <c r="I352" i="4"/>
  <c r="H352" i="4"/>
  <c r="G352" i="4"/>
  <c r="F352" i="4"/>
  <c r="J328" i="4"/>
  <c r="I328" i="4"/>
  <c r="H328" i="4"/>
  <c r="G328" i="4"/>
  <c r="F328" i="4"/>
  <c r="J316" i="4"/>
  <c r="I316" i="4"/>
  <c r="H316" i="4"/>
  <c r="G316" i="4"/>
  <c r="F316" i="4"/>
  <c r="J304" i="4"/>
  <c r="I304" i="4"/>
  <c r="H304" i="4"/>
  <c r="G304" i="4"/>
  <c r="F304" i="4"/>
  <c r="J280" i="4"/>
  <c r="I280" i="4"/>
  <c r="H280" i="4"/>
  <c r="G280" i="4"/>
  <c r="F280" i="4"/>
  <c r="J256" i="4"/>
  <c r="I256" i="4"/>
  <c r="H256" i="4"/>
  <c r="G256" i="4"/>
  <c r="F256" i="4"/>
  <c r="J244" i="4"/>
  <c r="I244" i="4"/>
  <c r="H244" i="4"/>
  <c r="G244" i="4"/>
  <c r="F244" i="4"/>
  <c r="J232" i="4"/>
  <c r="I232" i="4"/>
  <c r="H232" i="4"/>
  <c r="G232" i="4"/>
  <c r="F232" i="4"/>
  <c r="J208" i="4"/>
  <c r="I208" i="4"/>
  <c r="H208" i="4"/>
  <c r="G208" i="4"/>
  <c r="F208" i="4"/>
  <c r="J184" i="4"/>
  <c r="I184" i="4"/>
  <c r="H184" i="4"/>
  <c r="G184" i="4"/>
  <c r="F184" i="4"/>
  <c r="J172" i="4"/>
  <c r="I172" i="4"/>
  <c r="H172" i="4"/>
  <c r="G172" i="4"/>
  <c r="F172" i="4"/>
  <c r="J160" i="4"/>
  <c r="I160" i="4"/>
  <c r="H160" i="4"/>
  <c r="G160" i="4"/>
  <c r="F160" i="4"/>
  <c r="J136" i="4"/>
  <c r="I136" i="4"/>
  <c r="H136" i="4"/>
  <c r="G136" i="4"/>
  <c r="F136" i="4"/>
  <c r="J112" i="4"/>
  <c r="I112" i="4"/>
  <c r="H112" i="4"/>
  <c r="G112" i="4"/>
  <c r="F112" i="4"/>
  <c r="J100" i="4"/>
  <c r="I100" i="4"/>
  <c r="H100" i="4"/>
  <c r="G100" i="4"/>
  <c r="F100" i="4"/>
  <c r="J88" i="4"/>
  <c r="I88" i="4"/>
  <c r="H88" i="4"/>
  <c r="G88" i="4"/>
  <c r="F88" i="4"/>
  <c r="J998" i="4"/>
  <c r="I998" i="4"/>
  <c r="H998" i="4"/>
  <c r="G998" i="4"/>
  <c r="F998" i="4"/>
  <c r="J974" i="4"/>
  <c r="I974" i="4"/>
  <c r="H974" i="4"/>
  <c r="G974" i="4"/>
  <c r="F974" i="4"/>
  <c r="I950" i="4"/>
  <c r="J950" i="4"/>
  <c r="H950" i="4"/>
  <c r="G950" i="4"/>
  <c r="F950" i="4"/>
  <c r="J938" i="4"/>
  <c r="I938" i="4"/>
  <c r="H938" i="4"/>
  <c r="G938" i="4"/>
  <c r="F938" i="4"/>
  <c r="J914" i="4"/>
  <c r="I914" i="4"/>
  <c r="H914" i="4"/>
  <c r="G914" i="4"/>
  <c r="F914" i="4"/>
  <c r="J902" i="4"/>
  <c r="I902" i="4"/>
  <c r="H902" i="4"/>
  <c r="G902" i="4"/>
  <c r="F902" i="4"/>
  <c r="J878" i="4"/>
  <c r="H878" i="4"/>
  <c r="I878" i="4"/>
  <c r="G878" i="4"/>
  <c r="F878" i="4"/>
  <c r="J866" i="4"/>
  <c r="H866" i="4"/>
  <c r="I866" i="4"/>
  <c r="G866" i="4"/>
  <c r="F866" i="4"/>
  <c r="J854" i="4"/>
  <c r="I854" i="4"/>
  <c r="H854" i="4"/>
  <c r="G854" i="4"/>
  <c r="F854" i="4"/>
  <c r="H842" i="4"/>
  <c r="I842" i="4"/>
  <c r="J818" i="4"/>
  <c r="I818" i="4"/>
  <c r="H818" i="4"/>
  <c r="G818" i="4"/>
  <c r="F818" i="4"/>
  <c r="J806" i="4"/>
  <c r="H806" i="4"/>
  <c r="I806" i="4"/>
  <c r="G806" i="4"/>
  <c r="F806" i="4"/>
  <c r="J794" i="4"/>
  <c r="H794" i="4"/>
  <c r="I794" i="4"/>
  <c r="G794" i="4"/>
  <c r="F794" i="4"/>
  <c r="J770" i="4"/>
  <c r="I770" i="4"/>
  <c r="H770" i="4"/>
  <c r="G770" i="4"/>
  <c r="F770" i="4"/>
  <c r="J758" i="4"/>
  <c r="I758" i="4"/>
  <c r="H758" i="4"/>
  <c r="G758" i="4"/>
  <c r="F758" i="4"/>
  <c r="J746" i="4"/>
  <c r="I746" i="4"/>
  <c r="H746" i="4"/>
  <c r="G746" i="4"/>
  <c r="F746" i="4"/>
  <c r="J734" i="4"/>
  <c r="H734" i="4"/>
  <c r="I734" i="4"/>
  <c r="G734" i="4"/>
  <c r="F734" i="4"/>
  <c r="J698" i="4"/>
  <c r="I698" i="4"/>
  <c r="H698" i="4"/>
  <c r="G698" i="4"/>
  <c r="F698" i="4"/>
  <c r="J674" i="4"/>
  <c r="I674" i="4"/>
  <c r="H674" i="4"/>
  <c r="G674" i="4"/>
  <c r="F674" i="4"/>
  <c r="J662" i="4"/>
  <c r="I662" i="4"/>
  <c r="H662" i="4"/>
  <c r="G662" i="4"/>
  <c r="F662" i="4"/>
  <c r="J786" i="4"/>
  <c r="I786" i="4"/>
  <c r="H786" i="4"/>
  <c r="G786" i="4"/>
  <c r="F786" i="4"/>
  <c r="J990" i="4"/>
  <c r="I990" i="4"/>
  <c r="H990" i="4"/>
  <c r="G990" i="4"/>
  <c r="F990" i="4"/>
  <c r="J997" i="4"/>
  <c r="I997" i="4"/>
  <c r="H997" i="4"/>
  <c r="G997" i="4"/>
  <c r="F997" i="4"/>
  <c r="J961" i="4"/>
  <c r="I961" i="4"/>
  <c r="H961" i="4"/>
  <c r="G961" i="4"/>
  <c r="F961" i="4"/>
  <c r="J937" i="4"/>
  <c r="I937" i="4"/>
  <c r="H937" i="4"/>
  <c r="G937" i="4"/>
  <c r="F937" i="4"/>
  <c r="J913" i="4"/>
  <c r="I913" i="4"/>
  <c r="H913" i="4"/>
  <c r="G913" i="4"/>
  <c r="F913" i="4"/>
  <c r="J865" i="4"/>
  <c r="I865" i="4"/>
  <c r="H865" i="4"/>
  <c r="G865" i="4"/>
  <c r="F865" i="4"/>
  <c r="J841" i="4"/>
  <c r="I841" i="4"/>
  <c r="H841" i="4"/>
  <c r="G841" i="4"/>
  <c r="F841" i="4"/>
  <c r="J817" i="4"/>
  <c r="I817" i="4"/>
  <c r="H817" i="4"/>
  <c r="G817" i="4"/>
  <c r="F817" i="4"/>
  <c r="J769" i="4"/>
  <c r="I769" i="4"/>
  <c r="H769" i="4"/>
  <c r="G769" i="4"/>
  <c r="F769" i="4"/>
  <c r="J745" i="4"/>
  <c r="I745" i="4"/>
  <c r="H745" i="4"/>
  <c r="G745" i="4"/>
  <c r="F745" i="4"/>
  <c r="J733" i="4"/>
  <c r="I733" i="4"/>
  <c r="H733" i="4"/>
  <c r="G733" i="4"/>
  <c r="F733" i="4"/>
  <c r="J721" i="4"/>
  <c r="I721" i="4"/>
  <c r="G721" i="4"/>
  <c r="H721" i="4"/>
  <c r="F721" i="4"/>
  <c r="J697" i="4"/>
  <c r="I697" i="4"/>
  <c r="H697" i="4"/>
  <c r="G697" i="4"/>
  <c r="F697" i="4"/>
  <c r="J673" i="4"/>
  <c r="I673" i="4"/>
  <c r="H673" i="4"/>
  <c r="G673" i="4"/>
  <c r="F673" i="4"/>
  <c r="J661" i="4"/>
  <c r="I661" i="4"/>
  <c r="H661" i="4"/>
  <c r="G661" i="4"/>
  <c r="F661" i="4"/>
  <c r="J649" i="4"/>
  <c r="I649" i="4"/>
  <c r="H649" i="4"/>
  <c r="G649" i="4"/>
  <c r="F649" i="4"/>
  <c r="J625" i="4"/>
  <c r="I625" i="4"/>
  <c r="G625" i="4"/>
  <c r="F625" i="4"/>
  <c r="H625" i="4"/>
  <c r="J589" i="4"/>
  <c r="I589" i="4"/>
  <c r="H589" i="4"/>
  <c r="G589" i="4"/>
  <c r="F589" i="4"/>
  <c r="J577" i="4"/>
  <c r="I577" i="4"/>
  <c r="H577" i="4"/>
  <c r="G577" i="4"/>
  <c r="F577" i="4"/>
  <c r="J553" i="4"/>
  <c r="I553" i="4"/>
  <c r="H553" i="4"/>
  <c r="F553" i="4"/>
  <c r="G553" i="4"/>
  <c r="J529" i="4"/>
  <c r="I529" i="4"/>
  <c r="H529" i="4"/>
  <c r="G529" i="4"/>
  <c r="F529" i="4"/>
  <c r="J493" i="4"/>
  <c r="I493" i="4"/>
  <c r="H493" i="4"/>
  <c r="G493" i="4"/>
  <c r="F493" i="4"/>
  <c r="J313" i="4"/>
  <c r="J702" i="4"/>
  <c r="I702" i="4"/>
  <c r="H702" i="4"/>
  <c r="G702" i="4"/>
  <c r="F702" i="4"/>
  <c r="J973" i="4"/>
  <c r="I973" i="4"/>
  <c r="H973" i="4"/>
  <c r="G973" i="4"/>
  <c r="F973" i="4"/>
  <c r="J925" i="4"/>
  <c r="I925" i="4"/>
  <c r="H925" i="4"/>
  <c r="G925" i="4"/>
  <c r="F925" i="4"/>
  <c r="J877" i="4"/>
  <c r="I877" i="4"/>
  <c r="H877" i="4"/>
  <c r="G877" i="4"/>
  <c r="F877" i="4"/>
  <c r="J829" i="4"/>
  <c r="I829" i="4"/>
  <c r="H829" i="4"/>
  <c r="G829" i="4"/>
  <c r="F829" i="4"/>
  <c r="J805" i="4"/>
  <c r="I805" i="4"/>
  <c r="H805" i="4"/>
  <c r="G805" i="4"/>
  <c r="F805" i="4"/>
  <c r="J781" i="4"/>
  <c r="I781" i="4"/>
  <c r="H781" i="4"/>
  <c r="G781" i="4"/>
  <c r="F781" i="4"/>
  <c r="J601" i="4"/>
  <c r="I601" i="4"/>
  <c r="H601" i="4"/>
  <c r="G601" i="4"/>
  <c r="F601" i="4"/>
  <c r="J996" i="4"/>
  <c r="I996" i="4"/>
  <c r="H996" i="4"/>
  <c r="G996" i="4"/>
  <c r="F996" i="4"/>
  <c r="J972" i="4"/>
  <c r="I972" i="4"/>
  <c r="H972" i="4"/>
  <c r="G972" i="4"/>
  <c r="F972" i="4"/>
  <c r="J960" i="4"/>
  <c r="I960" i="4"/>
  <c r="G960" i="4"/>
  <c r="H960" i="4"/>
  <c r="F960" i="4"/>
  <c r="J948" i="4"/>
  <c r="I948" i="4"/>
  <c r="H948" i="4"/>
  <c r="G948" i="4"/>
  <c r="F948" i="4"/>
  <c r="I720" i="4"/>
  <c r="F72" i="4"/>
  <c r="I48" i="4"/>
  <c r="J36" i="4"/>
  <c r="J995" i="4"/>
  <c r="I995" i="4"/>
  <c r="H995" i="4"/>
  <c r="G995" i="4"/>
  <c r="F995" i="4"/>
  <c r="J983" i="4"/>
  <c r="I983" i="4"/>
  <c r="H983" i="4"/>
  <c r="G983" i="4"/>
  <c r="F983" i="4"/>
  <c r="J971" i="4"/>
  <c r="I971" i="4"/>
  <c r="H971" i="4"/>
  <c r="G971" i="4"/>
  <c r="F971" i="4"/>
  <c r="J959" i="4"/>
  <c r="I959" i="4"/>
  <c r="H959" i="4"/>
  <c r="G959" i="4"/>
  <c r="F959" i="4"/>
  <c r="J947" i="4"/>
  <c r="I947" i="4"/>
  <c r="H947" i="4"/>
  <c r="G947" i="4"/>
  <c r="F947" i="4"/>
  <c r="J935" i="4"/>
  <c r="I935" i="4"/>
  <c r="H935" i="4"/>
  <c r="G935" i="4"/>
  <c r="F935" i="4"/>
  <c r="J911" i="4"/>
  <c r="I911" i="4"/>
  <c r="H911" i="4"/>
  <c r="G911" i="4"/>
  <c r="F911" i="4"/>
  <c r="J887" i="4"/>
  <c r="I887" i="4"/>
  <c r="H887" i="4"/>
  <c r="G887" i="4"/>
  <c r="F887" i="4"/>
  <c r="J875" i="4"/>
  <c r="I875" i="4"/>
  <c r="H875" i="4"/>
  <c r="G875" i="4"/>
  <c r="F875" i="4"/>
  <c r="J863" i="4"/>
  <c r="I863" i="4"/>
  <c r="H863" i="4"/>
  <c r="G863" i="4"/>
  <c r="F863" i="4"/>
  <c r="J851" i="4"/>
  <c r="I851" i="4"/>
  <c r="H851" i="4"/>
  <c r="G851" i="4"/>
  <c r="F851" i="4"/>
  <c r="J839" i="4"/>
  <c r="I839" i="4"/>
  <c r="H839" i="4"/>
  <c r="G839" i="4"/>
  <c r="F839" i="4"/>
  <c r="J827" i="4"/>
  <c r="I827" i="4"/>
  <c r="H827" i="4"/>
  <c r="G827" i="4"/>
  <c r="F827" i="4"/>
  <c r="J803" i="4"/>
  <c r="I803" i="4"/>
  <c r="H803" i="4"/>
  <c r="G803" i="4"/>
  <c r="J767" i="4"/>
  <c r="I767" i="4"/>
  <c r="H767" i="4"/>
  <c r="G767" i="4"/>
  <c r="F767" i="4"/>
  <c r="J743" i="4"/>
  <c r="I743" i="4"/>
  <c r="H743" i="4"/>
  <c r="G743" i="4"/>
  <c r="F743" i="4"/>
  <c r="J731" i="4"/>
  <c r="I731" i="4"/>
  <c r="H731" i="4"/>
  <c r="G731" i="4"/>
  <c r="F731" i="4"/>
  <c r="J719" i="4"/>
  <c r="I719" i="4"/>
  <c r="H719" i="4"/>
  <c r="G719" i="4"/>
  <c r="J671" i="4"/>
  <c r="I671" i="4"/>
  <c r="H671" i="4"/>
  <c r="G671" i="4"/>
  <c r="F671" i="4"/>
  <c r="J659" i="4"/>
  <c r="I659" i="4"/>
  <c r="H659" i="4"/>
  <c r="G659" i="4"/>
  <c r="F659" i="4"/>
  <c r="J647" i="4"/>
  <c r="I647" i="4"/>
  <c r="H647" i="4"/>
  <c r="G647" i="4"/>
  <c r="F647" i="4"/>
  <c r="J635" i="4"/>
  <c r="I635" i="4"/>
  <c r="H635" i="4"/>
  <c r="G635" i="4"/>
  <c r="F635" i="4"/>
  <c r="J611" i="4"/>
  <c r="I611" i="4"/>
  <c r="H611" i="4"/>
  <c r="G611" i="4"/>
  <c r="F611" i="4"/>
  <c r="J599" i="4"/>
  <c r="I599" i="4"/>
  <c r="H599" i="4"/>
  <c r="G599" i="4"/>
  <c r="F599" i="4"/>
  <c r="J551" i="4"/>
  <c r="I551" i="4"/>
  <c r="H551" i="4"/>
  <c r="G551" i="4"/>
  <c r="F551" i="4"/>
  <c r="J527" i="4"/>
  <c r="I527" i="4"/>
  <c r="H527" i="4"/>
  <c r="G527" i="4"/>
  <c r="F527" i="4"/>
  <c r="H443" i="4"/>
  <c r="G107" i="4"/>
  <c r="J35" i="4"/>
  <c r="I35" i="4"/>
  <c r="G35" i="4"/>
  <c r="H35" i="4"/>
  <c r="F35" i="4"/>
  <c r="J918" i="4"/>
  <c r="I918" i="4"/>
  <c r="H918" i="4"/>
  <c r="G918" i="4"/>
  <c r="F918" i="4"/>
  <c r="J774" i="4"/>
  <c r="I774" i="4"/>
  <c r="G774" i="4"/>
  <c r="H774" i="4"/>
  <c r="F774" i="4"/>
  <c r="J846" i="4"/>
  <c r="I846" i="4"/>
  <c r="H846" i="4"/>
  <c r="G846" i="4"/>
  <c r="F846" i="4"/>
  <c r="J994" i="4"/>
  <c r="I994" i="4"/>
  <c r="G994" i="4"/>
  <c r="H994" i="4"/>
  <c r="F994" i="4"/>
  <c r="J970" i="4"/>
  <c r="I970" i="4"/>
  <c r="H970" i="4"/>
  <c r="G970" i="4"/>
  <c r="F970" i="4"/>
  <c r="J958" i="4"/>
  <c r="I958" i="4"/>
  <c r="H958" i="4"/>
  <c r="G958" i="4"/>
  <c r="F958" i="4"/>
  <c r="J946" i="4"/>
  <c r="I946" i="4"/>
  <c r="H946" i="4"/>
  <c r="G946" i="4"/>
  <c r="F946" i="4"/>
  <c r="J934" i="4"/>
  <c r="I934" i="4"/>
  <c r="H934" i="4"/>
  <c r="G934" i="4"/>
  <c r="F934" i="4"/>
  <c r="J922" i="4"/>
  <c r="I922" i="4"/>
  <c r="H922" i="4"/>
  <c r="G922" i="4"/>
  <c r="F922" i="4"/>
  <c r="J862" i="4"/>
  <c r="I862" i="4"/>
  <c r="H862" i="4"/>
  <c r="G862" i="4"/>
  <c r="F862" i="4"/>
  <c r="J850" i="4"/>
  <c r="I850" i="4"/>
  <c r="H850" i="4"/>
  <c r="G850" i="4"/>
  <c r="F850" i="4"/>
  <c r="J838" i="4"/>
  <c r="I838" i="4"/>
  <c r="H838" i="4"/>
  <c r="F838" i="4"/>
  <c r="G838" i="4"/>
  <c r="J826" i="4"/>
  <c r="I826" i="4"/>
  <c r="H826" i="4"/>
  <c r="G826" i="4"/>
  <c r="J718" i="4"/>
  <c r="H538" i="4"/>
  <c r="J22" i="4"/>
  <c r="I22" i="4"/>
  <c r="H22" i="4"/>
  <c r="G22" i="4"/>
  <c r="F22" i="4"/>
  <c r="F803" i="4"/>
  <c r="I561" i="4"/>
  <c r="J1004" i="4"/>
  <c r="I1004" i="4"/>
  <c r="H1004" i="4"/>
  <c r="G1004" i="4"/>
  <c r="F1004" i="4"/>
  <c r="J992" i="4"/>
  <c r="I992" i="4"/>
  <c r="G992" i="4"/>
  <c r="H992" i="4"/>
  <c r="J968" i="4"/>
  <c r="I968" i="4"/>
  <c r="G968" i="4"/>
  <c r="H968" i="4"/>
  <c r="F968" i="4"/>
  <c r="J944" i="4"/>
  <c r="I944" i="4"/>
  <c r="H944" i="4"/>
  <c r="G944" i="4"/>
  <c r="F944" i="4"/>
  <c r="J932" i="4"/>
  <c r="I932" i="4"/>
  <c r="H932" i="4"/>
  <c r="G932" i="4"/>
  <c r="F932" i="4"/>
  <c r="J920" i="4"/>
  <c r="I920" i="4"/>
  <c r="H920" i="4"/>
  <c r="G920" i="4"/>
  <c r="F920" i="4"/>
  <c r="J896" i="4"/>
  <c r="I896" i="4"/>
  <c r="H896" i="4"/>
  <c r="G896" i="4"/>
  <c r="F896" i="4"/>
  <c r="J872" i="4"/>
  <c r="I872" i="4"/>
  <c r="H872" i="4"/>
  <c r="G872" i="4"/>
  <c r="F872" i="4"/>
  <c r="J860" i="4"/>
  <c r="I860" i="4"/>
  <c r="H860" i="4"/>
  <c r="G860" i="4"/>
  <c r="F860" i="4"/>
  <c r="I848" i="4"/>
  <c r="J848" i="4"/>
  <c r="H848" i="4"/>
  <c r="G848" i="4"/>
  <c r="F848" i="4"/>
  <c r="J824" i="4"/>
  <c r="I824" i="4"/>
  <c r="H824" i="4"/>
  <c r="G824" i="4"/>
  <c r="F824" i="4"/>
  <c r="G812" i="4"/>
  <c r="J800" i="4"/>
  <c r="I800" i="4"/>
  <c r="H800" i="4"/>
  <c r="G800" i="4"/>
  <c r="F800" i="4"/>
  <c r="J788" i="4"/>
  <c r="I788" i="4"/>
  <c r="H788" i="4"/>
  <c r="G788" i="4"/>
  <c r="F788" i="4"/>
  <c r="J776" i="4"/>
  <c r="I776" i="4"/>
  <c r="H776" i="4"/>
  <c r="G776" i="4"/>
  <c r="F776" i="4"/>
  <c r="J752" i="4"/>
  <c r="H752" i="4"/>
  <c r="I752" i="4"/>
  <c r="G752" i="4"/>
  <c r="F752" i="4"/>
  <c r="J1002" i="4"/>
  <c r="I1002" i="4"/>
  <c r="H1002" i="4"/>
  <c r="G1002" i="4"/>
  <c r="F1002" i="4"/>
  <c r="J954" i="4"/>
  <c r="I954" i="4"/>
  <c r="H954" i="4"/>
  <c r="G954" i="4"/>
  <c r="F954" i="4"/>
  <c r="J906" i="4"/>
  <c r="I906" i="4"/>
  <c r="H906" i="4"/>
  <c r="G906" i="4"/>
  <c r="F906" i="4"/>
  <c r="J858" i="4"/>
  <c r="I858" i="4"/>
  <c r="H858" i="4"/>
  <c r="G858" i="4"/>
  <c r="F858" i="4"/>
  <c r="J810" i="4"/>
  <c r="I810" i="4"/>
  <c r="G810" i="4"/>
  <c r="H810" i="4"/>
  <c r="F810" i="4"/>
  <c r="J762" i="4"/>
  <c r="I762" i="4"/>
  <c r="H762" i="4"/>
  <c r="G762" i="4"/>
  <c r="F762" i="4"/>
  <c r="J714" i="4"/>
  <c r="I714" i="4"/>
  <c r="H714" i="4"/>
  <c r="G714" i="4"/>
  <c r="F714" i="4"/>
  <c r="J666" i="4"/>
  <c r="I666" i="4"/>
  <c r="H666" i="4"/>
  <c r="G666" i="4"/>
  <c r="F666" i="4"/>
  <c r="J1003" i="4"/>
  <c r="I1003" i="4"/>
  <c r="H1003" i="4"/>
  <c r="G1003" i="4"/>
  <c r="F1003" i="4"/>
  <c r="J967" i="4"/>
  <c r="H967" i="4"/>
  <c r="I967" i="4"/>
  <c r="G967" i="4"/>
  <c r="F967" i="4"/>
  <c r="J955" i="4"/>
  <c r="I955" i="4"/>
  <c r="H955" i="4"/>
  <c r="G955" i="4"/>
  <c r="F955" i="4"/>
  <c r="J943" i="4"/>
  <c r="H943" i="4"/>
  <c r="I943" i="4"/>
  <c r="G943" i="4"/>
  <c r="F943" i="4"/>
  <c r="J919" i="4"/>
  <c r="I919" i="4"/>
  <c r="H919" i="4"/>
  <c r="G919" i="4"/>
  <c r="F919" i="4"/>
  <c r="J907" i="4"/>
  <c r="I907" i="4"/>
  <c r="H907" i="4"/>
  <c r="G907" i="4"/>
  <c r="F907" i="4"/>
  <c r="J895" i="4"/>
  <c r="I895" i="4"/>
  <c r="H895" i="4"/>
  <c r="G895" i="4"/>
  <c r="F895" i="4"/>
  <c r="J883" i="4"/>
  <c r="I883" i="4"/>
  <c r="H883" i="4"/>
  <c r="G883" i="4"/>
  <c r="F883" i="4"/>
  <c r="J847" i="4"/>
  <c r="I847" i="4"/>
  <c r="H847" i="4"/>
  <c r="G847" i="4"/>
  <c r="F847" i="4"/>
  <c r="J835" i="4"/>
  <c r="J823" i="4"/>
  <c r="I823" i="4"/>
  <c r="H823" i="4"/>
  <c r="G823" i="4"/>
  <c r="F823" i="4"/>
  <c r="J811" i="4"/>
  <c r="I811" i="4"/>
  <c r="H811" i="4"/>
  <c r="G811" i="4"/>
  <c r="F811" i="4"/>
  <c r="J799" i="4"/>
  <c r="I799" i="4"/>
  <c r="G799" i="4"/>
  <c r="H799" i="4"/>
  <c r="F799" i="4"/>
  <c r="J787" i="4"/>
  <c r="I787" i="4"/>
  <c r="H787" i="4"/>
  <c r="G787" i="4"/>
  <c r="F787" i="4"/>
  <c r="J751" i="4"/>
  <c r="H751" i="4"/>
  <c r="I751" i="4"/>
  <c r="G751" i="4"/>
  <c r="F751" i="4"/>
  <c r="J739" i="4"/>
  <c r="I739" i="4"/>
  <c r="H739" i="4"/>
  <c r="G739" i="4"/>
  <c r="F739" i="4"/>
  <c r="J727" i="4"/>
  <c r="I727" i="4"/>
  <c r="G727" i="4"/>
  <c r="H727" i="4"/>
  <c r="F727" i="4"/>
  <c r="J703" i="4"/>
  <c r="I703" i="4"/>
  <c r="H703" i="4"/>
  <c r="G703" i="4"/>
  <c r="F703" i="4"/>
  <c r="J691" i="4"/>
  <c r="H691" i="4"/>
  <c r="I691" i="4"/>
  <c r="G691" i="4"/>
  <c r="J667" i="4"/>
  <c r="I667" i="4"/>
  <c r="H667" i="4"/>
  <c r="G667" i="4"/>
  <c r="F667" i="4"/>
  <c r="I521" i="4"/>
  <c r="H521" i="4"/>
  <c r="F719" i="4"/>
  <c r="G89" i="4"/>
  <c r="G65" i="4"/>
  <c r="F65" i="4"/>
  <c r="J999" i="4"/>
  <c r="I999" i="4"/>
  <c r="H999" i="4"/>
  <c r="G999" i="4"/>
  <c r="J903" i="4"/>
  <c r="I903" i="4"/>
  <c r="H903" i="4"/>
  <c r="G903" i="4"/>
  <c r="F903" i="4"/>
  <c r="J711" i="4"/>
  <c r="H711" i="4"/>
  <c r="I711" i="4"/>
  <c r="G711" i="4"/>
  <c r="F711" i="4"/>
  <c r="J10" i="4"/>
  <c r="J975" i="4"/>
  <c r="I975" i="4"/>
  <c r="H975" i="4"/>
  <c r="G975" i="4"/>
  <c r="J891" i="4"/>
  <c r="I891" i="4"/>
  <c r="H891" i="4"/>
  <c r="G891" i="4"/>
  <c r="F891" i="4"/>
  <c r="J807" i="4"/>
  <c r="H807" i="4"/>
  <c r="I807" i="4"/>
  <c r="G807" i="4"/>
  <c r="F807" i="4"/>
  <c r="J735" i="4"/>
  <c r="H735" i="4"/>
  <c r="I735" i="4"/>
  <c r="G735" i="4"/>
  <c r="F735" i="4"/>
  <c r="F999" i="4"/>
  <c r="J963" i="4"/>
  <c r="I963" i="4"/>
  <c r="H963" i="4"/>
  <c r="G963" i="4"/>
  <c r="J879" i="4"/>
  <c r="H879" i="4"/>
  <c r="G879" i="4"/>
  <c r="I879" i="4"/>
  <c r="F879" i="4"/>
  <c r="J819" i="4"/>
  <c r="I819" i="4"/>
  <c r="H819" i="4"/>
  <c r="G819" i="4"/>
  <c r="F819" i="4"/>
  <c r="J663" i="4"/>
  <c r="I663" i="4"/>
  <c r="H663" i="4"/>
  <c r="F663" i="4"/>
  <c r="F963" i="4"/>
  <c r="I951" i="4"/>
  <c r="J951" i="4"/>
  <c r="H951" i="4"/>
  <c r="G951" i="4"/>
  <c r="J783" i="4"/>
  <c r="I783" i="4"/>
  <c r="H783" i="4"/>
  <c r="G783" i="4"/>
  <c r="F783" i="4"/>
  <c r="J675" i="4"/>
  <c r="I675" i="4"/>
  <c r="H675" i="4"/>
  <c r="G675" i="4"/>
  <c r="F675" i="4"/>
  <c r="J855" i="4"/>
  <c r="I855" i="4"/>
  <c r="H855" i="4"/>
  <c r="G855" i="4"/>
  <c r="F855" i="4"/>
  <c r="J759" i="4"/>
  <c r="I759" i="4"/>
  <c r="H759" i="4"/>
  <c r="G759" i="4"/>
  <c r="F759" i="4"/>
  <c r="J687" i="4"/>
  <c r="I687" i="4"/>
  <c r="H687" i="4"/>
  <c r="G687" i="4"/>
  <c r="F687" i="4"/>
  <c r="F161" i="4"/>
  <c r="J927" i="4"/>
  <c r="I927" i="4"/>
  <c r="H927" i="4"/>
  <c r="G927" i="4"/>
  <c r="F927" i="4"/>
  <c r="J831" i="4"/>
  <c r="I831" i="4"/>
  <c r="H831" i="4"/>
  <c r="G831" i="4"/>
  <c r="F831" i="4"/>
  <c r="J747" i="4"/>
  <c r="I747" i="4"/>
  <c r="H747" i="4"/>
  <c r="G747" i="4"/>
  <c r="F747" i="4"/>
  <c r="L160" i="4" l="1"/>
  <c r="K448" i="4"/>
  <c r="M997" i="4"/>
  <c r="I313" i="4"/>
  <c r="L829" i="4"/>
  <c r="P891" i="4"/>
  <c r="N675" i="4"/>
  <c r="J867" i="4"/>
  <c r="I82" i="4"/>
  <c r="M711" i="4"/>
  <c r="L136" i="4"/>
  <c r="O895" i="4"/>
  <c r="P860" i="4"/>
  <c r="L951" i="4"/>
  <c r="M304" i="4"/>
  <c r="O911" i="4"/>
  <c r="K846" i="4"/>
  <c r="M676" i="4"/>
  <c r="K649" i="4"/>
  <c r="I750" i="4"/>
  <c r="M815" i="4"/>
  <c r="I713" i="4"/>
  <c r="J809" i="4"/>
  <c r="J882" i="4"/>
  <c r="H269" i="4"/>
  <c r="F989" i="4"/>
  <c r="K907" i="4"/>
  <c r="N806" i="4"/>
  <c r="P688" i="4"/>
  <c r="O904" i="4"/>
  <c r="M551" i="4"/>
  <c r="N776" i="4"/>
  <c r="L971" i="4"/>
  <c r="L208" i="4"/>
  <c r="K673" i="4"/>
  <c r="N316" i="4"/>
  <c r="P784" i="4"/>
  <c r="O736" i="4"/>
  <c r="K892" i="4"/>
  <c r="K996" i="4"/>
  <c r="N871" i="4"/>
  <c r="F795" i="4"/>
  <c r="J980" i="4"/>
  <c r="H395" i="4"/>
  <c r="H220" i="4"/>
  <c r="M352" i="4"/>
  <c r="M966" i="4"/>
  <c r="F949" i="4"/>
  <c r="O496" i="4"/>
  <c r="F775" i="4"/>
  <c r="J931" i="4"/>
  <c r="I908" i="4"/>
  <c r="F467" i="4"/>
  <c r="F793" i="4"/>
  <c r="K721" i="4"/>
  <c r="O280" i="4"/>
  <c r="G179" i="4"/>
  <c r="G755" i="4"/>
  <c r="K710" i="4"/>
  <c r="I467" i="4"/>
  <c r="I148" i="4"/>
  <c r="M855" i="4"/>
  <c r="O592" i="4"/>
  <c r="M972" i="4"/>
  <c r="J940" i="4"/>
  <c r="O999" i="4"/>
  <c r="K815" i="4"/>
  <c r="H874" i="4"/>
  <c r="I966" i="4"/>
  <c r="N795" i="4"/>
  <c r="N364" i="4"/>
  <c r="H980" i="4"/>
  <c r="I871" i="4"/>
  <c r="J836" i="4"/>
  <c r="I791" i="4"/>
  <c r="G709" i="4"/>
  <c r="G710" i="4"/>
  <c r="J830" i="4"/>
  <c r="H72" i="4"/>
  <c r="J889" i="4"/>
  <c r="F364" i="4"/>
  <c r="K771" i="4"/>
  <c r="P268" i="4"/>
  <c r="J874" i="4"/>
  <c r="G55" i="4"/>
  <c r="F127" i="4"/>
  <c r="F982" i="4"/>
  <c r="G72" i="4"/>
  <c r="N819" i="4"/>
  <c r="L879" i="4"/>
  <c r="O678" i="4"/>
  <c r="P810" i="4"/>
  <c r="G163" i="4"/>
  <c r="G695" i="4"/>
  <c r="J144" i="4"/>
  <c r="H637" i="4"/>
  <c r="F939" i="4"/>
  <c r="P867" i="4"/>
  <c r="F648" i="4"/>
  <c r="G292" i="4"/>
  <c r="J750" i="4"/>
  <c r="F1008" i="4"/>
  <c r="I637" i="4"/>
  <c r="H709" i="4"/>
  <c r="G793" i="4"/>
  <c r="I710" i="4"/>
  <c r="J148" i="4"/>
  <c r="I220" i="4"/>
  <c r="H292" i="4"/>
  <c r="G364" i="4"/>
  <c r="F436" i="4"/>
  <c r="N710" i="4"/>
  <c r="M962" i="4"/>
  <c r="K889" i="4"/>
  <c r="P795" i="4"/>
  <c r="N709" i="4"/>
  <c r="O822" i="4"/>
  <c r="P966" i="4"/>
  <c r="K637" i="4"/>
  <c r="L979" i="4"/>
  <c r="L980" i="4"/>
  <c r="P949" i="4"/>
  <c r="O755" i="4"/>
  <c r="K874" i="4"/>
  <c r="P652" i="4"/>
  <c r="L815" i="4"/>
  <c r="M796" i="4"/>
  <c r="G795" i="4"/>
  <c r="H755" i="4"/>
  <c r="H795" i="4"/>
  <c r="H775" i="4"/>
  <c r="H894" i="4"/>
  <c r="G898" i="4"/>
  <c r="H982" i="4"/>
  <c r="G822" i="4"/>
  <c r="J966" i="4"/>
  <c r="I695" i="4"/>
  <c r="I755" i="4"/>
  <c r="G1008" i="4"/>
  <c r="H949" i="4"/>
  <c r="F565" i="4"/>
  <c r="J637" i="4"/>
  <c r="I709" i="4"/>
  <c r="H793" i="4"/>
  <c r="H710" i="4"/>
  <c r="J220" i="4"/>
  <c r="I292" i="4"/>
  <c r="H364" i="4"/>
  <c r="G436" i="4"/>
  <c r="F508" i="4"/>
  <c r="O710" i="4"/>
  <c r="P962" i="4"/>
  <c r="N889" i="4"/>
  <c r="M724" i="4"/>
  <c r="L899" i="4"/>
  <c r="K508" i="4"/>
  <c r="K796" i="4"/>
  <c r="M979" i="4"/>
  <c r="K908" i="4"/>
  <c r="M980" i="4"/>
  <c r="N898" i="4"/>
  <c r="M982" i="4"/>
  <c r="L908" i="4"/>
  <c r="K539" i="4"/>
  <c r="N815" i="4"/>
  <c r="N678" i="4"/>
  <c r="O894" i="4"/>
  <c r="M75" i="4"/>
  <c r="F451" i="4"/>
  <c r="G894" i="4"/>
  <c r="F898" i="4"/>
  <c r="G982" i="4"/>
  <c r="G966" i="4"/>
  <c r="G949" i="4"/>
  <c r="F723" i="4"/>
  <c r="I795" i="4"/>
  <c r="I775" i="4"/>
  <c r="I894" i="4"/>
  <c r="H898" i="4"/>
  <c r="I982" i="4"/>
  <c r="F678" i="4"/>
  <c r="H822" i="4"/>
  <c r="J695" i="4"/>
  <c r="J755" i="4"/>
  <c r="H1008" i="4"/>
  <c r="I949" i="4"/>
  <c r="F61" i="4"/>
  <c r="G565" i="4"/>
  <c r="J709" i="4"/>
  <c r="I793" i="4"/>
  <c r="J710" i="4"/>
  <c r="J292" i="4"/>
  <c r="I364" i="4"/>
  <c r="H436" i="4"/>
  <c r="G508" i="4"/>
  <c r="G580" i="4"/>
  <c r="P710" i="4"/>
  <c r="P889" i="4"/>
  <c r="K867" i="4"/>
  <c r="O707" i="4"/>
  <c r="L220" i="4"/>
  <c r="L508" i="4"/>
  <c r="L796" i="4"/>
  <c r="L763" i="4"/>
  <c r="F979" i="4"/>
  <c r="N908" i="4"/>
  <c r="L791" i="4"/>
  <c r="O982" i="4"/>
  <c r="L910" i="4"/>
  <c r="L982" i="4"/>
  <c r="O539" i="4"/>
  <c r="O815" i="4"/>
  <c r="N899" i="4"/>
  <c r="K793" i="4"/>
  <c r="O910" i="4"/>
  <c r="G775" i="4"/>
  <c r="F822" i="4"/>
  <c r="H695" i="4"/>
  <c r="J791" i="4"/>
  <c r="G723" i="4"/>
  <c r="J795" i="4"/>
  <c r="J775" i="4"/>
  <c r="G979" i="4"/>
  <c r="J894" i="4"/>
  <c r="F764" i="4"/>
  <c r="G629" i="4"/>
  <c r="I898" i="4"/>
  <c r="J982" i="4"/>
  <c r="G678" i="4"/>
  <c r="I822" i="4"/>
  <c r="F707" i="4"/>
  <c r="I1008" i="4"/>
  <c r="G61" i="4"/>
  <c r="H565" i="4"/>
  <c r="J793" i="4"/>
  <c r="F722" i="4"/>
  <c r="J364" i="4"/>
  <c r="I436" i="4"/>
  <c r="H508" i="4"/>
  <c r="F580" i="4"/>
  <c r="F652" i="4"/>
  <c r="L722" i="4"/>
  <c r="M763" i="4"/>
  <c r="M867" i="4"/>
  <c r="M931" i="4"/>
  <c r="M220" i="4"/>
  <c r="K292" i="4"/>
  <c r="M508" i="4"/>
  <c r="K580" i="4"/>
  <c r="N796" i="4"/>
  <c r="L962" i="4"/>
  <c r="M710" i="4"/>
  <c r="L775" i="4"/>
  <c r="L871" i="4"/>
  <c r="L836" i="4"/>
  <c r="P908" i="4"/>
  <c r="M939" i="4"/>
  <c r="N910" i="4"/>
  <c r="P940" i="4"/>
  <c r="P815" i="4"/>
  <c r="L793" i="4"/>
  <c r="H678" i="4"/>
  <c r="G707" i="4"/>
  <c r="H61" i="4"/>
  <c r="G652" i="4"/>
  <c r="F724" i="4"/>
  <c r="M722" i="4"/>
  <c r="N867" i="4"/>
  <c r="L565" i="4"/>
  <c r="N220" i="4"/>
  <c r="L292" i="4"/>
  <c r="N508" i="4"/>
  <c r="N580" i="4"/>
  <c r="O796" i="4"/>
  <c r="L949" i="4"/>
  <c r="M775" i="4"/>
  <c r="L889" i="4"/>
  <c r="N836" i="4"/>
  <c r="P910" i="4"/>
  <c r="K755" i="4"/>
  <c r="M1008" i="4"/>
  <c r="K220" i="4"/>
  <c r="K722" i="4"/>
  <c r="F750" i="4"/>
  <c r="H764" i="4"/>
  <c r="F75" i="4"/>
  <c r="I979" i="4"/>
  <c r="F966" i="4"/>
  <c r="G764" i="4"/>
  <c r="F836" i="4"/>
  <c r="F910" i="4"/>
  <c r="I678" i="4"/>
  <c r="H707" i="4"/>
  <c r="F815" i="4"/>
  <c r="G899" i="4"/>
  <c r="I61" i="4"/>
  <c r="J565" i="4"/>
  <c r="H722" i="4"/>
  <c r="G890" i="4"/>
  <c r="J508" i="4"/>
  <c r="I580" i="4"/>
  <c r="I652" i="4"/>
  <c r="G724" i="4"/>
  <c r="F796" i="4"/>
  <c r="N722" i="4"/>
  <c r="K75" i="4"/>
  <c r="N764" i="4"/>
  <c r="O220" i="4"/>
  <c r="M292" i="4"/>
  <c r="K436" i="4"/>
  <c r="O508" i="4"/>
  <c r="O580" i="4"/>
  <c r="P796" i="4"/>
  <c r="K868" i="4"/>
  <c r="K940" i="4"/>
  <c r="K750" i="4"/>
  <c r="K931" i="4"/>
  <c r="N775" i="4"/>
  <c r="N755" i="4"/>
  <c r="H979" i="4"/>
  <c r="G836" i="4"/>
  <c r="F539" i="4"/>
  <c r="J61" i="4"/>
  <c r="I722" i="4"/>
  <c r="F890" i="4"/>
  <c r="F962" i="4"/>
  <c r="J580" i="4"/>
  <c r="H652" i="4"/>
  <c r="H724" i="4"/>
  <c r="G796" i="4"/>
  <c r="F868" i="4"/>
  <c r="N723" i="4"/>
  <c r="O722" i="4"/>
  <c r="K830" i="4"/>
  <c r="L75" i="4"/>
  <c r="K148" i="4"/>
  <c r="P220" i="4"/>
  <c r="O292" i="4"/>
  <c r="M436" i="4"/>
  <c r="P508" i="4"/>
  <c r="M868" i="4"/>
  <c r="L940" i="4"/>
  <c r="O979" i="4"/>
  <c r="M793" i="4"/>
  <c r="N61" i="4"/>
  <c r="M61" i="4"/>
  <c r="F899" i="4"/>
  <c r="I565" i="4"/>
  <c r="G722" i="4"/>
  <c r="J723" i="4"/>
  <c r="F763" i="4"/>
  <c r="I764" i="4"/>
  <c r="G910" i="4"/>
  <c r="I939" i="4"/>
  <c r="F867" i="4"/>
  <c r="H75" i="4"/>
  <c r="G763" i="4"/>
  <c r="G871" i="4"/>
  <c r="F931" i="4"/>
  <c r="J764" i="4"/>
  <c r="H836" i="4"/>
  <c r="G908" i="4"/>
  <c r="F980" i="4"/>
  <c r="F874" i="4"/>
  <c r="H910" i="4"/>
  <c r="G539" i="4"/>
  <c r="J707" i="4"/>
  <c r="H815" i="4"/>
  <c r="I899" i="4"/>
  <c r="F889" i="4"/>
  <c r="J722" i="4"/>
  <c r="F830" i="4"/>
  <c r="H890" i="4"/>
  <c r="G962" i="4"/>
  <c r="J652" i="4"/>
  <c r="I724" i="4"/>
  <c r="H796" i="4"/>
  <c r="G868" i="4"/>
  <c r="F940" i="4"/>
  <c r="L830" i="4"/>
  <c r="N75" i="4"/>
  <c r="K939" i="4"/>
  <c r="L148" i="4"/>
  <c r="P292" i="4"/>
  <c r="N436" i="4"/>
  <c r="L652" i="4"/>
  <c r="N940" i="4"/>
  <c r="K836" i="4"/>
  <c r="K894" i="4"/>
  <c r="P148" i="4"/>
  <c r="M637" i="4"/>
  <c r="M874" i="4"/>
  <c r="K695" i="4"/>
  <c r="O795" i="4"/>
  <c r="O364" i="4"/>
  <c r="H723" i="4"/>
  <c r="G939" i="4"/>
  <c r="I723" i="4"/>
  <c r="H939" i="4"/>
  <c r="G75" i="4"/>
  <c r="F871" i="4"/>
  <c r="F908" i="4"/>
  <c r="J678" i="4"/>
  <c r="I707" i="4"/>
  <c r="G815" i="4"/>
  <c r="H899" i="4"/>
  <c r="J939" i="4"/>
  <c r="G867" i="4"/>
  <c r="I75" i="4"/>
  <c r="H763" i="4"/>
  <c r="H871" i="4"/>
  <c r="G931" i="4"/>
  <c r="H908" i="4"/>
  <c r="G980" i="4"/>
  <c r="G874" i="4"/>
  <c r="I910" i="4"/>
  <c r="H539" i="4"/>
  <c r="F791" i="4"/>
  <c r="I815" i="4"/>
  <c r="G889" i="4"/>
  <c r="G830" i="4"/>
  <c r="I890" i="4"/>
  <c r="H962" i="4"/>
  <c r="F148" i="4"/>
  <c r="J724" i="4"/>
  <c r="I796" i="4"/>
  <c r="H868" i="4"/>
  <c r="I940" i="4"/>
  <c r="N830" i="4"/>
  <c r="K890" i="4"/>
  <c r="O75" i="4"/>
  <c r="K795" i="4"/>
  <c r="L939" i="4"/>
  <c r="M148" i="4"/>
  <c r="N652" i="4"/>
  <c r="O940" i="4"/>
  <c r="L580" i="4"/>
  <c r="L822" i="4"/>
  <c r="K678" i="4"/>
  <c r="L894" i="4"/>
  <c r="K966" i="4"/>
  <c r="N292" i="4"/>
  <c r="L1008" i="4"/>
  <c r="P637" i="4"/>
  <c r="O890" i="4"/>
  <c r="K791" i="4"/>
  <c r="H867" i="4"/>
  <c r="I763" i="4"/>
  <c r="H931" i="4"/>
  <c r="G750" i="4"/>
  <c r="I830" i="4"/>
  <c r="J890" i="4"/>
  <c r="I962" i="4"/>
  <c r="F220" i="4"/>
  <c r="I868" i="4"/>
  <c r="G940" i="4"/>
  <c r="O830" i="4"/>
  <c r="L890" i="4"/>
  <c r="P898" i="4"/>
  <c r="P75" i="4"/>
  <c r="L723" i="4"/>
  <c r="L795" i="4"/>
  <c r="O939" i="4"/>
  <c r="O148" i="4"/>
  <c r="L364" i="4"/>
  <c r="L724" i="4"/>
  <c r="N868" i="4"/>
  <c r="L678" i="4"/>
  <c r="N894" i="4"/>
  <c r="N966" i="4"/>
  <c r="O436" i="4"/>
  <c r="O966" i="4"/>
  <c r="L695" i="4"/>
  <c r="N791" i="4"/>
  <c r="M830" i="4"/>
  <c r="O709" i="4"/>
  <c r="I539" i="4"/>
  <c r="G791" i="4"/>
  <c r="J421" i="4"/>
  <c r="F637" i="4"/>
  <c r="H889" i="4"/>
  <c r="G148" i="4"/>
  <c r="H966" i="4"/>
  <c r="F709" i="4"/>
  <c r="H830" i="4"/>
  <c r="J365" i="4"/>
  <c r="N539" i="4"/>
  <c r="K980" i="4"/>
  <c r="N280" i="4"/>
  <c r="K184" i="4"/>
  <c r="P794" i="4"/>
  <c r="V48" i="4"/>
  <c r="X40" i="4"/>
  <c r="X41" i="4"/>
  <c r="U47" i="4"/>
  <c r="L942" i="4"/>
  <c r="H201" i="4"/>
  <c r="O739" i="4"/>
  <c r="L172" i="4"/>
  <c r="F313" i="4"/>
  <c r="N676" i="4"/>
  <c r="G313" i="4"/>
  <c r="P678" i="4"/>
  <c r="P844" i="4"/>
  <c r="I782" i="4"/>
  <c r="H340" i="4"/>
  <c r="H772" i="4"/>
  <c r="L779" i="4"/>
  <c r="J521" i="4"/>
  <c r="I342" i="4"/>
  <c r="J83" i="4"/>
  <c r="G467" i="4"/>
  <c r="H923" i="4"/>
  <c r="F757" i="4"/>
  <c r="H882" i="4"/>
  <c r="J782" i="4"/>
  <c r="I797" i="4"/>
  <c r="I340" i="4"/>
  <c r="I772" i="4"/>
  <c r="O942" i="4"/>
  <c r="M812" i="4"/>
  <c r="M779" i="4"/>
  <c r="G923" i="4"/>
  <c r="H757" i="4"/>
  <c r="O623" i="4"/>
  <c r="N48" i="4"/>
  <c r="G915" i="4"/>
  <c r="J101" i="4"/>
  <c r="I809" i="4"/>
  <c r="H956" i="4"/>
  <c r="H107" i="4"/>
  <c r="J467" i="4"/>
  <c r="F64" i="4"/>
  <c r="N613" i="4"/>
  <c r="M772" i="4"/>
  <c r="M863" i="4"/>
  <c r="N985" i="4"/>
  <c r="I812" i="4"/>
  <c r="F915" i="4"/>
  <c r="I956" i="4"/>
  <c r="I916" i="4"/>
  <c r="I70" i="4"/>
  <c r="H986" i="4"/>
  <c r="H699" i="4"/>
  <c r="H161" i="4"/>
  <c r="G19" i="4"/>
  <c r="F991" i="4"/>
  <c r="F23" i="4"/>
  <c r="H179" i="4"/>
  <c r="J683" i="4"/>
  <c r="G779" i="4"/>
  <c r="I258" i="4"/>
  <c r="I986" i="4"/>
  <c r="I484" i="4"/>
  <c r="H916" i="4"/>
  <c r="L842" i="4"/>
  <c r="L623" i="4"/>
  <c r="L798" i="4"/>
  <c r="P757" i="4"/>
  <c r="J48" i="4"/>
  <c r="G630" i="4"/>
  <c r="I683" i="4"/>
  <c r="H484" i="4"/>
  <c r="N772" i="4"/>
  <c r="H19" i="4"/>
  <c r="G991" i="4"/>
  <c r="J214" i="4"/>
  <c r="G23" i="4"/>
  <c r="J179" i="4"/>
  <c r="J853" i="4"/>
  <c r="F613" i="4"/>
  <c r="H258" i="4"/>
  <c r="I926" i="4"/>
  <c r="O587" i="4"/>
  <c r="L870" i="4"/>
  <c r="O842" i="4"/>
  <c r="O529" i="4"/>
  <c r="G161" i="4"/>
  <c r="I161" i="4"/>
  <c r="L843" i="4"/>
  <c r="L916" i="4"/>
  <c r="M886" i="4"/>
  <c r="L860" i="4"/>
  <c r="P985" i="4"/>
  <c r="L812" i="4"/>
  <c r="P575" i="4"/>
  <c r="I699" i="4"/>
  <c r="H397" i="4"/>
  <c r="J843" i="4"/>
  <c r="J161" i="4"/>
  <c r="F437" i="4"/>
  <c r="H430" i="4"/>
  <c r="H23" i="4"/>
  <c r="H251" i="4"/>
  <c r="F575" i="4"/>
  <c r="J623" i="4"/>
  <c r="I397" i="4"/>
  <c r="G738" i="4"/>
  <c r="J926" i="4"/>
  <c r="I185" i="4"/>
  <c r="F533" i="4"/>
  <c r="F726" i="4"/>
  <c r="F299" i="4"/>
  <c r="G575" i="4"/>
  <c r="H1007" i="4"/>
  <c r="J397" i="4"/>
  <c r="F541" i="4"/>
  <c r="H196" i="4"/>
  <c r="H628" i="4"/>
  <c r="P843" i="4"/>
  <c r="K48" i="4"/>
  <c r="K984" i="4"/>
  <c r="L563" i="4"/>
  <c r="L613" i="4"/>
  <c r="F779" i="4"/>
  <c r="G258" i="4"/>
  <c r="J185" i="4"/>
  <c r="G533" i="4"/>
  <c r="G574" i="4"/>
  <c r="H726" i="4"/>
  <c r="G395" i="4"/>
  <c r="I1007" i="4"/>
  <c r="G541" i="4"/>
  <c r="I196" i="4"/>
  <c r="I628" i="4"/>
  <c r="K812" i="4"/>
  <c r="I991" i="4"/>
  <c r="F213" i="4"/>
  <c r="I726" i="4"/>
  <c r="F870" i="4"/>
  <c r="I575" i="4"/>
  <c r="I779" i="4"/>
  <c r="J923" i="4"/>
  <c r="F942" i="4"/>
  <c r="I757" i="4"/>
  <c r="G985" i="4"/>
  <c r="I541" i="4"/>
  <c r="H613" i="4"/>
  <c r="M686" i="4"/>
  <c r="N842" i="4"/>
  <c r="L986" i="4"/>
  <c r="P685" i="4"/>
  <c r="L771" i="4"/>
  <c r="P686" i="4"/>
  <c r="L556" i="4"/>
  <c r="M700" i="4"/>
  <c r="P679" i="4"/>
  <c r="P812" i="4"/>
  <c r="K884" i="4"/>
  <c r="N956" i="4"/>
  <c r="L1006" i="4"/>
  <c r="M340" i="4"/>
  <c r="L575" i="4"/>
  <c r="O779" i="4"/>
  <c r="L984" i="4"/>
  <c r="J772" i="4"/>
  <c r="M956" i="4"/>
  <c r="J915" i="4"/>
  <c r="J779" i="4"/>
  <c r="F556" i="4"/>
  <c r="F700" i="4"/>
  <c r="M986" i="4"/>
  <c r="N700" i="4"/>
  <c r="K484" i="4"/>
  <c r="K844" i="4"/>
  <c r="M575" i="4"/>
  <c r="P779" i="4"/>
  <c r="K563" i="4"/>
  <c r="H991" i="4"/>
  <c r="G613" i="4"/>
  <c r="M988" i="4"/>
  <c r="I915" i="4"/>
  <c r="G870" i="4"/>
  <c r="J575" i="4"/>
  <c r="F268" i="4"/>
  <c r="N556" i="4"/>
  <c r="M1000" i="4"/>
  <c r="G886" i="4"/>
  <c r="H870" i="4"/>
  <c r="H942" i="4"/>
  <c r="G984" i="4"/>
  <c r="I985" i="4"/>
  <c r="J613" i="4"/>
  <c r="F686" i="4"/>
  <c r="G124" i="4"/>
  <c r="G268" i="4"/>
  <c r="G412" i="4"/>
  <c r="G556" i="4"/>
  <c r="G700" i="4"/>
  <c r="I844" i="4"/>
  <c r="G988" i="4"/>
  <c r="P890" i="4"/>
  <c r="N986" i="4"/>
  <c r="N771" i="4"/>
  <c r="L987" i="4"/>
  <c r="M901" i="4"/>
  <c r="N726" i="4"/>
  <c r="K196" i="4"/>
  <c r="L340" i="4"/>
  <c r="M484" i="4"/>
  <c r="O556" i="4"/>
  <c r="O700" i="4"/>
  <c r="L268" i="4"/>
  <c r="M991" i="4"/>
  <c r="K776" i="4"/>
  <c r="K968" i="4"/>
  <c r="M556" i="4"/>
  <c r="M587" i="4"/>
  <c r="J1007" i="4"/>
  <c r="J986" i="4"/>
  <c r="L19" i="4"/>
  <c r="M842" i="4"/>
  <c r="O679" i="4"/>
  <c r="N779" i="4"/>
  <c r="J991" i="4"/>
  <c r="F884" i="4"/>
  <c r="F984" i="4"/>
  <c r="G679" i="4"/>
  <c r="H884" i="4"/>
  <c r="H957" i="4"/>
  <c r="H987" i="4"/>
  <c r="I771" i="4"/>
  <c r="J415" i="4"/>
  <c r="H679" i="4"/>
  <c r="F715" i="4"/>
  <c r="F859" i="4"/>
  <c r="G884" i="4"/>
  <c r="F798" i="4"/>
  <c r="H886" i="4"/>
  <c r="F1006" i="4"/>
  <c r="I870" i="4"/>
  <c r="G587" i="4"/>
  <c r="I942" i="4"/>
  <c r="F360" i="4"/>
  <c r="H984" i="4"/>
  <c r="F901" i="4"/>
  <c r="J985" i="4"/>
  <c r="G686" i="4"/>
  <c r="H124" i="4"/>
  <c r="H268" i="4"/>
  <c r="H412" i="4"/>
  <c r="H556" i="4"/>
  <c r="H700" i="4"/>
  <c r="G844" i="4"/>
  <c r="H988" i="4"/>
  <c r="K782" i="4"/>
  <c r="O986" i="4"/>
  <c r="L988" i="4"/>
  <c r="P771" i="4"/>
  <c r="M987" i="4"/>
  <c r="N901" i="4"/>
  <c r="K124" i="4"/>
  <c r="M196" i="4"/>
  <c r="N340" i="4"/>
  <c r="O484" i="4"/>
  <c r="P556" i="4"/>
  <c r="P700" i="4"/>
  <c r="M412" i="4"/>
  <c r="O1006" i="4"/>
  <c r="L726" i="4"/>
  <c r="N835" i="4"/>
  <c r="O771" i="4"/>
  <c r="M843" i="4"/>
  <c r="K757" i="4"/>
  <c r="L877" i="4"/>
  <c r="F985" i="4"/>
  <c r="K986" i="4"/>
  <c r="M798" i="4"/>
  <c r="N686" i="4"/>
  <c r="M124" i="4"/>
  <c r="P956" i="4"/>
  <c r="G987" i="4"/>
  <c r="F587" i="4"/>
  <c r="I987" i="4"/>
  <c r="J771" i="4"/>
  <c r="I679" i="4"/>
  <c r="G715" i="4"/>
  <c r="G859" i="4"/>
  <c r="I884" i="4"/>
  <c r="G798" i="4"/>
  <c r="I886" i="4"/>
  <c r="G1006" i="4"/>
  <c r="F563" i="4"/>
  <c r="H587" i="4"/>
  <c r="J942" i="4"/>
  <c r="I360" i="4"/>
  <c r="I984" i="4"/>
  <c r="H901" i="4"/>
  <c r="F685" i="4"/>
  <c r="H686" i="4"/>
  <c r="I124" i="4"/>
  <c r="I268" i="4"/>
  <c r="I412" i="4"/>
  <c r="I556" i="4"/>
  <c r="I700" i="4"/>
  <c r="H844" i="4"/>
  <c r="I988" i="4"/>
  <c r="M782" i="4"/>
  <c r="P986" i="4"/>
  <c r="F987" i="4"/>
  <c r="P901" i="4"/>
  <c r="L124" i="4"/>
  <c r="P196" i="4"/>
  <c r="P340" i="4"/>
  <c r="L412" i="4"/>
  <c r="P484" i="4"/>
  <c r="L844" i="4"/>
  <c r="K983" i="4"/>
  <c r="O726" i="4"/>
  <c r="O541" i="4"/>
  <c r="N859" i="4"/>
  <c r="N757" i="4"/>
  <c r="F771" i="4"/>
  <c r="J726" i="4"/>
  <c r="J757" i="4"/>
  <c r="H985" i="4"/>
  <c r="J541" i="4"/>
  <c r="F412" i="4"/>
  <c r="M771" i="4"/>
  <c r="L484" i="4"/>
  <c r="J984" i="4"/>
  <c r="G853" i="4"/>
  <c r="G901" i="4"/>
  <c r="G685" i="4"/>
  <c r="I686" i="4"/>
  <c r="J124" i="4"/>
  <c r="J268" i="4"/>
  <c r="J412" i="4"/>
  <c r="J556" i="4"/>
  <c r="J700" i="4"/>
  <c r="J844" i="4"/>
  <c r="J988" i="4"/>
  <c r="N782" i="4"/>
  <c r="O782" i="4"/>
  <c r="P124" i="4"/>
  <c r="N412" i="4"/>
  <c r="M712" i="4"/>
  <c r="M844" i="4"/>
  <c r="P613" i="4"/>
  <c r="N853" i="4"/>
  <c r="P1007" i="4"/>
  <c r="K877" i="4"/>
  <c r="N923" i="4"/>
  <c r="L1007" i="4"/>
  <c r="N699" i="4"/>
  <c r="H915" i="4"/>
  <c r="H779" i="4"/>
  <c r="I923" i="4"/>
  <c r="J340" i="4"/>
  <c r="J916" i="4"/>
  <c r="P772" i="4"/>
  <c r="P563" i="4"/>
  <c r="G771" i="4"/>
  <c r="F886" i="4"/>
  <c r="F844" i="4"/>
  <c r="P915" i="4"/>
  <c r="H487" i="4"/>
  <c r="H715" i="4"/>
  <c r="H859" i="4"/>
  <c r="H798" i="4"/>
  <c r="J886" i="4"/>
  <c r="F623" i="4"/>
  <c r="G843" i="4"/>
  <c r="G559" i="4"/>
  <c r="I715" i="4"/>
  <c r="H835" i="4"/>
  <c r="I859" i="4"/>
  <c r="I798" i="4"/>
  <c r="J1006" i="4"/>
  <c r="H563" i="4"/>
  <c r="J587" i="4"/>
  <c r="G623" i="4"/>
  <c r="F683" i="4"/>
  <c r="F48" i="4"/>
  <c r="G648" i="4"/>
  <c r="F853" i="4"/>
  <c r="I901" i="4"/>
  <c r="H685" i="4"/>
  <c r="G782" i="4"/>
  <c r="F926" i="4"/>
  <c r="P782" i="4"/>
  <c r="K699" i="4"/>
  <c r="L915" i="4"/>
  <c r="O412" i="4"/>
  <c r="O628" i="4"/>
  <c r="O844" i="4"/>
  <c r="M628" i="4"/>
  <c r="K942" i="4"/>
  <c r="N19" i="4"/>
  <c r="L715" i="4"/>
  <c r="K859" i="4"/>
  <c r="K772" i="4"/>
  <c r="L698" i="4"/>
  <c r="M925" i="4"/>
  <c r="M683" i="4"/>
  <c r="O923" i="4"/>
  <c r="M161" i="4"/>
  <c r="M926" i="4"/>
  <c r="K541" i="4"/>
  <c r="J699" i="4"/>
  <c r="J812" i="4"/>
  <c r="J956" i="4"/>
  <c r="J842" i="4"/>
  <c r="J196" i="4"/>
  <c r="L196" i="4"/>
  <c r="H771" i="4"/>
  <c r="F843" i="4"/>
  <c r="J679" i="4"/>
  <c r="F835" i="4"/>
  <c r="H1006" i="4"/>
  <c r="G563" i="4"/>
  <c r="F699" i="4"/>
  <c r="I843" i="4"/>
  <c r="F19" i="4"/>
  <c r="I631" i="4"/>
  <c r="J715" i="4"/>
  <c r="G835" i="4"/>
  <c r="J859" i="4"/>
  <c r="F812" i="4"/>
  <c r="F956" i="4"/>
  <c r="I563" i="4"/>
  <c r="H623" i="4"/>
  <c r="G683" i="4"/>
  <c r="F1007" i="4"/>
  <c r="G48" i="4"/>
  <c r="G720" i="4"/>
  <c r="H853" i="4"/>
  <c r="I685" i="4"/>
  <c r="F782" i="4"/>
  <c r="F842" i="4"/>
  <c r="G926" i="4"/>
  <c r="F986" i="4"/>
  <c r="F196" i="4"/>
  <c r="F340" i="4"/>
  <c r="F484" i="4"/>
  <c r="F628" i="4"/>
  <c r="F772" i="4"/>
  <c r="F916" i="4"/>
  <c r="O683" i="4"/>
  <c r="L926" i="4"/>
  <c r="M699" i="4"/>
  <c r="O268" i="4"/>
  <c r="M884" i="4"/>
  <c r="N942" i="4"/>
  <c r="P19" i="4"/>
  <c r="O715" i="4"/>
  <c r="L985" i="4"/>
  <c r="L161" i="4"/>
  <c r="M942" i="4"/>
  <c r="J19" i="4"/>
  <c r="J484" i="4"/>
  <c r="J628" i="4"/>
  <c r="O812" i="4"/>
  <c r="F679" i="4"/>
  <c r="G942" i="4"/>
  <c r="O987" i="4"/>
  <c r="P842" i="4"/>
  <c r="J440" i="4"/>
  <c r="G699" i="4"/>
  <c r="H843" i="4"/>
  <c r="F606" i="4"/>
  <c r="I623" i="4"/>
  <c r="H720" i="4"/>
  <c r="J685" i="4"/>
  <c r="G842" i="4"/>
  <c r="H926" i="4"/>
  <c r="G772" i="4"/>
  <c r="L835" i="4"/>
  <c r="K901" i="4"/>
  <c r="N715" i="4"/>
  <c r="P923" i="4"/>
  <c r="K956" i="4"/>
  <c r="H337" i="4"/>
  <c r="F471" i="4"/>
  <c r="M915" i="4"/>
  <c r="F465" i="4"/>
  <c r="F399" i="4"/>
  <c r="H753" i="4"/>
  <c r="I105" i="4"/>
  <c r="G825" i="4"/>
  <c r="H177" i="4"/>
  <c r="I445" i="4"/>
  <c r="G897" i="4"/>
  <c r="H969" i="4"/>
  <c r="F249" i="4"/>
  <c r="I681" i="4"/>
  <c r="J249" i="4"/>
  <c r="I321" i="4"/>
  <c r="G393" i="4"/>
  <c r="F615" i="4"/>
  <c r="J257" i="4"/>
  <c r="O747" i="4"/>
  <c r="N161" i="4"/>
  <c r="H255" i="4"/>
  <c r="G789" i="4"/>
  <c r="I318" i="4"/>
  <c r="O161" i="4"/>
  <c r="H543" i="4"/>
  <c r="P161" i="4"/>
  <c r="I255" i="4"/>
  <c r="J543" i="4"/>
  <c r="H224" i="4"/>
  <c r="L460" i="4"/>
  <c r="O925" i="4"/>
  <c r="J607" i="4"/>
  <c r="F512" i="4"/>
  <c r="G642" i="4"/>
  <c r="O686" i="4"/>
  <c r="M675" i="4"/>
  <c r="K891" i="4"/>
  <c r="L424" i="4"/>
  <c r="J656" i="4"/>
  <c r="P967" i="4"/>
  <c r="F642" i="4"/>
  <c r="I265" i="4"/>
  <c r="H642" i="4"/>
  <c r="G728" i="4"/>
  <c r="J265" i="4"/>
  <c r="I642" i="4"/>
  <c r="I269" i="4"/>
  <c r="L856" i="4"/>
  <c r="L994" i="4"/>
  <c r="O774" i="4"/>
  <c r="F567" i="4"/>
  <c r="H351" i="4"/>
  <c r="O734" i="4"/>
  <c r="P854" i="4"/>
  <c r="F197" i="4"/>
  <c r="M927" i="4"/>
  <c r="L568" i="4"/>
  <c r="M894" i="4"/>
  <c r="P968" i="4"/>
  <c r="F135" i="4"/>
  <c r="I207" i="4"/>
  <c r="J495" i="4"/>
  <c r="G197" i="4"/>
  <c r="G135" i="4"/>
  <c r="J207" i="4"/>
  <c r="P866" i="4"/>
  <c r="N883" i="4"/>
  <c r="P659" i="4"/>
  <c r="I639" i="4"/>
  <c r="N914" i="4"/>
  <c r="O424" i="4"/>
  <c r="N811" i="4"/>
  <c r="L878" i="4"/>
  <c r="G281" i="4"/>
  <c r="H281" i="4"/>
  <c r="G351" i="4"/>
  <c r="H639" i="4"/>
  <c r="O687" i="4"/>
  <c r="P751" i="4"/>
  <c r="K823" i="4"/>
  <c r="N979" i="4"/>
  <c r="O340" i="4"/>
  <c r="O472" i="4"/>
  <c r="M971" i="4"/>
  <c r="K61" i="4"/>
  <c r="F89" i="4"/>
  <c r="F518" i="4"/>
  <c r="N807" i="4"/>
  <c r="L304" i="4"/>
  <c r="H89" i="4"/>
  <c r="M613" i="4"/>
  <c r="N783" i="4"/>
  <c r="M714" i="4"/>
  <c r="N829" i="4"/>
  <c r="K997" i="4"/>
  <c r="K824" i="4"/>
  <c r="I341" i="4"/>
  <c r="G797" i="4"/>
  <c r="N884" i="4"/>
  <c r="J341" i="4"/>
  <c r="H797" i="4"/>
  <c r="M890" i="4"/>
  <c r="M328" i="4"/>
  <c r="H286" i="4"/>
  <c r="N763" i="4"/>
  <c r="F790" i="4"/>
  <c r="G142" i="4"/>
  <c r="G286" i="4"/>
  <c r="J430" i="4"/>
  <c r="F646" i="4"/>
  <c r="H790" i="4"/>
  <c r="H71" i="4"/>
  <c r="H431" i="4"/>
  <c r="J574" i="4"/>
  <c r="F142" i="4"/>
  <c r="I286" i="4"/>
  <c r="F502" i="4"/>
  <c r="H646" i="4"/>
  <c r="I790" i="4"/>
  <c r="P160" i="4"/>
  <c r="J70" i="4"/>
  <c r="H142" i="4"/>
  <c r="J286" i="4"/>
  <c r="G502" i="4"/>
  <c r="I646" i="4"/>
  <c r="J790" i="4"/>
  <c r="L855" i="4"/>
  <c r="P970" i="4"/>
  <c r="M877" i="4"/>
  <c r="P743" i="4"/>
  <c r="I142" i="4"/>
  <c r="F358" i="4"/>
  <c r="H502" i="4"/>
  <c r="G646" i="4"/>
  <c r="O806" i="4"/>
  <c r="K340" i="4"/>
  <c r="K628" i="4"/>
  <c r="N916" i="4"/>
  <c r="G430" i="4"/>
  <c r="G358" i="4"/>
  <c r="I502" i="4"/>
  <c r="H353" i="4"/>
  <c r="K854" i="4"/>
  <c r="P735" i="4"/>
  <c r="P997" i="4"/>
  <c r="I430" i="4"/>
  <c r="F214" i="4"/>
  <c r="H358" i="4"/>
  <c r="F718" i="4"/>
  <c r="G66" i="4"/>
  <c r="G572" i="4"/>
  <c r="F70" i="4"/>
  <c r="I358" i="4"/>
  <c r="J503" i="4"/>
  <c r="I574" i="4"/>
  <c r="H718" i="4"/>
  <c r="G70" i="4"/>
  <c r="H214" i="4"/>
  <c r="F574" i="4"/>
  <c r="G718" i="4"/>
  <c r="N148" i="4"/>
  <c r="G214" i="4"/>
  <c r="I287" i="4"/>
  <c r="J454" i="4"/>
  <c r="G40" i="4"/>
  <c r="M818" i="4"/>
  <c r="K880" i="4"/>
  <c r="N35" i="4"/>
  <c r="O743" i="4"/>
  <c r="J187" i="4"/>
  <c r="H285" i="4"/>
  <c r="I600" i="4"/>
  <c r="F217" i="4"/>
  <c r="L699" i="4"/>
  <c r="K747" i="4"/>
  <c r="P988" i="4"/>
  <c r="M858" i="4"/>
  <c r="O671" i="4"/>
  <c r="H310" i="4"/>
  <c r="G12" i="4"/>
  <c r="H1005" i="4"/>
  <c r="G217" i="4"/>
  <c r="F18" i="4"/>
  <c r="M892" i="4"/>
  <c r="H217" i="4"/>
  <c r="G18" i="4"/>
  <c r="P256" i="4"/>
  <c r="N376" i="4"/>
  <c r="I217" i="4"/>
  <c r="I18" i="4"/>
  <c r="N939" i="4"/>
  <c r="L788" i="4"/>
  <c r="O968" i="4"/>
  <c r="G725" i="4"/>
  <c r="H526" i="4"/>
  <c r="J409" i="4"/>
  <c r="H18" i="4"/>
  <c r="F461" i="4"/>
  <c r="O388" i="4"/>
  <c r="O664" i="4"/>
  <c r="G742" i="4"/>
  <c r="F547" i="4"/>
  <c r="H573" i="4"/>
  <c r="H725" i="4"/>
  <c r="G461" i="4"/>
  <c r="K280" i="4"/>
  <c r="K676" i="4"/>
  <c r="P736" i="4"/>
  <c r="O808" i="4"/>
  <c r="O1002" i="4"/>
  <c r="K1008" i="4"/>
  <c r="H608" i="4"/>
  <c r="I403" i="4"/>
  <c r="I917" i="4"/>
  <c r="L628" i="4"/>
  <c r="P894" i="4"/>
  <c r="M847" i="4"/>
  <c r="K652" i="4"/>
  <c r="J917" i="4"/>
  <c r="H94" i="4"/>
  <c r="K687" i="4"/>
  <c r="K916" i="4"/>
  <c r="N964" i="4"/>
  <c r="I115" i="4"/>
  <c r="I259" i="4"/>
  <c r="G403" i="4"/>
  <c r="I547" i="4"/>
  <c r="M601" i="4"/>
  <c r="N971" i="4"/>
  <c r="G115" i="4"/>
  <c r="G259" i="4"/>
  <c r="J403" i="4"/>
  <c r="H547" i="4"/>
  <c r="F96" i="4"/>
  <c r="H672" i="4"/>
  <c r="N544" i="4"/>
  <c r="P872" i="4"/>
  <c r="F115" i="4"/>
  <c r="H259" i="4"/>
  <c r="J547" i="4"/>
  <c r="J672" i="4"/>
  <c r="P758" i="4"/>
  <c r="P699" i="4"/>
  <c r="M22" i="4"/>
  <c r="O563" i="4"/>
  <c r="I158" i="4"/>
  <c r="M952" i="4"/>
  <c r="F259" i="4"/>
  <c r="H115" i="4"/>
  <c r="F331" i="4"/>
  <c r="F475" i="4"/>
  <c r="J385" i="4"/>
  <c r="J158" i="4"/>
  <c r="N735" i="4"/>
  <c r="F43" i="4"/>
  <c r="G331" i="4"/>
  <c r="G475" i="4"/>
  <c r="F619" i="4"/>
  <c r="I384" i="4"/>
  <c r="G230" i="4"/>
  <c r="L867" i="4"/>
  <c r="O963" i="4"/>
  <c r="O136" i="4"/>
  <c r="L640" i="4"/>
  <c r="L955" i="4"/>
  <c r="K910" i="4"/>
  <c r="G147" i="4"/>
  <c r="G43" i="4"/>
  <c r="G619" i="4"/>
  <c r="H403" i="4"/>
  <c r="F187" i="4"/>
  <c r="I331" i="4"/>
  <c r="H475" i="4"/>
  <c r="J456" i="4"/>
  <c r="F744" i="4"/>
  <c r="G446" i="4"/>
  <c r="I43" i="4"/>
  <c r="G187" i="4"/>
  <c r="H331" i="4"/>
  <c r="I475" i="4"/>
  <c r="H619" i="4"/>
  <c r="J102" i="4"/>
  <c r="H528" i="4"/>
  <c r="G816" i="4"/>
  <c r="F257" i="4"/>
  <c r="J446" i="4"/>
  <c r="L975" i="4"/>
  <c r="N712" i="4"/>
  <c r="P553" i="4"/>
  <c r="O1003" i="4"/>
  <c r="O970" i="4"/>
  <c r="K827" i="4"/>
  <c r="L928" i="4"/>
  <c r="P745" i="4"/>
  <c r="H43" i="4"/>
  <c r="I187" i="4"/>
  <c r="I619" i="4"/>
  <c r="I274" i="4"/>
  <c r="J528" i="4"/>
  <c r="G600" i="4"/>
  <c r="G64" i="4"/>
  <c r="P903" i="4"/>
  <c r="P424" i="4"/>
  <c r="L750" i="4"/>
  <c r="L757" i="4"/>
  <c r="H294" i="4"/>
  <c r="I71" i="4"/>
  <c r="P942" i="4"/>
  <c r="P703" i="4"/>
  <c r="N919" i="4"/>
  <c r="O745" i="4"/>
  <c r="M709" i="4"/>
  <c r="J431" i="4"/>
  <c r="J71" i="4"/>
  <c r="F215" i="4"/>
  <c r="F359" i="4"/>
  <c r="F540" i="4"/>
  <c r="F738" i="4"/>
  <c r="G509" i="4"/>
  <c r="P759" i="4"/>
  <c r="K954" i="4"/>
  <c r="K774" i="4"/>
  <c r="M527" i="4"/>
  <c r="G215" i="4"/>
  <c r="H359" i="4"/>
  <c r="I180" i="4"/>
  <c r="I828" i="4"/>
  <c r="H738" i="4"/>
  <c r="L902" i="4"/>
  <c r="O931" i="4"/>
  <c r="H215" i="4"/>
  <c r="F466" i="4"/>
  <c r="I215" i="4"/>
  <c r="I359" i="4"/>
  <c r="J180" i="4"/>
  <c r="J828" i="4"/>
  <c r="I738" i="4"/>
  <c r="P88" i="4"/>
  <c r="L714" i="4"/>
  <c r="O835" i="4"/>
  <c r="M943" i="4"/>
  <c r="L956" i="4"/>
  <c r="K577" i="4"/>
  <c r="J287" i="4"/>
  <c r="H195" i="4"/>
  <c r="I610" i="4"/>
  <c r="F143" i="4"/>
  <c r="J359" i="4"/>
  <c r="F252" i="4"/>
  <c r="F253" i="4"/>
  <c r="L858" i="4"/>
  <c r="P946" i="4"/>
  <c r="G71" i="4"/>
  <c r="G143" i="4"/>
  <c r="F503" i="4"/>
  <c r="J324" i="4"/>
  <c r="G253" i="4"/>
  <c r="F385" i="4"/>
  <c r="O889" i="4"/>
  <c r="K711" i="4"/>
  <c r="N951" i="4"/>
  <c r="K918" i="4"/>
  <c r="N787" i="4"/>
  <c r="N1008" i="4"/>
  <c r="H143" i="4"/>
  <c r="F287" i="4"/>
  <c r="H503" i="4"/>
  <c r="H253" i="4"/>
  <c r="G385" i="4"/>
  <c r="L783" i="4"/>
  <c r="N532" i="4"/>
  <c r="F431" i="4"/>
  <c r="G684" i="4"/>
  <c r="I253" i="4"/>
  <c r="H385" i="4"/>
  <c r="K962" i="4"/>
  <c r="K803" i="4"/>
  <c r="I431" i="4"/>
  <c r="I143" i="4"/>
  <c r="G287" i="4"/>
  <c r="G503" i="4"/>
  <c r="I339" i="4"/>
  <c r="I684" i="4"/>
  <c r="M854" i="4"/>
  <c r="O673" i="4"/>
  <c r="O666" i="4"/>
  <c r="J610" i="4"/>
  <c r="I725" i="4"/>
  <c r="H466" i="4"/>
  <c r="M1007" i="4"/>
  <c r="F29" i="4"/>
  <c r="H113" i="4"/>
  <c r="J281" i="4"/>
  <c r="F1001" i="4"/>
  <c r="I632" i="4"/>
  <c r="F9" i="4"/>
  <c r="J669" i="4"/>
  <c r="J957" i="4"/>
  <c r="I197" i="4"/>
  <c r="J725" i="4"/>
  <c r="F250" i="4"/>
  <c r="F322" i="4"/>
  <c r="H394" i="4"/>
  <c r="I466" i="4"/>
  <c r="J538" i="4"/>
  <c r="H263" i="4"/>
  <c r="F25" i="4"/>
  <c r="F277" i="4"/>
  <c r="H230" i="4"/>
  <c r="H518" i="4"/>
  <c r="O124" i="4"/>
  <c r="P364" i="4"/>
  <c r="I281" i="4"/>
  <c r="F377" i="4"/>
  <c r="G1001" i="4"/>
  <c r="J68" i="4"/>
  <c r="G644" i="4"/>
  <c r="G9" i="4"/>
  <c r="G309" i="4"/>
  <c r="J197" i="4"/>
  <c r="F821" i="4"/>
  <c r="G250" i="4"/>
  <c r="G322" i="4"/>
  <c r="I394" i="4"/>
  <c r="J466" i="4"/>
  <c r="I275" i="4"/>
  <c r="I120" i="4"/>
  <c r="G25" i="4"/>
  <c r="I277" i="4"/>
  <c r="I230" i="4"/>
  <c r="I518" i="4"/>
  <c r="F557" i="4"/>
  <c r="O746" i="4"/>
  <c r="M914" i="4"/>
  <c r="P823" i="4"/>
  <c r="O836" i="4"/>
  <c r="M841" i="4"/>
  <c r="O853" i="4"/>
  <c r="H461" i="4"/>
  <c r="G29" i="4"/>
  <c r="I291" i="4"/>
  <c r="J579" i="4"/>
  <c r="H29" i="4"/>
  <c r="G377" i="4"/>
  <c r="H1001" i="4"/>
  <c r="G128" i="4"/>
  <c r="H9" i="4"/>
  <c r="H309" i="4"/>
  <c r="F741" i="4"/>
  <c r="G821" i="4"/>
  <c r="F178" i="4"/>
  <c r="H250" i="4"/>
  <c r="H322" i="4"/>
  <c r="J394" i="4"/>
  <c r="H25" i="4"/>
  <c r="J277" i="4"/>
  <c r="J230" i="4"/>
  <c r="J518" i="4"/>
  <c r="F653" i="4"/>
  <c r="F654" i="4"/>
  <c r="O304" i="4"/>
  <c r="N931" i="4"/>
  <c r="O865" i="4"/>
  <c r="M922" i="4"/>
  <c r="M563" i="4"/>
  <c r="G538" i="4"/>
  <c r="K775" i="4"/>
  <c r="I29" i="4"/>
  <c r="I1001" i="4"/>
  <c r="H128" i="4"/>
  <c r="F716" i="4"/>
  <c r="H93" i="4"/>
  <c r="I309" i="4"/>
  <c r="H821" i="4"/>
  <c r="G178" i="4"/>
  <c r="I250" i="4"/>
  <c r="I322" i="4"/>
  <c r="F754" i="4"/>
  <c r="I25" i="4"/>
  <c r="F229" i="4"/>
  <c r="G302" i="4"/>
  <c r="G590" i="4"/>
  <c r="G653" i="4"/>
  <c r="O674" i="4"/>
  <c r="K783" i="4"/>
  <c r="P807" i="4"/>
  <c r="M136" i="4"/>
  <c r="O695" i="4"/>
  <c r="F394" i="4"/>
  <c r="P48" i="4"/>
  <c r="I377" i="4"/>
  <c r="H716" i="4"/>
  <c r="I93" i="4"/>
  <c r="I821" i="4"/>
  <c r="F34" i="4"/>
  <c r="F106" i="4"/>
  <c r="H178" i="4"/>
  <c r="F682" i="4"/>
  <c r="H754" i="4"/>
  <c r="H407" i="4"/>
  <c r="F491" i="4"/>
  <c r="G229" i="4"/>
  <c r="G14" i="4"/>
  <c r="I302" i="4"/>
  <c r="J590" i="4"/>
  <c r="H653" i="4"/>
  <c r="L819" i="4"/>
  <c r="O88" i="4"/>
  <c r="L436" i="4"/>
  <c r="P520" i="4"/>
  <c r="N877" i="4"/>
  <c r="P851" i="4"/>
  <c r="P208" i="4"/>
  <c r="J377" i="4"/>
  <c r="H272" i="4"/>
  <c r="J93" i="4"/>
  <c r="H813" i="4"/>
  <c r="G34" i="4"/>
  <c r="G106" i="4"/>
  <c r="I178" i="4"/>
  <c r="H682" i="4"/>
  <c r="G754" i="4"/>
  <c r="I203" i="4"/>
  <c r="I419" i="4"/>
  <c r="I14" i="4"/>
  <c r="F374" i="4"/>
  <c r="N998" i="4"/>
  <c r="N196" i="4"/>
  <c r="O565" i="4"/>
  <c r="P762" i="4"/>
  <c r="O691" i="4"/>
  <c r="O997" i="4"/>
  <c r="O971" i="4"/>
  <c r="F362" i="4"/>
  <c r="I833" i="4"/>
  <c r="H651" i="4"/>
  <c r="F428" i="4"/>
  <c r="F453" i="4"/>
  <c r="I813" i="4"/>
  <c r="F917" i="4"/>
  <c r="H34" i="4"/>
  <c r="H106" i="4"/>
  <c r="F610" i="4"/>
  <c r="G682" i="4"/>
  <c r="I754" i="4"/>
  <c r="G264" i="4"/>
  <c r="G840" i="4"/>
  <c r="H86" i="4"/>
  <c r="H374" i="4"/>
  <c r="O916" i="4"/>
  <c r="P943" i="4"/>
  <c r="M764" i="4"/>
  <c r="N812" i="4"/>
  <c r="N920" i="4"/>
  <c r="K985" i="4"/>
  <c r="H833" i="4"/>
  <c r="L666" i="4"/>
  <c r="I957" i="4"/>
  <c r="H453" i="4"/>
  <c r="J813" i="4"/>
  <c r="G917" i="4"/>
  <c r="I34" i="4"/>
  <c r="I106" i="4"/>
  <c r="G610" i="4"/>
  <c r="I682" i="4"/>
  <c r="I86" i="4"/>
  <c r="I374" i="4"/>
  <c r="O19" i="4"/>
  <c r="K751" i="4"/>
  <c r="P991" i="4"/>
  <c r="P874" i="4"/>
  <c r="G113" i="4"/>
  <c r="I538" i="4"/>
  <c r="F500" i="4"/>
  <c r="I453" i="4"/>
  <c r="J131" i="4"/>
  <c r="J347" i="4"/>
  <c r="F353" i="4"/>
  <c r="G158" i="4"/>
  <c r="J374" i="4"/>
  <c r="O901" i="4"/>
  <c r="L448" i="4"/>
  <c r="M906" i="4"/>
  <c r="P826" i="4"/>
  <c r="L539" i="4"/>
  <c r="K871" i="4"/>
  <c r="F408" i="4"/>
  <c r="O772" i="4"/>
  <c r="H840" i="4"/>
  <c r="H533" i="4"/>
  <c r="J438" i="4"/>
  <c r="G408" i="4"/>
  <c r="G349" i="4"/>
  <c r="J269" i="4"/>
  <c r="K712" i="4"/>
  <c r="K870" i="4"/>
  <c r="I113" i="4"/>
  <c r="G905" i="4"/>
  <c r="G59" i="4"/>
  <c r="F347" i="4"/>
  <c r="H408" i="4"/>
  <c r="J840" i="4"/>
  <c r="G373" i="4"/>
  <c r="F409" i="4"/>
  <c r="F365" i="4"/>
  <c r="H64" i="4"/>
  <c r="K529" i="4"/>
  <c r="K807" i="4"/>
  <c r="O196" i="4"/>
  <c r="L748" i="4"/>
  <c r="O810" i="4"/>
  <c r="P850" i="4"/>
  <c r="M1006" i="4"/>
  <c r="J65" i="4"/>
  <c r="J113" i="4"/>
  <c r="F713" i="4"/>
  <c r="H905" i="4"/>
  <c r="J236" i="4"/>
  <c r="H129" i="4"/>
  <c r="J533" i="4"/>
  <c r="G54" i="4"/>
  <c r="I486" i="4"/>
  <c r="H59" i="4"/>
  <c r="H131" i="4"/>
  <c r="F203" i="4"/>
  <c r="F275" i="4"/>
  <c r="G347" i="4"/>
  <c r="F419" i="4"/>
  <c r="I408" i="4"/>
  <c r="I552" i="4"/>
  <c r="G768" i="4"/>
  <c r="F912" i="4"/>
  <c r="H373" i="4"/>
  <c r="H409" i="4"/>
  <c r="H50" i="4"/>
  <c r="I266" i="4"/>
  <c r="G365" i="4"/>
  <c r="I64" i="4"/>
  <c r="N698" i="4"/>
  <c r="K974" i="4"/>
  <c r="N112" i="4"/>
  <c r="M376" i="4"/>
  <c r="M808" i="4"/>
  <c r="L892" i="4"/>
  <c r="O964" i="4"/>
  <c r="O872" i="4"/>
  <c r="M910" i="4"/>
  <c r="O985" i="4"/>
  <c r="L863" i="4"/>
  <c r="K661" i="4"/>
  <c r="J120" i="4"/>
  <c r="P541" i="4"/>
  <c r="H65" i="4"/>
  <c r="F905" i="4"/>
  <c r="I128" i="4"/>
  <c r="F59" i="4"/>
  <c r="I264" i="4"/>
  <c r="G552" i="4"/>
  <c r="I840" i="4"/>
  <c r="F560" i="4"/>
  <c r="G713" i="4"/>
  <c r="I905" i="4"/>
  <c r="G31" i="4"/>
  <c r="F272" i="4"/>
  <c r="F629" i="4"/>
  <c r="I54" i="4"/>
  <c r="F534" i="4"/>
  <c r="I59" i="4"/>
  <c r="G131" i="4"/>
  <c r="G203" i="4"/>
  <c r="H275" i="4"/>
  <c r="H347" i="4"/>
  <c r="G419" i="4"/>
  <c r="F192" i="4"/>
  <c r="F336" i="4"/>
  <c r="J552" i="4"/>
  <c r="H768" i="4"/>
  <c r="G912" i="4"/>
  <c r="G409" i="4"/>
  <c r="J594" i="4"/>
  <c r="H365" i="4"/>
  <c r="O998" i="4"/>
  <c r="N232" i="4"/>
  <c r="L316" i="4"/>
  <c r="M544" i="4"/>
  <c r="M652" i="4"/>
  <c r="N685" i="4"/>
  <c r="L948" i="4"/>
  <c r="J117" i="4"/>
  <c r="G486" i="4"/>
  <c r="F131" i="4"/>
  <c r="J264" i="4"/>
  <c r="F768" i="4"/>
  <c r="H713" i="4"/>
  <c r="J463" i="4"/>
  <c r="G272" i="4"/>
  <c r="H632" i="4"/>
  <c r="F189" i="4"/>
  <c r="J777" i="4"/>
  <c r="H629" i="4"/>
  <c r="I102" i="4"/>
  <c r="H630" i="4"/>
  <c r="H203" i="4"/>
  <c r="G275" i="4"/>
  <c r="H419" i="4"/>
  <c r="G192" i="4"/>
  <c r="G336" i="4"/>
  <c r="F696" i="4"/>
  <c r="I768" i="4"/>
  <c r="H912" i="4"/>
  <c r="O784" i="4"/>
  <c r="L976" i="4"/>
  <c r="N817" i="4"/>
  <c r="N663" i="4"/>
  <c r="L922" i="4"/>
  <c r="H192" i="4"/>
  <c r="G480" i="4"/>
  <c r="G416" i="4"/>
  <c r="H491" i="4"/>
  <c r="H696" i="4"/>
  <c r="G101" i="4"/>
  <c r="F185" i="4"/>
  <c r="F809" i="4"/>
  <c r="H416" i="4"/>
  <c r="F489" i="4"/>
  <c r="H437" i="4"/>
  <c r="J629" i="4"/>
  <c r="J150" i="4"/>
  <c r="G491" i="4"/>
  <c r="F480" i="4"/>
  <c r="F120" i="4"/>
  <c r="J192" i="4"/>
  <c r="J336" i="4"/>
  <c r="I480" i="4"/>
  <c r="H624" i="4"/>
  <c r="I696" i="4"/>
  <c r="G257" i="4"/>
  <c r="G421" i="4"/>
  <c r="F882" i="4"/>
  <c r="G989" i="4"/>
  <c r="M400" i="4"/>
  <c r="O724" i="4"/>
  <c r="P990" i="4"/>
  <c r="P896" i="4"/>
  <c r="P980" i="4"/>
  <c r="P973" i="4"/>
  <c r="N826" i="4"/>
  <c r="K623" i="4"/>
  <c r="H264" i="4"/>
  <c r="H336" i="4"/>
  <c r="G696" i="4"/>
  <c r="K743" i="4"/>
  <c r="F101" i="4"/>
  <c r="J632" i="4"/>
  <c r="G624" i="4"/>
  <c r="J912" i="4"/>
  <c r="H101" i="4"/>
  <c r="G185" i="4"/>
  <c r="G809" i="4"/>
  <c r="J391" i="4"/>
  <c r="J416" i="4"/>
  <c r="I489" i="4"/>
  <c r="I437" i="4"/>
  <c r="F246" i="4"/>
  <c r="I491" i="4"/>
  <c r="H120" i="4"/>
  <c r="J480" i="4"/>
  <c r="I624" i="4"/>
  <c r="H257" i="4"/>
  <c r="F397" i="4"/>
  <c r="H421" i="4"/>
  <c r="I882" i="4"/>
  <c r="H194" i="4"/>
  <c r="F269" i="4"/>
  <c r="I989" i="4"/>
  <c r="K928" i="4"/>
  <c r="L818" i="4"/>
  <c r="L328" i="4"/>
  <c r="P628" i="4"/>
  <c r="O832" i="4"/>
  <c r="K992" i="4"/>
  <c r="O874" i="4"/>
  <c r="L935" i="4"/>
  <c r="G437" i="4"/>
  <c r="H150" i="4"/>
  <c r="F421" i="4"/>
  <c r="J626" i="4"/>
  <c r="H989" i="4"/>
  <c r="K819" i="4"/>
  <c r="G549" i="4"/>
  <c r="G294" i="4"/>
  <c r="J194" i="4"/>
  <c r="I410" i="4"/>
  <c r="O950" i="4"/>
  <c r="O915" i="4"/>
  <c r="K268" i="4"/>
  <c r="L868" i="4"/>
  <c r="P904" i="4"/>
  <c r="M908" i="4"/>
  <c r="P887" i="4"/>
  <c r="G155" i="4"/>
  <c r="I443" i="4"/>
  <c r="I373" i="4"/>
  <c r="J555" i="4"/>
  <c r="F63" i="4"/>
  <c r="I89" i="4"/>
  <c r="F617" i="4"/>
  <c r="J128" i="4"/>
  <c r="J272" i="4"/>
  <c r="I416" i="4"/>
  <c r="G560" i="4"/>
  <c r="G222" i="4"/>
  <c r="I9" i="4"/>
  <c r="F237" i="4"/>
  <c r="J309" i="4"/>
  <c r="J453" i="4"/>
  <c r="F597" i="4"/>
  <c r="G741" i="4"/>
  <c r="G126" i="4"/>
  <c r="H606" i="4"/>
  <c r="I23" i="4"/>
  <c r="H155" i="4"/>
  <c r="I299" i="4"/>
  <c r="J443" i="4"/>
  <c r="I72" i="4"/>
  <c r="F288" i="4"/>
  <c r="J360" i="4"/>
  <c r="J720" i="4"/>
  <c r="F936" i="4"/>
  <c r="H641" i="4"/>
  <c r="H229" i="4"/>
  <c r="J373" i="4"/>
  <c r="G30" i="4"/>
  <c r="J258" i="4"/>
  <c r="J797" i="4"/>
  <c r="G414" i="4"/>
  <c r="L687" i="4"/>
  <c r="L901" i="4"/>
  <c r="P532" i="4"/>
  <c r="M822" i="4"/>
  <c r="O787" i="4"/>
  <c r="L35" i="4"/>
  <c r="L707" i="4"/>
  <c r="M839" i="4"/>
  <c r="N996" i="4"/>
  <c r="P376" i="4"/>
  <c r="N892" i="4"/>
  <c r="F555" i="4"/>
  <c r="H299" i="4"/>
  <c r="G617" i="4"/>
  <c r="I44" i="4"/>
  <c r="I188" i="4"/>
  <c r="H560" i="4"/>
  <c r="H222" i="4"/>
  <c r="J9" i="4"/>
  <c r="G237" i="4"/>
  <c r="G597" i="4"/>
  <c r="H741" i="4"/>
  <c r="F885" i="4"/>
  <c r="F245" i="4"/>
  <c r="H126" i="4"/>
  <c r="J606" i="4"/>
  <c r="I155" i="4"/>
  <c r="J299" i="4"/>
  <c r="F371" i="4"/>
  <c r="F455" i="4"/>
  <c r="G288" i="4"/>
  <c r="F504" i="4"/>
  <c r="G564" i="4"/>
  <c r="G936" i="4"/>
  <c r="J641" i="4"/>
  <c r="I229" i="4"/>
  <c r="H30" i="4"/>
  <c r="F306" i="4"/>
  <c r="I350" i="4"/>
  <c r="F893" i="4"/>
  <c r="H414" i="4"/>
  <c r="N268" i="4"/>
  <c r="P388" i="4"/>
  <c r="N832" i="4"/>
  <c r="N918" i="4"/>
  <c r="M853" i="4"/>
  <c r="J318" i="4"/>
  <c r="F126" i="4"/>
  <c r="P858" i="4"/>
  <c r="G63" i="4"/>
  <c r="H63" i="4"/>
  <c r="F425" i="4"/>
  <c r="H617" i="4"/>
  <c r="F56" i="4"/>
  <c r="F200" i="4"/>
  <c r="I332" i="4"/>
  <c r="J560" i="4"/>
  <c r="F704" i="4"/>
  <c r="I222" i="4"/>
  <c r="F21" i="4"/>
  <c r="H237" i="4"/>
  <c r="F381" i="4"/>
  <c r="H597" i="4"/>
  <c r="I741" i="4"/>
  <c r="G885" i="4"/>
  <c r="G245" i="4"/>
  <c r="G802" i="4"/>
  <c r="I126" i="4"/>
  <c r="J155" i="4"/>
  <c r="I311" i="4"/>
  <c r="H371" i="4"/>
  <c r="H288" i="4"/>
  <c r="G504" i="4"/>
  <c r="G576" i="4"/>
  <c r="H936" i="4"/>
  <c r="G73" i="4"/>
  <c r="I30" i="4"/>
  <c r="F450" i="4"/>
  <c r="J350" i="4"/>
  <c r="F566" i="4"/>
  <c r="G893" i="4"/>
  <c r="I414" i="4"/>
  <c r="N662" i="4"/>
  <c r="M733" i="4"/>
  <c r="O908" i="4"/>
  <c r="N803" i="4"/>
  <c r="G606" i="4"/>
  <c r="F414" i="4"/>
  <c r="M820" i="4"/>
  <c r="I63" i="4"/>
  <c r="H627" i="4"/>
  <c r="I233" i="4"/>
  <c r="G425" i="4"/>
  <c r="I617" i="4"/>
  <c r="G56" i="4"/>
  <c r="G200" i="4"/>
  <c r="F344" i="4"/>
  <c r="J476" i="4"/>
  <c r="G704" i="4"/>
  <c r="J222" i="4"/>
  <c r="G21" i="4"/>
  <c r="F165" i="4"/>
  <c r="I237" i="4"/>
  <c r="H381" i="4"/>
  <c r="I597" i="4"/>
  <c r="H885" i="4"/>
  <c r="H245" i="4"/>
  <c r="H802" i="4"/>
  <c r="G371" i="4"/>
  <c r="I288" i="4"/>
  <c r="H504" i="4"/>
  <c r="J576" i="4"/>
  <c r="I936" i="4"/>
  <c r="H73" i="4"/>
  <c r="J30" i="4"/>
  <c r="F114" i="4"/>
  <c r="G450" i="4"/>
  <c r="G566" i="4"/>
  <c r="F701" i="4"/>
  <c r="H893" i="4"/>
  <c r="O723" i="4"/>
  <c r="K364" i="4"/>
  <c r="N589" i="4"/>
  <c r="K961" i="4"/>
  <c r="O847" i="4"/>
  <c r="L943" i="4"/>
  <c r="O793" i="4"/>
  <c r="H149" i="4"/>
  <c r="F173" i="4"/>
  <c r="H425" i="4"/>
  <c r="H56" i="4"/>
  <c r="H200" i="4"/>
  <c r="H344" i="4"/>
  <c r="F488" i="4"/>
  <c r="H704" i="4"/>
  <c r="H21" i="4"/>
  <c r="G165" i="4"/>
  <c r="G381" i="4"/>
  <c r="F525" i="4"/>
  <c r="I885" i="4"/>
  <c r="I245" i="4"/>
  <c r="F510" i="4"/>
  <c r="F227" i="4"/>
  <c r="I371" i="4"/>
  <c r="F515" i="4"/>
  <c r="I504" i="4"/>
  <c r="F864" i="4"/>
  <c r="F193" i="4"/>
  <c r="G114" i="4"/>
  <c r="I450" i="4"/>
  <c r="G206" i="4"/>
  <c r="G701" i="4"/>
  <c r="I893" i="4"/>
  <c r="K688" i="4"/>
  <c r="K748" i="4"/>
  <c r="K781" i="4"/>
  <c r="M715" i="4"/>
  <c r="P824" i="4"/>
  <c r="O851" i="4"/>
  <c r="O899" i="4"/>
  <c r="L947" i="4"/>
  <c r="F10" i="4"/>
  <c r="G173" i="4"/>
  <c r="I425" i="4"/>
  <c r="I56" i="4"/>
  <c r="I200" i="4"/>
  <c r="G344" i="4"/>
  <c r="G488" i="4"/>
  <c r="I704" i="4"/>
  <c r="I21" i="4"/>
  <c r="H165" i="4"/>
  <c r="I381" i="4"/>
  <c r="H525" i="4"/>
  <c r="F669" i="4"/>
  <c r="H586" i="4"/>
  <c r="G510" i="4"/>
  <c r="F83" i="4"/>
  <c r="G227" i="4"/>
  <c r="G515" i="4"/>
  <c r="J216" i="4"/>
  <c r="G864" i="4"/>
  <c r="I114" i="4"/>
  <c r="H450" i="4"/>
  <c r="J930" i="4"/>
  <c r="H206" i="4"/>
  <c r="H701" i="4"/>
  <c r="N855" i="4"/>
  <c r="K412" i="4"/>
  <c r="M616" i="4"/>
  <c r="P979" i="4"/>
  <c r="P886" i="4"/>
  <c r="L934" i="4"/>
  <c r="G443" i="4"/>
  <c r="J545" i="4"/>
  <c r="I605" i="4"/>
  <c r="G10" i="4"/>
  <c r="H173" i="4"/>
  <c r="I344" i="4"/>
  <c r="H488" i="4"/>
  <c r="J620" i="4"/>
  <c r="I165" i="4"/>
  <c r="G525" i="4"/>
  <c r="H669" i="4"/>
  <c r="F341" i="4"/>
  <c r="F298" i="4"/>
  <c r="I586" i="4"/>
  <c r="H510" i="4"/>
  <c r="H83" i="4"/>
  <c r="H227" i="4"/>
  <c r="H383" i="4"/>
  <c r="H515" i="4"/>
  <c r="H114" i="4"/>
  <c r="I701" i="4"/>
  <c r="F318" i="4"/>
  <c r="O232" i="4"/>
  <c r="P304" i="4"/>
  <c r="M898" i="4"/>
  <c r="N1007" i="4"/>
  <c r="L817" i="4"/>
  <c r="I173" i="4"/>
  <c r="F521" i="4"/>
  <c r="I488" i="4"/>
  <c r="F632" i="4"/>
  <c r="F93" i="4"/>
  <c r="I525" i="4"/>
  <c r="G669" i="4"/>
  <c r="F813" i="4"/>
  <c r="F957" i="4"/>
  <c r="G341" i="4"/>
  <c r="G298" i="4"/>
  <c r="I370" i="4"/>
  <c r="I510" i="4"/>
  <c r="G83" i="4"/>
  <c r="I227" i="4"/>
  <c r="I515" i="4"/>
  <c r="F144" i="4"/>
  <c r="J432" i="4"/>
  <c r="H792" i="4"/>
  <c r="H546" i="4"/>
  <c r="G318" i="4"/>
  <c r="O613" i="4"/>
  <c r="L664" i="4"/>
  <c r="M726" i="4"/>
  <c r="O752" i="4"/>
  <c r="O800" i="4"/>
  <c r="N637" i="4"/>
  <c r="M946" i="4"/>
  <c r="P611" i="4"/>
  <c r="H10" i="4"/>
  <c r="G411" i="4"/>
  <c r="J522" i="4"/>
  <c r="H82" i="4"/>
  <c r="J370" i="4"/>
  <c r="I144" i="4"/>
  <c r="L782" i="4"/>
  <c r="K902" i="4"/>
  <c r="K927" i="4"/>
  <c r="K769" i="4"/>
  <c r="P436" i="4"/>
  <c r="N697" i="4"/>
  <c r="L883" i="4"/>
  <c r="K994" i="4"/>
  <c r="I140" i="4"/>
  <c r="J582" i="4"/>
  <c r="H457" i="4"/>
  <c r="H482" i="4"/>
  <c r="I68" i="4"/>
  <c r="F201" i="4"/>
  <c r="H273" i="4"/>
  <c r="G561" i="4"/>
  <c r="J849" i="4"/>
  <c r="G102" i="4"/>
  <c r="F294" i="4"/>
  <c r="F486" i="4"/>
  <c r="J312" i="4"/>
  <c r="H384" i="4"/>
  <c r="I456" i="4"/>
  <c r="G528" i="4"/>
  <c r="F600" i="4"/>
  <c r="G672" i="4"/>
  <c r="H305" i="4"/>
  <c r="G641" i="4"/>
  <c r="J457" i="4"/>
  <c r="G50" i="4"/>
  <c r="G194" i="4"/>
  <c r="H266" i="4"/>
  <c r="I626" i="4"/>
  <c r="O914" i="4"/>
  <c r="N949" i="4"/>
  <c r="K826" i="4"/>
  <c r="K982" i="4"/>
  <c r="N683" i="4"/>
  <c r="P935" i="4"/>
  <c r="K709" i="4"/>
  <c r="P848" i="4"/>
  <c r="M932" i="4"/>
  <c r="L946" i="4"/>
  <c r="P539" i="4"/>
  <c r="O948" i="4"/>
  <c r="N822" i="4"/>
  <c r="F572" i="4"/>
  <c r="F644" i="4"/>
  <c r="G716" i="4"/>
  <c r="F129" i="4"/>
  <c r="I201" i="4"/>
  <c r="G489" i="4"/>
  <c r="J561" i="4"/>
  <c r="G777" i="4"/>
  <c r="J993" i="4"/>
  <c r="H102" i="4"/>
  <c r="I294" i="4"/>
  <c r="H486" i="4"/>
  <c r="J384" i="4"/>
  <c r="I528" i="4"/>
  <c r="H600" i="4"/>
  <c r="I672" i="4"/>
  <c r="F816" i="4"/>
  <c r="G353" i="4"/>
  <c r="I641" i="4"/>
  <c r="F349" i="4"/>
  <c r="I50" i="4"/>
  <c r="I194" i="4"/>
  <c r="F290" i="4"/>
  <c r="F410" i="4"/>
  <c r="K926" i="4"/>
  <c r="N328" i="4"/>
  <c r="K568" i="4"/>
  <c r="O870" i="4"/>
  <c r="K727" i="4"/>
  <c r="K733" i="4"/>
  <c r="M1004" i="4"/>
  <c r="L599" i="4"/>
  <c r="M695" i="4"/>
  <c r="N995" i="4"/>
  <c r="O996" i="4"/>
  <c r="L663" i="4"/>
  <c r="P112" i="4"/>
  <c r="J139" i="4"/>
  <c r="G283" i="4"/>
  <c r="G428" i="4"/>
  <c r="G500" i="4"/>
  <c r="H572" i="4"/>
  <c r="H644" i="4"/>
  <c r="I716" i="4"/>
  <c r="G57" i="4"/>
  <c r="I129" i="4"/>
  <c r="G417" i="4"/>
  <c r="J489" i="4"/>
  <c r="G96" i="4"/>
  <c r="F168" i="4"/>
  <c r="H744" i="4"/>
  <c r="H816" i="4"/>
  <c r="F888" i="4"/>
  <c r="I353" i="4"/>
  <c r="H349" i="4"/>
  <c r="J410" i="4"/>
  <c r="F554" i="4"/>
  <c r="N928" i="4"/>
  <c r="N565" i="4"/>
  <c r="L589" i="4"/>
  <c r="M667" i="4"/>
  <c r="M838" i="4"/>
  <c r="K987" i="4"/>
  <c r="F356" i="4"/>
  <c r="H428" i="4"/>
  <c r="H500" i="4"/>
  <c r="J572" i="4"/>
  <c r="I644" i="4"/>
  <c r="H57" i="4"/>
  <c r="H417" i="4"/>
  <c r="H96" i="4"/>
  <c r="H168" i="4"/>
  <c r="F240" i="4"/>
  <c r="G744" i="4"/>
  <c r="I816" i="4"/>
  <c r="G888" i="4"/>
  <c r="I349" i="4"/>
  <c r="G122" i="4"/>
  <c r="F338" i="4"/>
  <c r="J434" i="4"/>
  <c r="I554" i="4"/>
  <c r="L686" i="4"/>
  <c r="O962" i="4"/>
  <c r="P232" i="4"/>
  <c r="N484" i="4"/>
  <c r="K659" i="4"/>
  <c r="M707" i="4"/>
  <c r="F212" i="4"/>
  <c r="F284" i="4"/>
  <c r="G356" i="4"/>
  <c r="J428" i="4"/>
  <c r="I500" i="4"/>
  <c r="I57" i="4"/>
  <c r="I417" i="4"/>
  <c r="H705" i="4"/>
  <c r="F198" i="4"/>
  <c r="F390" i="4"/>
  <c r="F582" i="4"/>
  <c r="I96" i="4"/>
  <c r="G168" i="4"/>
  <c r="G240" i="4"/>
  <c r="I744" i="4"/>
  <c r="H888" i="4"/>
  <c r="F545" i="4"/>
  <c r="F929" i="4"/>
  <c r="H122" i="4"/>
  <c r="G338" i="4"/>
  <c r="J554" i="4"/>
  <c r="M819" i="4"/>
  <c r="L963" i="4"/>
  <c r="P798" i="4"/>
  <c r="P871" i="4"/>
  <c r="K955" i="4"/>
  <c r="N824" i="4"/>
  <c r="P944" i="4"/>
  <c r="N563" i="4"/>
  <c r="L755" i="4"/>
  <c r="M923" i="4"/>
  <c r="H571" i="4"/>
  <c r="F140" i="4"/>
  <c r="H212" i="4"/>
  <c r="G284" i="4"/>
  <c r="H356" i="4"/>
  <c r="I705" i="4"/>
  <c r="H921" i="4"/>
  <c r="G198" i="4"/>
  <c r="G390" i="4"/>
  <c r="H582" i="4"/>
  <c r="I168" i="4"/>
  <c r="H240" i="4"/>
  <c r="I888" i="4"/>
  <c r="G545" i="4"/>
  <c r="G929" i="4"/>
  <c r="I122" i="4"/>
  <c r="H338" i="4"/>
  <c r="N750" i="4"/>
  <c r="K810" i="4"/>
  <c r="N703" i="4"/>
  <c r="L997" i="4"/>
  <c r="K817" i="4"/>
  <c r="N886" i="4"/>
  <c r="I186" i="4"/>
  <c r="G140" i="4"/>
  <c r="G212" i="4"/>
  <c r="H284" i="4"/>
  <c r="I356" i="4"/>
  <c r="G345" i="4"/>
  <c r="I198" i="4"/>
  <c r="I390" i="4"/>
  <c r="G582" i="4"/>
  <c r="I240" i="4"/>
  <c r="F312" i="4"/>
  <c r="H545" i="4"/>
  <c r="H929" i="4"/>
  <c r="F457" i="4"/>
  <c r="J122" i="4"/>
  <c r="F482" i="4"/>
  <c r="K616" i="4"/>
  <c r="K835" i="4"/>
  <c r="O850" i="4"/>
  <c r="P922" i="4"/>
  <c r="I67" i="4"/>
  <c r="J378" i="4"/>
  <c r="F68" i="4"/>
  <c r="H140" i="4"/>
  <c r="I212" i="4"/>
  <c r="I284" i="4"/>
  <c r="H345" i="4"/>
  <c r="G633" i="4"/>
  <c r="H198" i="4"/>
  <c r="H390" i="4"/>
  <c r="G312" i="4"/>
  <c r="G456" i="4"/>
  <c r="I929" i="4"/>
  <c r="G457" i="4"/>
  <c r="G482" i="4"/>
  <c r="M702" i="4"/>
  <c r="K715" i="4"/>
  <c r="M800" i="4"/>
  <c r="L920" i="4"/>
  <c r="N970" i="4"/>
  <c r="N1006" i="4"/>
  <c r="P971" i="4"/>
  <c r="F266" i="4"/>
  <c r="K575" i="4"/>
  <c r="G68" i="4"/>
  <c r="H633" i="4"/>
  <c r="H312" i="4"/>
  <c r="F384" i="4"/>
  <c r="F456" i="4"/>
  <c r="G273" i="4"/>
  <c r="F561" i="4"/>
  <c r="J633" i="4"/>
  <c r="G849" i="4"/>
  <c r="F50" i="4"/>
  <c r="G266" i="4"/>
  <c r="H506" i="4"/>
  <c r="H626" i="4"/>
  <c r="M975" i="4"/>
  <c r="P100" i="4"/>
  <c r="N844" i="4"/>
  <c r="O751" i="4"/>
  <c r="O799" i="4"/>
  <c r="O898" i="4"/>
  <c r="N661" i="4"/>
  <c r="J186" i="4"/>
  <c r="H474" i="4"/>
  <c r="J224" i="4"/>
  <c r="F296" i="4"/>
  <c r="H512" i="4"/>
  <c r="I728" i="4"/>
  <c r="F513" i="4"/>
  <c r="H346" i="4"/>
  <c r="H119" i="4"/>
  <c r="G252" i="4"/>
  <c r="F396" i="4"/>
  <c r="G540" i="4"/>
  <c r="J684" i="4"/>
  <c r="F900" i="4"/>
  <c r="J305" i="4"/>
  <c r="G193" i="4"/>
  <c r="H289" i="4"/>
  <c r="K746" i="4"/>
  <c r="N843" i="4"/>
  <c r="N927" i="4"/>
  <c r="K613" i="4"/>
  <c r="M976" i="4"/>
  <c r="P884" i="4"/>
  <c r="P920" i="4"/>
  <c r="O956" i="4"/>
  <c r="P577" i="4"/>
  <c r="F282" i="4"/>
  <c r="G474" i="4"/>
  <c r="F80" i="4"/>
  <c r="G296" i="4"/>
  <c r="I512" i="4"/>
  <c r="F584" i="4"/>
  <c r="J728" i="4"/>
  <c r="G418" i="4"/>
  <c r="F108" i="4"/>
  <c r="H252" i="4"/>
  <c r="G396" i="4"/>
  <c r="H540" i="4"/>
  <c r="G900" i="4"/>
  <c r="H193" i="4"/>
  <c r="F978" i="4"/>
  <c r="N100" i="4"/>
  <c r="K726" i="4"/>
  <c r="O703" i="4"/>
  <c r="M896" i="4"/>
  <c r="K850" i="4"/>
  <c r="N994" i="4"/>
  <c r="O575" i="4"/>
  <c r="K959" i="4"/>
  <c r="M48" i="4"/>
  <c r="I595" i="4"/>
  <c r="G282" i="4"/>
  <c r="I474" i="4"/>
  <c r="G80" i="4"/>
  <c r="H296" i="4"/>
  <c r="J512" i="4"/>
  <c r="G584" i="4"/>
  <c r="G108" i="4"/>
  <c r="I252" i="4"/>
  <c r="H396" i="4"/>
  <c r="I540" i="4"/>
  <c r="H900" i="4"/>
  <c r="I193" i="4"/>
  <c r="G978" i="4"/>
  <c r="M903" i="4"/>
  <c r="L960" i="4"/>
  <c r="L256" i="4"/>
  <c r="L880" i="4"/>
  <c r="N990" i="4"/>
  <c r="P847" i="4"/>
  <c r="M752" i="4"/>
  <c r="L824" i="4"/>
  <c r="O791" i="4"/>
  <c r="I224" i="4"/>
  <c r="K858" i="4"/>
  <c r="J379" i="4"/>
  <c r="F90" i="4"/>
  <c r="I282" i="4"/>
  <c r="J474" i="4"/>
  <c r="H80" i="4"/>
  <c r="I296" i="4"/>
  <c r="H584" i="4"/>
  <c r="H108" i="4"/>
  <c r="I396" i="4"/>
  <c r="F756" i="4"/>
  <c r="I900" i="4"/>
  <c r="H978" i="4"/>
  <c r="P400" i="4"/>
  <c r="M568" i="4"/>
  <c r="P664" i="4"/>
  <c r="N784" i="4"/>
  <c r="M553" i="4"/>
  <c r="L973" i="4"/>
  <c r="N587" i="4"/>
  <c r="N635" i="4"/>
  <c r="P671" i="4"/>
  <c r="K767" i="4"/>
  <c r="O995" i="4"/>
  <c r="L61" i="4"/>
  <c r="G90" i="4"/>
  <c r="H282" i="4"/>
  <c r="I80" i="4"/>
  <c r="F152" i="4"/>
  <c r="F368" i="4"/>
  <c r="I584" i="4"/>
  <c r="F335" i="4"/>
  <c r="I108" i="4"/>
  <c r="F468" i="4"/>
  <c r="F612" i="4"/>
  <c r="G756" i="4"/>
  <c r="F690" i="4"/>
  <c r="I978" i="4"/>
  <c r="I16" i="4"/>
  <c r="P822" i="4"/>
  <c r="L787" i="4"/>
  <c r="N823" i="4"/>
  <c r="L859" i="4"/>
  <c r="K800" i="4"/>
  <c r="P551" i="4"/>
  <c r="N875" i="4"/>
  <c r="K1007" i="4"/>
  <c r="I90" i="4"/>
  <c r="F570" i="4"/>
  <c r="G152" i="4"/>
  <c r="G368" i="4"/>
  <c r="G468" i="4"/>
  <c r="G612" i="4"/>
  <c r="H756" i="4"/>
  <c r="G690" i="4"/>
  <c r="K915" i="4"/>
  <c r="P987" i="4"/>
  <c r="K979" i="4"/>
  <c r="P1006" i="4"/>
  <c r="K647" i="4"/>
  <c r="M731" i="4"/>
  <c r="H728" i="4"/>
  <c r="F378" i="4"/>
  <c r="H368" i="4"/>
  <c r="F656" i="4"/>
  <c r="F36" i="4"/>
  <c r="F324" i="4"/>
  <c r="H468" i="4"/>
  <c r="H612" i="4"/>
  <c r="I756" i="4"/>
  <c r="F469" i="4"/>
  <c r="F594" i="4"/>
  <c r="H690" i="4"/>
  <c r="K686" i="4"/>
  <c r="O376" i="4"/>
  <c r="O640" i="4"/>
  <c r="O798" i="4"/>
  <c r="P870" i="4"/>
  <c r="N751" i="4"/>
  <c r="O764" i="4"/>
  <c r="M944" i="4"/>
  <c r="G36" i="4"/>
  <c r="F180" i="4"/>
  <c r="G324" i="4"/>
  <c r="I468" i="4"/>
  <c r="I612" i="4"/>
  <c r="F828" i="4"/>
  <c r="H469" i="4"/>
  <c r="G594" i="4"/>
  <c r="I690" i="4"/>
  <c r="M232" i="4"/>
  <c r="M520" i="4"/>
  <c r="L673" i="4"/>
  <c r="N702" i="4"/>
  <c r="O750" i="4"/>
  <c r="M918" i="4"/>
  <c r="O871" i="4"/>
  <c r="M872" i="4"/>
  <c r="N948" i="4"/>
  <c r="J531" i="4"/>
  <c r="H186" i="4"/>
  <c r="M974" i="4"/>
  <c r="L919" i="4"/>
  <c r="G387" i="4"/>
  <c r="H90" i="4"/>
  <c r="H152" i="4"/>
  <c r="H171" i="4"/>
  <c r="H570" i="4"/>
  <c r="I152" i="4"/>
  <c r="I368" i="4"/>
  <c r="G656" i="4"/>
  <c r="I953" i="4"/>
  <c r="F186" i="4"/>
  <c r="I378" i="4"/>
  <c r="I570" i="4"/>
  <c r="F224" i="4"/>
  <c r="I440" i="4"/>
  <c r="H656" i="4"/>
  <c r="F479" i="4"/>
  <c r="H36" i="4"/>
  <c r="G180" i="4"/>
  <c r="H324" i="4"/>
  <c r="F684" i="4"/>
  <c r="G828" i="4"/>
  <c r="F305" i="4"/>
  <c r="H594" i="4"/>
  <c r="J26" i="4"/>
  <c r="L662" i="4"/>
  <c r="M388" i="4"/>
  <c r="N733" i="4"/>
  <c r="L685" i="4"/>
  <c r="P625" i="4"/>
  <c r="M35" i="4"/>
  <c r="N695" i="4"/>
  <c r="P793" i="4"/>
  <c r="O984" i="4"/>
  <c r="M541" i="4"/>
  <c r="I305" i="4"/>
  <c r="G570" i="4"/>
  <c r="G378" i="4"/>
  <c r="G440" i="4"/>
  <c r="O663" i="4"/>
  <c r="O928" i="4"/>
  <c r="O913" i="4"/>
  <c r="L996" i="4"/>
  <c r="K611" i="4"/>
  <c r="F166" i="4"/>
  <c r="K970" i="4"/>
  <c r="J639" i="4"/>
  <c r="H135" i="4"/>
  <c r="G567" i="4"/>
  <c r="I351" i="4"/>
  <c r="J137" i="4"/>
  <c r="F536" i="4"/>
  <c r="J608" i="4"/>
  <c r="F777" i="4"/>
  <c r="F57" i="4"/>
  <c r="G129" i="4"/>
  <c r="G201" i="4"/>
  <c r="F273" i="4"/>
  <c r="F345" i="4"/>
  <c r="F417" i="4"/>
  <c r="I633" i="4"/>
  <c r="J705" i="4"/>
  <c r="G485" i="4"/>
  <c r="J94" i="4"/>
  <c r="G166" i="4"/>
  <c r="J310" i="4"/>
  <c r="G526" i="4"/>
  <c r="J742" i="4"/>
  <c r="F107" i="4"/>
  <c r="I179" i="4"/>
  <c r="F395" i="4"/>
  <c r="F146" i="4"/>
  <c r="G290" i="4"/>
  <c r="G362" i="4"/>
  <c r="G602" i="4"/>
  <c r="N962" i="4"/>
  <c r="K988" i="4"/>
  <c r="L918" i="4"/>
  <c r="M9" i="4"/>
  <c r="P788" i="4"/>
  <c r="L898" i="4"/>
  <c r="K1006" i="4"/>
  <c r="P683" i="4"/>
  <c r="K853" i="4"/>
  <c r="H166" i="4"/>
  <c r="J526" i="4"/>
  <c r="F814" i="4"/>
  <c r="F218" i="4"/>
  <c r="I290" i="4"/>
  <c r="G458" i="4"/>
  <c r="F530" i="4"/>
  <c r="I602" i="4"/>
  <c r="J317" i="4"/>
  <c r="F28" i="4"/>
  <c r="M794" i="4"/>
  <c r="L747" i="4"/>
  <c r="O100" i="4"/>
  <c r="K136" i="4"/>
  <c r="O775" i="4"/>
  <c r="K685" i="4"/>
  <c r="L875" i="4"/>
  <c r="N947" i="4"/>
  <c r="J351" i="4"/>
  <c r="K770" i="4"/>
  <c r="P818" i="4"/>
  <c r="N762" i="4"/>
  <c r="M1002" i="4"/>
  <c r="O983" i="4"/>
  <c r="I526" i="4"/>
  <c r="G536" i="4"/>
  <c r="H814" i="4"/>
  <c r="I458" i="4"/>
  <c r="I530" i="4"/>
  <c r="G28" i="4"/>
  <c r="H423" i="4"/>
  <c r="J567" i="4"/>
  <c r="F175" i="4"/>
  <c r="I536" i="4"/>
  <c r="I273" i="4"/>
  <c r="I345" i="4"/>
  <c r="J166" i="4"/>
  <c r="G238" i="4"/>
  <c r="G382" i="4"/>
  <c r="H598" i="4"/>
  <c r="G814" i="4"/>
  <c r="I107" i="4"/>
  <c r="G323" i="4"/>
  <c r="I395" i="4"/>
  <c r="F216" i="4"/>
  <c r="F432" i="4"/>
  <c r="H648" i="4"/>
  <c r="H864" i="4"/>
  <c r="I28" i="4"/>
  <c r="N616" i="4"/>
  <c r="O805" i="4"/>
  <c r="P883" i="4"/>
  <c r="N800" i="4"/>
  <c r="O896" i="4"/>
  <c r="P934" i="4"/>
  <c r="O877" i="4"/>
  <c r="N937" i="4"/>
  <c r="N984" i="4"/>
  <c r="I608" i="4"/>
  <c r="H567" i="4"/>
  <c r="J135" i="4"/>
  <c r="H104" i="4"/>
  <c r="H536" i="4"/>
  <c r="F993" i="4"/>
  <c r="H238" i="4"/>
  <c r="H382" i="4"/>
  <c r="G598" i="4"/>
  <c r="I814" i="4"/>
  <c r="H323" i="4"/>
  <c r="H216" i="4"/>
  <c r="G432" i="4"/>
  <c r="I648" i="4"/>
  <c r="I864" i="4"/>
  <c r="F170" i="4"/>
  <c r="F314" i="4"/>
  <c r="J28" i="4"/>
  <c r="L964" i="4"/>
  <c r="M865" i="4"/>
  <c r="N659" i="4"/>
  <c r="L995" i="4"/>
  <c r="O702" i="4"/>
  <c r="F423" i="4"/>
  <c r="F238" i="4"/>
  <c r="I423" i="4"/>
  <c r="F279" i="4"/>
  <c r="I319" i="4"/>
  <c r="J423" i="4"/>
  <c r="G279" i="4"/>
  <c r="F857" i="4"/>
  <c r="F680" i="4"/>
  <c r="F921" i="4"/>
  <c r="G993" i="4"/>
  <c r="I238" i="4"/>
  <c r="I382" i="4"/>
  <c r="I598" i="4"/>
  <c r="F670" i="4"/>
  <c r="F251" i="4"/>
  <c r="I323" i="4"/>
  <c r="G216" i="4"/>
  <c r="H432" i="4"/>
  <c r="F792" i="4"/>
  <c r="I401" i="4"/>
  <c r="F785" i="4"/>
  <c r="F121" i="4"/>
  <c r="F98" i="4"/>
  <c r="G170" i="4"/>
  <c r="H314" i="4"/>
  <c r="F386" i="4"/>
  <c r="F650" i="4"/>
  <c r="P734" i="4"/>
  <c r="K950" i="4"/>
  <c r="M723" i="4"/>
  <c r="L823" i="4"/>
  <c r="K991" i="4"/>
  <c r="M836" i="4"/>
  <c r="N874" i="4"/>
  <c r="M625" i="4"/>
  <c r="L587" i="4"/>
  <c r="O887" i="4"/>
  <c r="O960" i="4"/>
  <c r="F382" i="4"/>
  <c r="F598" i="4"/>
  <c r="F495" i="4"/>
  <c r="H279" i="4"/>
  <c r="G103" i="4"/>
  <c r="G680" i="4"/>
  <c r="F849" i="4"/>
  <c r="G921" i="4"/>
  <c r="H993" i="4"/>
  <c r="I581" i="4"/>
  <c r="F454" i="4"/>
  <c r="H670" i="4"/>
  <c r="G251" i="4"/>
  <c r="J323" i="4"/>
  <c r="F576" i="4"/>
  <c r="G792" i="4"/>
  <c r="H497" i="4"/>
  <c r="G785" i="4"/>
  <c r="H145" i="4"/>
  <c r="H98" i="4"/>
  <c r="J170" i="4"/>
  <c r="H242" i="4"/>
  <c r="J314" i="4"/>
  <c r="I386" i="4"/>
  <c r="G506" i="4"/>
  <c r="P769" i="4"/>
  <c r="O781" i="4"/>
  <c r="M19" i="4"/>
  <c r="L661" i="4"/>
  <c r="N541" i="4"/>
  <c r="N88" i="4"/>
  <c r="K799" i="4"/>
  <c r="L931" i="4"/>
  <c r="L944" i="4"/>
  <c r="M949" i="4"/>
  <c r="K899" i="4"/>
  <c r="I94" i="4"/>
  <c r="I742" i="4"/>
  <c r="I279" i="4"/>
  <c r="G454" i="4"/>
  <c r="H785" i="4"/>
  <c r="F157" i="4"/>
  <c r="I98" i="4"/>
  <c r="H221" i="4"/>
  <c r="G639" i="4"/>
  <c r="F207" i="4"/>
  <c r="G207" i="4"/>
  <c r="F183" i="4"/>
  <c r="H495" i="4"/>
  <c r="F608" i="4"/>
  <c r="I680" i="4"/>
  <c r="F705" i="4"/>
  <c r="H777" i="4"/>
  <c r="H849" i="4"/>
  <c r="I921" i="4"/>
  <c r="F94" i="4"/>
  <c r="F310" i="4"/>
  <c r="H454" i="4"/>
  <c r="I670" i="4"/>
  <c r="F742" i="4"/>
  <c r="I251" i="4"/>
  <c r="G144" i="4"/>
  <c r="H360" i="4"/>
  <c r="H576" i="4"/>
  <c r="I792" i="4"/>
  <c r="I785" i="4"/>
  <c r="G169" i="4"/>
  <c r="G277" i="4"/>
  <c r="F26" i="4"/>
  <c r="J506" i="4"/>
  <c r="F578" i="4"/>
  <c r="L913" i="4"/>
  <c r="P726" i="4"/>
  <c r="N1004" i="4"/>
  <c r="M850" i="4"/>
  <c r="K35" i="4"/>
  <c r="K527" i="4"/>
  <c r="P996" i="4"/>
  <c r="I310" i="4"/>
  <c r="G495" i="4"/>
  <c r="H680" i="4"/>
  <c r="G670" i="4"/>
  <c r="H183" i="4"/>
  <c r="I247" i="4"/>
  <c r="G833" i="4"/>
  <c r="H26" i="4"/>
  <c r="J578" i="4"/>
  <c r="N124" i="4"/>
  <c r="M268" i="4"/>
  <c r="L961" i="4"/>
  <c r="O763" i="4"/>
  <c r="M871" i="4"/>
  <c r="O967" i="4"/>
  <c r="O848" i="4"/>
  <c r="L637" i="4"/>
  <c r="N719" i="4"/>
  <c r="M827" i="4"/>
  <c r="M935" i="4"/>
  <c r="K914" i="4"/>
  <c r="O719" i="4"/>
  <c r="M875" i="4"/>
  <c r="P937" i="4"/>
  <c r="I497" i="4"/>
  <c r="N727" i="4"/>
  <c r="N1003" i="4"/>
  <c r="F327" i="4"/>
  <c r="I31" i="4"/>
  <c r="H175" i="4"/>
  <c r="J247" i="4"/>
  <c r="G452" i="4"/>
  <c r="H54" i="4"/>
  <c r="G534" i="4"/>
  <c r="I630" i="4"/>
  <c r="J497" i="4"/>
  <c r="I73" i="4"/>
  <c r="G469" i="4"/>
  <c r="H40" i="4"/>
  <c r="O880" i="4"/>
  <c r="P1002" i="4"/>
  <c r="L703" i="4"/>
  <c r="P787" i="4"/>
  <c r="K745" i="4"/>
  <c r="L601" i="4"/>
  <c r="P587" i="4"/>
  <c r="N851" i="4"/>
  <c r="L853" i="4"/>
  <c r="I981" i="4"/>
  <c r="J54" i="4"/>
  <c r="F438" i="4"/>
  <c r="H534" i="4"/>
  <c r="J630" i="4"/>
  <c r="F845" i="4"/>
  <c r="J73" i="4"/>
  <c r="I469" i="4"/>
  <c r="I40" i="4"/>
  <c r="M664" i="4"/>
  <c r="M916" i="4"/>
  <c r="L752" i="4"/>
  <c r="P817" i="4"/>
  <c r="L874" i="4"/>
  <c r="M970" i="4"/>
  <c r="O757" i="4"/>
  <c r="N527" i="4"/>
  <c r="P623" i="4"/>
  <c r="M755" i="4"/>
  <c r="K947" i="4"/>
  <c r="J319" i="4"/>
  <c r="G183" i="4"/>
  <c r="H103" i="4"/>
  <c r="H615" i="4"/>
  <c r="J31" i="4"/>
  <c r="H452" i="4"/>
  <c r="I615" i="4"/>
  <c r="J183" i="4"/>
  <c r="G327" i="4"/>
  <c r="J175" i="4"/>
  <c r="I308" i="4"/>
  <c r="G438" i="4"/>
  <c r="I534" i="4"/>
  <c r="J97" i="4"/>
  <c r="F241" i="4"/>
  <c r="F40" i="4"/>
  <c r="I338" i="4"/>
  <c r="G410" i="4"/>
  <c r="I482" i="4"/>
  <c r="G554" i="4"/>
  <c r="F626" i="4"/>
  <c r="F16" i="4"/>
  <c r="L735" i="4"/>
  <c r="P820" i="4"/>
  <c r="K952" i="4"/>
  <c r="M750" i="4"/>
  <c r="K848" i="4"/>
  <c r="K973" i="4"/>
  <c r="K22" i="4"/>
  <c r="L887" i="4"/>
  <c r="O661" i="4"/>
  <c r="O48" i="4"/>
  <c r="L541" i="4"/>
  <c r="G175" i="4"/>
  <c r="J255" i="4"/>
  <c r="G615" i="4"/>
  <c r="H327" i="4"/>
  <c r="J103" i="4"/>
  <c r="F363" i="4"/>
  <c r="I327" i="4"/>
  <c r="J308" i="4"/>
  <c r="G765" i="4"/>
  <c r="F490" i="4"/>
  <c r="F342" i="4"/>
  <c r="I438" i="4"/>
  <c r="G16" i="4"/>
  <c r="O783" i="4"/>
  <c r="K112" i="4"/>
  <c r="M580" i="4"/>
  <c r="K724" i="4"/>
  <c r="K832" i="4"/>
  <c r="K798" i="4"/>
  <c r="K589" i="4"/>
  <c r="N799" i="4"/>
  <c r="P919" i="4"/>
  <c r="H31" i="4"/>
  <c r="M940" i="4"/>
  <c r="K763" i="4"/>
  <c r="J363" i="4"/>
  <c r="G342" i="4"/>
  <c r="H16" i="4"/>
  <c r="L710" i="4"/>
  <c r="M938" i="4"/>
  <c r="O520" i="4"/>
  <c r="O748" i="4"/>
  <c r="K497" i="4"/>
  <c r="M870" i="4"/>
  <c r="O859" i="4"/>
  <c r="M788" i="4"/>
  <c r="P599" i="4"/>
  <c r="O635" i="4"/>
  <c r="L671" i="4"/>
  <c r="P695" i="4"/>
  <c r="P791" i="4"/>
  <c r="K923" i="4"/>
  <c r="L497" i="4"/>
  <c r="P666" i="4"/>
  <c r="M835" i="4"/>
  <c r="P733" i="4"/>
  <c r="N946" i="4"/>
  <c r="M539" i="4"/>
  <c r="K707" i="4"/>
  <c r="O827" i="4"/>
  <c r="H247" i="4"/>
  <c r="H399" i="4"/>
  <c r="G111" i="4"/>
  <c r="G471" i="4"/>
  <c r="J507" i="4"/>
  <c r="F391" i="4"/>
  <c r="F463" i="4"/>
  <c r="G535" i="4"/>
  <c r="F607" i="4"/>
  <c r="F524" i="4"/>
  <c r="G246" i="4"/>
  <c r="H342" i="4"/>
  <c r="G157" i="4"/>
  <c r="L746" i="4"/>
  <c r="K663" i="4"/>
  <c r="O843" i="4"/>
  <c r="O867" i="4"/>
  <c r="K88" i="4"/>
  <c r="P244" i="4"/>
  <c r="M497" i="4"/>
  <c r="O991" i="4"/>
  <c r="K865" i="4"/>
  <c r="O767" i="4"/>
  <c r="I103" i="4"/>
  <c r="F535" i="4"/>
  <c r="J473" i="4"/>
  <c r="G463" i="4"/>
  <c r="F150" i="4"/>
  <c r="M889" i="4"/>
  <c r="N988" i="4"/>
  <c r="N497" i="4"/>
  <c r="K667" i="4"/>
  <c r="P764" i="4"/>
  <c r="O884" i="4"/>
  <c r="P1004" i="4"/>
  <c r="N841" i="4"/>
  <c r="M826" i="4"/>
  <c r="O886" i="4"/>
  <c r="M803" i="4"/>
  <c r="L577" i="4"/>
  <c r="H471" i="4"/>
  <c r="F543" i="4"/>
  <c r="F319" i="4"/>
  <c r="G607" i="4"/>
  <c r="G333" i="4"/>
  <c r="J202" i="4"/>
  <c r="H157" i="4"/>
  <c r="F255" i="4"/>
  <c r="I399" i="4"/>
  <c r="I111" i="4"/>
  <c r="I471" i="4"/>
  <c r="G543" i="4"/>
  <c r="G125" i="4"/>
  <c r="F247" i="4"/>
  <c r="G319" i="4"/>
  <c r="G391" i="4"/>
  <c r="H463" i="4"/>
  <c r="I535" i="4"/>
  <c r="I607" i="4"/>
  <c r="G380" i="4"/>
  <c r="G150" i="4"/>
  <c r="H246" i="4"/>
  <c r="F497" i="4"/>
  <c r="I157" i="4"/>
  <c r="G402" i="4"/>
  <c r="G38" i="4"/>
  <c r="J110" i="4"/>
  <c r="P975" i="4"/>
  <c r="P868" i="4"/>
  <c r="O497" i="4"/>
  <c r="K565" i="4"/>
  <c r="O553" i="4"/>
  <c r="N961" i="4"/>
  <c r="N967" i="4"/>
  <c r="K949" i="4"/>
  <c r="O685" i="4"/>
  <c r="M647" i="4"/>
  <c r="L683" i="4"/>
  <c r="O959" i="4"/>
  <c r="G399" i="4"/>
  <c r="H111" i="4"/>
  <c r="H391" i="4"/>
  <c r="H535" i="4"/>
  <c r="I246" i="4"/>
  <c r="F111" i="4"/>
  <c r="H125" i="4"/>
  <c r="H380" i="4"/>
  <c r="G497" i="4"/>
  <c r="H38" i="4"/>
  <c r="P662" i="4"/>
  <c r="N256" i="4"/>
  <c r="O616" i="4"/>
  <c r="K913" i="4"/>
  <c r="P691" i="4"/>
  <c r="K896" i="4"/>
  <c r="O980" i="4"/>
  <c r="K898" i="4"/>
  <c r="P899" i="4"/>
  <c r="M948" i="4"/>
  <c r="O1008" i="4"/>
  <c r="G857" i="4"/>
  <c r="J953" i="4"/>
  <c r="F32" i="4"/>
  <c r="I104" i="4"/>
  <c r="F392" i="4"/>
  <c r="I464" i="4"/>
  <c r="H485" i="4"/>
  <c r="J581" i="4"/>
  <c r="F174" i="4"/>
  <c r="I221" i="4"/>
  <c r="G557" i="4"/>
  <c r="H857" i="4"/>
  <c r="G32" i="4"/>
  <c r="J104" i="4"/>
  <c r="F320" i="4"/>
  <c r="G392" i="4"/>
  <c r="J464" i="4"/>
  <c r="I485" i="4"/>
  <c r="G181" i="4"/>
  <c r="J221" i="4"/>
  <c r="H557" i="4"/>
  <c r="F761" i="4"/>
  <c r="G761" i="4"/>
  <c r="I857" i="4"/>
  <c r="H32" i="4"/>
  <c r="G320" i="4"/>
  <c r="H392" i="4"/>
  <c r="J485" i="4"/>
  <c r="F505" i="4"/>
  <c r="I557" i="4"/>
  <c r="H761" i="4"/>
  <c r="I32" i="4"/>
  <c r="F248" i="4"/>
  <c r="H320" i="4"/>
  <c r="I392" i="4"/>
  <c r="G505" i="4"/>
  <c r="F953" i="4"/>
  <c r="I761" i="4"/>
  <c r="G248" i="4"/>
  <c r="I320" i="4"/>
  <c r="H505" i="4"/>
  <c r="F176" i="4"/>
  <c r="I505" i="4"/>
  <c r="F53" i="4"/>
  <c r="H248" i="4"/>
  <c r="G53" i="4"/>
  <c r="G176" i="4"/>
  <c r="I248" i="4"/>
  <c r="F677" i="4"/>
  <c r="H53" i="4"/>
  <c r="H176" i="4"/>
  <c r="H301" i="4"/>
  <c r="F317" i="4"/>
  <c r="H464" i="4"/>
  <c r="G677" i="4"/>
  <c r="G15" i="4"/>
  <c r="I53" i="4"/>
  <c r="G137" i="4"/>
  <c r="I176" i="4"/>
  <c r="F581" i="4"/>
  <c r="H677" i="4"/>
  <c r="I301" i="4"/>
  <c r="I270" i="4"/>
  <c r="G317" i="4"/>
  <c r="I461" i="4"/>
  <c r="I653" i="4"/>
  <c r="I15" i="4"/>
  <c r="H137" i="4"/>
  <c r="G953" i="4"/>
  <c r="G104" i="4"/>
  <c r="F464" i="4"/>
  <c r="G581" i="4"/>
  <c r="I677" i="4"/>
  <c r="J301" i="4"/>
  <c r="F221" i="4"/>
  <c r="H317" i="4"/>
  <c r="H15" i="4"/>
  <c r="F137" i="4"/>
  <c r="I121" i="4"/>
  <c r="J169" i="4"/>
  <c r="J121" i="4"/>
  <c r="F169" i="4"/>
  <c r="G121" i="4"/>
  <c r="H169" i="4"/>
  <c r="F210" i="4"/>
  <c r="K9" i="4"/>
  <c r="G210" i="4"/>
  <c r="L9" i="4"/>
  <c r="I210" i="4"/>
  <c r="N9" i="4"/>
  <c r="H210" i="4"/>
  <c r="O9" i="4"/>
  <c r="F37" i="4"/>
  <c r="H37" i="4"/>
  <c r="G37" i="4"/>
  <c r="I37" i="4"/>
  <c r="P61" i="4"/>
  <c r="G451" i="4"/>
  <c r="I402" i="4"/>
  <c r="J546" i="4"/>
  <c r="H765" i="4"/>
  <c r="J163" i="4"/>
  <c r="G235" i="4"/>
  <c r="I451" i="4"/>
  <c r="H189" i="4"/>
  <c r="I333" i="4"/>
  <c r="I549" i="4"/>
  <c r="I765" i="4"/>
  <c r="F162" i="4"/>
  <c r="H402" i="4"/>
  <c r="F62" i="4"/>
  <c r="I206" i="4"/>
  <c r="F422" i="4"/>
  <c r="H566" i="4"/>
  <c r="O866" i="4"/>
  <c r="I235" i="4"/>
  <c r="H451" i="4"/>
  <c r="I189" i="4"/>
  <c r="J333" i="4"/>
  <c r="F405" i="4"/>
  <c r="J549" i="4"/>
  <c r="F621" i="4"/>
  <c r="J765" i="4"/>
  <c r="F837" i="4"/>
  <c r="F133" i="4"/>
  <c r="G162" i="4"/>
  <c r="J402" i="4"/>
  <c r="G62" i="4"/>
  <c r="J206" i="4"/>
  <c r="F278" i="4"/>
  <c r="G422" i="4"/>
  <c r="I566" i="4"/>
  <c r="H549" i="4"/>
  <c r="H17" i="4"/>
  <c r="H235" i="4"/>
  <c r="F523" i="4"/>
  <c r="F45" i="4"/>
  <c r="J189" i="4"/>
  <c r="G405" i="4"/>
  <c r="G621" i="4"/>
  <c r="G837" i="4"/>
  <c r="G133" i="4"/>
  <c r="I162" i="4"/>
  <c r="H62" i="4"/>
  <c r="G278" i="4"/>
  <c r="H422" i="4"/>
  <c r="F638" i="4"/>
  <c r="J235" i="4"/>
  <c r="I426" i="4"/>
  <c r="G45" i="4"/>
  <c r="H405" i="4"/>
  <c r="H621" i="4"/>
  <c r="H837" i="4"/>
  <c r="H133" i="4"/>
  <c r="F481" i="4"/>
  <c r="H162" i="4"/>
  <c r="I62" i="4"/>
  <c r="H278" i="4"/>
  <c r="I422" i="4"/>
  <c r="F494" i="4"/>
  <c r="G638" i="4"/>
  <c r="G941" i="4"/>
  <c r="P601" i="4"/>
  <c r="H45" i="4"/>
  <c r="G261" i="4"/>
  <c r="I405" i="4"/>
  <c r="I621" i="4"/>
  <c r="I837" i="4"/>
  <c r="I133" i="4"/>
  <c r="G481" i="4"/>
  <c r="F354" i="4"/>
  <c r="F134" i="4"/>
  <c r="I278" i="4"/>
  <c r="G494" i="4"/>
  <c r="H638" i="4"/>
  <c r="I941" i="4"/>
  <c r="I76" i="4"/>
  <c r="G523" i="4"/>
  <c r="I307" i="4"/>
  <c r="I91" i="4"/>
  <c r="G307" i="4"/>
  <c r="I523" i="4"/>
  <c r="I45" i="4"/>
  <c r="F261" i="4"/>
  <c r="F477" i="4"/>
  <c r="F693" i="4"/>
  <c r="H909" i="4"/>
  <c r="H481" i="4"/>
  <c r="G354" i="4"/>
  <c r="H134" i="4"/>
  <c r="H494" i="4"/>
  <c r="I638" i="4"/>
  <c r="G91" i="4"/>
  <c r="H523" i="4"/>
  <c r="H426" i="4"/>
  <c r="G909" i="4"/>
  <c r="H91" i="4"/>
  <c r="H307" i="4"/>
  <c r="F379" i="4"/>
  <c r="F117" i="4"/>
  <c r="H261" i="4"/>
  <c r="G477" i="4"/>
  <c r="G693" i="4"/>
  <c r="I909" i="4"/>
  <c r="I481" i="4"/>
  <c r="I354" i="4"/>
  <c r="G134" i="4"/>
  <c r="I494" i="4"/>
  <c r="O868" i="4"/>
  <c r="G379" i="4"/>
  <c r="H117" i="4"/>
  <c r="I261" i="4"/>
  <c r="H477" i="4"/>
  <c r="H693" i="4"/>
  <c r="F981" i="4"/>
  <c r="G325" i="4"/>
  <c r="H354" i="4"/>
  <c r="F546" i="4"/>
  <c r="I134" i="4"/>
  <c r="F350" i="4"/>
  <c r="P859" i="4"/>
  <c r="H163" i="4"/>
  <c r="J595" i="4"/>
  <c r="F307" i="4"/>
  <c r="F595" i="4"/>
  <c r="F163" i="4"/>
  <c r="H379" i="4"/>
  <c r="G595" i="4"/>
  <c r="F330" i="4"/>
  <c r="G117" i="4"/>
  <c r="I477" i="4"/>
  <c r="I693" i="4"/>
  <c r="G981" i="4"/>
  <c r="I325" i="4"/>
  <c r="G546" i="4"/>
  <c r="G350" i="4"/>
  <c r="N628" i="4"/>
  <c r="H333" i="4"/>
  <c r="J981" i="4"/>
  <c r="F91" i="4"/>
  <c r="G330" i="4"/>
  <c r="G845" i="4"/>
  <c r="M937" i="4"/>
  <c r="G174" i="4"/>
  <c r="I289" i="4"/>
  <c r="J270" i="4"/>
  <c r="G654" i="4"/>
  <c r="H174" i="4"/>
  <c r="F833" i="4"/>
  <c r="J289" i="4"/>
  <c r="H290" i="4"/>
  <c r="I506" i="4"/>
  <c r="F462" i="4"/>
  <c r="H654" i="4"/>
  <c r="F78" i="4"/>
  <c r="I174" i="4"/>
  <c r="G462" i="4"/>
  <c r="I654" i="4"/>
  <c r="G78" i="4"/>
  <c r="F434" i="4"/>
  <c r="G650" i="4"/>
  <c r="F366" i="4"/>
  <c r="H462" i="4"/>
  <c r="H78" i="4"/>
  <c r="F689" i="4"/>
  <c r="G434" i="4"/>
  <c r="I650" i="4"/>
  <c r="G366" i="4"/>
  <c r="I462" i="4"/>
  <c r="I78" i="4"/>
  <c r="G689" i="4"/>
  <c r="H434" i="4"/>
  <c r="H650" i="4"/>
  <c r="H366" i="4"/>
  <c r="H689" i="4"/>
  <c r="I366" i="4"/>
  <c r="F558" i="4"/>
  <c r="I689" i="4"/>
  <c r="G558" i="4"/>
  <c r="H362" i="4"/>
  <c r="G578" i="4"/>
  <c r="F270" i="4"/>
  <c r="H558" i="4"/>
  <c r="F289" i="4"/>
  <c r="F74" i="4"/>
  <c r="I362" i="4"/>
  <c r="H578" i="4"/>
  <c r="G270" i="4"/>
  <c r="I558" i="4"/>
  <c r="G498" i="4"/>
  <c r="H387" i="4"/>
  <c r="J1005" i="4"/>
  <c r="G603" i="4"/>
  <c r="I387" i="4"/>
  <c r="J171" i="4"/>
  <c r="I125" i="4"/>
  <c r="H67" i="4"/>
  <c r="H283" i="4"/>
  <c r="G499" i="4"/>
  <c r="J571" i="4"/>
  <c r="F234" i="4"/>
  <c r="I330" i="4"/>
  <c r="J426" i="4"/>
  <c r="I380" i="4"/>
  <c r="I452" i="4"/>
  <c r="H524" i="4"/>
  <c r="F596" i="4"/>
  <c r="G213" i="4"/>
  <c r="J285" i="4"/>
  <c r="G501" i="4"/>
  <c r="J573" i="4"/>
  <c r="I789" i="4"/>
  <c r="F933" i="4"/>
  <c r="I1005" i="4"/>
  <c r="J82" i="4"/>
  <c r="H298" i="4"/>
  <c r="G586" i="4"/>
  <c r="I802" i="4"/>
  <c r="J383" i="4"/>
  <c r="H455" i="4"/>
  <c r="F156" i="4"/>
  <c r="J804" i="4"/>
  <c r="G209" i="4"/>
  <c r="I38" i="4"/>
  <c r="H845" i="4"/>
  <c r="J941" i="4"/>
  <c r="K976" i="4"/>
  <c r="F603" i="4"/>
  <c r="I571" i="4"/>
  <c r="I573" i="4"/>
  <c r="G243" i="4"/>
  <c r="F51" i="4"/>
  <c r="J125" i="4"/>
  <c r="J67" i="4"/>
  <c r="J283" i="4"/>
  <c r="H499" i="4"/>
  <c r="G234" i="4"/>
  <c r="H330" i="4"/>
  <c r="F20" i="4"/>
  <c r="J380" i="4"/>
  <c r="J452" i="4"/>
  <c r="G524" i="4"/>
  <c r="G596" i="4"/>
  <c r="F141" i="4"/>
  <c r="I213" i="4"/>
  <c r="H501" i="4"/>
  <c r="F717" i="4"/>
  <c r="J789" i="4"/>
  <c r="G933" i="4"/>
  <c r="F226" i="4"/>
  <c r="I298" i="4"/>
  <c r="F514" i="4"/>
  <c r="J586" i="4"/>
  <c r="F730" i="4"/>
  <c r="J802" i="4"/>
  <c r="I455" i="4"/>
  <c r="H209" i="4"/>
  <c r="J38" i="4"/>
  <c r="F254" i="4"/>
  <c r="F749" i="4"/>
  <c r="I845" i="4"/>
  <c r="I171" i="4"/>
  <c r="G67" i="4"/>
  <c r="I285" i="4"/>
  <c r="G455" i="4"/>
  <c r="H243" i="4"/>
  <c r="G51" i="4"/>
  <c r="F665" i="4"/>
  <c r="F211" i="4"/>
  <c r="F427" i="4"/>
  <c r="I499" i="4"/>
  <c r="F138" i="4"/>
  <c r="I234" i="4"/>
  <c r="G20" i="4"/>
  <c r="I524" i="4"/>
  <c r="H596" i="4"/>
  <c r="F668" i="4"/>
  <c r="G141" i="4"/>
  <c r="J213" i="4"/>
  <c r="F429" i="4"/>
  <c r="I501" i="4"/>
  <c r="G717" i="4"/>
  <c r="H933" i="4"/>
  <c r="G226" i="4"/>
  <c r="H514" i="4"/>
  <c r="H730" i="4"/>
  <c r="F95" i="4"/>
  <c r="I209" i="4"/>
  <c r="I205" i="4"/>
  <c r="G254" i="4"/>
  <c r="F326" i="4"/>
  <c r="G749" i="4"/>
  <c r="H51" i="4"/>
  <c r="I211" i="4"/>
  <c r="G427" i="4"/>
  <c r="J499" i="4"/>
  <c r="G138" i="4"/>
  <c r="H234" i="4"/>
  <c r="H20" i="4"/>
  <c r="F92" i="4"/>
  <c r="I596" i="4"/>
  <c r="H668" i="4"/>
  <c r="F740" i="4"/>
  <c r="H141" i="4"/>
  <c r="G429" i="4"/>
  <c r="J501" i="4"/>
  <c r="H717" i="4"/>
  <c r="I933" i="4"/>
  <c r="F389" i="4"/>
  <c r="H226" i="4"/>
  <c r="G514" i="4"/>
  <c r="G730" i="4"/>
  <c r="G95" i="4"/>
  <c r="H84" i="4"/>
  <c r="J209" i="4"/>
  <c r="H254" i="4"/>
  <c r="G326" i="4"/>
  <c r="F398" i="4"/>
  <c r="F470" i="4"/>
  <c r="H749" i="4"/>
  <c r="J311" i="4"/>
  <c r="F42" i="4"/>
  <c r="I138" i="4"/>
  <c r="F618" i="4"/>
  <c r="I20" i="4"/>
  <c r="G92" i="4"/>
  <c r="F164" i="4"/>
  <c r="G668" i="4"/>
  <c r="H740" i="4"/>
  <c r="H69" i="4"/>
  <c r="I141" i="4"/>
  <c r="H429" i="4"/>
  <c r="F645" i="4"/>
  <c r="I717" i="4"/>
  <c r="G389" i="4"/>
  <c r="F154" i="4"/>
  <c r="I226" i="4"/>
  <c r="F442" i="4"/>
  <c r="I514" i="4"/>
  <c r="I730" i="4"/>
  <c r="H95" i="4"/>
  <c r="F167" i="4"/>
  <c r="F182" i="4"/>
  <c r="I254" i="4"/>
  <c r="H326" i="4"/>
  <c r="G398" i="4"/>
  <c r="H470" i="4"/>
  <c r="I749" i="4"/>
  <c r="F315" i="4"/>
  <c r="J603" i="4"/>
  <c r="G315" i="4"/>
  <c r="G211" i="4"/>
  <c r="H427" i="4"/>
  <c r="H315" i="4"/>
  <c r="J459" i="4"/>
  <c r="J51" i="4"/>
  <c r="G41" i="4"/>
  <c r="H569" i="4"/>
  <c r="I665" i="4"/>
  <c r="H211" i="4"/>
  <c r="F355" i="4"/>
  <c r="I427" i="4"/>
  <c r="F643" i="4"/>
  <c r="G42" i="4"/>
  <c r="H138" i="4"/>
  <c r="G618" i="4"/>
  <c r="H92" i="4"/>
  <c r="G164" i="4"/>
  <c r="I668" i="4"/>
  <c r="G740" i="4"/>
  <c r="F69" i="4"/>
  <c r="F357" i="4"/>
  <c r="I429" i="4"/>
  <c r="G645" i="4"/>
  <c r="F293" i="4"/>
  <c r="H389" i="4"/>
  <c r="G154" i="4"/>
  <c r="G442" i="4"/>
  <c r="F658" i="4"/>
  <c r="I95" i="4"/>
  <c r="G167" i="4"/>
  <c r="F239" i="4"/>
  <c r="F13" i="4"/>
  <c r="G182" i="4"/>
  <c r="I326" i="4"/>
  <c r="H398" i="4"/>
  <c r="G470" i="4"/>
  <c r="F542" i="4"/>
  <c r="F614" i="4"/>
  <c r="F459" i="4"/>
  <c r="H603" i="4"/>
  <c r="H459" i="4"/>
  <c r="I243" i="4"/>
  <c r="G665" i="4"/>
  <c r="I459" i="4"/>
  <c r="H665" i="4"/>
  <c r="F531" i="4"/>
  <c r="G99" i="4"/>
  <c r="H41" i="4"/>
  <c r="F473" i="4"/>
  <c r="G569" i="4"/>
  <c r="F139" i="4"/>
  <c r="I355" i="4"/>
  <c r="G643" i="4"/>
  <c r="I42" i="4"/>
  <c r="F522" i="4"/>
  <c r="H618" i="4"/>
  <c r="I92" i="4"/>
  <c r="H164" i="4"/>
  <c r="F236" i="4"/>
  <c r="I740" i="4"/>
  <c r="G69" i="4"/>
  <c r="G357" i="4"/>
  <c r="H645" i="4"/>
  <c r="G861" i="4"/>
  <c r="G293" i="4"/>
  <c r="I389" i="4"/>
  <c r="H154" i="4"/>
  <c r="H442" i="4"/>
  <c r="H658" i="4"/>
  <c r="H167" i="4"/>
  <c r="G239" i="4"/>
  <c r="G13" i="4"/>
  <c r="F97" i="4"/>
  <c r="F930" i="4"/>
  <c r="F110" i="4"/>
  <c r="H182" i="4"/>
  <c r="I398" i="4"/>
  <c r="I470" i="4"/>
  <c r="G542" i="4"/>
  <c r="G614" i="4"/>
  <c r="F283" i="4"/>
  <c r="H789" i="4"/>
  <c r="F41" i="4"/>
  <c r="F569" i="4"/>
  <c r="I315" i="4"/>
  <c r="G531" i="4"/>
  <c r="H99" i="4"/>
  <c r="I41" i="4"/>
  <c r="G473" i="4"/>
  <c r="I569" i="4"/>
  <c r="G139" i="4"/>
  <c r="G355" i="4"/>
  <c r="H643" i="4"/>
  <c r="H42" i="4"/>
  <c r="G522" i="4"/>
  <c r="I618" i="4"/>
  <c r="I164" i="4"/>
  <c r="G236" i="4"/>
  <c r="F308" i="4"/>
  <c r="I69" i="4"/>
  <c r="H357" i="4"/>
  <c r="I645" i="4"/>
  <c r="H861" i="4"/>
  <c r="H293" i="4"/>
  <c r="I154" i="4"/>
  <c r="F370" i="4"/>
  <c r="I442" i="4"/>
  <c r="G658" i="4"/>
  <c r="I167" i="4"/>
  <c r="H239" i="4"/>
  <c r="F311" i="4"/>
  <c r="H13" i="4"/>
  <c r="G97" i="4"/>
  <c r="F265" i="4"/>
  <c r="G930" i="4"/>
  <c r="G110" i="4"/>
  <c r="I182" i="4"/>
  <c r="H542" i="4"/>
  <c r="H614" i="4"/>
  <c r="I99" i="4"/>
  <c r="H473" i="4"/>
  <c r="H355" i="4"/>
  <c r="F571" i="4"/>
  <c r="I643" i="4"/>
  <c r="F426" i="4"/>
  <c r="H522" i="4"/>
  <c r="H236" i="4"/>
  <c r="H308" i="4"/>
  <c r="F285" i="4"/>
  <c r="I357" i="4"/>
  <c r="F573" i="4"/>
  <c r="I861" i="4"/>
  <c r="I293" i="4"/>
  <c r="F82" i="4"/>
  <c r="G370" i="4"/>
  <c r="I658" i="4"/>
  <c r="I239" i="4"/>
  <c r="G311" i="4"/>
  <c r="F383" i="4"/>
  <c r="I13" i="4"/>
  <c r="H97" i="4"/>
  <c r="G265" i="4"/>
  <c r="H930" i="4"/>
  <c r="H110" i="4"/>
  <c r="I542" i="4"/>
  <c r="I614" i="4"/>
  <c r="F941" i="4"/>
  <c r="I383" i="4"/>
  <c r="H531" i="4"/>
  <c r="F171" i="4"/>
  <c r="I139" i="4"/>
  <c r="J444" i="4"/>
  <c r="J876" i="4"/>
  <c r="F76" i="4"/>
  <c r="H147" i="4"/>
  <c r="G555" i="4"/>
  <c r="G363" i="4"/>
  <c r="I487" i="4"/>
  <c r="H559" i="4"/>
  <c r="I177" i="4"/>
  <c r="J681" i="4"/>
  <c r="H825" i="4"/>
  <c r="H897" i="4"/>
  <c r="G969" i="4"/>
  <c r="G119" i="4"/>
  <c r="G263" i="4"/>
  <c r="J401" i="4"/>
  <c r="I337" i="4"/>
  <c r="J445" i="4"/>
  <c r="I147" i="4"/>
  <c r="H555" i="4"/>
  <c r="H291" i="4"/>
  <c r="H363" i="4"/>
  <c r="G651" i="4"/>
  <c r="F627" i="4"/>
  <c r="G17" i="4"/>
  <c r="J487" i="4"/>
  <c r="I559" i="4"/>
  <c r="G631" i="4"/>
  <c r="J177" i="4"/>
  <c r="G249" i="4"/>
  <c r="G321" i="4"/>
  <c r="J753" i="4"/>
  <c r="I825" i="4"/>
  <c r="I897" i="4"/>
  <c r="I969" i="4"/>
  <c r="I119" i="4"/>
  <c r="I263" i="4"/>
  <c r="J407" i="4"/>
  <c r="F145" i="4"/>
  <c r="J337" i="4"/>
  <c r="J98" i="4"/>
  <c r="H170" i="4"/>
  <c r="F242" i="4"/>
  <c r="G386" i="4"/>
  <c r="F446" i="4"/>
  <c r="G530" i="4"/>
  <c r="F590" i="4"/>
  <c r="G76" i="4"/>
  <c r="P752" i="4"/>
  <c r="J339" i="4"/>
  <c r="F17" i="4"/>
  <c r="F651" i="4"/>
  <c r="F631" i="4"/>
  <c r="J105" i="4"/>
  <c r="H249" i="4"/>
  <c r="F321" i="4"/>
  <c r="I753" i="4"/>
  <c r="I407" i="4"/>
  <c r="G291" i="4"/>
  <c r="I651" i="4"/>
  <c r="G195" i="4"/>
  <c r="G627" i="4"/>
  <c r="I17" i="4"/>
  <c r="F55" i="4"/>
  <c r="F295" i="4"/>
  <c r="J559" i="4"/>
  <c r="H631" i="4"/>
  <c r="F81" i="4"/>
  <c r="H321" i="4"/>
  <c r="F393" i="4"/>
  <c r="F657" i="4"/>
  <c r="J825" i="4"/>
  <c r="J897" i="4"/>
  <c r="J969" i="4"/>
  <c r="J119" i="4"/>
  <c r="J263" i="4"/>
  <c r="F84" i="4"/>
  <c r="G145" i="4"/>
  <c r="F66" i="4"/>
  <c r="F14" i="4"/>
  <c r="G242" i="4"/>
  <c r="F302" i="4"/>
  <c r="H386" i="4"/>
  <c r="H446" i="4"/>
  <c r="H530" i="4"/>
  <c r="I590" i="4"/>
  <c r="F52" i="4"/>
  <c r="H76" i="4"/>
  <c r="O992" i="4"/>
  <c r="L886" i="4"/>
  <c r="F123" i="4"/>
  <c r="J291" i="4"/>
  <c r="F219" i="4"/>
  <c r="H411" i="4"/>
  <c r="I195" i="4"/>
  <c r="G435" i="4"/>
  <c r="I627" i="4"/>
  <c r="I55" i="4"/>
  <c r="G127" i="4"/>
  <c r="F199" i="4"/>
  <c r="H393" i="4"/>
  <c r="G465" i="4"/>
  <c r="G801" i="4"/>
  <c r="F47" i="4"/>
  <c r="F191" i="4"/>
  <c r="G335" i="4"/>
  <c r="G479" i="4"/>
  <c r="G84" i="4"/>
  <c r="G156" i="4"/>
  <c r="F228" i="4"/>
  <c r="F977" i="4"/>
  <c r="I145" i="4"/>
  <c r="F325" i="4"/>
  <c r="I66" i="4"/>
  <c r="I306" i="4"/>
  <c r="H14" i="4"/>
  <c r="F86" i="4"/>
  <c r="I242" i="4"/>
  <c r="H302" i="4"/>
  <c r="H52" i="4"/>
  <c r="P580" i="4"/>
  <c r="N1002" i="4"/>
  <c r="G123" i="4"/>
  <c r="F27" i="4"/>
  <c r="G219" i="4"/>
  <c r="I411" i="4"/>
  <c r="H435" i="4"/>
  <c r="H55" i="4"/>
  <c r="H127" i="4"/>
  <c r="G199" i="4"/>
  <c r="F271" i="4"/>
  <c r="G225" i="4"/>
  <c r="I393" i="4"/>
  <c r="H465" i="4"/>
  <c r="F537" i="4"/>
  <c r="G47" i="4"/>
  <c r="G191" i="4"/>
  <c r="H335" i="4"/>
  <c r="H479" i="4"/>
  <c r="I84" i="4"/>
  <c r="H156" i="4"/>
  <c r="G228" i="4"/>
  <c r="F300" i="4"/>
  <c r="G977" i="4"/>
  <c r="H66" i="4"/>
  <c r="G306" i="4"/>
  <c r="I52" i="4"/>
  <c r="K376" i="4"/>
  <c r="G52" i="4"/>
  <c r="F483" i="4"/>
  <c r="F411" i="4"/>
  <c r="H123" i="4"/>
  <c r="G27" i="4"/>
  <c r="H219" i="4"/>
  <c r="I435" i="4"/>
  <c r="I127" i="4"/>
  <c r="I199" i="4"/>
  <c r="G271" i="4"/>
  <c r="F343" i="4"/>
  <c r="F33" i="4"/>
  <c r="I465" i="4"/>
  <c r="G537" i="4"/>
  <c r="F609" i="4"/>
  <c r="H47" i="4"/>
  <c r="H191" i="4"/>
  <c r="I335" i="4"/>
  <c r="I479" i="4"/>
  <c r="I156" i="4"/>
  <c r="H228" i="4"/>
  <c r="G300" i="4"/>
  <c r="F372" i="4"/>
  <c r="H660" i="4"/>
  <c r="F732" i="4"/>
  <c r="F881" i="4"/>
  <c r="H977" i="4"/>
  <c r="F301" i="4"/>
  <c r="H325" i="4"/>
  <c r="H306" i="4"/>
  <c r="F834" i="4"/>
  <c r="G86" i="4"/>
  <c r="F158" i="4"/>
  <c r="F458" i="4"/>
  <c r="F602" i="4"/>
  <c r="M663" i="4"/>
  <c r="O988" i="4"/>
  <c r="G483" i="4"/>
  <c r="I123" i="4"/>
  <c r="H27" i="4"/>
  <c r="G267" i="4"/>
  <c r="I219" i="4"/>
  <c r="J435" i="4"/>
  <c r="H33" i="4"/>
  <c r="I47" i="4"/>
  <c r="I191" i="4"/>
  <c r="I228" i="4"/>
  <c r="H300" i="4"/>
  <c r="G372" i="4"/>
  <c r="F444" i="4"/>
  <c r="H516" i="4"/>
  <c r="G588" i="4"/>
  <c r="G660" i="4"/>
  <c r="G732" i="4"/>
  <c r="F804" i="4"/>
  <c r="I881" i="4"/>
  <c r="I977" i="4"/>
  <c r="G834" i="4"/>
  <c r="G579" i="4"/>
  <c r="F507" i="4"/>
  <c r="H199" i="4"/>
  <c r="H271" i="4"/>
  <c r="G343" i="4"/>
  <c r="F415" i="4"/>
  <c r="H537" i="4"/>
  <c r="H609" i="4"/>
  <c r="F339" i="4"/>
  <c r="H483" i="4"/>
  <c r="I27" i="4"/>
  <c r="H267" i="4"/>
  <c r="F579" i="4"/>
  <c r="G507" i="4"/>
  <c r="I271" i="4"/>
  <c r="I343" i="4"/>
  <c r="G415" i="4"/>
  <c r="F583" i="4"/>
  <c r="G33" i="4"/>
  <c r="F105" i="4"/>
  <c r="F369" i="4"/>
  <c r="I537" i="4"/>
  <c r="G609" i="4"/>
  <c r="F681" i="4"/>
  <c r="I300" i="4"/>
  <c r="H372" i="4"/>
  <c r="H444" i="4"/>
  <c r="G516" i="4"/>
  <c r="H588" i="4"/>
  <c r="I660" i="4"/>
  <c r="H732" i="4"/>
  <c r="G804" i="4"/>
  <c r="G876" i="4"/>
  <c r="G881" i="4"/>
  <c r="F445" i="4"/>
  <c r="H834" i="4"/>
  <c r="G26" i="4"/>
  <c r="G314" i="4"/>
  <c r="H458" i="4"/>
  <c r="H602" i="4"/>
  <c r="P835" i="4"/>
  <c r="L923" i="4"/>
  <c r="G339" i="4"/>
  <c r="H579" i="4"/>
  <c r="F487" i="4"/>
  <c r="I609" i="4"/>
  <c r="H804" i="4"/>
  <c r="H876" i="4"/>
  <c r="G401" i="4"/>
  <c r="H881" i="4"/>
  <c r="F337" i="4"/>
  <c r="G445" i="4"/>
  <c r="I834" i="4"/>
  <c r="P724" i="4"/>
  <c r="I483" i="4"/>
  <c r="I267" i="4"/>
  <c r="H507" i="4"/>
  <c r="H343" i="4"/>
  <c r="H415" i="4"/>
  <c r="I33" i="4"/>
  <c r="G105" i="4"/>
  <c r="F177" i="4"/>
  <c r="G681" i="4"/>
  <c r="F753" i="4"/>
  <c r="F407" i="4"/>
  <c r="I372" i="4"/>
  <c r="G444" i="4"/>
  <c r="I516" i="4"/>
  <c r="I588" i="4"/>
  <c r="I732" i="4"/>
  <c r="F401" i="4"/>
  <c r="J274" i="4"/>
  <c r="I346" i="4"/>
  <c r="H418" i="4"/>
  <c r="G490" i="4"/>
  <c r="F562" i="4"/>
  <c r="J205" i="4"/>
  <c r="G241" i="4"/>
  <c r="H498" i="4"/>
  <c r="F413" i="4"/>
  <c r="H509" i="4"/>
  <c r="J605" i="4"/>
  <c r="N400" i="4"/>
  <c r="M832" i="4"/>
  <c r="L702" i="4"/>
  <c r="K920" i="4"/>
  <c r="K946" i="4"/>
  <c r="K683" i="4"/>
  <c r="P755" i="4"/>
  <c r="M899" i="4"/>
  <c r="J346" i="4"/>
  <c r="I418" i="4"/>
  <c r="H490" i="4"/>
  <c r="H562" i="4"/>
  <c r="F634" i="4"/>
  <c r="H241" i="4"/>
  <c r="I498" i="4"/>
  <c r="G146" i="4"/>
  <c r="G413" i="4"/>
  <c r="I509" i="4"/>
  <c r="M565" i="4"/>
  <c r="N781" i="4"/>
  <c r="K666" i="4"/>
  <c r="N870" i="4"/>
  <c r="K764" i="4"/>
  <c r="P836" i="4"/>
  <c r="L745" i="4"/>
  <c r="O949" i="4"/>
  <c r="P994" i="4"/>
  <c r="P731" i="4"/>
  <c r="M791" i="4"/>
  <c r="P839" i="4"/>
  <c r="F116" i="4"/>
  <c r="G260" i="4"/>
  <c r="F404" i="4"/>
  <c r="G548" i="4"/>
  <c r="G692" i="4"/>
  <c r="F965" i="4"/>
  <c r="J418" i="4"/>
  <c r="I490" i="4"/>
  <c r="G562" i="4"/>
  <c r="H634" i="4"/>
  <c r="F706" i="4"/>
  <c r="I241" i="4"/>
  <c r="F433" i="4"/>
  <c r="J498" i="4"/>
  <c r="H146" i="4"/>
  <c r="H413" i="4"/>
  <c r="J509" i="4"/>
  <c r="P763" i="4"/>
  <c r="K1004" i="4"/>
  <c r="M973" i="4"/>
  <c r="K922" i="4"/>
  <c r="M757" i="4"/>
  <c r="L635" i="4"/>
  <c r="N707" i="4"/>
  <c r="K851" i="4"/>
  <c r="L959" i="4"/>
  <c r="O1007" i="4"/>
  <c r="L48" i="4"/>
  <c r="L709" i="4"/>
  <c r="J332" i="4"/>
  <c r="F548" i="4"/>
  <c r="I116" i="4"/>
  <c r="F260" i="4"/>
  <c r="H404" i="4"/>
  <c r="H548" i="4"/>
  <c r="H692" i="4"/>
  <c r="G965" i="4"/>
  <c r="I562" i="4"/>
  <c r="G634" i="4"/>
  <c r="H706" i="4"/>
  <c r="F778" i="4"/>
  <c r="F24" i="4"/>
  <c r="H433" i="4"/>
  <c r="I146" i="4"/>
  <c r="I413" i="4"/>
  <c r="O256" i="4"/>
  <c r="N575" i="4"/>
  <c r="P1008" i="4"/>
  <c r="F692" i="4"/>
  <c r="F159" i="4"/>
  <c r="F77" i="4"/>
  <c r="H116" i="4"/>
  <c r="I260" i="4"/>
  <c r="G404" i="4"/>
  <c r="I548" i="4"/>
  <c r="I692" i="4"/>
  <c r="F869" i="4"/>
  <c r="H965" i="4"/>
  <c r="I634" i="4"/>
  <c r="I706" i="4"/>
  <c r="H778" i="4"/>
  <c r="G24" i="4"/>
  <c r="G433" i="4"/>
  <c r="K723" i="4"/>
  <c r="K388" i="4"/>
  <c r="N805" i="4"/>
  <c r="O667" i="4"/>
  <c r="P1003" i="4"/>
  <c r="P865" i="4"/>
  <c r="M848" i="4"/>
  <c r="P838" i="4"/>
  <c r="N551" i="4"/>
  <c r="I375" i="4"/>
  <c r="G77" i="4"/>
  <c r="G116" i="4"/>
  <c r="H260" i="4"/>
  <c r="I404" i="4"/>
  <c r="G869" i="4"/>
  <c r="J965" i="4"/>
  <c r="F58" i="4"/>
  <c r="G706" i="4"/>
  <c r="G778" i="4"/>
  <c r="F11" i="4"/>
  <c r="H24" i="4"/>
  <c r="I433" i="4"/>
  <c r="L616" i="4"/>
  <c r="N980" i="4"/>
  <c r="P22" i="4"/>
  <c r="K587" i="4"/>
  <c r="M719" i="4"/>
  <c r="P767" i="4"/>
  <c r="K995" i="4"/>
  <c r="N960" i="4"/>
  <c r="J44" i="4"/>
  <c r="H77" i="4"/>
  <c r="F329" i="4"/>
  <c r="F773" i="4"/>
  <c r="H869" i="4"/>
  <c r="G58" i="4"/>
  <c r="F130" i="4"/>
  <c r="I778" i="4"/>
  <c r="G11" i="4"/>
  <c r="I24" i="4"/>
  <c r="M88" i="4"/>
  <c r="N913" i="4"/>
  <c r="L751" i="4"/>
  <c r="P799" i="4"/>
  <c r="O35" i="4"/>
  <c r="N827" i="4"/>
  <c r="P984" i="4"/>
  <c r="I149" i="4"/>
  <c r="I77" i="4"/>
  <c r="G329" i="4"/>
  <c r="F476" i="4"/>
  <c r="F620" i="4"/>
  <c r="G773" i="4"/>
  <c r="I869" i="4"/>
  <c r="H58" i="4"/>
  <c r="G130" i="4"/>
  <c r="G202" i="4"/>
  <c r="H11" i="4"/>
  <c r="G74" i="4"/>
  <c r="G218" i="4"/>
  <c r="K822" i="4"/>
  <c r="O990" i="4"/>
  <c r="O883" i="4"/>
  <c r="P931" i="4"/>
  <c r="N850" i="4"/>
  <c r="N982" i="4"/>
  <c r="K625" i="4"/>
  <c r="K671" i="4"/>
  <c r="J188" i="4"/>
  <c r="J149" i="4"/>
  <c r="F233" i="4"/>
  <c r="H329" i="4"/>
  <c r="F44" i="4"/>
  <c r="F188" i="4"/>
  <c r="F332" i="4"/>
  <c r="G476" i="4"/>
  <c r="H620" i="4"/>
  <c r="H773" i="4"/>
  <c r="I58" i="4"/>
  <c r="H130" i="4"/>
  <c r="F202" i="4"/>
  <c r="F274" i="4"/>
  <c r="I11" i="4"/>
  <c r="F205" i="4"/>
  <c r="H74" i="4"/>
  <c r="H218" i="4"/>
  <c r="F605" i="4"/>
  <c r="N987" i="4"/>
  <c r="P750" i="4"/>
  <c r="L884" i="4"/>
  <c r="O803" i="4"/>
  <c r="N887" i="4"/>
  <c r="N577" i="4"/>
  <c r="J233" i="4"/>
  <c r="I329" i="4"/>
  <c r="G188" i="4"/>
  <c r="G620" i="4"/>
  <c r="I773" i="4"/>
  <c r="I130" i="4"/>
  <c r="H202" i="4"/>
  <c r="G274" i="4"/>
  <c r="F346" i="4"/>
  <c r="G205" i="4"/>
  <c r="I74" i="4"/>
  <c r="I218" i="4"/>
  <c r="G605" i="4"/>
  <c r="N520" i="4"/>
  <c r="O568" i="4"/>
  <c r="K762" i="4"/>
  <c r="P800" i="4"/>
  <c r="P932" i="4"/>
  <c r="O841" i="4"/>
  <c r="O826" i="4"/>
  <c r="M934" i="4"/>
  <c r="F149" i="4"/>
  <c r="G233" i="4"/>
  <c r="G44" i="4"/>
  <c r="G332" i="4"/>
  <c r="H476" i="4"/>
  <c r="O244" i="4"/>
  <c r="N798" i="4"/>
  <c r="K19" i="4"/>
  <c r="P727" i="4"/>
  <c r="N991" i="4"/>
  <c r="O733" i="4"/>
  <c r="O637" i="4"/>
  <c r="K599" i="4"/>
  <c r="M623" i="4"/>
  <c r="M947" i="4"/>
  <c r="P853" i="4"/>
  <c r="F39" i="4"/>
  <c r="P39" i="4"/>
  <c r="O39" i="4"/>
  <c r="M39" i="4"/>
  <c r="N39" i="4"/>
  <c r="L39" i="4"/>
  <c r="K39" i="4"/>
  <c r="P49" i="4"/>
  <c r="O49" i="4"/>
  <c r="N49" i="4"/>
  <c r="M49" i="4"/>
  <c r="L49" i="4"/>
  <c r="K49" i="4"/>
  <c r="P439" i="4"/>
  <c r="O439" i="4"/>
  <c r="N439" i="4"/>
  <c r="M439" i="4"/>
  <c r="L439" i="4"/>
  <c r="K439" i="4"/>
  <c r="P297" i="4"/>
  <c r="O297" i="4"/>
  <c r="N297" i="4"/>
  <c r="M297" i="4"/>
  <c r="K297" i="4"/>
  <c r="L297" i="4"/>
  <c r="P478" i="4"/>
  <c r="O478" i="4"/>
  <c r="N478" i="4"/>
  <c r="M478" i="4"/>
  <c r="L478" i="4"/>
  <c r="K478" i="4"/>
  <c r="F924" i="4"/>
  <c r="P924" i="4"/>
  <c r="O924" i="4"/>
  <c r="N924" i="4"/>
  <c r="M924" i="4"/>
  <c r="L924" i="4"/>
  <c r="K924" i="4"/>
  <c r="F151" i="4"/>
  <c r="H439" i="4"/>
  <c r="G583" i="4"/>
  <c r="G81" i="4"/>
  <c r="F225" i="4"/>
  <c r="G369" i="4"/>
  <c r="G657" i="4"/>
  <c r="H801" i="4"/>
  <c r="F118" i="4"/>
  <c r="F262" i="4"/>
  <c r="F406" i="4"/>
  <c r="F550" i="4"/>
  <c r="H12" i="4"/>
  <c r="F132" i="4"/>
  <c r="F276" i="4"/>
  <c r="F420" i="4"/>
  <c r="I564" i="4"/>
  <c r="F780" i="4"/>
  <c r="H924" i="4"/>
  <c r="F449" i="4"/>
  <c r="H181" i="4"/>
  <c r="P14" i="4"/>
  <c r="O14" i="4"/>
  <c r="N14" i="4"/>
  <c r="M14" i="4"/>
  <c r="K14" i="4"/>
  <c r="L14" i="4"/>
  <c r="P86" i="4"/>
  <c r="O86" i="4"/>
  <c r="N86" i="4"/>
  <c r="M86" i="4"/>
  <c r="K86" i="4"/>
  <c r="L86" i="4"/>
  <c r="P158" i="4"/>
  <c r="O158" i="4"/>
  <c r="N158" i="4"/>
  <c r="M158" i="4"/>
  <c r="K158" i="4"/>
  <c r="L158" i="4"/>
  <c r="P230" i="4"/>
  <c r="O230" i="4"/>
  <c r="N230" i="4"/>
  <c r="M230" i="4"/>
  <c r="K230" i="4"/>
  <c r="L230" i="4"/>
  <c r="P302" i="4"/>
  <c r="O302" i="4"/>
  <c r="N302" i="4"/>
  <c r="M302" i="4"/>
  <c r="L302" i="4"/>
  <c r="K302" i="4"/>
  <c r="P374" i="4"/>
  <c r="O374" i="4"/>
  <c r="N374" i="4"/>
  <c r="M374" i="4"/>
  <c r="K374" i="4"/>
  <c r="L374" i="4"/>
  <c r="P446" i="4"/>
  <c r="O446" i="4"/>
  <c r="N446" i="4"/>
  <c r="M446" i="4"/>
  <c r="L446" i="4"/>
  <c r="K446" i="4"/>
  <c r="P518" i="4"/>
  <c r="O518" i="4"/>
  <c r="N518" i="4"/>
  <c r="M518" i="4"/>
  <c r="L518" i="4"/>
  <c r="K518" i="4"/>
  <c r="P590" i="4"/>
  <c r="O590" i="4"/>
  <c r="M590" i="4"/>
  <c r="N590" i="4"/>
  <c r="L590" i="4"/>
  <c r="K590" i="4"/>
  <c r="P28" i="4"/>
  <c r="O28" i="4"/>
  <c r="N28" i="4"/>
  <c r="M28" i="4"/>
  <c r="L28" i="4"/>
  <c r="K28" i="4"/>
  <c r="P882" i="4"/>
  <c r="O882" i="4"/>
  <c r="N882" i="4"/>
  <c r="M882" i="4"/>
  <c r="L882" i="4"/>
  <c r="K882" i="4"/>
  <c r="P101" i="4"/>
  <c r="O101" i="4"/>
  <c r="N101" i="4"/>
  <c r="L101" i="4"/>
  <c r="M101" i="4"/>
  <c r="K101" i="4"/>
  <c r="P185" i="4"/>
  <c r="O185" i="4"/>
  <c r="N185" i="4"/>
  <c r="L185" i="4"/>
  <c r="M185" i="4"/>
  <c r="K185" i="4"/>
  <c r="P269" i="4"/>
  <c r="O269" i="4"/>
  <c r="N269" i="4"/>
  <c r="L269" i="4"/>
  <c r="M269" i="4"/>
  <c r="K269" i="4"/>
  <c r="P365" i="4"/>
  <c r="O365" i="4"/>
  <c r="N365" i="4"/>
  <c r="L365" i="4"/>
  <c r="M365" i="4"/>
  <c r="K365" i="4"/>
  <c r="P437" i="4"/>
  <c r="O437" i="4"/>
  <c r="N437" i="4"/>
  <c r="L437" i="4"/>
  <c r="M437" i="4"/>
  <c r="K437" i="4"/>
  <c r="P533" i="4"/>
  <c r="O533" i="4"/>
  <c r="N533" i="4"/>
  <c r="M533" i="4"/>
  <c r="L533" i="4"/>
  <c r="K533" i="4"/>
  <c r="P629" i="4"/>
  <c r="O629" i="4"/>
  <c r="N629" i="4"/>
  <c r="M629" i="4"/>
  <c r="L629" i="4"/>
  <c r="K629" i="4"/>
  <c r="O713" i="4"/>
  <c r="P713" i="4"/>
  <c r="N713" i="4"/>
  <c r="M713" i="4"/>
  <c r="L713" i="4"/>
  <c r="K713" i="4"/>
  <c r="O809" i="4"/>
  <c r="P809" i="4"/>
  <c r="N809" i="4"/>
  <c r="M809" i="4"/>
  <c r="L809" i="4"/>
  <c r="K809" i="4"/>
  <c r="P905" i="4"/>
  <c r="O905" i="4"/>
  <c r="N905" i="4"/>
  <c r="M905" i="4"/>
  <c r="L905" i="4"/>
  <c r="K905" i="4"/>
  <c r="P989" i="4"/>
  <c r="O989" i="4"/>
  <c r="N989" i="4"/>
  <c r="M989" i="4"/>
  <c r="L989" i="4"/>
  <c r="K989" i="4"/>
  <c r="P305" i="4"/>
  <c r="O305" i="4"/>
  <c r="N305" i="4"/>
  <c r="L305" i="4"/>
  <c r="M305" i="4"/>
  <c r="K305" i="4"/>
  <c r="P90" i="4"/>
  <c r="O90" i="4"/>
  <c r="N90" i="4"/>
  <c r="M90" i="4"/>
  <c r="K90" i="4"/>
  <c r="L90" i="4"/>
  <c r="P186" i="4"/>
  <c r="O186" i="4"/>
  <c r="N186" i="4"/>
  <c r="M186" i="4"/>
  <c r="L186" i="4"/>
  <c r="K186" i="4"/>
  <c r="P282" i="4"/>
  <c r="O282" i="4"/>
  <c r="N282" i="4"/>
  <c r="M282" i="4"/>
  <c r="K282" i="4"/>
  <c r="L282" i="4"/>
  <c r="P378" i="4"/>
  <c r="O378" i="4"/>
  <c r="N378" i="4"/>
  <c r="M378" i="4"/>
  <c r="K378" i="4"/>
  <c r="L378" i="4"/>
  <c r="P474" i="4"/>
  <c r="O474" i="4"/>
  <c r="N474" i="4"/>
  <c r="M474" i="4"/>
  <c r="L474" i="4"/>
  <c r="K474" i="4"/>
  <c r="P570" i="4"/>
  <c r="O570" i="4"/>
  <c r="N570" i="4"/>
  <c r="M570" i="4"/>
  <c r="L570" i="4"/>
  <c r="K570" i="4"/>
  <c r="P32" i="4"/>
  <c r="O32" i="4"/>
  <c r="N32" i="4"/>
  <c r="M32" i="4"/>
  <c r="L32" i="4"/>
  <c r="K32" i="4"/>
  <c r="P104" i="4"/>
  <c r="O104" i="4"/>
  <c r="N104" i="4"/>
  <c r="M104" i="4"/>
  <c r="L104" i="4"/>
  <c r="K104" i="4"/>
  <c r="P176" i="4"/>
  <c r="O176" i="4"/>
  <c r="N176" i="4"/>
  <c r="M176" i="4"/>
  <c r="L176" i="4"/>
  <c r="K176" i="4"/>
  <c r="P248" i="4"/>
  <c r="O248" i="4"/>
  <c r="N248" i="4"/>
  <c r="M248" i="4"/>
  <c r="K248" i="4"/>
  <c r="L248" i="4"/>
  <c r="P320" i="4"/>
  <c r="O320" i="4"/>
  <c r="N320" i="4"/>
  <c r="M320" i="4"/>
  <c r="L320" i="4"/>
  <c r="K320" i="4"/>
  <c r="P392" i="4"/>
  <c r="O392" i="4"/>
  <c r="N392" i="4"/>
  <c r="M392" i="4"/>
  <c r="L392" i="4"/>
  <c r="K392" i="4"/>
  <c r="P464" i="4"/>
  <c r="O464" i="4"/>
  <c r="N464" i="4"/>
  <c r="L464" i="4"/>
  <c r="M464" i="4"/>
  <c r="K464" i="4"/>
  <c r="P536" i="4"/>
  <c r="O536" i="4"/>
  <c r="N536" i="4"/>
  <c r="M536" i="4"/>
  <c r="L536" i="4"/>
  <c r="K536" i="4"/>
  <c r="P608" i="4"/>
  <c r="O608" i="4"/>
  <c r="N608" i="4"/>
  <c r="M608" i="4"/>
  <c r="L608" i="4"/>
  <c r="K608" i="4"/>
  <c r="P680" i="4"/>
  <c r="O680" i="4"/>
  <c r="N680" i="4"/>
  <c r="M680" i="4"/>
  <c r="L680" i="4"/>
  <c r="K680" i="4"/>
  <c r="P738" i="4"/>
  <c r="O738" i="4"/>
  <c r="N738" i="4"/>
  <c r="M738" i="4"/>
  <c r="L738" i="4"/>
  <c r="K738" i="4"/>
  <c r="P47" i="4"/>
  <c r="O47" i="4"/>
  <c r="N47" i="4"/>
  <c r="M47" i="4"/>
  <c r="L47" i="4"/>
  <c r="K47" i="4"/>
  <c r="P119" i="4"/>
  <c r="O119" i="4"/>
  <c r="N119" i="4"/>
  <c r="M119" i="4"/>
  <c r="L119" i="4"/>
  <c r="K119" i="4"/>
  <c r="P191" i="4"/>
  <c r="O191" i="4"/>
  <c r="N191" i="4"/>
  <c r="M191" i="4"/>
  <c r="K191" i="4"/>
  <c r="L191" i="4"/>
  <c r="P263" i="4"/>
  <c r="O263" i="4"/>
  <c r="N263" i="4"/>
  <c r="M263" i="4"/>
  <c r="L263" i="4"/>
  <c r="K263" i="4"/>
  <c r="P335" i="4"/>
  <c r="O335" i="4"/>
  <c r="N335" i="4"/>
  <c r="M335" i="4"/>
  <c r="L335" i="4"/>
  <c r="K335" i="4"/>
  <c r="P407" i="4"/>
  <c r="O407" i="4"/>
  <c r="N407" i="4"/>
  <c r="M407" i="4"/>
  <c r="L407" i="4"/>
  <c r="K407" i="4"/>
  <c r="P479" i="4"/>
  <c r="O479" i="4"/>
  <c r="N479" i="4"/>
  <c r="M479" i="4"/>
  <c r="L479" i="4"/>
  <c r="K479" i="4"/>
  <c r="P159" i="4"/>
  <c r="O159" i="4"/>
  <c r="M159" i="4"/>
  <c r="N159" i="4"/>
  <c r="L159" i="4"/>
  <c r="K159" i="4"/>
  <c r="P593" i="4"/>
  <c r="O593" i="4"/>
  <c r="N593" i="4"/>
  <c r="M593" i="4"/>
  <c r="L593" i="4"/>
  <c r="K593" i="4"/>
  <c r="P295" i="4"/>
  <c r="O295" i="4"/>
  <c r="N295" i="4"/>
  <c r="M295" i="4"/>
  <c r="L295" i="4"/>
  <c r="K295" i="4"/>
  <c r="P513" i="4"/>
  <c r="N513" i="4"/>
  <c r="O513" i="4"/>
  <c r="M513" i="4"/>
  <c r="L513" i="4"/>
  <c r="K513" i="4"/>
  <c r="P694" i="4"/>
  <c r="O694" i="4"/>
  <c r="N694" i="4"/>
  <c r="L694" i="4"/>
  <c r="M694" i="4"/>
  <c r="K694" i="4"/>
  <c r="P85" i="4"/>
  <c r="O85" i="4"/>
  <c r="N85" i="4"/>
  <c r="M85" i="4"/>
  <c r="L85" i="4"/>
  <c r="K85" i="4"/>
  <c r="P204" i="4"/>
  <c r="N204" i="4"/>
  <c r="O204" i="4"/>
  <c r="M204" i="4"/>
  <c r="L204" i="4"/>
  <c r="K204" i="4"/>
  <c r="G231" i="4"/>
  <c r="F447" i="4"/>
  <c r="J159" i="4"/>
  <c r="G151" i="4"/>
  <c r="I295" i="4"/>
  <c r="G439" i="4"/>
  <c r="H583" i="4"/>
  <c r="H81" i="4"/>
  <c r="H369" i="4"/>
  <c r="H513" i="4"/>
  <c r="H657" i="4"/>
  <c r="I801" i="4"/>
  <c r="G118" i="4"/>
  <c r="G262" i="4"/>
  <c r="H550" i="4"/>
  <c r="H694" i="4"/>
  <c r="I12" i="4"/>
  <c r="H132" i="4"/>
  <c r="H276" i="4"/>
  <c r="F636" i="4"/>
  <c r="G780" i="4"/>
  <c r="I924" i="4"/>
  <c r="G449" i="4"/>
  <c r="F361" i="4"/>
  <c r="P37" i="4"/>
  <c r="O37" i="4"/>
  <c r="N37" i="4"/>
  <c r="M37" i="4"/>
  <c r="L37" i="4"/>
  <c r="K37" i="4"/>
  <c r="P51" i="4"/>
  <c r="O51" i="4"/>
  <c r="M51" i="4"/>
  <c r="N51" i="4"/>
  <c r="L51" i="4"/>
  <c r="K51" i="4"/>
  <c r="F99" i="4"/>
  <c r="P99" i="4"/>
  <c r="O99" i="4"/>
  <c r="M99" i="4"/>
  <c r="N99" i="4"/>
  <c r="L99" i="4"/>
  <c r="K99" i="4"/>
  <c r="P171" i="4"/>
  <c r="O171" i="4"/>
  <c r="M171" i="4"/>
  <c r="N171" i="4"/>
  <c r="L171" i="4"/>
  <c r="K171" i="4"/>
  <c r="F243" i="4"/>
  <c r="P243" i="4"/>
  <c r="O243" i="4"/>
  <c r="M243" i="4"/>
  <c r="N243" i="4"/>
  <c r="L243" i="4"/>
  <c r="K243" i="4"/>
  <c r="P315" i="4"/>
  <c r="O315" i="4"/>
  <c r="M315" i="4"/>
  <c r="N315" i="4"/>
  <c r="L315" i="4"/>
  <c r="K315" i="4"/>
  <c r="F387" i="4"/>
  <c r="P387" i="4"/>
  <c r="O387" i="4"/>
  <c r="M387" i="4"/>
  <c r="N387" i="4"/>
  <c r="L387" i="4"/>
  <c r="K387" i="4"/>
  <c r="P459" i="4"/>
  <c r="O459" i="4"/>
  <c r="N459" i="4"/>
  <c r="M459" i="4"/>
  <c r="L459" i="4"/>
  <c r="K459" i="4"/>
  <c r="P531" i="4"/>
  <c r="O531" i="4"/>
  <c r="N531" i="4"/>
  <c r="M531" i="4"/>
  <c r="L531" i="4"/>
  <c r="K531" i="4"/>
  <c r="P603" i="4"/>
  <c r="O603" i="4"/>
  <c r="N603" i="4"/>
  <c r="M603" i="4"/>
  <c r="L603" i="4"/>
  <c r="K603" i="4"/>
  <c r="P121" i="4"/>
  <c r="O121" i="4"/>
  <c r="N121" i="4"/>
  <c r="M121" i="4"/>
  <c r="L121" i="4"/>
  <c r="K121" i="4"/>
  <c r="P253" i="4"/>
  <c r="O253" i="4"/>
  <c r="N253" i="4"/>
  <c r="M253" i="4"/>
  <c r="L253" i="4"/>
  <c r="K253" i="4"/>
  <c r="P113" i="4"/>
  <c r="O113" i="4"/>
  <c r="N113" i="4"/>
  <c r="L113" i="4"/>
  <c r="M113" i="4"/>
  <c r="K113" i="4"/>
  <c r="P594" i="4"/>
  <c r="O594" i="4"/>
  <c r="N594" i="4"/>
  <c r="M594" i="4"/>
  <c r="L594" i="4"/>
  <c r="K594" i="4"/>
  <c r="P457" i="4"/>
  <c r="O457" i="4"/>
  <c r="N457" i="4"/>
  <c r="M457" i="4"/>
  <c r="L457" i="4"/>
  <c r="K457" i="4"/>
  <c r="P91" i="4"/>
  <c r="O91" i="4"/>
  <c r="N91" i="4"/>
  <c r="M91" i="4"/>
  <c r="L91" i="4"/>
  <c r="K91" i="4"/>
  <c r="P163" i="4"/>
  <c r="O163" i="4"/>
  <c r="N163" i="4"/>
  <c r="M163" i="4"/>
  <c r="L163" i="4"/>
  <c r="K163" i="4"/>
  <c r="P235" i="4"/>
  <c r="O235" i="4"/>
  <c r="N235" i="4"/>
  <c r="M235" i="4"/>
  <c r="K235" i="4"/>
  <c r="L235" i="4"/>
  <c r="P307" i="4"/>
  <c r="O307" i="4"/>
  <c r="N307" i="4"/>
  <c r="M307" i="4"/>
  <c r="L307" i="4"/>
  <c r="K307" i="4"/>
  <c r="P379" i="4"/>
  <c r="O379" i="4"/>
  <c r="N379" i="4"/>
  <c r="M379" i="4"/>
  <c r="K379" i="4"/>
  <c r="L379" i="4"/>
  <c r="P451" i="4"/>
  <c r="O451" i="4"/>
  <c r="N451" i="4"/>
  <c r="M451" i="4"/>
  <c r="L451" i="4"/>
  <c r="K451" i="4"/>
  <c r="P523" i="4"/>
  <c r="O523" i="4"/>
  <c r="N523" i="4"/>
  <c r="L523" i="4"/>
  <c r="M523" i="4"/>
  <c r="K523" i="4"/>
  <c r="P595" i="4"/>
  <c r="O595" i="4"/>
  <c r="N595" i="4"/>
  <c r="L595" i="4"/>
  <c r="M595" i="4"/>
  <c r="K595" i="4"/>
  <c r="P13" i="4"/>
  <c r="O13" i="4"/>
  <c r="N13" i="4"/>
  <c r="M13" i="4"/>
  <c r="L13" i="4"/>
  <c r="K13" i="4"/>
  <c r="P21" i="4"/>
  <c r="O21" i="4"/>
  <c r="N21" i="4"/>
  <c r="L21" i="4"/>
  <c r="M21" i="4"/>
  <c r="K21" i="4"/>
  <c r="P93" i="4"/>
  <c r="O93" i="4"/>
  <c r="N93" i="4"/>
  <c r="M93" i="4"/>
  <c r="L93" i="4"/>
  <c r="K93" i="4"/>
  <c r="P165" i="4"/>
  <c r="O165" i="4"/>
  <c r="N165" i="4"/>
  <c r="L165" i="4"/>
  <c r="M165" i="4"/>
  <c r="K165" i="4"/>
  <c r="P237" i="4"/>
  <c r="O237" i="4"/>
  <c r="N237" i="4"/>
  <c r="L237" i="4"/>
  <c r="M237" i="4"/>
  <c r="K237" i="4"/>
  <c r="P309" i="4"/>
  <c r="O309" i="4"/>
  <c r="N309" i="4"/>
  <c r="M309" i="4"/>
  <c r="L309" i="4"/>
  <c r="K309" i="4"/>
  <c r="P381" i="4"/>
  <c r="O381" i="4"/>
  <c r="N381" i="4"/>
  <c r="M381" i="4"/>
  <c r="L381" i="4"/>
  <c r="K381" i="4"/>
  <c r="P453" i="4"/>
  <c r="O453" i="4"/>
  <c r="N453" i="4"/>
  <c r="M453" i="4"/>
  <c r="L453" i="4"/>
  <c r="K453" i="4"/>
  <c r="P525" i="4"/>
  <c r="O525" i="4"/>
  <c r="N525" i="4"/>
  <c r="M525" i="4"/>
  <c r="L525" i="4"/>
  <c r="K525" i="4"/>
  <c r="P597" i="4"/>
  <c r="O597" i="4"/>
  <c r="N597" i="4"/>
  <c r="M597" i="4"/>
  <c r="L597" i="4"/>
  <c r="K597" i="4"/>
  <c r="P669" i="4"/>
  <c r="O669" i="4"/>
  <c r="N669" i="4"/>
  <c r="M669" i="4"/>
  <c r="L669" i="4"/>
  <c r="K669" i="4"/>
  <c r="P741" i="4"/>
  <c r="O741" i="4"/>
  <c r="N741" i="4"/>
  <c r="M741" i="4"/>
  <c r="L741" i="4"/>
  <c r="K741" i="4"/>
  <c r="P813" i="4"/>
  <c r="O813" i="4"/>
  <c r="N813" i="4"/>
  <c r="M813" i="4"/>
  <c r="L813" i="4"/>
  <c r="K813" i="4"/>
  <c r="P885" i="4"/>
  <c r="O885" i="4"/>
  <c r="N885" i="4"/>
  <c r="M885" i="4"/>
  <c r="L885" i="4"/>
  <c r="K885" i="4"/>
  <c r="P957" i="4"/>
  <c r="O957" i="4"/>
  <c r="N957" i="4"/>
  <c r="M957" i="4"/>
  <c r="L957" i="4"/>
  <c r="K957" i="4"/>
  <c r="P229" i="4"/>
  <c r="O229" i="4"/>
  <c r="N229" i="4"/>
  <c r="M229" i="4"/>
  <c r="L229" i="4"/>
  <c r="K229" i="4"/>
  <c r="P10" i="4"/>
  <c r="O10" i="4"/>
  <c r="N10" i="4"/>
  <c r="M10" i="4"/>
  <c r="L10" i="4"/>
  <c r="K10" i="4"/>
  <c r="P58" i="4"/>
  <c r="O58" i="4"/>
  <c r="N58" i="4"/>
  <c r="M58" i="4"/>
  <c r="L58" i="4"/>
  <c r="K58" i="4"/>
  <c r="P130" i="4"/>
  <c r="O130" i="4"/>
  <c r="N130" i="4"/>
  <c r="M130" i="4"/>
  <c r="L130" i="4"/>
  <c r="K130" i="4"/>
  <c r="P202" i="4"/>
  <c r="O202" i="4"/>
  <c r="N202" i="4"/>
  <c r="M202" i="4"/>
  <c r="L202" i="4"/>
  <c r="K202" i="4"/>
  <c r="P274" i="4"/>
  <c r="O274" i="4"/>
  <c r="N274" i="4"/>
  <c r="M274" i="4"/>
  <c r="L274" i="4"/>
  <c r="K274" i="4"/>
  <c r="P346" i="4"/>
  <c r="O346" i="4"/>
  <c r="N346" i="4"/>
  <c r="M346" i="4"/>
  <c r="L346" i="4"/>
  <c r="K346" i="4"/>
  <c r="P418" i="4"/>
  <c r="O418" i="4"/>
  <c r="N418" i="4"/>
  <c r="M418" i="4"/>
  <c r="K418" i="4"/>
  <c r="L418" i="4"/>
  <c r="P490" i="4"/>
  <c r="O490" i="4"/>
  <c r="N490" i="4"/>
  <c r="M490" i="4"/>
  <c r="L490" i="4"/>
  <c r="K490" i="4"/>
  <c r="P562" i="4"/>
  <c r="O562" i="4"/>
  <c r="N562" i="4"/>
  <c r="L562" i="4"/>
  <c r="M562" i="4"/>
  <c r="K562" i="4"/>
  <c r="P634" i="4"/>
  <c r="O634" i="4"/>
  <c r="N634" i="4"/>
  <c r="M634" i="4"/>
  <c r="L634" i="4"/>
  <c r="K634" i="4"/>
  <c r="P706" i="4"/>
  <c r="O706" i="4"/>
  <c r="N706" i="4"/>
  <c r="L706" i="4"/>
  <c r="M706" i="4"/>
  <c r="K706" i="4"/>
  <c r="P778" i="4"/>
  <c r="O778" i="4"/>
  <c r="N778" i="4"/>
  <c r="L778" i="4"/>
  <c r="M778" i="4"/>
  <c r="K778" i="4"/>
  <c r="P157" i="4"/>
  <c r="O157" i="4"/>
  <c r="N157" i="4"/>
  <c r="M157" i="4"/>
  <c r="L157" i="4"/>
  <c r="K157" i="4"/>
  <c r="P277" i="4"/>
  <c r="O277" i="4"/>
  <c r="N277" i="4"/>
  <c r="M277" i="4"/>
  <c r="L277" i="4"/>
  <c r="K277" i="4"/>
  <c r="P24" i="4"/>
  <c r="O24" i="4"/>
  <c r="N24" i="4"/>
  <c r="M24" i="4"/>
  <c r="L24" i="4"/>
  <c r="K24" i="4"/>
  <c r="P72" i="4"/>
  <c r="N72" i="4"/>
  <c r="O72" i="4"/>
  <c r="M72" i="4"/>
  <c r="L72" i="4"/>
  <c r="K72" i="4"/>
  <c r="P144" i="4"/>
  <c r="O144" i="4"/>
  <c r="N144" i="4"/>
  <c r="M144" i="4"/>
  <c r="L144" i="4"/>
  <c r="K144" i="4"/>
  <c r="P216" i="4"/>
  <c r="N216" i="4"/>
  <c r="O216" i="4"/>
  <c r="M216" i="4"/>
  <c r="L216" i="4"/>
  <c r="K216" i="4"/>
  <c r="P288" i="4"/>
  <c r="O288" i="4"/>
  <c r="N288" i="4"/>
  <c r="M288" i="4"/>
  <c r="L288" i="4"/>
  <c r="K288" i="4"/>
  <c r="P360" i="4"/>
  <c r="O360" i="4"/>
  <c r="N360" i="4"/>
  <c r="M360" i="4"/>
  <c r="L360" i="4"/>
  <c r="K360" i="4"/>
  <c r="P432" i="4"/>
  <c r="O432" i="4"/>
  <c r="N432" i="4"/>
  <c r="M432" i="4"/>
  <c r="L432" i="4"/>
  <c r="K432" i="4"/>
  <c r="P504" i="4"/>
  <c r="N504" i="4"/>
  <c r="O504" i="4"/>
  <c r="M504" i="4"/>
  <c r="L504" i="4"/>
  <c r="K504" i="4"/>
  <c r="P576" i="4"/>
  <c r="O576" i="4"/>
  <c r="M576" i="4"/>
  <c r="N576" i="4"/>
  <c r="L576" i="4"/>
  <c r="K576" i="4"/>
  <c r="P648" i="4"/>
  <c r="O648" i="4"/>
  <c r="N648" i="4"/>
  <c r="M648" i="4"/>
  <c r="L648" i="4"/>
  <c r="K648" i="4"/>
  <c r="P720" i="4"/>
  <c r="O720" i="4"/>
  <c r="N720" i="4"/>
  <c r="M720" i="4"/>
  <c r="L720" i="4"/>
  <c r="K720" i="4"/>
  <c r="P792" i="4"/>
  <c r="O792" i="4"/>
  <c r="N792" i="4"/>
  <c r="M792" i="4"/>
  <c r="L792" i="4"/>
  <c r="K792" i="4"/>
  <c r="P864" i="4"/>
  <c r="O864" i="4"/>
  <c r="N864" i="4"/>
  <c r="M864" i="4"/>
  <c r="L864" i="4"/>
  <c r="K864" i="4"/>
  <c r="P936" i="4"/>
  <c r="O936" i="4"/>
  <c r="N936" i="4"/>
  <c r="M936" i="4"/>
  <c r="L936" i="4"/>
  <c r="K936" i="4"/>
  <c r="P217" i="4"/>
  <c r="O217" i="4"/>
  <c r="N217" i="4"/>
  <c r="M217" i="4"/>
  <c r="L217" i="4"/>
  <c r="K217" i="4"/>
  <c r="P181" i="4"/>
  <c r="O181" i="4"/>
  <c r="N181" i="4"/>
  <c r="M181" i="4"/>
  <c r="L181" i="4"/>
  <c r="K181" i="4"/>
  <c r="P225" i="4"/>
  <c r="O225" i="4"/>
  <c r="N225" i="4"/>
  <c r="M225" i="4"/>
  <c r="L225" i="4"/>
  <c r="K225" i="4"/>
  <c r="P109" i="4"/>
  <c r="O109" i="4"/>
  <c r="N109" i="4"/>
  <c r="M109" i="4"/>
  <c r="K109" i="4"/>
  <c r="L109" i="4"/>
  <c r="P46" i="4"/>
  <c r="O46" i="4"/>
  <c r="N46" i="4"/>
  <c r="M46" i="4"/>
  <c r="L46" i="4"/>
  <c r="K46" i="4"/>
  <c r="P406" i="4"/>
  <c r="O406" i="4"/>
  <c r="N406" i="4"/>
  <c r="M406" i="4"/>
  <c r="K406" i="4"/>
  <c r="L406" i="4"/>
  <c r="P420" i="4"/>
  <c r="O420" i="4"/>
  <c r="N420" i="4"/>
  <c r="M420" i="4"/>
  <c r="L420" i="4"/>
  <c r="K420" i="4"/>
  <c r="F231" i="4"/>
  <c r="H231" i="4"/>
  <c r="H447" i="4"/>
  <c r="I151" i="4"/>
  <c r="H295" i="4"/>
  <c r="I439" i="4"/>
  <c r="I583" i="4"/>
  <c r="I81" i="4"/>
  <c r="I225" i="4"/>
  <c r="I369" i="4"/>
  <c r="I513" i="4"/>
  <c r="I657" i="4"/>
  <c r="H118" i="4"/>
  <c r="H262" i="4"/>
  <c r="H406" i="4"/>
  <c r="G694" i="4"/>
  <c r="G132" i="4"/>
  <c r="G276" i="4"/>
  <c r="H420" i="4"/>
  <c r="G636" i="4"/>
  <c r="H780" i="4"/>
  <c r="J924" i="4"/>
  <c r="J181" i="4"/>
  <c r="P26" i="4"/>
  <c r="O26" i="4"/>
  <c r="N26" i="4"/>
  <c r="M26" i="4"/>
  <c r="K26" i="4"/>
  <c r="L26" i="4"/>
  <c r="P98" i="4"/>
  <c r="O98" i="4"/>
  <c r="N98" i="4"/>
  <c r="M98" i="4"/>
  <c r="K98" i="4"/>
  <c r="L98" i="4"/>
  <c r="P170" i="4"/>
  <c r="O170" i="4"/>
  <c r="N170" i="4"/>
  <c r="M170" i="4"/>
  <c r="K170" i="4"/>
  <c r="L170" i="4"/>
  <c r="P242" i="4"/>
  <c r="O242" i="4"/>
  <c r="N242" i="4"/>
  <c r="M242" i="4"/>
  <c r="K242" i="4"/>
  <c r="L242" i="4"/>
  <c r="P314" i="4"/>
  <c r="O314" i="4"/>
  <c r="N314" i="4"/>
  <c r="M314" i="4"/>
  <c r="K314" i="4"/>
  <c r="L314" i="4"/>
  <c r="P386" i="4"/>
  <c r="O386" i="4"/>
  <c r="N386" i="4"/>
  <c r="M386" i="4"/>
  <c r="L386" i="4"/>
  <c r="K386" i="4"/>
  <c r="P458" i="4"/>
  <c r="O458" i="4"/>
  <c r="N458" i="4"/>
  <c r="M458" i="4"/>
  <c r="L458" i="4"/>
  <c r="K458" i="4"/>
  <c r="P530" i="4"/>
  <c r="O530" i="4"/>
  <c r="N530" i="4"/>
  <c r="M530" i="4"/>
  <c r="L530" i="4"/>
  <c r="K530" i="4"/>
  <c r="P602" i="4"/>
  <c r="O602" i="4"/>
  <c r="N602" i="4"/>
  <c r="M602" i="4"/>
  <c r="L602" i="4"/>
  <c r="K602" i="4"/>
  <c r="P40" i="4"/>
  <c r="O40" i="4"/>
  <c r="N40" i="4"/>
  <c r="M40" i="4"/>
  <c r="L40" i="4"/>
  <c r="K40" i="4"/>
  <c r="P29" i="4"/>
  <c r="O29" i="4"/>
  <c r="N29" i="4"/>
  <c r="L29" i="4"/>
  <c r="M29" i="4"/>
  <c r="K29" i="4"/>
  <c r="P197" i="4"/>
  <c r="O197" i="4"/>
  <c r="N197" i="4"/>
  <c r="L197" i="4"/>
  <c r="M197" i="4"/>
  <c r="K197" i="4"/>
  <c r="P281" i="4"/>
  <c r="O281" i="4"/>
  <c r="N281" i="4"/>
  <c r="L281" i="4"/>
  <c r="M281" i="4"/>
  <c r="K281" i="4"/>
  <c r="P377" i="4"/>
  <c r="O377" i="4"/>
  <c r="N377" i="4"/>
  <c r="L377" i="4"/>
  <c r="M377" i="4"/>
  <c r="K377" i="4"/>
  <c r="P461" i="4"/>
  <c r="O461" i="4"/>
  <c r="N461" i="4"/>
  <c r="L461" i="4"/>
  <c r="M461" i="4"/>
  <c r="K461" i="4"/>
  <c r="P557" i="4"/>
  <c r="O557" i="4"/>
  <c r="N557" i="4"/>
  <c r="M557" i="4"/>
  <c r="L557" i="4"/>
  <c r="K557" i="4"/>
  <c r="P653" i="4"/>
  <c r="O653" i="4"/>
  <c r="M653" i="4"/>
  <c r="N653" i="4"/>
  <c r="L653" i="4"/>
  <c r="K653" i="4"/>
  <c r="P725" i="4"/>
  <c r="O725" i="4"/>
  <c r="M725" i="4"/>
  <c r="N725" i="4"/>
  <c r="L725" i="4"/>
  <c r="K725" i="4"/>
  <c r="O821" i="4"/>
  <c r="P821" i="4"/>
  <c r="N821" i="4"/>
  <c r="M821" i="4"/>
  <c r="L821" i="4"/>
  <c r="K821" i="4"/>
  <c r="P917" i="4"/>
  <c r="O917" i="4"/>
  <c r="M917" i="4"/>
  <c r="N917" i="4"/>
  <c r="L917" i="4"/>
  <c r="K917" i="4"/>
  <c r="P1001" i="4"/>
  <c r="O1001" i="4"/>
  <c r="N1001" i="4"/>
  <c r="L1001" i="4"/>
  <c r="M1001" i="4"/>
  <c r="K1001" i="4"/>
  <c r="P929" i="4"/>
  <c r="O929" i="4"/>
  <c r="N929" i="4"/>
  <c r="M929" i="4"/>
  <c r="L929" i="4"/>
  <c r="K929" i="4"/>
  <c r="P102" i="4"/>
  <c r="O102" i="4"/>
  <c r="N102" i="4"/>
  <c r="M102" i="4"/>
  <c r="K102" i="4"/>
  <c r="L102" i="4"/>
  <c r="P198" i="4"/>
  <c r="O198" i="4"/>
  <c r="N198" i="4"/>
  <c r="M198" i="4"/>
  <c r="L198" i="4"/>
  <c r="K198" i="4"/>
  <c r="P294" i="4"/>
  <c r="O294" i="4"/>
  <c r="N294" i="4"/>
  <c r="M294" i="4"/>
  <c r="L294" i="4"/>
  <c r="K294" i="4"/>
  <c r="P390" i="4"/>
  <c r="O390" i="4"/>
  <c r="N390" i="4"/>
  <c r="M390" i="4"/>
  <c r="L390" i="4"/>
  <c r="K390" i="4"/>
  <c r="P486" i="4"/>
  <c r="O486" i="4"/>
  <c r="N486" i="4"/>
  <c r="M486" i="4"/>
  <c r="L486" i="4"/>
  <c r="K486" i="4"/>
  <c r="P582" i="4"/>
  <c r="O582" i="4"/>
  <c r="N582" i="4"/>
  <c r="M582" i="4"/>
  <c r="L582" i="4"/>
  <c r="K582" i="4"/>
  <c r="P44" i="4"/>
  <c r="O44" i="4"/>
  <c r="N44" i="4"/>
  <c r="M44" i="4"/>
  <c r="L44" i="4"/>
  <c r="K44" i="4"/>
  <c r="O116" i="4"/>
  <c r="P116" i="4"/>
  <c r="N116" i="4"/>
  <c r="M116" i="4"/>
  <c r="L116" i="4"/>
  <c r="K116" i="4"/>
  <c r="P188" i="4"/>
  <c r="O188" i="4"/>
  <c r="N188" i="4"/>
  <c r="M188" i="4"/>
  <c r="L188" i="4"/>
  <c r="K188" i="4"/>
  <c r="O260" i="4"/>
  <c r="P260" i="4"/>
  <c r="N260" i="4"/>
  <c r="M260" i="4"/>
  <c r="L260" i="4"/>
  <c r="K260" i="4"/>
  <c r="P332" i="4"/>
  <c r="O332" i="4"/>
  <c r="N332" i="4"/>
  <c r="M332" i="4"/>
  <c r="L332" i="4"/>
  <c r="K332" i="4"/>
  <c r="O404" i="4"/>
  <c r="P404" i="4"/>
  <c r="N404" i="4"/>
  <c r="M404" i="4"/>
  <c r="L404" i="4"/>
  <c r="K404" i="4"/>
  <c r="P476" i="4"/>
  <c r="O476" i="4"/>
  <c r="N476" i="4"/>
  <c r="L476" i="4"/>
  <c r="M476" i="4"/>
  <c r="K476" i="4"/>
  <c r="O548" i="4"/>
  <c r="P548" i="4"/>
  <c r="N548" i="4"/>
  <c r="M548" i="4"/>
  <c r="L548" i="4"/>
  <c r="K548" i="4"/>
  <c r="P620" i="4"/>
  <c r="O620" i="4"/>
  <c r="N620" i="4"/>
  <c r="M620" i="4"/>
  <c r="L620" i="4"/>
  <c r="K620" i="4"/>
  <c r="P692" i="4"/>
  <c r="O692" i="4"/>
  <c r="N692" i="4"/>
  <c r="M692" i="4"/>
  <c r="L692" i="4"/>
  <c r="K692" i="4"/>
  <c r="P11" i="4"/>
  <c r="O11" i="4"/>
  <c r="N11" i="4"/>
  <c r="M11" i="4"/>
  <c r="L11" i="4"/>
  <c r="K11" i="4"/>
  <c r="P59" i="4"/>
  <c r="O59" i="4"/>
  <c r="N59" i="4"/>
  <c r="M59" i="4"/>
  <c r="L59" i="4"/>
  <c r="K59" i="4"/>
  <c r="P131" i="4"/>
  <c r="O131" i="4"/>
  <c r="N131" i="4"/>
  <c r="M131" i="4"/>
  <c r="L131" i="4"/>
  <c r="K131" i="4"/>
  <c r="P203" i="4"/>
  <c r="O203" i="4"/>
  <c r="N203" i="4"/>
  <c r="M203" i="4"/>
  <c r="L203" i="4"/>
  <c r="K203" i="4"/>
  <c r="P275" i="4"/>
  <c r="O275" i="4"/>
  <c r="N275" i="4"/>
  <c r="M275" i="4"/>
  <c r="L275" i="4"/>
  <c r="K275" i="4"/>
  <c r="P347" i="4"/>
  <c r="O347" i="4"/>
  <c r="N347" i="4"/>
  <c r="M347" i="4"/>
  <c r="L347" i="4"/>
  <c r="K347" i="4"/>
  <c r="P419" i="4"/>
  <c r="O419" i="4"/>
  <c r="N419" i="4"/>
  <c r="M419" i="4"/>
  <c r="K419" i="4"/>
  <c r="L419" i="4"/>
  <c r="P491" i="4"/>
  <c r="O491" i="4"/>
  <c r="N491" i="4"/>
  <c r="M491" i="4"/>
  <c r="L491" i="4"/>
  <c r="K491" i="4"/>
  <c r="P361" i="4"/>
  <c r="O361" i="4"/>
  <c r="M361" i="4"/>
  <c r="N361" i="4"/>
  <c r="L361" i="4"/>
  <c r="K361" i="4"/>
  <c r="P223" i="4"/>
  <c r="O223" i="4"/>
  <c r="N223" i="4"/>
  <c r="M223" i="4"/>
  <c r="K223" i="4"/>
  <c r="L223" i="4"/>
  <c r="P153" i="4"/>
  <c r="O153" i="4"/>
  <c r="N153" i="4"/>
  <c r="L153" i="4"/>
  <c r="M153" i="4"/>
  <c r="K153" i="4"/>
  <c r="P873" i="4"/>
  <c r="O873" i="4"/>
  <c r="N873" i="4"/>
  <c r="M873" i="4"/>
  <c r="L873" i="4"/>
  <c r="K873" i="4"/>
  <c r="P737" i="4"/>
  <c r="O737" i="4"/>
  <c r="M737" i="4"/>
  <c r="N737" i="4"/>
  <c r="L737" i="4"/>
  <c r="K737" i="4"/>
  <c r="P550" i="4"/>
  <c r="O550" i="4"/>
  <c r="N550" i="4"/>
  <c r="L550" i="4"/>
  <c r="M550" i="4"/>
  <c r="K550" i="4"/>
  <c r="P449" i="4"/>
  <c r="O449" i="4"/>
  <c r="N449" i="4"/>
  <c r="L449" i="4"/>
  <c r="M449" i="4"/>
  <c r="K449" i="4"/>
  <c r="P12" i="4"/>
  <c r="O12" i="4"/>
  <c r="N12" i="4"/>
  <c r="M12" i="4"/>
  <c r="L12" i="4"/>
  <c r="K12" i="4"/>
  <c r="P348" i="4"/>
  <c r="O348" i="4"/>
  <c r="N348" i="4"/>
  <c r="M348" i="4"/>
  <c r="L348" i="4"/>
  <c r="K348" i="4"/>
  <c r="I159" i="4"/>
  <c r="G39" i="4"/>
  <c r="I231" i="4"/>
  <c r="G447" i="4"/>
  <c r="F87" i="4"/>
  <c r="H151" i="4"/>
  <c r="J295" i="4"/>
  <c r="J439" i="4"/>
  <c r="J225" i="4"/>
  <c r="J513" i="4"/>
  <c r="F873" i="4"/>
  <c r="I118" i="4"/>
  <c r="I406" i="4"/>
  <c r="I550" i="4"/>
  <c r="I694" i="4"/>
  <c r="I132" i="4"/>
  <c r="I420" i="4"/>
  <c r="H636" i="4"/>
  <c r="I780" i="4"/>
  <c r="I449" i="4"/>
  <c r="F593" i="4"/>
  <c r="F49" i="4"/>
  <c r="H361" i="4"/>
  <c r="P169" i="4"/>
  <c r="O169" i="4"/>
  <c r="N169" i="4"/>
  <c r="M169" i="4"/>
  <c r="L169" i="4"/>
  <c r="K169" i="4"/>
  <c r="P210" i="4"/>
  <c r="O210" i="4"/>
  <c r="N210" i="4"/>
  <c r="M210" i="4"/>
  <c r="K210" i="4"/>
  <c r="L210" i="4"/>
  <c r="P63" i="4"/>
  <c r="O63" i="4"/>
  <c r="M63" i="4"/>
  <c r="N63" i="4"/>
  <c r="L63" i="4"/>
  <c r="K63" i="4"/>
  <c r="P111" i="4"/>
  <c r="O111" i="4"/>
  <c r="M111" i="4"/>
  <c r="N111" i="4"/>
  <c r="L111" i="4"/>
  <c r="K111" i="4"/>
  <c r="P183" i="4"/>
  <c r="O183" i="4"/>
  <c r="M183" i="4"/>
  <c r="N183" i="4"/>
  <c r="L183" i="4"/>
  <c r="K183" i="4"/>
  <c r="P255" i="4"/>
  <c r="O255" i="4"/>
  <c r="M255" i="4"/>
  <c r="N255" i="4"/>
  <c r="L255" i="4"/>
  <c r="K255" i="4"/>
  <c r="P327" i="4"/>
  <c r="O327" i="4"/>
  <c r="M327" i="4"/>
  <c r="N327" i="4"/>
  <c r="L327" i="4"/>
  <c r="K327" i="4"/>
  <c r="P399" i="4"/>
  <c r="O399" i="4"/>
  <c r="M399" i="4"/>
  <c r="N399" i="4"/>
  <c r="L399" i="4"/>
  <c r="K399" i="4"/>
  <c r="P471" i="4"/>
  <c r="O471" i="4"/>
  <c r="N471" i="4"/>
  <c r="M471" i="4"/>
  <c r="L471" i="4"/>
  <c r="K471" i="4"/>
  <c r="P543" i="4"/>
  <c r="O543" i="4"/>
  <c r="N543" i="4"/>
  <c r="M543" i="4"/>
  <c r="L543" i="4"/>
  <c r="K543" i="4"/>
  <c r="P615" i="4"/>
  <c r="O615" i="4"/>
  <c r="N615" i="4"/>
  <c r="M615" i="4"/>
  <c r="L615" i="4"/>
  <c r="K615" i="4"/>
  <c r="P205" i="4"/>
  <c r="O205" i="4"/>
  <c r="N205" i="4"/>
  <c r="M205" i="4"/>
  <c r="L205" i="4"/>
  <c r="K205" i="4"/>
  <c r="P349" i="4"/>
  <c r="O349" i="4"/>
  <c r="N349" i="4"/>
  <c r="M349" i="4"/>
  <c r="K349" i="4"/>
  <c r="L349" i="4"/>
  <c r="P209" i="4"/>
  <c r="O209" i="4"/>
  <c r="N209" i="4"/>
  <c r="L209" i="4"/>
  <c r="M209" i="4"/>
  <c r="K209" i="4"/>
  <c r="P31" i="4"/>
  <c r="O31" i="4"/>
  <c r="N31" i="4"/>
  <c r="M31" i="4"/>
  <c r="L31" i="4"/>
  <c r="K31" i="4"/>
  <c r="P103" i="4"/>
  <c r="O103" i="4"/>
  <c r="N103" i="4"/>
  <c r="M103" i="4"/>
  <c r="L103" i="4"/>
  <c r="K103" i="4"/>
  <c r="P175" i="4"/>
  <c r="O175" i="4"/>
  <c r="N175" i="4"/>
  <c r="M175" i="4"/>
  <c r="L175" i="4"/>
  <c r="K175" i="4"/>
  <c r="P247" i="4"/>
  <c r="O247" i="4"/>
  <c r="N247" i="4"/>
  <c r="M247" i="4"/>
  <c r="L247" i="4"/>
  <c r="K247" i="4"/>
  <c r="P319" i="4"/>
  <c r="O319" i="4"/>
  <c r="N319" i="4"/>
  <c r="M319" i="4"/>
  <c r="L319" i="4"/>
  <c r="K319" i="4"/>
  <c r="P391" i="4"/>
  <c r="O391" i="4"/>
  <c r="N391" i="4"/>
  <c r="M391" i="4"/>
  <c r="L391" i="4"/>
  <c r="K391" i="4"/>
  <c r="P463" i="4"/>
  <c r="O463" i="4"/>
  <c r="N463" i="4"/>
  <c r="L463" i="4"/>
  <c r="M463" i="4"/>
  <c r="K463" i="4"/>
  <c r="P535" i="4"/>
  <c r="O535" i="4"/>
  <c r="N535" i="4"/>
  <c r="M535" i="4"/>
  <c r="L535" i="4"/>
  <c r="K535" i="4"/>
  <c r="P607" i="4"/>
  <c r="O607" i="4"/>
  <c r="N607" i="4"/>
  <c r="L607" i="4"/>
  <c r="M607" i="4"/>
  <c r="K607" i="4"/>
  <c r="P73" i="4"/>
  <c r="O73" i="4"/>
  <c r="N73" i="4"/>
  <c r="M73" i="4"/>
  <c r="L73" i="4"/>
  <c r="K73" i="4"/>
  <c r="P18" i="4"/>
  <c r="O18" i="4"/>
  <c r="N18" i="4"/>
  <c r="M18" i="4"/>
  <c r="L18" i="4"/>
  <c r="K18" i="4"/>
  <c r="P33" i="4"/>
  <c r="O33" i="4"/>
  <c r="N33" i="4"/>
  <c r="M33" i="4"/>
  <c r="L33" i="4"/>
  <c r="K33" i="4"/>
  <c r="P105" i="4"/>
  <c r="O105" i="4"/>
  <c r="N105" i="4"/>
  <c r="L105" i="4"/>
  <c r="M105" i="4"/>
  <c r="K105" i="4"/>
  <c r="P177" i="4"/>
  <c r="O177" i="4"/>
  <c r="N177" i="4"/>
  <c r="M177" i="4"/>
  <c r="L177" i="4"/>
  <c r="K177" i="4"/>
  <c r="P249" i="4"/>
  <c r="O249" i="4"/>
  <c r="N249" i="4"/>
  <c r="M249" i="4"/>
  <c r="L249" i="4"/>
  <c r="K249" i="4"/>
  <c r="P321" i="4"/>
  <c r="O321" i="4"/>
  <c r="N321" i="4"/>
  <c r="M321" i="4"/>
  <c r="L321" i="4"/>
  <c r="K321" i="4"/>
  <c r="P393" i="4"/>
  <c r="O393" i="4"/>
  <c r="N393" i="4"/>
  <c r="M393" i="4"/>
  <c r="L393" i="4"/>
  <c r="K393" i="4"/>
  <c r="P465" i="4"/>
  <c r="O465" i="4"/>
  <c r="N465" i="4"/>
  <c r="M465" i="4"/>
  <c r="L465" i="4"/>
  <c r="K465" i="4"/>
  <c r="P537" i="4"/>
  <c r="O537" i="4"/>
  <c r="N537" i="4"/>
  <c r="M537" i="4"/>
  <c r="L537" i="4"/>
  <c r="K537" i="4"/>
  <c r="P609" i="4"/>
  <c r="O609" i="4"/>
  <c r="N609" i="4"/>
  <c r="M609" i="4"/>
  <c r="L609" i="4"/>
  <c r="K609" i="4"/>
  <c r="P681" i="4"/>
  <c r="O681" i="4"/>
  <c r="N681" i="4"/>
  <c r="M681" i="4"/>
  <c r="L681" i="4"/>
  <c r="K681" i="4"/>
  <c r="P753" i="4"/>
  <c r="O753" i="4"/>
  <c r="N753" i="4"/>
  <c r="M753" i="4"/>
  <c r="L753" i="4"/>
  <c r="K753" i="4"/>
  <c r="P825" i="4"/>
  <c r="O825" i="4"/>
  <c r="N825" i="4"/>
  <c r="M825" i="4"/>
  <c r="L825" i="4"/>
  <c r="K825" i="4"/>
  <c r="P897" i="4"/>
  <c r="O897" i="4"/>
  <c r="N897" i="4"/>
  <c r="M897" i="4"/>
  <c r="L897" i="4"/>
  <c r="K897" i="4"/>
  <c r="P969" i="4"/>
  <c r="O969" i="4"/>
  <c r="N969" i="4"/>
  <c r="M969" i="4"/>
  <c r="L969" i="4"/>
  <c r="K969" i="4"/>
  <c r="P337" i="4"/>
  <c r="O337" i="4"/>
  <c r="N337" i="4"/>
  <c r="M337" i="4"/>
  <c r="L337" i="4"/>
  <c r="K337" i="4"/>
  <c r="P70" i="4"/>
  <c r="O70" i="4"/>
  <c r="N70" i="4"/>
  <c r="M70" i="4"/>
  <c r="L70" i="4"/>
  <c r="K70" i="4"/>
  <c r="P142" i="4"/>
  <c r="O142" i="4"/>
  <c r="N142" i="4"/>
  <c r="M142" i="4"/>
  <c r="L142" i="4"/>
  <c r="K142" i="4"/>
  <c r="P214" i="4"/>
  <c r="O214" i="4"/>
  <c r="N214" i="4"/>
  <c r="M214" i="4"/>
  <c r="L214" i="4"/>
  <c r="K214" i="4"/>
  <c r="P286" i="4"/>
  <c r="O286" i="4"/>
  <c r="N286" i="4"/>
  <c r="M286" i="4"/>
  <c r="L286" i="4"/>
  <c r="K286" i="4"/>
  <c r="P358" i="4"/>
  <c r="O358" i="4"/>
  <c r="N358" i="4"/>
  <c r="M358" i="4"/>
  <c r="L358" i="4"/>
  <c r="K358" i="4"/>
  <c r="P430" i="4"/>
  <c r="O430" i="4"/>
  <c r="N430" i="4"/>
  <c r="M430" i="4"/>
  <c r="L430" i="4"/>
  <c r="K430" i="4"/>
  <c r="P502" i="4"/>
  <c r="O502" i="4"/>
  <c r="N502" i="4"/>
  <c r="L502" i="4"/>
  <c r="M502" i="4"/>
  <c r="K502" i="4"/>
  <c r="P574" i="4"/>
  <c r="O574" i="4"/>
  <c r="N574" i="4"/>
  <c r="M574" i="4"/>
  <c r="L574" i="4"/>
  <c r="K574" i="4"/>
  <c r="P646" i="4"/>
  <c r="O646" i="4"/>
  <c r="N646" i="4"/>
  <c r="L646" i="4"/>
  <c r="M646" i="4"/>
  <c r="K646" i="4"/>
  <c r="P718" i="4"/>
  <c r="O718" i="4"/>
  <c r="N718" i="4"/>
  <c r="M718" i="4"/>
  <c r="L718" i="4"/>
  <c r="K718" i="4"/>
  <c r="P790" i="4"/>
  <c r="O790" i="4"/>
  <c r="N790" i="4"/>
  <c r="M790" i="4"/>
  <c r="L790" i="4"/>
  <c r="K790" i="4"/>
  <c r="P265" i="4"/>
  <c r="O265" i="4"/>
  <c r="N265" i="4"/>
  <c r="M265" i="4"/>
  <c r="L265" i="4"/>
  <c r="K265" i="4"/>
  <c r="P421" i="4"/>
  <c r="O421" i="4"/>
  <c r="N421" i="4"/>
  <c r="M421" i="4"/>
  <c r="L421" i="4"/>
  <c r="K421" i="4"/>
  <c r="P36" i="4"/>
  <c r="O36" i="4"/>
  <c r="N36" i="4"/>
  <c r="M36" i="4"/>
  <c r="L36" i="4"/>
  <c r="K36" i="4"/>
  <c r="P84" i="4"/>
  <c r="N84" i="4"/>
  <c r="O84" i="4"/>
  <c r="M84" i="4"/>
  <c r="L84" i="4"/>
  <c r="K84" i="4"/>
  <c r="P156" i="4"/>
  <c r="O156" i="4"/>
  <c r="N156" i="4"/>
  <c r="L156" i="4"/>
  <c r="M156" i="4"/>
  <c r="K156" i="4"/>
  <c r="P228" i="4"/>
  <c r="O228" i="4"/>
  <c r="N228" i="4"/>
  <c r="M228" i="4"/>
  <c r="L228" i="4"/>
  <c r="K228" i="4"/>
  <c r="P300" i="4"/>
  <c r="O300" i="4"/>
  <c r="N300" i="4"/>
  <c r="M300" i="4"/>
  <c r="L300" i="4"/>
  <c r="K300" i="4"/>
  <c r="P372" i="4"/>
  <c r="N372" i="4"/>
  <c r="O372" i="4"/>
  <c r="M372" i="4"/>
  <c r="L372" i="4"/>
  <c r="K372" i="4"/>
  <c r="P444" i="4"/>
  <c r="O444" i="4"/>
  <c r="M444" i="4"/>
  <c r="N444" i="4"/>
  <c r="L444" i="4"/>
  <c r="K444" i="4"/>
  <c r="F516" i="4"/>
  <c r="P516" i="4"/>
  <c r="O516" i="4"/>
  <c r="N516" i="4"/>
  <c r="M516" i="4"/>
  <c r="L516" i="4"/>
  <c r="K516" i="4"/>
  <c r="F588" i="4"/>
  <c r="P588" i="4"/>
  <c r="O588" i="4"/>
  <c r="N588" i="4"/>
  <c r="M588" i="4"/>
  <c r="L588" i="4"/>
  <c r="K588" i="4"/>
  <c r="F660" i="4"/>
  <c r="P660" i="4"/>
  <c r="O660" i="4"/>
  <c r="N660" i="4"/>
  <c r="M660" i="4"/>
  <c r="L660" i="4"/>
  <c r="K660" i="4"/>
  <c r="P732" i="4"/>
  <c r="O732" i="4"/>
  <c r="N732" i="4"/>
  <c r="M732" i="4"/>
  <c r="L732" i="4"/>
  <c r="K732" i="4"/>
  <c r="P804" i="4"/>
  <c r="O804" i="4"/>
  <c r="N804" i="4"/>
  <c r="M804" i="4"/>
  <c r="L804" i="4"/>
  <c r="K804" i="4"/>
  <c r="F876" i="4"/>
  <c r="P876" i="4"/>
  <c r="N876" i="4"/>
  <c r="O876" i="4"/>
  <c r="M876" i="4"/>
  <c r="L876" i="4"/>
  <c r="K876" i="4"/>
  <c r="P385" i="4"/>
  <c r="O385" i="4"/>
  <c r="N385" i="4"/>
  <c r="L385" i="4"/>
  <c r="M385" i="4"/>
  <c r="K385" i="4"/>
  <c r="P303" i="4"/>
  <c r="O303" i="4"/>
  <c r="M303" i="4"/>
  <c r="N303" i="4"/>
  <c r="L303" i="4"/>
  <c r="K303" i="4"/>
  <c r="P79" i="4"/>
  <c r="O79" i="4"/>
  <c r="N79" i="4"/>
  <c r="M79" i="4"/>
  <c r="K79" i="4"/>
  <c r="L79" i="4"/>
  <c r="P369" i="4"/>
  <c r="O369" i="4"/>
  <c r="N369" i="4"/>
  <c r="L369" i="4"/>
  <c r="M369" i="4"/>
  <c r="K369" i="4"/>
  <c r="P945" i="4"/>
  <c r="O945" i="4"/>
  <c r="N945" i="4"/>
  <c r="M945" i="4"/>
  <c r="L945" i="4"/>
  <c r="K945" i="4"/>
  <c r="P262" i="4"/>
  <c r="O262" i="4"/>
  <c r="N262" i="4"/>
  <c r="M262" i="4"/>
  <c r="K262" i="4"/>
  <c r="L262" i="4"/>
  <c r="P276" i="4"/>
  <c r="O276" i="4"/>
  <c r="N276" i="4"/>
  <c r="M276" i="4"/>
  <c r="L276" i="4"/>
  <c r="K276" i="4"/>
  <c r="H39" i="4"/>
  <c r="H87" i="4"/>
  <c r="G873" i="4"/>
  <c r="J262" i="4"/>
  <c r="J406" i="4"/>
  <c r="J550" i="4"/>
  <c r="J694" i="4"/>
  <c r="J276" i="4"/>
  <c r="J420" i="4"/>
  <c r="I636" i="4"/>
  <c r="J449" i="4"/>
  <c r="G593" i="4"/>
  <c r="G49" i="4"/>
  <c r="F109" i="4"/>
  <c r="I361" i="4"/>
  <c r="P38" i="4"/>
  <c r="O38" i="4"/>
  <c r="N38" i="4"/>
  <c r="M38" i="4"/>
  <c r="K38" i="4"/>
  <c r="L38" i="4"/>
  <c r="P110" i="4"/>
  <c r="O110" i="4"/>
  <c r="M110" i="4"/>
  <c r="N110" i="4"/>
  <c r="L110" i="4"/>
  <c r="K110" i="4"/>
  <c r="P182" i="4"/>
  <c r="O182" i="4"/>
  <c r="N182" i="4"/>
  <c r="M182" i="4"/>
  <c r="L182" i="4"/>
  <c r="K182" i="4"/>
  <c r="P254" i="4"/>
  <c r="O254" i="4"/>
  <c r="N254" i="4"/>
  <c r="M254" i="4"/>
  <c r="K254" i="4"/>
  <c r="L254" i="4"/>
  <c r="P326" i="4"/>
  <c r="O326" i="4"/>
  <c r="N326" i="4"/>
  <c r="M326" i="4"/>
  <c r="K326" i="4"/>
  <c r="L326" i="4"/>
  <c r="P398" i="4"/>
  <c r="O398" i="4"/>
  <c r="N398" i="4"/>
  <c r="M398" i="4"/>
  <c r="L398" i="4"/>
  <c r="K398" i="4"/>
  <c r="P470" i="4"/>
  <c r="O470" i="4"/>
  <c r="N470" i="4"/>
  <c r="M470" i="4"/>
  <c r="L470" i="4"/>
  <c r="K470" i="4"/>
  <c r="P542" i="4"/>
  <c r="O542" i="4"/>
  <c r="N542" i="4"/>
  <c r="M542" i="4"/>
  <c r="L542" i="4"/>
  <c r="K542" i="4"/>
  <c r="P614" i="4"/>
  <c r="O614" i="4"/>
  <c r="N614" i="4"/>
  <c r="M614" i="4"/>
  <c r="L614" i="4"/>
  <c r="K614" i="4"/>
  <c r="P545" i="4"/>
  <c r="O545" i="4"/>
  <c r="N545" i="4"/>
  <c r="M545" i="4"/>
  <c r="L545" i="4"/>
  <c r="K545" i="4"/>
  <c r="P52" i="4"/>
  <c r="O52" i="4"/>
  <c r="N52" i="4"/>
  <c r="M52" i="4"/>
  <c r="L52" i="4"/>
  <c r="K52" i="4"/>
  <c r="P41" i="4"/>
  <c r="O41" i="4"/>
  <c r="N41" i="4"/>
  <c r="L41" i="4"/>
  <c r="M41" i="4"/>
  <c r="K41" i="4"/>
  <c r="P125" i="4"/>
  <c r="O125" i="4"/>
  <c r="N125" i="4"/>
  <c r="L125" i="4"/>
  <c r="M125" i="4"/>
  <c r="K125" i="4"/>
  <c r="P293" i="4"/>
  <c r="O293" i="4"/>
  <c r="N293" i="4"/>
  <c r="L293" i="4"/>
  <c r="M293" i="4"/>
  <c r="K293" i="4"/>
  <c r="P389" i="4"/>
  <c r="O389" i="4"/>
  <c r="N389" i="4"/>
  <c r="L389" i="4"/>
  <c r="M389" i="4"/>
  <c r="K389" i="4"/>
  <c r="P473" i="4"/>
  <c r="O473" i="4"/>
  <c r="N473" i="4"/>
  <c r="L473" i="4"/>
  <c r="M473" i="4"/>
  <c r="K473" i="4"/>
  <c r="P569" i="4"/>
  <c r="O569" i="4"/>
  <c r="N569" i="4"/>
  <c r="M569" i="4"/>
  <c r="L569" i="4"/>
  <c r="K569" i="4"/>
  <c r="P665" i="4"/>
  <c r="O665" i="4"/>
  <c r="M665" i="4"/>
  <c r="N665" i="4"/>
  <c r="L665" i="4"/>
  <c r="K665" i="4"/>
  <c r="O749" i="4"/>
  <c r="P749" i="4"/>
  <c r="N749" i="4"/>
  <c r="M749" i="4"/>
  <c r="L749" i="4"/>
  <c r="K749" i="4"/>
  <c r="O845" i="4"/>
  <c r="P845" i="4"/>
  <c r="N845" i="4"/>
  <c r="M845" i="4"/>
  <c r="L845" i="4"/>
  <c r="K845" i="4"/>
  <c r="P941" i="4"/>
  <c r="O941" i="4"/>
  <c r="N941" i="4"/>
  <c r="M941" i="4"/>
  <c r="L941" i="4"/>
  <c r="K941" i="4"/>
  <c r="P30" i="4"/>
  <c r="O30" i="4"/>
  <c r="N30" i="4"/>
  <c r="M30" i="4"/>
  <c r="K30" i="4"/>
  <c r="L30" i="4"/>
  <c r="P126" i="4"/>
  <c r="O126" i="4"/>
  <c r="N126" i="4"/>
  <c r="M126" i="4"/>
  <c r="L126" i="4"/>
  <c r="K126" i="4"/>
  <c r="P222" i="4"/>
  <c r="O222" i="4"/>
  <c r="N222" i="4"/>
  <c r="M222" i="4"/>
  <c r="K222" i="4"/>
  <c r="L222" i="4"/>
  <c r="P318" i="4"/>
  <c r="O318" i="4"/>
  <c r="N318" i="4"/>
  <c r="M318" i="4"/>
  <c r="L318" i="4"/>
  <c r="K318" i="4"/>
  <c r="P414" i="4"/>
  <c r="O414" i="4"/>
  <c r="N414" i="4"/>
  <c r="L414" i="4"/>
  <c r="M414" i="4"/>
  <c r="K414" i="4"/>
  <c r="P510" i="4"/>
  <c r="O510" i="4"/>
  <c r="N510" i="4"/>
  <c r="M510" i="4"/>
  <c r="L510" i="4"/>
  <c r="K510" i="4"/>
  <c r="P606" i="4"/>
  <c r="O606" i="4"/>
  <c r="N606" i="4"/>
  <c r="M606" i="4"/>
  <c r="L606" i="4"/>
  <c r="K606" i="4"/>
  <c r="P56" i="4"/>
  <c r="O56" i="4"/>
  <c r="N56" i="4"/>
  <c r="M56" i="4"/>
  <c r="L56" i="4"/>
  <c r="K56" i="4"/>
  <c r="O128" i="4"/>
  <c r="P128" i="4"/>
  <c r="N128" i="4"/>
  <c r="M128" i="4"/>
  <c r="L128" i="4"/>
  <c r="K128" i="4"/>
  <c r="P200" i="4"/>
  <c r="O200" i="4"/>
  <c r="N200" i="4"/>
  <c r="M200" i="4"/>
  <c r="L200" i="4"/>
  <c r="K200" i="4"/>
  <c r="O272" i="4"/>
  <c r="P272" i="4"/>
  <c r="N272" i="4"/>
  <c r="M272" i="4"/>
  <c r="L272" i="4"/>
  <c r="K272" i="4"/>
  <c r="P344" i="4"/>
  <c r="O344" i="4"/>
  <c r="N344" i="4"/>
  <c r="M344" i="4"/>
  <c r="L344" i="4"/>
  <c r="K344" i="4"/>
  <c r="O416" i="4"/>
  <c r="P416" i="4"/>
  <c r="N416" i="4"/>
  <c r="M416" i="4"/>
  <c r="L416" i="4"/>
  <c r="K416" i="4"/>
  <c r="P488" i="4"/>
  <c r="O488" i="4"/>
  <c r="N488" i="4"/>
  <c r="M488" i="4"/>
  <c r="L488" i="4"/>
  <c r="K488" i="4"/>
  <c r="O560" i="4"/>
  <c r="P560" i="4"/>
  <c r="N560" i="4"/>
  <c r="M560" i="4"/>
  <c r="L560" i="4"/>
  <c r="K560" i="4"/>
  <c r="P632" i="4"/>
  <c r="O632" i="4"/>
  <c r="N632" i="4"/>
  <c r="M632" i="4"/>
  <c r="L632" i="4"/>
  <c r="K632" i="4"/>
  <c r="P704" i="4"/>
  <c r="N704" i="4"/>
  <c r="O704" i="4"/>
  <c r="M704" i="4"/>
  <c r="L704" i="4"/>
  <c r="K704" i="4"/>
  <c r="P354" i="4"/>
  <c r="O354" i="4"/>
  <c r="N354" i="4"/>
  <c r="M354" i="4"/>
  <c r="K354" i="4"/>
  <c r="L354" i="4"/>
  <c r="P23" i="4"/>
  <c r="O23" i="4"/>
  <c r="N23" i="4"/>
  <c r="M23" i="4"/>
  <c r="L23" i="4"/>
  <c r="K23" i="4"/>
  <c r="P71" i="4"/>
  <c r="O71" i="4"/>
  <c r="N71" i="4"/>
  <c r="M71" i="4"/>
  <c r="L71" i="4"/>
  <c r="K71" i="4"/>
  <c r="P143" i="4"/>
  <c r="O143" i="4"/>
  <c r="N143" i="4"/>
  <c r="M143" i="4"/>
  <c r="L143" i="4"/>
  <c r="K143" i="4"/>
  <c r="P215" i="4"/>
  <c r="O215" i="4"/>
  <c r="N215" i="4"/>
  <c r="M215" i="4"/>
  <c r="L215" i="4"/>
  <c r="K215" i="4"/>
  <c r="P287" i="4"/>
  <c r="O287" i="4"/>
  <c r="N287" i="4"/>
  <c r="M287" i="4"/>
  <c r="L287" i="4"/>
  <c r="K287" i="4"/>
  <c r="P359" i="4"/>
  <c r="O359" i="4"/>
  <c r="N359" i="4"/>
  <c r="M359" i="4"/>
  <c r="L359" i="4"/>
  <c r="K359" i="4"/>
  <c r="P431" i="4"/>
  <c r="O431" i="4"/>
  <c r="N431" i="4"/>
  <c r="M431" i="4"/>
  <c r="L431" i="4"/>
  <c r="K431" i="4"/>
  <c r="P503" i="4"/>
  <c r="O503" i="4"/>
  <c r="N503" i="4"/>
  <c r="M503" i="4"/>
  <c r="L503" i="4"/>
  <c r="K503" i="4"/>
  <c r="P447" i="4"/>
  <c r="O447" i="4"/>
  <c r="N447" i="4"/>
  <c r="M447" i="4"/>
  <c r="L447" i="4"/>
  <c r="K447" i="4"/>
  <c r="P190" i="4"/>
  <c r="O190" i="4"/>
  <c r="N190" i="4"/>
  <c r="M190" i="4"/>
  <c r="L190" i="4"/>
  <c r="K190" i="4"/>
  <c r="P564" i="4"/>
  <c r="O564" i="4"/>
  <c r="N564" i="4"/>
  <c r="M564" i="4"/>
  <c r="L564" i="4"/>
  <c r="K564" i="4"/>
  <c r="I39" i="4"/>
  <c r="J447" i="4"/>
  <c r="G87" i="4"/>
  <c r="F367" i="4"/>
  <c r="F511" i="4"/>
  <c r="F153" i="4"/>
  <c r="H297" i="4"/>
  <c r="F441" i="4"/>
  <c r="F585" i="4"/>
  <c r="H873" i="4"/>
  <c r="F492" i="4"/>
  <c r="H593" i="4"/>
  <c r="H49" i="4"/>
  <c r="G109" i="4"/>
  <c r="J361" i="4"/>
  <c r="P301" i="4"/>
  <c r="O301" i="4"/>
  <c r="N301" i="4"/>
  <c r="M301" i="4"/>
  <c r="L301" i="4"/>
  <c r="K301" i="4"/>
  <c r="P834" i="4"/>
  <c r="O834" i="4"/>
  <c r="N834" i="4"/>
  <c r="M834" i="4"/>
  <c r="L834" i="4"/>
  <c r="K834" i="4"/>
  <c r="P123" i="4"/>
  <c r="O123" i="4"/>
  <c r="M123" i="4"/>
  <c r="N123" i="4"/>
  <c r="L123" i="4"/>
  <c r="K123" i="4"/>
  <c r="F195" i="4"/>
  <c r="P195" i="4"/>
  <c r="O195" i="4"/>
  <c r="M195" i="4"/>
  <c r="N195" i="4"/>
  <c r="L195" i="4"/>
  <c r="K195" i="4"/>
  <c r="F267" i="4"/>
  <c r="P267" i="4"/>
  <c r="O267" i="4"/>
  <c r="N267" i="4"/>
  <c r="M267" i="4"/>
  <c r="L267" i="4"/>
  <c r="K267" i="4"/>
  <c r="P339" i="4"/>
  <c r="O339" i="4"/>
  <c r="M339" i="4"/>
  <c r="N339" i="4"/>
  <c r="K339" i="4"/>
  <c r="L339" i="4"/>
  <c r="P411" i="4"/>
  <c r="O411" i="4"/>
  <c r="M411" i="4"/>
  <c r="N411" i="4"/>
  <c r="L411" i="4"/>
  <c r="K411" i="4"/>
  <c r="P483" i="4"/>
  <c r="O483" i="4"/>
  <c r="M483" i="4"/>
  <c r="N483" i="4"/>
  <c r="L483" i="4"/>
  <c r="K483" i="4"/>
  <c r="P555" i="4"/>
  <c r="O555" i="4"/>
  <c r="N555" i="4"/>
  <c r="M555" i="4"/>
  <c r="L555" i="4"/>
  <c r="K555" i="4"/>
  <c r="P627" i="4"/>
  <c r="O627" i="4"/>
  <c r="N627" i="4"/>
  <c r="M627" i="4"/>
  <c r="L627" i="4"/>
  <c r="K627" i="4"/>
  <c r="P325" i="4"/>
  <c r="O325" i="4"/>
  <c r="N325" i="4"/>
  <c r="M325" i="4"/>
  <c r="L325" i="4"/>
  <c r="K325" i="4"/>
  <c r="P433" i="4"/>
  <c r="O433" i="4"/>
  <c r="N433" i="4"/>
  <c r="M433" i="4"/>
  <c r="L433" i="4"/>
  <c r="K433" i="4"/>
  <c r="P401" i="4"/>
  <c r="O401" i="4"/>
  <c r="N401" i="4"/>
  <c r="L401" i="4"/>
  <c r="M401" i="4"/>
  <c r="K401" i="4"/>
  <c r="P145" i="4"/>
  <c r="O145" i="4"/>
  <c r="N145" i="4"/>
  <c r="M145" i="4"/>
  <c r="L145" i="4"/>
  <c r="K145" i="4"/>
  <c r="P306" i="4"/>
  <c r="O306" i="4"/>
  <c r="N306" i="4"/>
  <c r="M306" i="4"/>
  <c r="L306" i="4"/>
  <c r="K306" i="4"/>
  <c r="P43" i="4"/>
  <c r="O43" i="4"/>
  <c r="N43" i="4"/>
  <c r="M43" i="4"/>
  <c r="L43" i="4"/>
  <c r="K43" i="4"/>
  <c r="P115" i="4"/>
  <c r="O115" i="4"/>
  <c r="N115" i="4"/>
  <c r="M115" i="4"/>
  <c r="L115" i="4"/>
  <c r="K115" i="4"/>
  <c r="P187" i="4"/>
  <c r="O187" i="4"/>
  <c r="N187" i="4"/>
  <c r="M187" i="4"/>
  <c r="L187" i="4"/>
  <c r="K187" i="4"/>
  <c r="P259" i="4"/>
  <c r="O259" i="4"/>
  <c r="N259" i="4"/>
  <c r="M259" i="4"/>
  <c r="L259" i="4"/>
  <c r="K259" i="4"/>
  <c r="P331" i="4"/>
  <c r="O331" i="4"/>
  <c r="N331" i="4"/>
  <c r="M331" i="4"/>
  <c r="L331" i="4"/>
  <c r="K331" i="4"/>
  <c r="P403" i="4"/>
  <c r="O403" i="4"/>
  <c r="N403" i="4"/>
  <c r="M403" i="4"/>
  <c r="L403" i="4"/>
  <c r="K403" i="4"/>
  <c r="P475" i="4"/>
  <c r="O475" i="4"/>
  <c r="N475" i="4"/>
  <c r="L475" i="4"/>
  <c r="M475" i="4"/>
  <c r="K475" i="4"/>
  <c r="P547" i="4"/>
  <c r="O547" i="4"/>
  <c r="N547" i="4"/>
  <c r="L547" i="4"/>
  <c r="M547" i="4"/>
  <c r="K547" i="4"/>
  <c r="P619" i="4"/>
  <c r="O619" i="4"/>
  <c r="N619" i="4"/>
  <c r="L619" i="4"/>
  <c r="M619" i="4"/>
  <c r="K619" i="4"/>
  <c r="O17" i="4"/>
  <c r="P17" i="4"/>
  <c r="N17" i="4"/>
  <c r="L17" i="4"/>
  <c r="M17" i="4"/>
  <c r="K17" i="4"/>
  <c r="P193" i="4"/>
  <c r="O193" i="4"/>
  <c r="N193" i="4"/>
  <c r="M193" i="4"/>
  <c r="L193" i="4"/>
  <c r="K193" i="4"/>
  <c r="P690" i="4"/>
  <c r="O690" i="4"/>
  <c r="N690" i="4"/>
  <c r="M690" i="4"/>
  <c r="L690" i="4"/>
  <c r="K690" i="4"/>
  <c r="P45" i="4"/>
  <c r="O45" i="4"/>
  <c r="N45" i="4"/>
  <c r="M45" i="4"/>
  <c r="L45" i="4"/>
  <c r="K45" i="4"/>
  <c r="P117" i="4"/>
  <c r="O117" i="4"/>
  <c r="N117" i="4"/>
  <c r="L117" i="4"/>
  <c r="M117" i="4"/>
  <c r="K117" i="4"/>
  <c r="P189" i="4"/>
  <c r="O189" i="4"/>
  <c r="N189" i="4"/>
  <c r="L189" i="4"/>
  <c r="M189" i="4"/>
  <c r="K189" i="4"/>
  <c r="P261" i="4"/>
  <c r="O261" i="4"/>
  <c r="N261" i="4"/>
  <c r="M261" i="4"/>
  <c r="L261" i="4"/>
  <c r="K261" i="4"/>
  <c r="P333" i="4"/>
  <c r="O333" i="4"/>
  <c r="N333" i="4"/>
  <c r="M333" i="4"/>
  <c r="L333" i="4"/>
  <c r="K333" i="4"/>
  <c r="P405" i="4"/>
  <c r="O405" i="4"/>
  <c r="N405" i="4"/>
  <c r="M405" i="4"/>
  <c r="L405" i="4"/>
  <c r="K405" i="4"/>
  <c r="P477" i="4"/>
  <c r="O477" i="4"/>
  <c r="N477" i="4"/>
  <c r="M477" i="4"/>
  <c r="L477" i="4"/>
  <c r="K477" i="4"/>
  <c r="P549" i="4"/>
  <c r="O549" i="4"/>
  <c r="M549" i="4"/>
  <c r="N549" i="4"/>
  <c r="L549" i="4"/>
  <c r="K549" i="4"/>
  <c r="P621" i="4"/>
  <c r="N621" i="4"/>
  <c r="O621" i="4"/>
  <c r="M621" i="4"/>
  <c r="L621" i="4"/>
  <c r="K621" i="4"/>
  <c r="P693" i="4"/>
  <c r="O693" i="4"/>
  <c r="N693" i="4"/>
  <c r="M693" i="4"/>
  <c r="L693" i="4"/>
  <c r="K693" i="4"/>
  <c r="P765" i="4"/>
  <c r="O765" i="4"/>
  <c r="N765" i="4"/>
  <c r="M765" i="4"/>
  <c r="L765" i="4"/>
  <c r="K765" i="4"/>
  <c r="P837" i="4"/>
  <c r="O837" i="4"/>
  <c r="N837" i="4"/>
  <c r="M837" i="4"/>
  <c r="L837" i="4"/>
  <c r="K837" i="4"/>
  <c r="F909" i="4"/>
  <c r="P909" i="4"/>
  <c r="O909" i="4"/>
  <c r="N909" i="4"/>
  <c r="M909" i="4"/>
  <c r="L909" i="4"/>
  <c r="K909" i="4"/>
  <c r="P981" i="4"/>
  <c r="O981" i="4"/>
  <c r="N981" i="4"/>
  <c r="M981" i="4"/>
  <c r="L981" i="4"/>
  <c r="K981" i="4"/>
  <c r="P481" i="4"/>
  <c r="O481" i="4"/>
  <c r="N481" i="4"/>
  <c r="M481" i="4"/>
  <c r="L481" i="4"/>
  <c r="K481" i="4"/>
  <c r="P82" i="4"/>
  <c r="O82" i="4"/>
  <c r="N82" i="4"/>
  <c r="M82" i="4"/>
  <c r="L82" i="4"/>
  <c r="K82" i="4"/>
  <c r="P154" i="4"/>
  <c r="O154" i="4"/>
  <c r="N154" i="4"/>
  <c r="L154" i="4"/>
  <c r="K154" i="4"/>
  <c r="M154" i="4"/>
  <c r="P226" i="4"/>
  <c r="O226" i="4"/>
  <c r="N226" i="4"/>
  <c r="M226" i="4"/>
  <c r="L226" i="4"/>
  <c r="K226" i="4"/>
  <c r="P298" i="4"/>
  <c r="O298" i="4"/>
  <c r="N298" i="4"/>
  <c r="M298" i="4"/>
  <c r="L298" i="4"/>
  <c r="K298" i="4"/>
  <c r="P370" i="4"/>
  <c r="O370" i="4"/>
  <c r="N370" i="4"/>
  <c r="M370" i="4"/>
  <c r="L370" i="4"/>
  <c r="K370" i="4"/>
  <c r="P442" i="4"/>
  <c r="O442" i="4"/>
  <c r="N442" i="4"/>
  <c r="M442" i="4"/>
  <c r="L442" i="4"/>
  <c r="K442" i="4"/>
  <c r="P514" i="4"/>
  <c r="O514" i="4"/>
  <c r="N514" i="4"/>
  <c r="L514" i="4"/>
  <c r="M514" i="4"/>
  <c r="K514" i="4"/>
  <c r="P586" i="4"/>
  <c r="O586" i="4"/>
  <c r="N586" i="4"/>
  <c r="M586" i="4"/>
  <c r="L586" i="4"/>
  <c r="K586" i="4"/>
  <c r="P658" i="4"/>
  <c r="O658" i="4"/>
  <c r="N658" i="4"/>
  <c r="L658" i="4"/>
  <c r="M658" i="4"/>
  <c r="K658" i="4"/>
  <c r="P730" i="4"/>
  <c r="O730" i="4"/>
  <c r="N730" i="4"/>
  <c r="M730" i="4"/>
  <c r="L730" i="4"/>
  <c r="K730" i="4"/>
  <c r="P802" i="4"/>
  <c r="N802" i="4"/>
  <c r="O802" i="4"/>
  <c r="L802" i="4"/>
  <c r="M802" i="4"/>
  <c r="K802" i="4"/>
  <c r="P373" i="4"/>
  <c r="O373" i="4"/>
  <c r="N373" i="4"/>
  <c r="M373" i="4"/>
  <c r="L373" i="4"/>
  <c r="K373" i="4"/>
  <c r="P96" i="4"/>
  <c r="O96" i="4"/>
  <c r="N96" i="4"/>
  <c r="M96" i="4"/>
  <c r="L96" i="4"/>
  <c r="K96" i="4"/>
  <c r="P168" i="4"/>
  <c r="O168" i="4"/>
  <c r="N168" i="4"/>
  <c r="M168" i="4"/>
  <c r="L168" i="4"/>
  <c r="K168" i="4"/>
  <c r="P240" i="4"/>
  <c r="O240" i="4"/>
  <c r="N240" i="4"/>
  <c r="M240" i="4"/>
  <c r="L240" i="4"/>
  <c r="K240" i="4"/>
  <c r="P312" i="4"/>
  <c r="O312" i="4"/>
  <c r="N312" i="4"/>
  <c r="M312" i="4"/>
  <c r="L312" i="4"/>
  <c r="K312" i="4"/>
  <c r="P384" i="4"/>
  <c r="O384" i="4"/>
  <c r="N384" i="4"/>
  <c r="M384" i="4"/>
  <c r="L384" i="4"/>
  <c r="K384" i="4"/>
  <c r="P456" i="4"/>
  <c r="O456" i="4"/>
  <c r="N456" i="4"/>
  <c r="M456" i="4"/>
  <c r="K456" i="4"/>
  <c r="L456" i="4"/>
  <c r="P528" i="4"/>
  <c r="O528" i="4"/>
  <c r="N528" i="4"/>
  <c r="M528" i="4"/>
  <c r="L528" i="4"/>
  <c r="K528" i="4"/>
  <c r="P600" i="4"/>
  <c r="O600" i="4"/>
  <c r="N600" i="4"/>
  <c r="M600" i="4"/>
  <c r="L600" i="4"/>
  <c r="K600" i="4"/>
  <c r="P672" i="4"/>
  <c r="O672" i="4"/>
  <c r="N672" i="4"/>
  <c r="M672" i="4"/>
  <c r="L672" i="4"/>
  <c r="K672" i="4"/>
  <c r="P744" i="4"/>
  <c r="O744" i="4"/>
  <c r="N744" i="4"/>
  <c r="M744" i="4"/>
  <c r="L744" i="4"/>
  <c r="K744" i="4"/>
  <c r="P816" i="4"/>
  <c r="O816" i="4"/>
  <c r="N816" i="4"/>
  <c r="M816" i="4"/>
  <c r="L816" i="4"/>
  <c r="K816" i="4"/>
  <c r="P888" i="4"/>
  <c r="O888" i="4"/>
  <c r="N888" i="4"/>
  <c r="M888" i="4"/>
  <c r="L888" i="4"/>
  <c r="K888" i="4"/>
  <c r="P591" i="4"/>
  <c r="O591" i="4"/>
  <c r="N591" i="4"/>
  <c r="M591" i="4"/>
  <c r="L591" i="4"/>
  <c r="K591" i="4"/>
  <c r="P655" i="4"/>
  <c r="O655" i="4"/>
  <c r="N655" i="4"/>
  <c r="L655" i="4"/>
  <c r="M655" i="4"/>
  <c r="K655" i="4"/>
  <c r="P729" i="4"/>
  <c r="O729" i="4"/>
  <c r="N729" i="4"/>
  <c r="M729" i="4"/>
  <c r="L729" i="4"/>
  <c r="K729" i="4"/>
  <c r="P636" i="4"/>
  <c r="O636" i="4"/>
  <c r="N636" i="4"/>
  <c r="M636" i="4"/>
  <c r="L636" i="4"/>
  <c r="K636" i="4"/>
  <c r="F79" i="4"/>
  <c r="F223" i="4"/>
  <c r="G511" i="4"/>
  <c r="G655" i="4"/>
  <c r="G153" i="4"/>
  <c r="F297" i="4"/>
  <c r="H585" i="4"/>
  <c r="G729" i="4"/>
  <c r="I873" i="4"/>
  <c r="F46" i="4"/>
  <c r="F190" i="4"/>
  <c r="F334" i="4"/>
  <c r="F478" i="4"/>
  <c r="F622" i="4"/>
  <c r="F60" i="4"/>
  <c r="F204" i="4"/>
  <c r="F348" i="4"/>
  <c r="G492" i="4"/>
  <c r="F852" i="4"/>
  <c r="I593" i="4"/>
  <c r="F737" i="4"/>
  <c r="I49" i="4"/>
  <c r="F85" i="4"/>
  <c r="H109" i="4"/>
  <c r="F517" i="4"/>
  <c r="P50" i="4"/>
  <c r="O50" i="4"/>
  <c r="N50" i="4"/>
  <c r="M50" i="4"/>
  <c r="L50" i="4"/>
  <c r="K50" i="4"/>
  <c r="P122" i="4"/>
  <c r="O122" i="4"/>
  <c r="N122" i="4"/>
  <c r="M122" i="4"/>
  <c r="K122" i="4"/>
  <c r="L122" i="4"/>
  <c r="P194" i="4"/>
  <c r="O194" i="4"/>
  <c r="N194" i="4"/>
  <c r="M194" i="4"/>
  <c r="K194" i="4"/>
  <c r="L194" i="4"/>
  <c r="P266" i="4"/>
  <c r="O266" i="4"/>
  <c r="M266" i="4"/>
  <c r="N266" i="4"/>
  <c r="K266" i="4"/>
  <c r="L266" i="4"/>
  <c r="P338" i="4"/>
  <c r="O338" i="4"/>
  <c r="N338" i="4"/>
  <c r="M338" i="4"/>
  <c r="K338" i="4"/>
  <c r="L338" i="4"/>
  <c r="P410" i="4"/>
  <c r="O410" i="4"/>
  <c r="N410" i="4"/>
  <c r="M410" i="4"/>
  <c r="L410" i="4"/>
  <c r="K410" i="4"/>
  <c r="P482" i="4"/>
  <c r="O482" i="4"/>
  <c r="M482" i="4"/>
  <c r="N482" i="4"/>
  <c r="L482" i="4"/>
  <c r="K482" i="4"/>
  <c r="P554" i="4"/>
  <c r="O554" i="4"/>
  <c r="N554" i="4"/>
  <c r="M554" i="4"/>
  <c r="L554" i="4"/>
  <c r="K554" i="4"/>
  <c r="P626" i="4"/>
  <c r="O626" i="4"/>
  <c r="N626" i="4"/>
  <c r="M626" i="4"/>
  <c r="L626" i="4"/>
  <c r="K626" i="4"/>
  <c r="P257" i="4"/>
  <c r="O257" i="4"/>
  <c r="N257" i="4"/>
  <c r="L257" i="4"/>
  <c r="M257" i="4"/>
  <c r="K257" i="4"/>
  <c r="P64" i="4"/>
  <c r="O64" i="4"/>
  <c r="N64" i="4"/>
  <c r="M64" i="4"/>
  <c r="L64" i="4"/>
  <c r="K64" i="4"/>
  <c r="P53" i="4"/>
  <c r="O53" i="4"/>
  <c r="N53" i="4"/>
  <c r="L53" i="4"/>
  <c r="M53" i="4"/>
  <c r="K53" i="4"/>
  <c r="P137" i="4"/>
  <c r="O137" i="4"/>
  <c r="N137" i="4"/>
  <c r="L137" i="4"/>
  <c r="K137" i="4"/>
  <c r="M137" i="4"/>
  <c r="P221" i="4"/>
  <c r="O221" i="4"/>
  <c r="N221" i="4"/>
  <c r="L221" i="4"/>
  <c r="M221" i="4"/>
  <c r="K221" i="4"/>
  <c r="P317" i="4"/>
  <c r="O317" i="4"/>
  <c r="N317" i="4"/>
  <c r="L317" i="4"/>
  <c r="M317" i="4"/>
  <c r="K317" i="4"/>
  <c r="P485" i="4"/>
  <c r="O485" i="4"/>
  <c r="N485" i="4"/>
  <c r="L485" i="4"/>
  <c r="M485" i="4"/>
  <c r="K485" i="4"/>
  <c r="P581" i="4"/>
  <c r="O581" i="4"/>
  <c r="N581" i="4"/>
  <c r="M581" i="4"/>
  <c r="L581" i="4"/>
  <c r="K581" i="4"/>
  <c r="P677" i="4"/>
  <c r="O677" i="4"/>
  <c r="N677" i="4"/>
  <c r="M677" i="4"/>
  <c r="L677" i="4"/>
  <c r="K677" i="4"/>
  <c r="O761" i="4"/>
  <c r="P761" i="4"/>
  <c r="N761" i="4"/>
  <c r="M761" i="4"/>
  <c r="L761" i="4"/>
  <c r="K761" i="4"/>
  <c r="O857" i="4"/>
  <c r="P857" i="4"/>
  <c r="N857" i="4"/>
  <c r="M857" i="4"/>
  <c r="L857" i="4"/>
  <c r="K857" i="4"/>
  <c r="P953" i="4"/>
  <c r="O953" i="4"/>
  <c r="N953" i="4"/>
  <c r="M953" i="4"/>
  <c r="L953" i="4"/>
  <c r="K953" i="4"/>
  <c r="P42" i="4"/>
  <c r="O42" i="4"/>
  <c r="N42" i="4"/>
  <c r="M42" i="4"/>
  <c r="K42" i="4"/>
  <c r="L42" i="4"/>
  <c r="P138" i="4"/>
  <c r="O138" i="4"/>
  <c r="N138" i="4"/>
  <c r="M138" i="4"/>
  <c r="K138" i="4"/>
  <c r="L138" i="4"/>
  <c r="P234" i="4"/>
  <c r="O234" i="4"/>
  <c r="N234" i="4"/>
  <c r="M234" i="4"/>
  <c r="K234" i="4"/>
  <c r="L234" i="4"/>
  <c r="P330" i="4"/>
  <c r="O330" i="4"/>
  <c r="N330" i="4"/>
  <c r="M330" i="4"/>
  <c r="L330" i="4"/>
  <c r="K330" i="4"/>
  <c r="P426" i="4"/>
  <c r="O426" i="4"/>
  <c r="N426" i="4"/>
  <c r="L426" i="4"/>
  <c r="K426" i="4"/>
  <c r="M426" i="4"/>
  <c r="P522" i="4"/>
  <c r="O522" i="4"/>
  <c r="N522" i="4"/>
  <c r="M522" i="4"/>
  <c r="L522" i="4"/>
  <c r="K522" i="4"/>
  <c r="P618" i="4"/>
  <c r="O618" i="4"/>
  <c r="N618" i="4"/>
  <c r="M618" i="4"/>
  <c r="L618" i="4"/>
  <c r="K618" i="4"/>
  <c r="P641" i="4"/>
  <c r="O641" i="4"/>
  <c r="N641" i="4"/>
  <c r="M641" i="4"/>
  <c r="L641" i="4"/>
  <c r="K641" i="4"/>
  <c r="P353" i="4"/>
  <c r="O353" i="4"/>
  <c r="N353" i="4"/>
  <c r="L353" i="4"/>
  <c r="M353" i="4"/>
  <c r="K353" i="4"/>
  <c r="P68" i="4"/>
  <c r="O68" i="4"/>
  <c r="N68" i="4"/>
  <c r="M68" i="4"/>
  <c r="L68" i="4"/>
  <c r="K68" i="4"/>
  <c r="O140" i="4"/>
  <c r="P140" i="4"/>
  <c r="N140" i="4"/>
  <c r="M140" i="4"/>
  <c r="L140" i="4"/>
  <c r="K140" i="4"/>
  <c r="P212" i="4"/>
  <c r="O212" i="4"/>
  <c r="N212" i="4"/>
  <c r="M212" i="4"/>
  <c r="L212" i="4"/>
  <c r="K212" i="4"/>
  <c r="O284" i="4"/>
  <c r="P284" i="4"/>
  <c r="N284" i="4"/>
  <c r="M284" i="4"/>
  <c r="K284" i="4"/>
  <c r="L284" i="4"/>
  <c r="P356" i="4"/>
  <c r="O356" i="4"/>
  <c r="N356" i="4"/>
  <c r="M356" i="4"/>
  <c r="L356" i="4"/>
  <c r="K356" i="4"/>
  <c r="O428" i="4"/>
  <c r="P428" i="4"/>
  <c r="N428" i="4"/>
  <c r="M428" i="4"/>
  <c r="L428" i="4"/>
  <c r="K428" i="4"/>
  <c r="P500" i="4"/>
  <c r="O500" i="4"/>
  <c r="N500" i="4"/>
  <c r="M500" i="4"/>
  <c r="L500" i="4"/>
  <c r="K500" i="4"/>
  <c r="O572" i="4"/>
  <c r="P572" i="4"/>
  <c r="N572" i="4"/>
  <c r="M572" i="4"/>
  <c r="K572" i="4"/>
  <c r="L572" i="4"/>
  <c r="P644" i="4"/>
  <c r="O644" i="4"/>
  <c r="N644" i="4"/>
  <c r="M644" i="4"/>
  <c r="L644" i="4"/>
  <c r="K644" i="4"/>
  <c r="P716" i="4"/>
  <c r="O716" i="4"/>
  <c r="N716" i="4"/>
  <c r="L716" i="4"/>
  <c r="M716" i="4"/>
  <c r="K716" i="4"/>
  <c r="P83" i="4"/>
  <c r="O83" i="4"/>
  <c r="N83" i="4"/>
  <c r="M83" i="4"/>
  <c r="L83" i="4"/>
  <c r="K83" i="4"/>
  <c r="P155" i="4"/>
  <c r="O155" i="4"/>
  <c r="N155" i="4"/>
  <c r="M155" i="4"/>
  <c r="L155" i="4"/>
  <c r="K155" i="4"/>
  <c r="P227" i="4"/>
  <c r="O227" i="4"/>
  <c r="N227" i="4"/>
  <c r="M227" i="4"/>
  <c r="L227" i="4"/>
  <c r="K227" i="4"/>
  <c r="P299" i="4"/>
  <c r="O299" i="4"/>
  <c r="N299" i="4"/>
  <c r="M299" i="4"/>
  <c r="L299" i="4"/>
  <c r="K299" i="4"/>
  <c r="P371" i="4"/>
  <c r="O371" i="4"/>
  <c r="N371" i="4"/>
  <c r="M371" i="4"/>
  <c r="L371" i="4"/>
  <c r="K371" i="4"/>
  <c r="P443" i="4"/>
  <c r="O443" i="4"/>
  <c r="N443" i="4"/>
  <c r="M443" i="4"/>
  <c r="K443" i="4"/>
  <c r="L443" i="4"/>
  <c r="P515" i="4"/>
  <c r="O515" i="4"/>
  <c r="N515" i="4"/>
  <c r="M515" i="4"/>
  <c r="L515" i="4"/>
  <c r="K515" i="4"/>
  <c r="P87" i="4"/>
  <c r="O87" i="4"/>
  <c r="M87" i="4"/>
  <c r="N87" i="4"/>
  <c r="L87" i="4"/>
  <c r="K87" i="4"/>
  <c r="P367" i="4"/>
  <c r="O367" i="4"/>
  <c r="N367" i="4"/>
  <c r="M367" i="4"/>
  <c r="K367" i="4"/>
  <c r="L367" i="4"/>
  <c r="P441" i="4"/>
  <c r="O441" i="4"/>
  <c r="N441" i="4"/>
  <c r="M441" i="4"/>
  <c r="L441" i="4"/>
  <c r="K441" i="4"/>
  <c r="P766" i="4"/>
  <c r="O766" i="4"/>
  <c r="N766" i="4"/>
  <c r="M766" i="4"/>
  <c r="L766" i="4"/>
  <c r="K766" i="4"/>
  <c r="P708" i="4"/>
  <c r="O708" i="4"/>
  <c r="N708" i="4"/>
  <c r="M708" i="4"/>
  <c r="L708" i="4"/>
  <c r="K708" i="4"/>
  <c r="F303" i="4"/>
  <c r="F591" i="4"/>
  <c r="G79" i="4"/>
  <c r="G223" i="4"/>
  <c r="H367" i="4"/>
  <c r="H511" i="4"/>
  <c r="H655" i="4"/>
  <c r="H153" i="4"/>
  <c r="G297" i="4"/>
  <c r="H441" i="4"/>
  <c r="G585" i="4"/>
  <c r="H729" i="4"/>
  <c r="J873" i="4"/>
  <c r="F945" i="4"/>
  <c r="G46" i="4"/>
  <c r="G190" i="4"/>
  <c r="H334" i="4"/>
  <c r="H478" i="4"/>
  <c r="H766" i="4"/>
  <c r="G204" i="4"/>
  <c r="G348" i="4"/>
  <c r="H492" i="4"/>
  <c r="G708" i="4"/>
  <c r="J593" i="4"/>
  <c r="G737" i="4"/>
  <c r="J49" i="4"/>
  <c r="G85" i="4"/>
  <c r="I109" i="4"/>
  <c r="P397" i="4"/>
  <c r="O397" i="4"/>
  <c r="N397" i="4"/>
  <c r="L397" i="4"/>
  <c r="M397" i="4"/>
  <c r="K397" i="4"/>
  <c r="F15" i="4"/>
  <c r="P15" i="4"/>
  <c r="O15" i="4"/>
  <c r="M15" i="4"/>
  <c r="N15" i="4"/>
  <c r="K15" i="4"/>
  <c r="L15" i="4"/>
  <c r="P135" i="4"/>
  <c r="O135" i="4"/>
  <c r="M135" i="4"/>
  <c r="N135" i="4"/>
  <c r="L135" i="4"/>
  <c r="K135" i="4"/>
  <c r="P207" i="4"/>
  <c r="O207" i="4"/>
  <c r="M207" i="4"/>
  <c r="N207" i="4"/>
  <c r="L207" i="4"/>
  <c r="K207" i="4"/>
  <c r="P279" i="4"/>
  <c r="O279" i="4"/>
  <c r="M279" i="4"/>
  <c r="N279" i="4"/>
  <c r="L279" i="4"/>
  <c r="K279" i="4"/>
  <c r="P351" i="4"/>
  <c r="O351" i="4"/>
  <c r="M351" i="4"/>
  <c r="N351" i="4"/>
  <c r="L351" i="4"/>
  <c r="K351" i="4"/>
  <c r="P423" i="4"/>
  <c r="O423" i="4"/>
  <c r="M423" i="4"/>
  <c r="N423" i="4"/>
  <c r="L423" i="4"/>
  <c r="K423" i="4"/>
  <c r="P495" i="4"/>
  <c r="O495" i="4"/>
  <c r="N495" i="4"/>
  <c r="M495" i="4"/>
  <c r="L495" i="4"/>
  <c r="K495" i="4"/>
  <c r="P567" i="4"/>
  <c r="O567" i="4"/>
  <c r="N567" i="4"/>
  <c r="M567" i="4"/>
  <c r="L567" i="4"/>
  <c r="K567" i="4"/>
  <c r="P639" i="4"/>
  <c r="O639" i="4"/>
  <c r="N639" i="4"/>
  <c r="M639" i="4"/>
  <c r="L639" i="4"/>
  <c r="K639" i="4"/>
  <c r="P469" i="4"/>
  <c r="O469" i="4"/>
  <c r="N469" i="4"/>
  <c r="M469" i="4"/>
  <c r="L469" i="4"/>
  <c r="K469" i="4"/>
  <c r="P546" i="4"/>
  <c r="O546" i="4"/>
  <c r="N546" i="4"/>
  <c r="M546" i="4"/>
  <c r="L546" i="4"/>
  <c r="K546" i="4"/>
  <c r="P689" i="4"/>
  <c r="O689" i="4"/>
  <c r="N689" i="4"/>
  <c r="M689" i="4"/>
  <c r="L689" i="4"/>
  <c r="K689" i="4"/>
  <c r="P289" i="4"/>
  <c r="O289" i="4"/>
  <c r="N289" i="4"/>
  <c r="M289" i="4"/>
  <c r="L289" i="4"/>
  <c r="K289" i="4"/>
  <c r="P133" i="4"/>
  <c r="O133" i="4"/>
  <c r="N133" i="4"/>
  <c r="M133" i="4"/>
  <c r="L133" i="4"/>
  <c r="K133" i="4"/>
  <c r="P930" i="4"/>
  <c r="O930" i="4"/>
  <c r="N930" i="4"/>
  <c r="M930" i="4"/>
  <c r="L930" i="4"/>
  <c r="K930" i="4"/>
  <c r="P55" i="4"/>
  <c r="O55" i="4"/>
  <c r="N55" i="4"/>
  <c r="M55" i="4"/>
  <c r="L55" i="4"/>
  <c r="K55" i="4"/>
  <c r="P127" i="4"/>
  <c r="O127" i="4"/>
  <c r="N127" i="4"/>
  <c r="M127" i="4"/>
  <c r="L127" i="4"/>
  <c r="K127" i="4"/>
  <c r="P199" i="4"/>
  <c r="O199" i="4"/>
  <c r="N199" i="4"/>
  <c r="M199" i="4"/>
  <c r="L199" i="4"/>
  <c r="K199" i="4"/>
  <c r="P271" i="4"/>
  <c r="O271" i="4"/>
  <c r="N271" i="4"/>
  <c r="M271" i="4"/>
  <c r="L271" i="4"/>
  <c r="K271" i="4"/>
  <c r="P343" i="4"/>
  <c r="O343" i="4"/>
  <c r="N343" i="4"/>
  <c r="M343" i="4"/>
  <c r="L343" i="4"/>
  <c r="K343" i="4"/>
  <c r="P415" i="4"/>
  <c r="O415" i="4"/>
  <c r="N415" i="4"/>
  <c r="M415" i="4"/>
  <c r="L415" i="4"/>
  <c r="K415" i="4"/>
  <c r="P487" i="4"/>
  <c r="O487" i="4"/>
  <c r="N487" i="4"/>
  <c r="M487" i="4"/>
  <c r="L487" i="4"/>
  <c r="K487" i="4"/>
  <c r="P559" i="4"/>
  <c r="O559" i="4"/>
  <c r="N559" i="4"/>
  <c r="L559" i="4"/>
  <c r="M559" i="4"/>
  <c r="K559" i="4"/>
  <c r="P631" i="4"/>
  <c r="O631" i="4"/>
  <c r="N631" i="4"/>
  <c r="M631" i="4"/>
  <c r="L631" i="4"/>
  <c r="K631" i="4"/>
  <c r="P505" i="4"/>
  <c r="O505" i="4"/>
  <c r="N505" i="4"/>
  <c r="M505" i="4"/>
  <c r="L505" i="4"/>
  <c r="K505" i="4"/>
  <c r="P642" i="4"/>
  <c r="O642" i="4"/>
  <c r="N642" i="4"/>
  <c r="M642" i="4"/>
  <c r="L642" i="4"/>
  <c r="K642" i="4"/>
  <c r="P313" i="4"/>
  <c r="O313" i="4"/>
  <c r="N313" i="4"/>
  <c r="M313" i="4"/>
  <c r="L313" i="4"/>
  <c r="K313" i="4"/>
  <c r="P57" i="4"/>
  <c r="O57" i="4"/>
  <c r="N57" i="4"/>
  <c r="L57" i="4"/>
  <c r="M57" i="4"/>
  <c r="K57" i="4"/>
  <c r="P129" i="4"/>
  <c r="O129" i="4"/>
  <c r="N129" i="4"/>
  <c r="M129" i="4"/>
  <c r="L129" i="4"/>
  <c r="K129" i="4"/>
  <c r="P201" i="4"/>
  <c r="O201" i="4"/>
  <c r="N201" i="4"/>
  <c r="L201" i="4"/>
  <c r="M201" i="4"/>
  <c r="K201" i="4"/>
  <c r="P273" i="4"/>
  <c r="O273" i="4"/>
  <c r="N273" i="4"/>
  <c r="M273" i="4"/>
  <c r="L273" i="4"/>
  <c r="K273" i="4"/>
  <c r="P345" i="4"/>
  <c r="O345" i="4"/>
  <c r="M345" i="4"/>
  <c r="N345" i="4"/>
  <c r="L345" i="4"/>
  <c r="K345" i="4"/>
  <c r="P417" i="4"/>
  <c r="O417" i="4"/>
  <c r="N417" i="4"/>
  <c r="M417" i="4"/>
  <c r="L417" i="4"/>
  <c r="K417" i="4"/>
  <c r="P489" i="4"/>
  <c r="O489" i="4"/>
  <c r="N489" i="4"/>
  <c r="M489" i="4"/>
  <c r="L489" i="4"/>
  <c r="K489" i="4"/>
  <c r="P561" i="4"/>
  <c r="O561" i="4"/>
  <c r="N561" i="4"/>
  <c r="M561" i="4"/>
  <c r="L561" i="4"/>
  <c r="K561" i="4"/>
  <c r="P633" i="4"/>
  <c r="O633" i="4"/>
  <c r="N633" i="4"/>
  <c r="M633" i="4"/>
  <c r="L633" i="4"/>
  <c r="K633" i="4"/>
  <c r="P705" i="4"/>
  <c r="O705" i="4"/>
  <c r="N705" i="4"/>
  <c r="M705" i="4"/>
  <c r="L705" i="4"/>
  <c r="K705" i="4"/>
  <c r="P777" i="4"/>
  <c r="O777" i="4"/>
  <c r="N777" i="4"/>
  <c r="M777" i="4"/>
  <c r="L777" i="4"/>
  <c r="K777" i="4"/>
  <c r="P849" i="4"/>
  <c r="O849" i="4"/>
  <c r="N849" i="4"/>
  <c r="M849" i="4"/>
  <c r="L849" i="4"/>
  <c r="K849" i="4"/>
  <c r="P921" i="4"/>
  <c r="O921" i="4"/>
  <c r="N921" i="4"/>
  <c r="M921" i="4"/>
  <c r="L921" i="4"/>
  <c r="K921" i="4"/>
  <c r="P993" i="4"/>
  <c r="O993" i="4"/>
  <c r="N993" i="4"/>
  <c r="M993" i="4"/>
  <c r="L993" i="4"/>
  <c r="K993" i="4"/>
  <c r="P94" i="4"/>
  <c r="O94" i="4"/>
  <c r="N94" i="4"/>
  <c r="M94" i="4"/>
  <c r="K94" i="4"/>
  <c r="L94" i="4"/>
  <c r="P166" i="4"/>
  <c r="O166" i="4"/>
  <c r="N166" i="4"/>
  <c r="M166" i="4"/>
  <c r="L166" i="4"/>
  <c r="K166" i="4"/>
  <c r="P238" i="4"/>
  <c r="O238" i="4"/>
  <c r="N238" i="4"/>
  <c r="M238" i="4"/>
  <c r="L238" i="4"/>
  <c r="K238" i="4"/>
  <c r="P310" i="4"/>
  <c r="O310" i="4"/>
  <c r="N310" i="4"/>
  <c r="M310" i="4"/>
  <c r="L310" i="4"/>
  <c r="K310" i="4"/>
  <c r="P382" i="4"/>
  <c r="O382" i="4"/>
  <c r="N382" i="4"/>
  <c r="M382" i="4"/>
  <c r="L382" i="4"/>
  <c r="K382" i="4"/>
  <c r="P454" i="4"/>
  <c r="O454" i="4"/>
  <c r="N454" i="4"/>
  <c r="M454" i="4"/>
  <c r="K454" i="4"/>
  <c r="L454" i="4"/>
  <c r="P526" i="4"/>
  <c r="O526" i="4"/>
  <c r="N526" i="4"/>
  <c r="M526" i="4"/>
  <c r="L526" i="4"/>
  <c r="K526" i="4"/>
  <c r="P598" i="4"/>
  <c r="O598" i="4"/>
  <c r="N598" i="4"/>
  <c r="L598" i="4"/>
  <c r="M598" i="4"/>
  <c r="K598" i="4"/>
  <c r="P670" i="4"/>
  <c r="O670" i="4"/>
  <c r="N670" i="4"/>
  <c r="M670" i="4"/>
  <c r="L670" i="4"/>
  <c r="K670" i="4"/>
  <c r="P742" i="4"/>
  <c r="O742" i="4"/>
  <c r="N742" i="4"/>
  <c r="L742" i="4"/>
  <c r="M742" i="4"/>
  <c r="K742" i="4"/>
  <c r="P814" i="4"/>
  <c r="O814" i="4"/>
  <c r="N814" i="4"/>
  <c r="L814" i="4"/>
  <c r="M814" i="4"/>
  <c r="K814" i="4"/>
  <c r="P493" i="4"/>
  <c r="O493" i="4"/>
  <c r="N493" i="4"/>
  <c r="M493" i="4"/>
  <c r="L493" i="4"/>
  <c r="K493" i="4"/>
  <c r="P114" i="4"/>
  <c r="O114" i="4"/>
  <c r="N114" i="4"/>
  <c r="M114" i="4"/>
  <c r="L114" i="4"/>
  <c r="K114" i="4"/>
  <c r="P108" i="4"/>
  <c r="O108" i="4"/>
  <c r="N108" i="4"/>
  <c r="M108" i="4"/>
  <c r="K108" i="4"/>
  <c r="L108" i="4"/>
  <c r="P180" i="4"/>
  <c r="O180" i="4"/>
  <c r="N180" i="4"/>
  <c r="M180" i="4"/>
  <c r="L180" i="4"/>
  <c r="K180" i="4"/>
  <c r="P252" i="4"/>
  <c r="O252" i="4"/>
  <c r="N252" i="4"/>
  <c r="L252" i="4"/>
  <c r="K252" i="4"/>
  <c r="M252" i="4"/>
  <c r="P324" i="4"/>
  <c r="O324" i="4"/>
  <c r="N324" i="4"/>
  <c r="M324" i="4"/>
  <c r="L324" i="4"/>
  <c r="K324" i="4"/>
  <c r="P396" i="4"/>
  <c r="O396" i="4"/>
  <c r="N396" i="4"/>
  <c r="M396" i="4"/>
  <c r="L396" i="4"/>
  <c r="K396" i="4"/>
  <c r="P468" i="4"/>
  <c r="O468" i="4"/>
  <c r="N468" i="4"/>
  <c r="M468" i="4"/>
  <c r="L468" i="4"/>
  <c r="K468" i="4"/>
  <c r="P540" i="4"/>
  <c r="O540" i="4"/>
  <c r="N540" i="4"/>
  <c r="M540" i="4"/>
  <c r="L540" i="4"/>
  <c r="K540" i="4"/>
  <c r="P612" i="4"/>
  <c r="O612" i="4"/>
  <c r="N612" i="4"/>
  <c r="M612" i="4"/>
  <c r="L612" i="4"/>
  <c r="K612" i="4"/>
  <c r="P684" i="4"/>
  <c r="N684" i="4"/>
  <c r="O684" i="4"/>
  <c r="M684" i="4"/>
  <c r="L684" i="4"/>
  <c r="K684" i="4"/>
  <c r="P756" i="4"/>
  <c r="O756" i="4"/>
  <c r="N756" i="4"/>
  <c r="M756" i="4"/>
  <c r="L756" i="4"/>
  <c r="K756" i="4"/>
  <c r="P828" i="4"/>
  <c r="O828" i="4"/>
  <c r="N828" i="4"/>
  <c r="M828" i="4"/>
  <c r="L828" i="4"/>
  <c r="K828" i="4"/>
  <c r="P900" i="4"/>
  <c r="O900" i="4"/>
  <c r="N900" i="4"/>
  <c r="M900" i="4"/>
  <c r="L900" i="4"/>
  <c r="K900" i="4"/>
  <c r="F375" i="4"/>
  <c r="P375" i="4"/>
  <c r="O375" i="4"/>
  <c r="M375" i="4"/>
  <c r="N375" i="4"/>
  <c r="L375" i="4"/>
  <c r="K375" i="4"/>
  <c r="P151" i="4"/>
  <c r="O151" i="4"/>
  <c r="N151" i="4"/>
  <c r="M151" i="4"/>
  <c r="L151" i="4"/>
  <c r="K151" i="4"/>
  <c r="P517" i="4"/>
  <c r="O517" i="4"/>
  <c r="N517" i="4"/>
  <c r="M517" i="4"/>
  <c r="K517" i="4"/>
  <c r="L517" i="4"/>
  <c r="P81" i="4"/>
  <c r="O81" i="4"/>
  <c r="N81" i="4"/>
  <c r="M81" i="4"/>
  <c r="L81" i="4"/>
  <c r="K81" i="4"/>
  <c r="P801" i="4"/>
  <c r="O801" i="4"/>
  <c r="N801" i="4"/>
  <c r="M801" i="4"/>
  <c r="L801" i="4"/>
  <c r="K801" i="4"/>
  <c r="P118" i="4"/>
  <c r="O118" i="4"/>
  <c r="N118" i="4"/>
  <c r="M118" i="4"/>
  <c r="L118" i="4"/>
  <c r="K118" i="4"/>
  <c r="P622" i="4"/>
  <c r="O622" i="4"/>
  <c r="N622" i="4"/>
  <c r="M622" i="4"/>
  <c r="L622" i="4"/>
  <c r="K622" i="4"/>
  <c r="P60" i="4"/>
  <c r="N60" i="4"/>
  <c r="O60" i="4"/>
  <c r="M60" i="4"/>
  <c r="L60" i="4"/>
  <c r="K60" i="4"/>
  <c r="P852" i="4"/>
  <c r="O852" i="4"/>
  <c r="N852" i="4"/>
  <c r="M852" i="4"/>
  <c r="L852" i="4"/>
  <c r="K852" i="4"/>
  <c r="F519" i="4"/>
  <c r="H519" i="4"/>
  <c r="G303" i="4"/>
  <c r="G591" i="4"/>
  <c r="H79" i="4"/>
  <c r="H223" i="4"/>
  <c r="I367" i="4"/>
  <c r="I655" i="4"/>
  <c r="I153" i="4"/>
  <c r="I297" i="4"/>
  <c r="I441" i="4"/>
  <c r="I729" i="4"/>
  <c r="G945" i="4"/>
  <c r="H46" i="4"/>
  <c r="H190" i="4"/>
  <c r="G478" i="4"/>
  <c r="G622" i="4"/>
  <c r="G766" i="4"/>
  <c r="H60" i="4"/>
  <c r="H204" i="4"/>
  <c r="H348" i="4"/>
  <c r="I492" i="4"/>
  <c r="H708" i="4"/>
  <c r="H852" i="4"/>
  <c r="H737" i="4"/>
  <c r="H85" i="4"/>
  <c r="J109" i="4"/>
  <c r="H517" i="4"/>
  <c r="P162" i="4"/>
  <c r="O162" i="4"/>
  <c r="N162" i="4"/>
  <c r="M162" i="4"/>
  <c r="K162" i="4"/>
  <c r="L162" i="4"/>
  <c r="P62" i="4"/>
  <c r="O62" i="4"/>
  <c r="N62" i="4"/>
  <c r="M62" i="4"/>
  <c r="K62" i="4"/>
  <c r="L62" i="4"/>
  <c r="P134" i="4"/>
  <c r="O134" i="4"/>
  <c r="N134" i="4"/>
  <c r="M134" i="4"/>
  <c r="K134" i="4"/>
  <c r="L134" i="4"/>
  <c r="P206" i="4"/>
  <c r="O206" i="4"/>
  <c r="N206" i="4"/>
  <c r="M206" i="4"/>
  <c r="K206" i="4"/>
  <c r="L206" i="4"/>
  <c r="P278" i="4"/>
  <c r="O278" i="4"/>
  <c r="N278" i="4"/>
  <c r="M278" i="4"/>
  <c r="K278" i="4"/>
  <c r="L278" i="4"/>
  <c r="P350" i="4"/>
  <c r="O350" i="4"/>
  <c r="N350" i="4"/>
  <c r="M350" i="4"/>
  <c r="K350" i="4"/>
  <c r="L350" i="4"/>
  <c r="P422" i="4"/>
  <c r="O422" i="4"/>
  <c r="N422" i="4"/>
  <c r="M422" i="4"/>
  <c r="K422" i="4"/>
  <c r="L422" i="4"/>
  <c r="P494" i="4"/>
  <c r="O494" i="4"/>
  <c r="N494" i="4"/>
  <c r="M494" i="4"/>
  <c r="L494" i="4"/>
  <c r="K494" i="4"/>
  <c r="P566" i="4"/>
  <c r="O566" i="4"/>
  <c r="N566" i="4"/>
  <c r="M566" i="4"/>
  <c r="L566" i="4"/>
  <c r="K566" i="4"/>
  <c r="P638" i="4"/>
  <c r="O638" i="4"/>
  <c r="N638" i="4"/>
  <c r="M638" i="4"/>
  <c r="L638" i="4"/>
  <c r="K638" i="4"/>
  <c r="O881" i="4"/>
  <c r="P881" i="4"/>
  <c r="N881" i="4"/>
  <c r="M881" i="4"/>
  <c r="L881" i="4"/>
  <c r="K881" i="4"/>
  <c r="P76" i="4"/>
  <c r="O76" i="4"/>
  <c r="N76" i="4"/>
  <c r="M76" i="4"/>
  <c r="L76" i="4"/>
  <c r="K76" i="4"/>
  <c r="P77" i="4"/>
  <c r="O77" i="4"/>
  <c r="N77" i="4"/>
  <c r="L77" i="4"/>
  <c r="M77" i="4"/>
  <c r="K77" i="4"/>
  <c r="P149" i="4"/>
  <c r="O149" i="4"/>
  <c r="N149" i="4"/>
  <c r="L149" i="4"/>
  <c r="M149" i="4"/>
  <c r="K149" i="4"/>
  <c r="P233" i="4"/>
  <c r="O233" i="4"/>
  <c r="N233" i="4"/>
  <c r="L233" i="4"/>
  <c r="K233" i="4"/>
  <c r="M233" i="4"/>
  <c r="P329" i="4"/>
  <c r="O329" i="4"/>
  <c r="N329" i="4"/>
  <c r="L329" i="4"/>
  <c r="M329" i="4"/>
  <c r="K329" i="4"/>
  <c r="P413" i="4"/>
  <c r="O413" i="4"/>
  <c r="N413" i="4"/>
  <c r="M413" i="4"/>
  <c r="L413" i="4"/>
  <c r="K413" i="4"/>
  <c r="P509" i="4"/>
  <c r="O509" i="4"/>
  <c r="N509" i="4"/>
  <c r="M509" i="4"/>
  <c r="L509" i="4"/>
  <c r="K509" i="4"/>
  <c r="P605" i="4"/>
  <c r="O605" i="4"/>
  <c r="N605" i="4"/>
  <c r="M605" i="4"/>
  <c r="L605" i="4"/>
  <c r="K605" i="4"/>
  <c r="P773" i="4"/>
  <c r="O773" i="4"/>
  <c r="N773" i="4"/>
  <c r="M773" i="4"/>
  <c r="L773" i="4"/>
  <c r="K773" i="4"/>
  <c r="P869" i="4"/>
  <c r="O869" i="4"/>
  <c r="N869" i="4"/>
  <c r="M869" i="4"/>
  <c r="L869" i="4"/>
  <c r="K869" i="4"/>
  <c r="P965" i="4"/>
  <c r="O965" i="4"/>
  <c r="N965" i="4"/>
  <c r="M965" i="4"/>
  <c r="L965" i="4"/>
  <c r="K965" i="4"/>
  <c r="P54" i="4"/>
  <c r="O54" i="4"/>
  <c r="N54" i="4"/>
  <c r="M54" i="4"/>
  <c r="L54" i="4"/>
  <c r="K54" i="4"/>
  <c r="P150" i="4"/>
  <c r="O150" i="4"/>
  <c r="N150" i="4"/>
  <c r="M150" i="4"/>
  <c r="K150" i="4"/>
  <c r="L150" i="4"/>
  <c r="P246" i="4"/>
  <c r="O246" i="4"/>
  <c r="N246" i="4"/>
  <c r="M246" i="4"/>
  <c r="K246" i="4"/>
  <c r="L246" i="4"/>
  <c r="P342" i="4"/>
  <c r="O342" i="4"/>
  <c r="N342" i="4"/>
  <c r="L342" i="4"/>
  <c r="K342" i="4"/>
  <c r="M342" i="4"/>
  <c r="P438" i="4"/>
  <c r="O438" i="4"/>
  <c r="N438" i="4"/>
  <c r="M438" i="4"/>
  <c r="L438" i="4"/>
  <c r="K438" i="4"/>
  <c r="P534" i="4"/>
  <c r="O534" i="4"/>
  <c r="N534" i="4"/>
  <c r="M534" i="4"/>
  <c r="L534" i="4"/>
  <c r="K534" i="4"/>
  <c r="P630" i="4"/>
  <c r="O630" i="4"/>
  <c r="N630" i="4"/>
  <c r="M630" i="4"/>
  <c r="L630" i="4"/>
  <c r="K630" i="4"/>
  <c r="P978" i="4"/>
  <c r="O978" i="4"/>
  <c r="N978" i="4"/>
  <c r="L978" i="4"/>
  <c r="M978" i="4"/>
  <c r="K978" i="4"/>
  <c r="P80" i="4"/>
  <c r="O80" i="4"/>
  <c r="N80" i="4"/>
  <c r="M80" i="4"/>
  <c r="K80" i="4"/>
  <c r="L80" i="4"/>
  <c r="O152" i="4"/>
  <c r="P152" i="4"/>
  <c r="N152" i="4"/>
  <c r="M152" i="4"/>
  <c r="L152" i="4"/>
  <c r="K152" i="4"/>
  <c r="P224" i="4"/>
  <c r="O224" i="4"/>
  <c r="N224" i="4"/>
  <c r="M224" i="4"/>
  <c r="L224" i="4"/>
  <c r="K224" i="4"/>
  <c r="O296" i="4"/>
  <c r="P296" i="4"/>
  <c r="N296" i="4"/>
  <c r="M296" i="4"/>
  <c r="L296" i="4"/>
  <c r="K296" i="4"/>
  <c r="P368" i="4"/>
  <c r="O368" i="4"/>
  <c r="N368" i="4"/>
  <c r="M368" i="4"/>
  <c r="L368" i="4"/>
  <c r="K368" i="4"/>
  <c r="F440" i="4"/>
  <c r="O440" i="4"/>
  <c r="P440" i="4"/>
  <c r="N440" i="4"/>
  <c r="M440" i="4"/>
  <c r="L440" i="4"/>
  <c r="K440" i="4"/>
  <c r="P512" i="4"/>
  <c r="O512" i="4"/>
  <c r="N512" i="4"/>
  <c r="M512" i="4"/>
  <c r="L512" i="4"/>
  <c r="K512" i="4"/>
  <c r="O584" i="4"/>
  <c r="P584" i="4"/>
  <c r="N584" i="4"/>
  <c r="M584" i="4"/>
  <c r="L584" i="4"/>
  <c r="K584" i="4"/>
  <c r="P656" i="4"/>
  <c r="O656" i="4"/>
  <c r="N656" i="4"/>
  <c r="M656" i="4"/>
  <c r="L656" i="4"/>
  <c r="K656" i="4"/>
  <c r="P728" i="4"/>
  <c r="O728" i="4"/>
  <c r="N728" i="4"/>
  <c r="M728" i="4"/>
  <c r="L728" i="4"/>
  <c r="K728" i="4"/>
  <c r="P95" i="4"/>
  <c r="O95" i="4"/>
  <c r="N95" i="4"/>
  <c r="M95" i="4"/>
  <c r="K95" i="4"/>
  <c r="L95" i="4"/>
  <c r="P167" i="4"/>
  <c r="O167" i="4"/>
  <c r="N167" i="4"/>
  <c r="M167" i="4"/>
  <c r="L167" i="4"/>
  <c r="K167" i="4"/>
  <c r="P239" i="4"/>
  <c r="O239" i="4"/>
  <c r="N239" i="4"/>
  <c r="M239" i="4"/>
  <c r="L239" i="4"/>
  <c r="K239" i="4"/>
  <c r="P311" i="4"/>
  <c r="O311" i="4"/>
  <c r="N311" i="4"/>
  <c r="M311" i="4"/>
  <c r="L311" i="4"/>
  <c r="K311" i="4"/>
  <c r="P383" i="4"/>
  <c r="O383" i="4"/>
  <c r="N383" i="4"/>
  <c r="M383" i="4"/>
  <c r="K383" i="4"/>
  <c r="L383" i="4"/>
  <c r="P455" i="4"/>
  <c r="O455" i="4"/>
  <c r="N455" i="4"/>
  <c r="M455" i="4"/>
  <c r="L455" i="4"/>
  <c r="K455" i="4"/>
  <c r="P450" i="4"/>
  <c r="O450" i="4"/>
  <c r="N450" i="4"/>
  <c r="M450" i="4"/>
  <c r="L450" i="4"/>
  <c r="K450" i="4"/>
  <c r="P231" i="4"/>
  <c r="O231" i="4"/>
  <c r="M231" i="4"/>
  <c r="N231" i="4"/>
  <c r="L231" i="4"/>
  <c r="K231" i="4"/>
  <c r="P511" i="4"/>
  <c r="O511" i="4"/>
  <c r="N511" i="4"/>
  <c r="L511" i="4"/>
  <c r="M511" i="4"/>
  <c r="K511" i="4"/>
  <c r="P585" i="4"/>
  <c r="O585" i="4"/>
  <c r="N585" i="4"/>
  <c r="M585" i="4"/>
  <c r="L585" i="4"/>
  <c r="K585" i="4"/>
  <c r="P334" i="4"/>
  <c r="O334" i="4"/>
  <c r="N334" i="4"/>
  <c r="M334" i="4"/>
  <c r="L334" i="4"/>
  <c r="K334" i="4"/>
  <c r="P132" i="4"/>
  <c r="O132" i="4"/>
  <c r="N132" i="4"/>
  <c r="M132" i="4"/>
  <c r="L132" i="4"/>
  <c r="K132" i="4"/>
  <c r="P780" i="4"/>
  <c r="O780" i="4"/>
  <c r="N780" i="4"/>
  <c r="M780" i="4"/>
  <c r="L780" i="4"/>
  <c r="K780" i="4"/>
  <c r="J39" i="4"/>
  <c r="G519" i="4"/>
  <c r="J87" i="4"/>
  <c r="G375" i="4"/>
  <c r="H303" i="4"/>
  <c r="H591" i="4"/>
  <c r="I79" i="4"/>
  <c r="I223" i="4"/>
  <c r="J367" i="4"/>
  <c r="J511" i="4"/>
  <c r="J655" i="4"/>
  <c r="J153" i="4"/>
  <c r="J297" i="4"/>
  <c r="J441" i="4"/>
  <c r="J585" i="4"/>
  <c r="J729" i="4"/>
  <c r="H945" i="4"/>
  <c r="I46" i="4"/>
  <c r="I190" i="4"/>
  <c r="I334" i="4"/>
  <c r="I478" i="4"/>
  <c r="I622" i="4"/>
  <c r="I766" i="4"/>
  <c r="I60" i="4"/>
  <c r="I204" i="4"/>
  <c r="I348" i="4"/>
  <c r="F564" i="4"/>
  <c r="I708" i="4"/>
  <c r="I852" i="4"/>
  <c r="I737" i="4"/>
  <c r="I85" i="4"/>
  <c r="I517" i="4"/>
  <c r="P498" i="4"/>
  <c r="O498" i="4"/>
  <c r="N498" i="4"/>
  <c r="M498" i="4"/>
  <c r="L498" i="4"/>
  <c r="K498" i="4"/>
  <c r="P27" i="4"/>
  <c r="O27" i="4"/>
  <c r="M27" i="4"/>
  <c r="N27" i="4"/>
  <c r="L27" i="4"/>
  <c r="K27" i="4"/>
  <c r="F147" i="4"/>
  <c r="P147" i="4"/>
  <c r="O147" i="4"/>
  <c r="M147" i="4"/>
  <c r="N147" i="4"/>
  <c r="L147" i="4"/>
  <c r="K147" i="4"/>
  <c r="P219" i="4"/>
  <c r="O219" i="4"/>
  <c r="M219" i="4"/>
  <c r="N219" i="4"/>
  <c r="L219" i="4"/>
  <c r="K219" i="4"/>
  <c r="P291" i="4"/>
  <c r="O291" i="4"/>
  <c r="M291" i="4"/>
  <c r="N291" i="4"/>
  <c r="L291" i="4"/>
  <c r="K291" i="4"/>
  <c r="P363" i="4"/>
  <c r="O363" i="4"/>
  <c r="N363" i="4"/>
  <c r="M363" i="4"/>
  <c r="L363" i="4"/>
  <c r="K363" i="4"/>
  <c r="P435" i="4"/>
  <c r="O435" i="4"/>
  <c r="M435" i="4"/>
  <c r="N435" i="4"/>
  <c r="L435" i="4"/>
  <c r="K435" i="4"/>
  <c r="P507" i="4"/>
  <c r="O507" i="4"/>
  <c r="N507" i="4"/>
  <c r="M507" i="4"/>
  <c r="L507" i="4"/>
  <c r="K507" i="4"/>
  <c r="P579" i="4"/>
  <c r="O579" i="4"/>
  <c r="N579" i="4"/>
  <c r="M579" i="4"/>
  <c r="L579" i="4"/>
  <c r="K579" i="4"/>
  <c r="P651" i="4"/>
  <c r="O651" i="4"/>
  <c r="N651" i="4"/>
  <c r="M651" i="4"/>
  <c r="L651" i="4"/>
  <c r="K651" i="4"/>
  <c r="P97" i="4"/>
  <c r="O97" i="4"/>
  <c r="N97" i="4"/>
  <c r="M97" i="4"/>
  <c r="L97" i="4"/>
  <c r="K97" i="4"/>
  <c r="P977" i="4"/>
  <c r="O977" i="4"/>
  <c r="N977" i="4"/>
  <c r="M977" i="4"/>
  <c r="L977" i="4"/>
  <c r="K977" i="4"/>
  <c r="P445" i="4"/>
  <c r="O445" i="4"/>
  <c r="M445" i="4"/>
  <c r="N445" i="4"/>
  <c r="K445" i="4"/>
  <c r="L445" i="4"/>
  <c r="P241" i="4"/>
  <c r="O241" i="4"/>
  <c r="N241" i="4"/>
  <c r="M241" i="4"/>
  <c r="L241" i="4"/>
  <c r="K241" i="4"/>
  <c r="P67" i="4"/>
  <c r="O67" i="4"/>
  <c r="N67" i="4"/>
  <c r="M67" i="4"/>
  <c r="L67" i="4"/>
  <c r="K67" i="4"/>
  <c r="P139" i="4"/>
  <c r="O139" i="4"/>
  <c r="N139" i="4"/>
  <c r="M139" i="4"/>
  <c r="L139" i="4"/>
  <c r="K139" i="4"/>
  <c r="P211" i="4"/>
  <c r="O211" i="4"/>
  <c r="N211" i="4"/>
  <c r="M211" i="4"/>
  <c r="L211" i="4"/>
  <c r="K211" i="4"/>
  <c r="P283" i="4"/>
  <c r="O283" i="4"/>
  <c r="N283" i="4"/>
  <c r="M283" i="4"/>
  <c r="L283" i="4"/>
  <c r="K283" i="4"/>
  <c r="P355" i="4"/>
  <c r="O355" i="4"/>
  <c r="N355" i="4"/>
  <c r="M355" i="4"/>
  <c r="L355" i="4"/>
  <c r="K355" i="4"/>
  <c r="P427" i="4"/>
  <c r="O427" i="4"/>
  <c r="N427" i="4"/>
  <c r="M427" i="4"/>
  <c r="L427" i="4"/>
  <c r="K427" i="4"/>
  <c r="P499" i="4"/>
  <c r="O499" i="4"/>
  <c r="N499" i="4"/>
  <c r="L499" i="4"/>
  <c r="M499" i="4"/>
  <c r="K499" i="4"/>
  <c r="P571" i="4"/>
  <c r="O571" i="4"/>
  <c r="N571" i="4"/>
  <c r="L571" i="4"/>
  <c r="M571" i="4"/>
  <c r="K571" i="4"/>
  <c r="P643" i="4"/>
  <c r="N643" i="4"/>
  <c r="O643" i="4"/>
  <c r="L643" i="4"/>
  <c r="M643" i="4"/>
  <c r="K643" i="4"/>
  <c r="P409" i="4"/>
  <c r="O409" i="4"/>
  <c r="N409" i="4"/>
  <c r="M409" i="4"/>
  <c r="L409" i="4"/>
  <c r="K409" i="4"/>
  <c r="P69" i="4"/>
  <c r="O69" i="4"/>
  <c r="N69" i="4"/>
  <c r="L69" i="4"/>
  <c r="M69" i="4"/>
  <c r="K69" i="4"/>
  <c r="P141" i="4"/>
  <c r="O141" i="4"/>
  <c r="N141" i="4"/>
  <c r="L141" i="4"/>
  <c r="M141" i="4"/>
  <c r="K141" i="4"/>
  <c r="P213" i="4"/>
  <c r="O213" i="4"/>
  <c r="N213" i="4"/>
  <c r="M213" i="4"/>
  <c r="L213" i="4"/>
  <c r="K213" i="4"/>
  <c r="P285" i="4"/>
  <c r="O285" i="4"/>
  <c r="N285" i="4"/>
  <c r="M285" i="4"/>
  <c r="L285" i="4"/>
  <c r="K285" i="4"/>
  <c r="P357" i="4"/>
  <c r="O357" i="4"/>
  <c r="N357" i="4"/>
  <c r="M357" i="4"/>
  <c r="L357" i="4"/>
  <c r="K357" i="4"/>
  <c r="P429" i="4"/>
  <c r="O429" i="4"/>
  <c r="N429" i="4"/>
  <c r="M429" i="4"/>
  <c r="L429" i="4"/>
  <c r="K429" i="4"/>
  <c r="P501" i="4"/>
  <c r="O501" i="4"/>
  <c r="N501" i="4"/>
  <c r="M501" i="4"/>
  <c r="L501" i="4"/>
  <c r="K501" i="4"/>
  <c r="P573" i="4"/>
  <c r="O573" i="4"/>
  <c r="N573" i="4"/>
  <c r="M573" i="4"/>
  <c r="L573" i="4"/>
  <c r="K573" i="4"/>
  <c r="P645" i="4"/>
  <c r="N645" i="4"/>
  <c r="O645" i="4"/>
  <c r="M645" i="4"/>
  <c r="L645" i="4"/>
  <c r="K645" i="4"/>
  <c r="P717" i="4"/>
  <c r="O717" i="4"/>
  <c r="N717" i="4"/>
  <c r="M717" i="4"/>
  <c r="L717" i="4"/>
  <c r="K717" i="4"/>
  <c r="P789" i="4"/>
  <c r="O789" i="4"/>
  <c r="N789" i="4"/>
  <c r="M789" i="4"/>
  <c r="L789" i="4"/>
  <c r="K789" i="4"/>
  <c r="F861" i="4"/>
  <c r="P861" i="4"/>
  <c r="N861" i="4"/>
  <c r="O861" i="4"/>
  <c r="M861" i="4"/>
  <c r="L861" i="4"/>
  <c r="K861" i="4"/>
  <c r="P933" i="4"/>
  <c r="O933" i="4"/>
  <c r="N933" i="4"/>
  <c r="M933" i="4"/>
  <c r="L933" i="4"/>
  <c r="K933" i="4"/>
  <c r="F1005" i="4"/>
  <c r="P1005" i="4"/>
  <c r="O1005" i="4"/>
  <c r="M1005" i="4"/>
  <c r="N1005" i="4"/>
  <c r="L1005" i="4"/>
  <c r="K1005" i="4"/>
  <c r="P65" i="4"/>
  <c r="O65" i="4"/>
  <c r="N65" i="4"/>
  <c r="L65" i="4"/>
  <c r="M65" i="4"/>
  <c r="K65" i="4"/>
  <c r="P34" i="4"/>
  <c r="O34" i="4"/>
  <c r="N34" i="4"/>
  <c r="M34" i="4"/>
  <c r="L34" i="4"/>
  <c r="K34" i="4"/>
  <c r="P106" i="4"/>
  <c r="O106" i="4"/>
  <c r="N106" i="4"/>
  <c r="M106" i="4"/>
  <c r="L106" i="4"/>
  <c r="K106" i="4"/>
  <c r="P178" i="4"/>
  <c r="O178" i="4"/>
  <c r="N178" i="4"/>
  <c r="M178" i="4"/>
  <c r="L178" i="4"/>
  <c r="K178" i="4"/>
  <c r="P250" i="4"/>
  <c r="O250" i="4"/>
  <c r="N250" i="4"/>
  <c r="L250" i="4"/>
  <c r="K250" i="4"/>
  <c r="M250" i="4"/>
  <c r="P322" i="4"/>
  <c r="O322" i="4"/>
  <c r="N322" i="4"/>
  <c r="M322" i="4"/>
  <c r="L322" i="4"/>
  <c r="K322" i="4"/>
  <c r="P394" i="4"/>
  <c r="O394" i="4"/>
  <c r="N394" i="4"/>
  <c r="M394" i="4"/>
  <c r="L394" i="4"/>
  <c r="K394" i="4"/>
  <c r="P466" i="4"/>
  <c r="O466" i="4"/>
  <c r="N466" i="4"/>
  <c r="L466" i="4"/>
  <c r="M466" i="4"/>
  <c r="K466" i="4"/>
  <c r="P538" i="4"/>
  <c r="O538" i="4"/>
  <c r="N538" i="4"/>
  <c r="M538" i="4"/>
  <c r="L538" i="4"/>
  <c r="K538" i="4"/>
  <c r="P610" i="4"/>
  <c r="O610" i="4"/>
  <c r="N610" i="4"/>
  <c r="L610" i="4"/>
  <c r="M610" i="4"/>
  <c r="K610" i="4"/>
  <c r="P682" i="4"/>
  <c r="O682" i="4"/>
  <c r="N682" i="4"/>
  <c r="M682" i="4"/>
  <c r="L682" i="4"/>
  <c r="K682" i="4"/>
  <c r="P754" i="4"/>
  <c r="N754" i="4"/>
  <c r="O754" i="4"/>
  <c r="L754" i="4"/>
  <c r="K754" i="4"/>
  <c r="M754" i="4"/>
  <c r="P25" i="4"/>
  <c r="O25" i="4"/>
  <c r="N25" i="4"/>
  <c r="M25" i="4"/>
  <c r="L25" i="4"/>
  <c r="K25" i="4"/>
  <c r="O785" i="4"/>
  <c r="P785" i="4"/>
  <c r="N785" i="4"/>
  <c r="M785" i="4"/>
  <c r="L785" i="4"/>
  <c r="K785" i="4"/>
  <c r="P120" i="4"/>
  <c r="O120" i="4"/>
  <c r="N120" i="4"/>
  <c r="M120" i="4"/>
  <c r="L120" i="4"/>
  <c r="K120" i="4"/>
  <c r="P192" i="4"/>
  <c r="O192" i="4"/>
  <c r="N192" i="4"/>
  <c r="M192" i="4"/>
  <c r="L192" i="4"/>
  <c r="K192" i="4"/>
  <c r="P264" i="4"/>
  <c r="O264" i="4"/>
  <c r="N264" i="4"/>
  <c r="M264" i="4"/>
  <c r="L264" i="4"/>
  <c r="K264" i="4"/>
  <c r="P336" i="4"/>
  <c r="O336" i="4"/>
  <c r="N336" i="4"/>
  <c r="M336" i="4"/>
  <c r="K336" i="4"/>
  <c r="L336" i="4"/>
  <c r="P408" i="4"/>
  <c r="O408" i="4"/>
  <c r="N408" i="4"/>
  <c r="M408" i="4"/>
  <c r="L408" i="4"/>
  <c r="K408" i="4"/>
  <c r="P480" i="4"/>
  <c r="O480" i="4"/>
  <c r="N480" i="4"/>
  <c r="M480" i="4"/>
  <c r="L480" i="4"/>
  <c r="K480" i="4"/>
  <c r="F552" i="4"/>
  <c r="P552" i="4"/>
  <c r="O552" i="4"/>
  <c r="N552" i="4"/>
  <c r="M552" i="4"/>
  <c r="L552" i="4"/>
  <c r="K552" i="4"/>
  <c r="F624" i="4"/>
  <c r="P624" i="4"/>
  <c r="O624" i="4"/>
  <c r="N624" i="4"/>
  <c r="M624" i="4"/>
  <c r="L624" i="4"/>
  <c r="K624" i="4"/>
  <c r="P696" i="4"/>
  <c r="O696" i="4"/>
  <c r="N696" i="4"/>
  <c r="M696" i="4"/>
  <c r="L696" i="4"/>
  <c r="K696" i="4"/>
  <c r="P768" i="4"/>
  <c r="O768" i="4"/>
  <c r="N768" i="4"/>
  <c r="M768" i="4"/>
  <c r="L768" i="4"/>
  <c r="K768" i="4"/>
  <c r="P840" i="4"/>
  <c r="O840" i="4"/>
  <c r="N840" i="4"/>
  <c r="M840" i="4"/>
  <c r="L840" i="4"/>
  <c r="K840" i="4"/>
  <c r="P912" i="4"/>
  <c r="O912" i="4"/>
  <c r="N912" i="4"/>
  <c r="M912" i="4"/>
  <c r="L912" i="4"/>
  <c r="K912" i="4"/>
  <c r="P519" i="4"/>
  <c r="O519" i="4"/>
  <c r="N519" i="4"/>
  <c r="M519" i="4"/>
  <c r="L519" i="4"/>
  <c r="K519" i="4"/>
  <c r="P583" i="4"/>
  <c r="O583" i="4"/>
  <c r="N583" i="4"/>
  <c r="M583" i="4"/>
  <c r="L583" i="4"/>
  <c r="K583" i="4"/>
  <c r="P657" i="4"/>
  <c r="O657" i="4"/>
  <c r="N657" i="4"/>
  <c r="M657" i="4"/>
  <c r="L657" i="4"/>
  <c r="K657" i="4"/>
  <c r="P492" i="4"/>
  <c r="O492" i="4"/>
  <c r="N492" i="4"/>
  <c r="M492" i="4"/>
  <c r="L492" i="4"/>
  <c r="K492" i="4"/>
  <c r="H375" i="4"/>
  <c r="J519" i="4"/>
  <c r="G159" i="4"/>
  <c r="I303" i="4"/>
  <c r="I591" i="4"/>
  <c r="J79" i="4"/>
  <c r="J223" i="4"/>
  <c r="F801" i="4"/>
  <c r="I945" i="4"/>
  <c r="J46" i="4"/>
  <c r="J190" i="4"/>
  <c r="J334" i="4"/>
  <c r="J478" i="4"/>
  <c r="J622" i="4"/>
  <c r="J766" i="4"/>
  <c r="F12" i="4"/>
  <c r="J60" i="4"/>
  <c r="J204" i="4"/>
  <c r="J348" i="4"/>
  <c r="H564" i="4"/>
  <c r="J708" i="4"/>
  <c r="J852" i="4"/>
  <c r="J737" i="4"/>
  <c r="J85" i="4"/>
  <c r="F181" i="4"/>
  <c r="J517" i="4"/>
  <c r="O833" i="4"/>
  <c r="P833" i="4"/>
  <c r="N833" i="4"/>
  <c r="M833" i="4"/>
  <c r="L833" i="4"/>
  <c r="K833" i="4"/>
  <c r="P74" i="4"/>
  <c r="O74" i="4"/>
  <c r="N74" i="4"/>
  <c r="M74" i="4"/>
  <c r="K74" i="4"/>
  <c r="L74" i="4"/>
  <c r="P146" i="4"/>
  <c r="O146" i="4"/>
  <c r="N146" i="4"/>
  <c r="M146" i="4"/>
  <c r="K146" i="4"/>
  <c r="L146" i="4"/>
  <c r="P218" i="4"/>
  <c r="O218" i="4"/>
  <c r="N218" i="4"/>
  <c r="M218" i="4"/>
  <c r="K218" i="4"/>
  <c r="L218" i="4"/>
  <c r="P290" i="4"/>
  <c r="O290" i="4"/>
  <c r="N290" i="4"/>
  <c r="M290" i="4"/>
  <c r="K290" i="4"/>
  <c r="L290" i="4"/>
  <c r="P362" i="4"/>
  <c r="O362" i="4"/>
  <c r="M362" i="4"/>
  <c r="N362" i="4"/>
  <c r="K362" i="4"/>
  <c r="L362" i="4"/>
  <c r="P434" i="4"/>
  <c r="O434" i="4"/>
  <c r="N434" i="4"/>
  <c r="M434" i="4"/>
  <c r="L434" i="4"/>
  <c r="K434" i="4"/>
  <c r="P506" i="4"/>
  <c r="O506" i="4"/>
  <c r="N506" i="4"/>
  <c r="M506" i="4"/>
  <c r="L506" i="4"/>
  <c r="K506" i="4"/>
  <c r="P578" i="4"/>
  <c r="O578" i="4"/>
  <c r="N578" i="4"/>
  <c r="M578" i="4"/>
  <c r="L578" i="4"/>
  <c r="K578" i="4"/>
  <c r="P650" i="4"/>
  <c r="O650" i="4"/>
  <c r="N650" i="4"/>
  <c r="M650" i="4"/>
  <c r="L650" i="4"/>
  <c r="K650" i="4"/>
  <c r="P16" i="4"/>
  <c r="O16" i="4"/>
  <c r="N16" i="4"/>
  <c r="M16" i="4"/>
  <c r="K16" i="4"/>
  <c r="L16" i="4"/>
  <c r="P258" i="4"/>
  <c r="O258" i="4"/>
  <c r="N258" i="4"/>
  <c r="M258" i="4"/>
  <c r="K258" i="4"/>
  <c r="L258" i="4"/>
  <c r="P89" i="4"/>
  <c r="O89" i="4"/>
  <c r="N89" i="4"/>
  <c r="L89" i="4"/>
  <c r="K89" i="4"/>
  <c r="M89" i="4"/>
  <c r="P173" i="4"/>
  <c r="O173" i="4"/>
  <c r="N173" i="4"/>
  <c r="L173" i="4"/>
  <c r="M173" i="4"/>
  <c r="K173" i="4"/>
  <c r="P245" i="4"/>
  <c r="O245" i="4"/>
  <c r="N245" i="4"/>
  <c r="L245" i="4"/>
  <c r="M245" i="4"/>
  <c r="K245" i="4"/>
  <c r="P341" i="4"/>
  <c r="O341" i="4"/>
  <c r="N341" i="4"/>
  <c r="M341" i="4"/>
  <c r="L341" i="4"/>
  <c r="K341" i="4"/>
  <c r="P425" i="4"/>
  <c r="O425" i="4"/>
  <c r="N425" i="4"/>
  <c r="L425" i="4"/>
  <c r="M425" i="4"/>
  <c r="K425" i="4"/>
  <c r="P521" i="4"/>
  <c r="O521" i="4"/>
  <c r="N521" i="4"/>
  <c r="M521" i="4"/>
  <c r="L521" i="4"/>
  <c r="K521" i="4"/>
  <c r="P617" i="4"/>
  <c r="O617" i="4"/>
  <c r="N617" i="4"/>
  <c r="M617" i="4"/>
  <c r="L617" i="4"/>
  <c r="K617" i="4"/>
  <c r="P701" i="4"/>
  <c r="O701" i="4"/>
  <c r="N701" i="4"/>
  <c r="M701" i="4"/>
  <c r="L701" i="4"/>
  <c r="K701" i="4"/>
  <c r="O797" i="4"/>
  <c r="P797" i="4"/>
  <c r="N797" i="4"/>
  <c r="M797" i="4"/>
  <c r="L797" i="4"/>
  <c r="K797" i="4"/>
  <c r="P893" i="4"/>
  <c r="O893" i="4"/>
  <c r="N893" i="4"/>
  <c r="M893" i="4"/>
  <c r="L893" i="4"/>
  <c r="K893" i="4"/>
  <c r="P78" i="4"/>
  <c r="O78" i="4"/>
  <c r="N78" i="4"/>
  <c r="M78" i="4"/>
  <c r="K78" i="4"/>
  <c r="L78" i="4"/>
  <c r="P174" i="4"/>
  <c r="O174" i="4"/>
  <c r="N174" i="4"/>
  <c r="M174" i="4"/>
  <c r="K174" i="4"/>
  <c r="L174" i="4"/>
  <c r="P270" i="4"/>
  <c r="O270" i="4"/>
  <c r="N270" i="4"/>
  <c r="M270" i="4"/>
  <c r="K270" i="4"/>
  <c r="L270" i="4"/>
  <c r="P366" i="4"/>
  <c r="O366" i="4"/>
  <c r="N366" i="4"/>
  <c r="M366" i="4"/>
  <c r="K366" i="4"/>
  <c r="L366" i="4"/>
  <c r="P462" i="4"/>
  <c r="O462" i="4"/>
  <c r="N462" i="4"/>
  <c r="M462" i="4"/>
  <c r="K462" i="4"/>
  <c r="L462" i="4"/>
  <c r="P558" i="4"/>
  <c r="O558" i="4"/>
  <c r="N558" i="4"/>
  <c r="M558" i="4"/>
  <c r="L558" i="4"/>
  <c r="K558" i="4"/>
  <c r="P654" i="4"/>
  <c r="O654" i="4"/>
  <c r="M654" i="4"/>
  <c r="N654" i="4"/>
  <c r="L654" i="4"/>
  <c r="K654" i="4"/>
  <c r="P20" i="4"/>
  <c r="O20" i="4"/>
  <c r="N20" i="4"/>
  <c r="M20" i="4"/>
  <c r="L20" i="4"/>
  <c r="K20" i="4"/>
  <c r="P92" i="4"/>
  <c r="O92" i="4"/>
  <c r="N92" i="4"/>
  <c r="M92" i="4"/>
  <c r="L92" i="4"/>
  <c r="K92" i="4"/>
  <c r="P164" i="4"/>
  <c r="O164" i="4"/>
  <c r="N164" i="4"/>
  <c r="M164" i="4"/>
  <c r="L164" i="4"/>
  <c r="K164" i="4"/>
  <c r="P236" i="4"/>
  <c r="O236" i="4"/>
  <c r="N236" i="4"/>
  <c r="M236" i="4"/>
  <c r="K236" i="4"/>
  <c r="L236" i="4"/>
  <c r="P308" i="4"/>
  <c r="O308" i="4"/>
  <c r="N308" i="4"/>
  <c r="M308" i="4"/>
  <c r="L308" i="4"/>
  <c r="K308" i="4"/>
  <c r="P380" i="4"/>
  <c r="O380" i="4"/>
  <c r="N380" i="4"/>
  <c r="M380" i="4"/>
  <c r="K380" i="4"/>
  <c r="L380" i="4"/>
  <c r="P452" i="4"/>
  <c r="O452" i="4"/>
  <c r="N452" i="4"/>
  <c r="M452" i="4"/>
  <c r="L452" i="4"/>
  <c r="K452" i="4"/>
  <c r="P524" i="4"/>
  <c r="O524" i="4"/>
  <c r="N524" i="4"/>
  <c r="M524" i="4"/>
  <c r="L524" i="4"/>
  <c r="K524" i="4"/>
  <c r="P596" i="4"/>
  <c r="O596" i="4"/>
  <c r="N596" i="4"/>
  <c r="M596" i="4"/>
  <c r="L596" i="4"/>
  <c r="K596" i="4"/>
  <c r="P668" i="4"/>
  <c r="N668" i="4"/>
  <c r="O668" i="4"/>
  <c r="L668" i="4"/>
  <c r="M668" i="4"/>
  <c r="K668" i="4"/>
  <c r="P740" i="4"/>
  <c r="N740" i="4"/>
  <c r="O740" i="4"/>
  <c r="M740" i="4"/>
  <c r="L740" i="4"/>
  <c r="K740" i="4"/>
  <c r="P402" i="4"/>
  <c r="O402" i="4"/>
  <c r="N402" i="4"/>
  <c r="M402" i="4"/>
  <c r="K402" i="4"/>
  <c r="L402" i="4"/>
  <c r="P66" i="4"/>
  <c r="O66" i="4"/>
  <c r="N66" i="4"/>
  <c r="M66" i="4"/>
  <c r="L66" i="4"/>
  <c r="K66" i="4"/>
  <c r="P107" i="4"/>
  <c r="O107" i="4"/>
  <c r="N107" i="4"/>
  <c r="M107" i="4"/>
  <c r="L107" i="4"/>
  <c r="K107" i="4"/>
  <c r="P179" i="4"/>
  <c r="O179" i="4"/>
  <c r="N179" i="4"/>
  <c r="M179" i="4"/>
  <c r="L179" i="4"/>
  <c r="K179" i="4"/>
  <c r="P251" i="4"/>
  <c r="O251" i="4"/>
  <c r="N251" i="4"/>
  <c r="M251" i="4"/>
  <c r="L251" i="4"/>
  <c r="K251" i="4"/>
  <c r="P323" i="4"/>
  <c r="O323" i="4"/>
  <c r="N323" i="4"/>
  <c r="M323" i="4"/>
  <c r="K323" i="4"/>
  <c r="L323" i="4"/>
  <c r="P395" i="4"/>
  <c r="O395" i="4"/>
  <c r="N395" i="4"/>
  <c r="M395" i="4"/>
  <c r="L395" i="4"/>
  <c r="K395" i="4"/>
  <c r="P467" i="4"/>
  <c r="O467" i="4"/>
  <c r="M467" i="4"/>
  <c r="N467" i="4"/>
  <c r="L467" i="4"/>
  <c r="K467" i="4"/>
  <c r="U49" i="4" l="1"/>
  <c r="V47" i="4"/>
  <c r="T49" i="4"/>
  <c r="V49" i="4" l="1"/>
  <c r="W47" i="4"/>
  <c r="W49" i="4" s="1"/>
</calcChain>
</file>

<file path=xl/sharedStrings.xml><?xml version="1.0" encoding="utf-8"?>
<sst xmlns="http://schemas.openxmlformats.org/spreadsheetml/2006/main" count="5155" uniqueCount="3088">
  <si>
    <t>26.448.955/0001-75</t>
  </si>
  <si>
    <t>Empresa 1 LTDA</t>
  </si>
  <si>
    <t>SIM1000</t>
  </si>
  <si>
    <t>EM ANÁLISE</t>
  </si>
  <si>
    <t>Agosto</t>
  </si>
  <si>
    <t>37.928.864/0001-92</t>
  </si>
  <si>
    <t>Empresa 2 LTDA</t>
  </si>
  <si>
    <t>SIM1001</t>
  </si>
  <si>
    <t>TRAMITANDO</t>
  </si>
  <si>
    <t>Fevereiro</t>
  </si>
  <si>
    <t>20.657.837/0001-45</t>
  </si>
  <si>
    <t>Empresa 3 LTDA</t>
  </si>
  <si>
    <t>SIM1002</t>
  </si>
  <si>
    <t>ALÇADA</t>
  </si>
  <si>
    <t>Janeiro</t>
  </si>
  <si>
    <t>84.920.113/0001-62</t>
  </si>
  <si>
    <t>Empresa 4 LTDA</t>
  </si>
  <si>
    <t>SIM1003</t>
  </si>
  <si>
    <t>PERDIDO</t>
  </si>
  <si>
    <t>Dezembro</t>
  </si>
  <si>
    <t>75.271.815/0001-84</t>
  </si>
  <si>
    <t>Empresa 5 LTDA</t>
  </si>
  <si>
    <t>SIM1004</t>
  </si>
  <si>
    <t>NEGOCIANDO</t>
  </si>
  <si>
    <t>Maio</t>
  </si>
  <si>
    <t>22.828.137/0001-23</t>
  </si>
  <si>
    <t>Empresa 6 LTDA</t>
  </si>
  <si>
    <t>SIM1005</t>
  </si>
  <si>
    <t>60.615.658/0001-16</t>
  </si>
  <si>
    <t>Empresa 7 LTDA</t>
  </si>
  <si>
    <t>SIM1006</t>
  </si>
  <si>
    <t>26.371.768/0001-96</t>
  </si>
  <si>
    <t>Empresa 8 LTDA</t>
  </si>
  <si>
    <t>SIM1007</t>
  </si>
  <si>
    <t>78.710.930/0001-84</t>
  </si>
  <si>
    <t>Empresa 9 LTDA</t>
  </si>
  <si>
    <t>SIM1008</t>
  </si>
  <si>
    <t>Julho</t>
  </si>
  <si>
    <t>56.796.346/0001-24</t>
  </si>
  <si>
    <t>Empresa 10 LTDA</t>
  </si>
  <si>
    <t>SIM1009</t>
  </si>
  <si>
    <t>Setembro</t>
  </si>
  <si>
    <t>91.731.495/0001-69</t>
  </si>
  <si>
    <t>Empresa 11 LTDA</t>
  </si>
  <si>
    <t>SIM1010</t>
  </si>
  <si>
    <t>45.524.449/0001-61</t>
  </si>
  <si>
    <t>Empresa 12 LTDA</t>
  </si>
  <si>
    <t>SIM1011</t>
  </si>
  <si>
    <t>Outubro</t>
  </si>
  <si>
    <t>94.223.139/0001-85</t>
  </si>
  <si>
    <t>Empresa 13 LTDA</t>
  </si>
  <si>
    <t>SIM1012</t>
  </si>
  <si>
    <t>41.735.344/0001-18</t>
  </si>
  <si>
    <t>Empresa 14 LTDA</t>
  </si>
  <si>
    <t>SIM1013</t>
  </si>
  <si>
    <t>18.815.966/0001-67</t>
  </si>
  <si>
    <t>Empresa 15 LTDA</t>
  </si>
  <si>
    <t>SIM1014</t>
  </si>
  <si>
    <t>88.578.852/0001-58</t>
  </si>
  <si>
    <t>Empresa 16 LTDA</t>
  </si>
  <si>
    <t>SIM1015</t>
  </si>
  <si>
    <t>81.299.580/0001-23</t>
  </si>
  <si>
    <t>Empresa 17 LTDA</t>
  </si>
  <si>
    <t>SIM1016</t>
  </si>
  <si>
    <t>70.870.828/0001-46</t>
  </si>
  <si>
    <t>Empresa 18 LTDA</t>
  </si>
  <si>
    <t>SIM1017</t>
  </si>
  <si>
    <t>33.151.617/0001-29</t>
  </si>
  <si>
    <t>Empresa 19 LTDA</t>
  </si>
  <si>
    <t>SIM1018</t>
  </si>
  <si>
    <t>81.718.489/0001-40</t>
  </si>
  <si>
    <t>Empresa 20 LTDA</t>
  </si>
  <si>
    <t>SIM1019</t>
  </si>
  <si>
    <t>13.609.669/0001-30</t>
  </si>
  <si>
    <t>Empresa 21 LTDA</t>
  </si>
  <si>
    <t>SIM1020</t>
  </si>
  <si>
    <t>85.809.510/0001-97</t>
  </si>
  <si>
    <t>Empresa 22 LTDA</t>
  </si>
  <si>
    <t>SIM1021</t>
  </si>
  <si>
    <t>Novembro</t>
  </si>
  <si>
    <t>14.933.860/0001-12</t>
  </si>
  <si>
    <t>Empresa 23 LTDA</t>
  </si>
  <si>
    <t>SIM1022</t>
  </si>
  <si>
    <t>71.694.950/0001-26</t>
  </si>
  <si>
    <t>Empresa 24 LTDA</t>
  </si>
  <si>
    <t>SIM1023</t>
  </si>
  <si>
    <t>Março</t>
  </si>
  <si>
    <t>59.866.586/0001-25</t>
  </si>
  <si>
    <t>Empresa 25 LTDA</t>
  </si>
  <si>
    <t>SIM1024</t>
  </si>
  <si>
    <t>76.211.972/0001-77</t>
  </si>
  <si>
    <t>Empresa 26 LTDA</t>
  </si>
  <si>
    <t>SIM1025</t>
  </si>
  <si>
    <t>Junho</t>
  </si>
  <si>
    <t>74.465.554/0001-44</t>
  </si>
  <si>
    <t>Empresa 27 LTDA</t>
  </si>
  <si>
    <t>SIM1026</t>
  </si>
  <si>
    <t>23.692.893/0001-79</t>
  </si>
  <si>
    <t>Empresa 28 LTDA</t>
  </si>
  <si>
    <t>SIM1027</t>
  </si>
  <si>
    <t>11.357.163/0001-99</t>
  </si>
  <si>
    <t>Empresa 29 LTDA</t>
  </si>
  <si>
    <t>SIM1028</t>
  </si>
  <si>
    <t>36.517.295/0001-75</t>
  </si>
  <si>
    <t>Empresa 30 LTDA</t>
  </si>
  <si>
    <t>SIM1029</t>
  </si>
  <si>
    <t>Abril</t>
  </si>
  <si>
    <t>58.339.119/0001-19</t>
  </si>
  <si>
    <t>Empresa 31 LTDA</t>
  </si>
  <si>
    <t>SIM1030</t>
  </si>
  <si>
    <t>83.192.759/0001-79</t>
  </si>
  <si>
    <t>Empresa 32 LTDA</t>
  </si>
  <si>
    <t>SIM1031</t>
  </si>
  <si>
    <t>12.213.196/0001-70</t>
  </si>
  <si>
    <t>Empresa 33 LTDA</t>
  </si>
  <si>
    <t>SIM1032</t>
  </si>
  <si>
    <t>22.638.675/0001-58</t>
  </si>
  <si>
    <t>Empresa 34 LTDA</t>
  </si>
  <si>
    <t>SIM1033</t>
  </si>
  <si>
    <t>95.904.722/0001-73</t>
  </si>
  <si>
    <t>Empresa 35 LTDA</t>
  </si>
  <si>
    <t>SIM1034</t>
  </si>
  <si>
    <t>87.591.829/0001-54</t>
  </si>
  <si>
    <t>Empresa 36 LTDA</t>
  </si>
  <si>
    <t>SIM1035</t>
  </si>
  <si>
    <t>68.683.962/0001-90</t>
  </si>
  <si>
    <t>Empresa 37 LTDA</t>
  </si>
  <si>
    <t>SIM1036</t>
  </si>
  <si>
    <t>77.700.705/0001-43</t>
  </si>
  <si>
    <t>Empresa 38 LTDA</t>
  </si>
  <si>
    <t>SIM1037</t>
  </si>
  <si>
    <t>68.186.111/0001-21</t>
  </si>
  <si>
    <t>Empresa 39 LTDA</t>
  </si>
  <si>
    <t>SIM1038</t>
  </si>
  <si>
    <t>23.747.771/0001-77</t>
  </si>
  <si>
    <t>Empresa 40 LTDA</t>
  </si>
  <si>
    <t>SIM1039</t>
  </si>
  <si>
    <t>34.330.504/0001-96</t>
  </si>
  <si>
    <t>Empresa 41 LTDA</t>
  </si>
  <si>
    <t>SIM1040</t>
  </si>
  <si>
    <t>31.257.428/0001-42</t>
  </si>
  <si>
    <t>Empresa 42 LTDA</t>
  </si>
  <si>
    <t>SIM1041</t>
  </si>
  <si>
    <t>11.805.592/0001-58</t>
  </si>
  <si>
    <t>Empresa 43 LTDA</t>
  </si>
  <si>
    <t>SIM1042</t>
  </si>
  <si>
    <t>43.570.866/0001-88</t>
  </si>
  <si>
    <t>Empresa 44 LTDA</t>
  </si>
  <si>
    <t>SIM1043</t>
  </si>
  <si>
    <t>68.887.805/0001-40</t>
  </si>
  <si>
    <t>Empresa 45 LTDA</t>
  </si>
  <si>
    <t>SIM1044</t>
  </si>
  <si>
    <t>52.450.339/0001-34</t>
  </si>
  <si>
    <t>Empresa 46 LTDA</t>
  </si>
  <si>
    <t>SIM1045</t>
  </si>
  <si>
    <t>63.312.223/0001-80</t>
  </si>
  <si>
    <t>Empresa 47 LTDA</t>
  </si>
  <si>
    <t>SIM1046</t>
  </si>
  <si>
    <t>88.376.135/0001-58</t>
  </si>
  <si>
    <t>Empresa 48 LTDA</t>
  </si>
  <si>
    <t>SIM1047</t>
  </si>
  <si>
    <t>17.362.996/0001-57</t>
  </si>
  <si>
    <t>Empresa 49 LTDA</t>
  </si>
  <si>
    <t>SIM1048</t>
  </si>
  <si>
    <t>23.823.345/0001-23</t>
  </si>
  <si>
    <t>Empresa 50 LTDA</t>
  </si>
  <si>
    <t>SIM1049</t>
  </si>
  <si>
    <t>41.926.720/0001-83</t>
  </si>
  <si>
    <t>Empresa 51 LTDA</t>
  </si>
  <si>
    <t>SIM1050</t>
  </si>
  <si>
    <t>44.609.287/0001-27</t>
  </si>
  <si>
    <t>Empresa 52 LTDA</t>
  </si>
  <si>
    <t>SIM1051</t>
  </si>
  <si>
    <t>47.499.842/0001-90</t>
  </si>
  <si>
    <t>Empresa 53 LTDA</t>
  </si>
  <si>
    <t>SIM1052</t>
  </si>
  <si>
    <t>59.597.421/0001-34</t>
  </si>
  <si>
    <t>Empresa 54 LTDA</t>
  </si>
  <si>
    <t>SIM1053</t>
  </si>
  <si>
    <t>93.208.128/0001-74</t>
  </si>
  <si>
    <t>Empresa 55 LTDA</t>
  </si>
  <si>
    <t>SIM1054</t>
  </si>
  <si>
    <t>64.280.864/0001-87</t>
  </si>
  <si>
    <t>Empresa 56 LTDA</t>
  </si>
  <si>
    <t>SIM1055</t>
  </si>
  <si>
    <t>66.657.500/0001-66</t>
  </si>
  <si>
    <t>Empresa 57 LTDA</t>
  </si>
  <si>
    <t>SIM1056</t>
  </si>
  <si>
    <t>14.535.992/0001-20</t>
  </si>
  <si>
    <t>Empresa 58 LTDA</t>
  </si>
  <si>
    <t>SIM1057</t>
  </si>
  <si>
    <t>61.914.506/0001-72</t>
  </si>
  <si>
    <t>Empresa 59 LTDA</t>
  </si>
  <si>
    <t>SIM1058</t>
  </si>
  <si>
    <t>98.951.254/0001-50</t>
  </si>
  <si>
    <t>Empresa 60 LTDA</t>
  </si>
  <si>
    <t>SIM1059</t>
  </si>
  <si>
    <t>61.400.252/0001-76</t>
  </si>
  <si>
    <t>Empresa 61 LTDA</t>
  </si>
  <si>
    <t>SIM1060</t>
  </si>
  <si>
    <t>13.439.261/0001-97</t>
  </si>
  <si>
    <t>Empresa 62 LTDA</t>
  </si>
  <si>
    <t>SIM1061</t>
  </si>
  <si>
    <t>50.838.351/0001-27</t>
  </si>
  <si>
    <t>Empresa 63 LTDA</t>
  </si>
  <si>
    <t>SIM1062</t>
  </si>
  <si>
    <t>19.701.865/0001-43</t>
  </si>
  <si>
    <t>Empresa 64 LTDA</t>
  </si>
  <si>
    <t>SIM1063</t>
  </si>
  <si>
    <t>64.599.917/0001-98</t>
  </si>
  <si>
    <t>Empresa 65 LTDA</t>
  </si>
  <si>
    <t>SIM1064</t>
  </si>
  <si>
    <t>88.285.994/0001-24</t>
  </si>
  <si>
    <t>Empresa 66 LTDA</t>
  </si>
  <si>
    <t>SIM1065</t>
  </si>
  <si>
    <t>80.596.321/0001-87</t>
  </si>
  <si>
    <t>Empresa 67 LTDA</t>
  </si>
  <si>
    <t>SIM1066</t>
  </si>
  <si>
    <t>38.414.406/0001-90</t>
  </si>
  <si>
    <t>Empresa 68 LTDA</t>
  </si>
  <si>
    <t>SIM1067</t>
  </si>
  <si>
    <t>61.168.550/0001-35</t>
  </si>
  <si>
    <t>Empresa 69 LTDA</t>
  </si>
  <si>
    <t>SIM1068</t>
  </si>
  <si>
    <t>14.117.774/0001-57</t>
  </si>
  <si>
    <t>Empresa 70 LTDA</t>
  </si>
  <si>
    <t>SIM1069</t>
  </si>
  <si>
    <t>70.839.549/0001-81</t>
  </si>
  <si>
    <t>Empresa 71 LTDA</t>
  </si>
  <si>
    <t>SIM1070</t>
  </si>
  <si>
    <t>36.713.824/0001-44</t>
  </si>
  <si>
    <t>Empresa 72 LTDA</t>
  </si>
  <si>
    <t>SIM1071</t>
  </si>
  <si>
    <t>33.141.183/0001-33</t>
  </si>
  <si>
    <t>Empresa 73 LTDA</t>
  </si>
  <si>
    <t>SIM1072</t>
  </si>
  <si>
    <t>66.327.291/0001-32</t>
  </si>
  <si>
    <t>Empresa 74 LTDA</t>
  </si>
  <si>
    <t>SIM1073</t>
  </si>
  <si>
    <t>43.302.419/0001-64</t>
  </si>
  <si>
    <t>Empresa 75 LTDA</t>
  </si>
  <si>
    <t>SIM1074</t>
  </si>
  <si>
    <t>90.446.789/0001-99</t>
  </si>
  <si>
    <t>Empresa 76 LTDA</t>
  </si>
  <si>
    <t>SIM1075</t>
  </si>
  <si>
    <t>53.568.803/0001-53</t>
  </si>
  <si>
    <t>Empresa 77 LTDA</t>
  </si>
  <si>
    <t>SIM1076</t>
  </si>
  <si>
    <t>60.958.902/0001-38</t>
  </si>
  <si>
    <t>Empresa 78 LTDA</t>
  </si>
  <si>
    <t>SIM1077</t>
  </si>
  <si>
    <t>79.431.990/0001-66</t>
  </si>
  <si>
    <t>Empresa 79 LTDA</t>
  </si>
  <si>
    <t>SIM1078</t>
  </si>
  <si>
    <t>25.935.949/0001-25</t>
  </si>
  <si>
    <t>Empresa 80 LTDA</t>
  </si>
  <si>
    <t>SIM1079</t>
  </si>
  <si>
    <t>71.590.654/0001-97</t>
  </si>
  <si>
    <t>Empresa 81 LTDA</t>
  </si>
  <si>
    <t>SIM1080</t>
  </si>
  <si>
    <t>40.392.461/0001-84</t>
  </si>
  <si>
    <t>Empresa 82 LTDA</t>
  </si>
  <si>
    <t>SIM1081</t>
  </si>
  <si>
    <t>53.252.920/0001-63</t>
  </si>
  <si>
    <t>Empresa 83 LTDA</t>
  </si>
  <si>
    <t>SIM1082</t>
  </si>
  <si>
    <t>69.668.516/0001-17</t>
  </si>
  <si>
    <t>Empresa 84 LTDA</t>
  </si>
  <si>
    <t>SIM1083</t>
  </si>
  <si>
    <t>83.809.679/0001-29</t>
  </si>
  <si>
    <t>Empresa 85 LTDA</t>
  </si>
  <si>
    <t>SIM1084</t>
  </si>
  <si>
    <t>12.174.572/0001-71</t>
  </si>
  <si>
    <t>Empresa 86 LTDA</t>
  </si>
  <si>
    <t>SIM1085</t>
  </si>
  <si>
    <t>39.400.131/0001-48</t>
  </si>
  <si>
    <t>Empresa 87 LTDA</t>
  </si>
  <si>
    <t>SIM1086</t>
  </si>
  <si>
    <t>17.653.334/0001-98</t>
  </si>
  <si>
    <t>Empresa 88 LTDA</t>
  </si>
  <si>
    <t>SIM1087</t>
  </si>
  <si>
    <t>42.156.726/0001-86</t>
  </si>
  <si>
    <t>Empresa 89 LTDA</t>
  </si>
  <si>
    <t>SIM1088</t>
  </si>
  <si>
    <t>69.490.543/0001-49</t>
  </si>
  <si>
    <t>Empresa 90 LTDA</t>
  </si>
  <si>
    <t>SIM1089</t>
  </si>
  <si>
    <t>21.866.513/0001-92</t>
  </si>
  <si>
    <t>Empresa 91 LTDA</t>
  </si>
  <si>
    <t>SIM1090</t>
  </si>
  <si>
    <t>82.335.437/0001-39</t>
  </si>
  <si>
    <t>Empresa 92 LTDA</t>
  </si>
  <si>
    <t>SIM1091</t>
  </si>
  <si>
    <t>92.788.117/0001-85</t>
  </si>
  <si>
    <t>Empresa 93 LTDA</t>
  </si>
  <si>
    <t>SIM1092</t>
  </si>
  <si>
    <t>50.782.595/0001-60</t>
  </si>
  <si>
    <t>Empresa 94 LTDA</t>
  </si>
  <si>
    <t>SIM1093</t>
  </si>
  <si>
    <t>60.366.559/0001-26</t>
  </si>
  <si>
    <t>Empresa 95 LTDA</t>
  </si>
  <si>
    <t>SIM1094</t>
  </si>
  <si>
    <t>86.923.152/0001-15</t>
  </si>
  <si>
    <t>Empresa 96 LTDA</t>
  </si>
  <si>
    <t>SIM1095</t>
  </si>
  <si>
    <t>11.735.996/0001-13</t>
  </si>
  <si>
    <t>Empresa 97 LTDA</t>
  </si>
  <si>
    <t>SIM1096</t>
  </si>
  <si>
    <t>48.446.615/0001-63</t>
  </si>
  <si>
    <t>Empresa 98 LTDA</t>
  </si>
  <si>
    <t>SIM1097</t>
  </si>
  <si>
    <t>95.269.319/0001-46</t>
  </si>
  <si>
    <t>Empresa 99 LTDA</t>
  </si>
  <si>
    <t>SIM1098</t>
  </si>
  <si>
    <t>11.356.777/0001-29</t>
  </si>
  <si>
    <t>Empresa 100 LTDA</t>
  </si>
  <si>
    <t>SIM1099</t>
  </si>
  <si>
    <t>35.665.987/0001-38</t>
  </si>
  <si>
    <t>Empresa 101 LTDA</t>
  </si>
  <si>
    <t>SIM1100</t>
  </si>
  <si>
    <t>43.104.452/0001-79</t>
  </si>
  <si>
    <t>Empresa 102 LTDA</t>
  </si>
  <si>
    <t>SIM1101</t>
  </si>
  <si>
    <t>66.381.248/0001-73</t>
  </si>
  <si>
    <t>Empresa 103 LTDA</t>
  </si>
  <si>
    <t>SIM1102</t>
  </si>
  <si>
    <t>11.263.520/0001-88</t>
  </si>
  <si>
    <t>Empresa 104 LTDA</t>
  </si>
  <si>
    <t>SIM1103</t>
  </si>
  <si>
    <t>65.168.770/0001-79</t>
  </si>
  <si>
    <t>Empresa 105 LTDA</t>
  </si>
  <si>
    <t>SIM1104</t>
  </si>
  <si>
    <t>56.233.889/0001-91</t>
  </si>
  <si>
    <t>Empresa 106 LTDA</t>
  </si>
  <si>
    <t>SIM1105</t>
  </si>
  <si>
    <t>44.967.582/0001-20</t>
  </si>
  <si>
    <t>Empresa 107 LTDA</t>
  </si>
  <si>
    <t>SIM1106</t>
  </si>
  <si>
    <t>30.909.793/0001-75</t>
  </si>
  <si>
    <t>Empresa 108 LTDA</t>
  </si>
  <si>
    <t>SIM1107</t>
  </si>
  <si>
    <t>59.264.707/0001-71</t>
  </si>
  <si>
    <t>Empresa 109 LTDA</t>
  </si>
  <si>
    <t>SIM1108</t>
  </si>
  <si>
    <t>69.642.104/0001-85</t>
  </si>
  <si>
    <t>Empresa 110 LTDA</t>
  </si>
  <si>
    <t>SIM1109</t>
  </si>
  <si>
    <t>89.879.972/0001-98</t>
  </si>
  <si>
    <t>Empresa 111 LTDA</t>
  </si>
  <si>
    <t>SIM1110</t>
  </si>
  <si>
    <t>26.826.114/0001-85</t>
  </si>
  <si>
    <t>Empresa 112 LTDA</t>
  </si>
  <si>
    <t>SIM1111</t>
  </si>
  <si>
    <t>87.239.960/0001-84</t>
  </si>
  <si>
    <t>Empresa 113 LTDA</t>
  </si>
  <si>
    <t>SIM1112</t>
  </si>
  <si>
    <t>22.958.375/0001-98</t>
  </si>
  <si>
    <t>Empresa 114 LTDA</t>
  </si>
  <si>
    <t>SIM1113</t>
  </si>
  <si>
    <t>33.103.496/0001-43</t>
  </si>
  <si>
    <t>Empresa 115 LTDA</t>
  </si>
  <si>
    <t>SIM1114</t>
  </si>
  <si>
    <t>14.663.901/0001-65</t>
  </si>
  <si>
    <t>Empresa 116 LTDA</t>
  </si>
  <si>
    <t>SIM1115</t>
  </si>
  <si>
    <t>46.511.204/0001-28</t>
  </si>
  <si>
    <t>Empresa 117 LTDA</t>
  </si>
  <si>
    <t>SIM1116</t>
  </si>
  <si>
    <t>48.718.288/0001-38</t>
  </si>
  <si>
    <t>Empresa 118 LTDA</t>
  </si>
  <si>
    <t>SIM1117</t>
  </si>
  <si>
    <t>38.674.294/0001-58</t>
  </si>
  <si>
    <t>Empresa 119 LTDA</t>
  </si>
  <si>
    <t>SIM1118</t>
  </si>
  <si>
    <t>68.603.836/0001-47</t>
  </si>
  <si>
    <t>Empresa 120 LTDA</t>
  </si>
  <si>
    <t>SIM1119</t>
  </si>
  <si>
    <t>24.901.471/0001-49</t>
  </si>
  <si>
    <t>Empresa 121 LTDA</t>
  </si>
  <si>
    <t>SIM1120</t>
  </si>
  <si>
    <t>52.166.348/0001-25</t>
  </si>
  <si>
    <t>Empresa 122 LTDA</t>
  </si>
  <si>
    <t>SIM1121</t>
  </si>
  <si>
    <t>28.737.183/0001-56</t>
  </si>
  <si>
    <t>Empresa 123 LTDA</t>
  </si>
  <si>
    <t>SIM1122</t>
  </si>
  <si>
    <t>31.491.242/0001-37</t>
  </si>
  <si>
    <t>Empresa 124 LTDA</t>
  </si>
  <si>
    <t>SIM1123</t>
  </si>
  <si>
    <t>86.548.606/0001-76</t>
  </si>
  <si>
    <t>Empresa 125 LTDA</t>
  </si>
  <si>
    <t>SIM1124</t>
  </si>
  <si>
    <t>51.716.851/0001-70</t>
  </si>
  <si>
    <t>Empresa 126 LTDA</t>
  </si>
  <si>
    <t>SIM1125</t>
  </si>
  <si>
    <t>63.603.841/0001-83</t>
  </si>
  <si>
    <t>Empresa 127 LTDA</t>
  </si>
  <si>
    <t>SIM1126</t>
  </si>
  <si>
    <t>29.321.935/0001-48</t>
  </si>
  <si>
    <t>Empresa 128 LTDA</t>
  </si>
  <si>
    <t>SIM1127</t>
  </si>
  <si>
    <t>64.178.170/0001-91</t>
  </si>
  <si>
    <t>Empresa 129 LTDA</t>
  </si>
  <si>
    <t>SIM1128</t>
  </si>
  <si>
    <t>65.259.157/0001-31</t>
  </si>
  <si>
    <t>Empresa 130 LTDA</t>
  </si>
  <si>
    <t>SIM1129</t>
  </si>
  <si>
    <t>93.714.635/0001-74</t>
  </si>
  <si>
    <t>Empresa 131 LTDA</t>
  </si>
  <si>
    <t>SIM1130</t>
  </si>
  <si>
    <t>38.335.299/0001-79</t>
  </si>
  <si>
    <t>Empresa 132 LTDA</t>
  </si>
  <si>
    <t>SIM1131</t>
  </si>
  <si>
    <t>41.756.849/0001-53</t>
  </si>
  <si>
    <t>Empresa 133 LTDA</t>
  </si>
  <si>
    <t>SIM1132</t>
  </si>
  <si>
    <t>12.849.959/0001-47</t>
  </si>
  <si>
    <t>Empresa 134 LTDA</t>
  </si>
  <si>
    <t>SIM1133</t>
  </si>
  <si>
    <t>66.866.328/0001-10</t>
  </si>
  <si>
    <t>Empresa 135 LTDA</t>
  </si>
  <si>
    <t>SIM1134</t>
  </si>
  <si>
    <t>81.501.851/0001-91</t>
  </si>
  <si>
    <t>Empresa 136 LTDA</t>
  </si>
  <si>
    <t>SIM1135</t>
  </si>
  <si>
    <t>16.899.654/0001-48</t>
  </si>
  <si>
    <t>Empresa 137 LTDA</t>
  </si>
  <si>
    <t>SIM1136</t>
  </si>
  <si>
    <t>93.732.745/0001-37</t>
  </si>
  <si>
    <t>Empresa 138 LTDA</t>
  </si>
  <si>
    <t>SIM1137</t>
  </si>
  <si>
    <t>32.785.891/0001-26</t>
  </si>
  <si>
    <t>Empresa 139 LTDA</t>
  </si>
  <si>
    <t>SIM1138</t>
  </si>
  <si>
    <t>23.920.909/0001-85</t>
  </si>
  <si>
    <t>Empresa 140 LTDA</t>
  </si>
  <si>
    <t>SIM1139</t>
  </si>
  <si>
    <t>97.926.530/0001-55</t>
  </si>
  <si>
    <t>Empresa 141 LTDA</t>
  </si>
  <si>
    <t>SIM1140</t>
  </si>
  <si>
    <t>61.103.485/0001-13</t>
  </si>
  <si>
    <t>Empresa 142 LTDA</t>
  </si>
  <si>
    <t>SIM1141</t>
  </si>
  <si>
    <t>93.358.433/0001-39</t>
  </si>
  <si>
    <t>Empresa 143 LTDA</t>
  </si>
  <si>
    <t>SIM1142</t>
  </si>
  <si>
    <t>31.212.565/0001-62</t>
  </si>
  <si>
    <t>Empresa 144 LTDA</t>
  </si>
  <si>
    <t>SIM1143</t>
  </si>
  <si>
    <t>65.725.203/0001-31</t>
  </si>
  <si>
    <t>Empresa 145 LTDA</t>
  </si>
  <si>
    <t>SIM1144</t>
  </si>
  <si>
    <t>97.122.606/0001-18</t>
  </si>
  <si>
    <t>Empresa 146 LTDA</t>
  </si>
  <si>
    <t>SIM1145</t>
  </si>
  <si>
    <t>97.602.378/0001-38</t>
  </si>
  <si>
    <t>Empresa 147 LTDA</t>
  </si>
  <si>
    <t>SIM1146</t>
  </si>
  <si>
    <t>31.368.235/0001-94</t>
  </si>
  <si>
    <t>Empresa 148 LTDA</t>
  </si>
  <si>
    <t>SIM1147</t>
  </si>
  <si>
    <t>60.441.271/0001-47</t>
  </si>
  <si>
    <t>Empresa 149 LTDA</t>
  </si>
  <si>
    <t>SIM1148</t>
  </si>
  <si>
    <t>91.878.189/0001-76</t>
  </si>
  <si>
    <t>Empresa 150 LTDA</t>
  </si>
  <si>
    <t>SIM1149</t>
  </si>
  <si>
    <t>72.652.675/0001-56</t>
  </si>
  <si>
    <t>Empresa 151 LTDA</t>
  </si>
  <si>
    <t>SIM1150</t>
  </si>
  <si>
    <t>96.476.540/0001-24</t>
  </si>
  <si>
    <t>Empresa 152 LTDA</t>
  </si>
  <si>
    <t>SIM1151</t>
  </si>
  <si>
    <t>43.638.606/0001-20</t>
  </si>
  <si>
    <t>Empresa 153 LTDA</t>
  </si>
  <si>
    <t>SIM1152</t>
  </si>
  <si>
    <t>67.649.204/0001-41</t>
  </si>
  <si>
    <t>Empresa 154 LTDA</t>
  </si>
  <si>
    <t>SIM1153</t>
  </si>
  <si>
    <t>11.172.856/0001-25</t>
  </si>
  <si>
    <t>Empresa 155 LTDA</t>
  </si>
  <si>
    <t>SIM1154</t>
  </si>
  <si>
    <t>98.790.341/0001-61</t>
  </si>
  <si>
    <t>Empresa 156 LTDA</t>
  </si>
  <si>
    <t>SIM1155</t>
  </si>
  <si>
    <t>24.586.753/0001-20</t>
  </si>
  <si>
    <t>Empresa 157 LTDA</t>
  </si>
  <si>
    <t>SIM1156</t>
  </si>
  <si>
    <t>40.559.258/0001-44</t>
  </si>
  <si>
    <t>Empresa 158 LTDA</t>
  </si>
  <si>
    <t>SIM1157</t>
  </si>
  <si>
    <t>89.512.781/0001-86</t>
  </si>
  <si>
    <t>Empresa 159 LTDA</t>
  </si>
  <si>
    <t>SIM1158</t>
  </si>
  <si>
    <t>26.770.986/0001-23</t>
  </si>
  <si>
    <t>Empresa 160 LTDA</t>
  </si>
  <si>
    <t>SIM1159</t>
  </si>
  <si>
    <t>95.709.954/0001-34</t>
  </si>
  <si>
    <t>Empresa 161 LTDA</t>
  </si>
  <si>
    <t>SIM1160</t>
  </si>
  <si>
    <t>37.955.553/0001-98</t>
  </si>
  <si>
    <t>Empresa 162 LTDA</t>
  </si>
  <si>
    <t>SIM1161</t>
  </si>
  <si>
    <t>96.148.951/0001-68</t>
  </si>
  <si>
    <t>Empresa 163 LTDA</t>
  </si>
  <si>
    <t>SIM1162</t>
  </si>
  <si>
    <t>97.256.824/0001-44</t>
  </si>
  <si>
    <t>Empresa 164 LTDA</t>
  </si>
  <si>
    <t>SIM1163</t>
  </si>
  <si>
    <t>29.332.735/0001-76</t>
  </si>
  <si>
    <t>Empresa 165 LTDA</t>
  </si>
  <si>
    <t>SIM1164</t>
  </si>
  <si>
    <t>99.108.301/0001-88</t>
  </si>
  <si>
    <t>Empresa 166 LTDA</t>
  </si>
  <si>
    <t>SIM1165</t>
  </si>
  <si>
    <t>74.442.190/0001-81</t>
  </si>
  <si>
    <t>Empresa 167 LTDA</t>
  </si>
  <si>
    <t>SIM1166</t>
  </si>
  <si>
    <t>60.121.793/0001-14</t>
  </si>
  <si>
    <t>Empresa 168 LTDA</t>
  </si>
  <si>
    <t>SIM1167</t>
  </si>
  <si>
    <t>87.944.694/0001-87</t>
  </si>
  <si>
    <t>Empresa 169 LTDA</t>
  </si>
  <si>
    <t>SIM1168</t>
  </si>
  <si>
    <t>29.872.599/0001-59</t>
  </si>
  <si>
    <t>Empresa 170 LTDA</t>
  </si>
  <si>
    <t>SIM1169</t>
  </si>
  <si>
    <t>81.517.620/0001-79</t>
  </si>
  <si>
    <t>Empresa 171 LTDA</t>
  </si>
  <si>
    <t>SIM1170</t>
  </si>
  <si>
    <t>30.366.796/0001-42</t>
  </si>
  <si>
    <t>Empresa 172 LTDA</t>
  </si>
  <si>
    <t>SIM1171</t>
  </si>
  <si>
    <t>43.502.879/0001-52</t>
  </si>
  <si>
    <t>Empresa 173 LTDA</t>
  </si>
  <si>
    <t>SIM1172</t>
  </si>
  <si>
    <t>79.602.490/0001-61</t>
  </si>
  <si>
    <t>Empresa 174 LTDA</t>
  </si>
  <si>
    <t>SIM1173</t>
  </si>
  <si>
    <t>10.310.440/0001-27</t>
  </si>
  <si>
    <t>Empresa 175 LTDA</t>
  </si>
  <si>
    <t>SIM1174</t>
  </si>
  <si>
    <t>50.782.644/0001-65</t>
  </si>
  <si>
    <t>Empresa 176 LTDA</t>
  </si>
  <si>
    <t>SIM1175</t>
  </si>
  <si>
    <t>15.788.853/0001-22</t>
  </si>
  <si>
    <t>Empresa 177 LTDA</t>
  </si>
  <si>
    <t>SIM1176</t>
  </si>
  <si>
    <t>30.343.194/0001-67</t>
  </si>
  <si>
    <t>Empresa 178 LTDA</t>
  </si>
  <si>
    <t>SIM1177</t>
  </si>
  <si>
    <t>68.352.843/0001-99</t>
  </si>
  <si>
    <t>Empresa 179 LTDA</t>
  </si>
  <si>
    <t>SIM1178</t>
  </si>
  <si>
    <t>79.323.421/0001-42</t>
  </si>
  <si>
    <t>Empresa 180 LTDA</t>
  </si>
  <si>
    <t>SIM1179</t>
  </si>
  <si>
    <t>78.855.844/0001-23</t>
  </si>
  <si>
    <t>Empresa 181 LTDA</t>
  </si>
  <si>
    <t>SIM1180</t>
  </si>
  <si>
    <t>91.330.395/0001-87</t>
  </si>
  <si>
    <t>Empresa 182 LTDA</t>
  </si>
  <si>
    <t>SIM1181</t>
  </si>
  <si>
    <t>32.641.898/0001-73</t>
  </si>
  <si>
    <t>Empresa 183 LTDA</t>
  </si>
  <si>
    <t>SIM1182</t>
  </si>
  <si>
    <t>62.554.566/0001-43</t>
  </si>
  <si>
    <t>Empresa 184 LTDA</t>
  </si>
  <si>
    <t>SIM1183</t>
  </si>
  <si>
    <t>57.360.248/0001-39</t>
  </si>
  <si>
    <t>Empresa 185 LTDA</t>
  </si>
  <si>
    <t>SIM1184</t>
  </si>
  <si>
    <t>71.194.122/0001-35</t>
  </si>
  <si>
    <t>Empresa 186 LTDA</t>
  </si>
  <si>
    <t>SIM1185</t>
  </si>
  <si>
    <t>11.904.611/0001-68</t>
  </si>
  <si>
    <t>Empresa 187 LTDA</t>
  </si>
  <si>
    <t>SIM1186</t>
  </si>
  <si>
    <t>20.686.562/0001-90</t>
  </si>
  <si>
    <t>Empresa 188 LTDA</t>
  </si>
  <si>
    <t>SIM1187</t>
  </si>
  <si>
    <t>31.620.871/0001-11</t>
  </si>
  <si>
    <t>Empresa 189 LTDA</t>
  </si>
  <si>
    <t>SIM1188</t>
  </si>
  <si>
    <t>12.680.482/0001-52</t>
  </si>
  <si>
    <t>Empresa 190 LTDA</t>
  </si>
  <si>
    <t>SIM1189</t>
  </si>
  <si>
    <t>54.237.363/0001-39</t>
  </si>
  <si>
    <t>Empresa 191 LTDA</t>
  </si>
  <si>
    <t>SIM1190</t>
  </si>
  <si>
    <t>82.647.451/0001-28</t>
  </si>
  <si>
    <t>Empresa 192 LTDA</t>
  </si>
  <si>
    <t>SIM1191</t>
  </si>
  <si>
    <t>95.289.714/0001-98</t>
  </si>
  <si>
    <t>Empresa 193 LTDA</t>
  </si>
  <si>
    <t>SIM1192</t>
  </si>
  <si>
    <t>28.448.231/0001-44</t>
  </si>
  <si>
    <t>Empresa 194 LTDA</t>
  </si>
  <si>
    <t>SIM1193</t>
  </si>
  <si>
    <t>34.290.981/0001-17</t>
  </si>
  <si>
    <t>Empresa 195 LTDA</t>
  </si>
  <si>
    <t>SIM1194</t>
  </si>
  <si>
    <t>94.316.897/0001-40</t>
  </si>
  <si>
    <t>Empresa 196 LTDA</t>
  </si>
  <si>
    <t>SIM1195</t>
  </si>
  <si>
    <t>67.445.422/0001-38</t>
  </si>
  <si>
    <t>Empresa 197 LTDA</t>
  </si>
  <si>
    <t>SIM1196</t>
  </si>
  <si>
    <t>38.347.560/0001-82</t>
  </si>
  <si>
    <t>Empresa 198 LTDA</t>
  </si>
  <si>
    <t>SIM1197</t>
  </si>
  <si>
    <t>97.805.202/0001-25</t>
  </si>
  <si>
    <t>Empresa 199 LTDA</t>
  </si>
  <si>
    <t>SIM1198</t>
  </si>
  <si>
    <t>32.496.682/0001-18</t>
  </si>
  <si>
    <t>Empresa 200 LTDA</t>
  </si>
  <si>
    <t>SIM1199</t>
  </si>
  <si>
    <t>51.233.373/0001-12</t>
  </si>
  <si>
    <t>Empresa 201 LTDA</t>
  </si>
  <si>
    <t>SIM1200</t>
  </si>
  <si>
    <t>20.448.638/0001-92</t>
  </si>
  <si>
    <t>Empresa 202 LTDA</t>
  </si>
  <si>
    <t>SIM1201</t>
  </si>
  <si>
    <t>89.558.892/0001-32</t>
  </si>
  <si>
    <t>Empresa 203 LTDA</t>
  </si>
  <si>
    <t>SIM1202</t>
  </si>
  <si>
    <t>22.417.628/0001-55</t>
  </si>
  <si>
    <t>Empresa 204 LTDA</t>
  </si>
  <si>
    <t>SIM1203</t>
  </si>
  <si>
    <t>47.489.462/0001-30</t>
  </si>
  <si>
    <t>Empresa 205 LTDA</t>
  </si>
  <si>
    <t>SIM1204</t>
  </si>
  <si>
    <t>61.844.583/0001-37</t>
  </si>
  <si>
    <t>Empresa 206 LTDA</t>
  </si>
  <si>
    <t>SIM1205</t>
  </si>
  <si>
    <t>21.463.523/0001-27</t>
  </si>
  <si>
    <t>Empresa 207 LTDA</t>
  </si>
  <si>
    <t>SIM1206</t>
  </si>
  <si>
    <t>23.232.120/0001-89</t>
  </si>
  <si>
    <t>Empresa 208 LTDA</t>
  </si>
  <si>
    <t>SIM1207</t>
  </si>
  <si>
    <t>43.670.588/0001-64</t>
  </si>
  <si>
    <t>Empresa 209 LTDA</t>
  </si>
  <si>
    <t>SIM1208</t>
  </si>
  <si>
    <t>87.189.551/0001-59</t>
  </si>
  <si>
    <t>Empresa 210 LTDA</t>
  </si>
  <si>
    <t>SIM1209</t>
  </si>
  <si>
    <t>78.736.467/0001-93</t>
  </si>
  <si>
    <t>Empresa 211 LTDA</t>
  </si>
  <si>
    <t>SIM1210</t>
  </si>
  <si>
    <t>19.959.582/0001-28</t>
  </si>
  <si>
    <t>Empresa 212 LTDA</t>
  </si>
  <si>
    <t>SIM1211</t>
  </si>
  <si>
    <t>31.558.354/0001-27</t>
  </si>
  <si>
    <t>Empresa 213 LTDA</t>
  </si>
  <si>
    <t>SIM1212</t>
  </si>
  <si>
    <t>26.215.974/0001-58</t>
  </si>
  <si>
    <t>Empresa 214 LTDA</t>
  </si>
  <si>
    <t>SIM1213</t>
  </si>
  <si>
    <t>42.886.795/0001-20</t>
  </si>
  <si>
    <t>Empresa 215 LTDA</t>
  </si>
  <si>
    <t>SIM1214</t>
  </si>
  <si>
    <t>76.358.165/0001-12</t>
  </si>
  <si>
    <t>Empresa 216 LTDA</t>
  </si>
  <si>
    <t>SIM1215</t>
  </si>
  <si>
    <t>94.957.444/0001-23</t>
  </si>
  <si>
    <t>Empresa 217 LTDA</t>
  </si>
  <si>
    <t>SIM1216</t>
  </si>
  <si>
    <t>33.816.126/0001-72</t>
  </si>
  <si>
    <t>Empresa 218 LTDA</t>
  </si>
  <si>
    <t>SIM1217</t>
  </si>
  <si>
    <t>43.640.659/0001-97</t>
  </si>
  <si>
    <t>Empresa 219 LTDA</t>
  </si>
  <si>
    <t>SIM1218</t>
  </si>
  <si>
    <t>21.397.488/0001-90</t>
  </si>
  <si>
    <t>Empresa 220 LTDA</t>
  </si>
  <si>
    <t>SIM1219</t>
  </si>
  <si>
    <t>55.844.314/0001-17</t>
  </si>
  <si>
    <t>Empresa 221 LTDA</t>
  </si>
  <si>
    <t>SIM1220</t>
  </si>
  <si>
    <t>13.189.721/0001-40</t>
  </si>
  <si>
    <t>Empresa 222 LTDA</t>
  </si>
  <si>
    <t>SIM1221</t>
  </si>
  <si>
    <t>29.717.114/0001-15</t>
  </si>
  <si>
    <t>Empresa 223 LTDA</t>
  </si>
  <si>
    <t>SIM1222</t>
  </si>
  <si>
    <t>52.996.598/0001-18</t>
  </si>
  <si>
    <t>Empresa 224 LTDA</t>
  </si>
  <si>
    <t>SIM1223</t>
  </si>
  <si>
    <t>25.499.647/0001-15</t>
  </si>
  <si>
    <t>Empresa 225 LTDA</t>
  </si>
  <si>
    <t>SIM1224</t>
  </si>
  <si>
    <t>89.526.547/0001-26</t>
  </si>
  <si>
    <t>Empresa 226 LTDA</t>
  </si>
  <si>
    <t>SIM1225</t>
  </si>
  <si>
    <t>21.915.678/0001-29</t>
  </si>
  <si>
    <t>Empresa 227 LTDA</t>
  </si>
  <si>
    <t>SIM1226</t>
  </si>
  <si>
    <t>63.930.834/0001-21</t>
  </si>
  <si>
    <t>Empresa 228 LTDA</t>
  </si>
  <si>
    <t>SIM1227</t>
  </si>
  <si>
    <t>53.248.899/0001-47</t>
  </si>
  <si>
    <t>Empresa 229 LTDA</t>
  </si>
  <si>
    <t>SIM1228</t>
  </si>
  <si>
    <t>55.538.398/0001-10</t>
  </si>
  <si>
    <t>Empresa 230 LTDA</t>
  </si>
  <si>
    <t>SIM1229</t>
  </si>
  <si>
    <t>81.332.855/0001-43</t>
  </si>
  <si>
    <t>Empresa 231 LTDA</t>
  </si>
  <si>
    <t>SIM1230</t>
  </si>
  <si>
    <t>58.296.317/0001-46</t>
  </si>
  <si>
    <t>Empresa 232 LTDA</t>
  </si>
  <si>
    <t>SIM1231</t>
  </si>
  <si>
    <t>67.179.240/0001-12</t>
  </si>
  <si>
    <t>Empresa 233 LTDA</t>
  </si>
  <si>
    <t>SIM1232</t>
  </si>
  <si>
    <t>22.665.718/0001-73</t>
  </si>
  <si>
    <t>Empresa 234 LTDA</t>
  </si>
  <si>
    <t>SIM1233</t>
  </si>
  <si>
    <t>65.432.750/0001-29</t>
  </si>
  <si>
    <t>Empresa 235 LTDA</t>
  </si>
  <si>
    <t>SIM1234</t>
  </si>
  <si>
    <t>81.103.386/0001-32</t>
  </si>
  <si>
    <t>Empresa 236 LTDA</t>
  </si>
  <si>
    <t>SIM1235</t>
  </si>
  <si>
    <t>31.137.694/0001-95</t>
  </si>
  <si>
    <t>Empresa 237 LTDA</t>
  </si>
  <si>
    <t>SIM1236</t>
  </si>
  <si>
    <t>57.427.733/0001-99</t>
  </si>
  <si>
    <t>Empresa 238 LTDA</t>
  </si>
  <si>
    <t>SIM1237</t>
  </si>
  <si>
    <t>66.561.670/0001-80</t>
  </si>
  <si>
    <t>Empresa 239 LTDA</t>
  </si>
  <si>
    <t>SIM1238</t>
  </si>
  <si>
    <t>99.369.175/0001-64</t>
  </si>
  <si>
    <t>Empresa 240 LTDA</t>
  </si>
  <si>
    <t>SIM1239</t>
  </si>
  <si>
    <t>12.737.342/0001-73</t>
  </si>
  <si>
    <t>Empresa 241 LTDA</t>
  </si>
  <si>
    <t>SIM1240</t>
  </si>
  <si>
    <t>80.217.465/0001-37</t>
  </si>
  <si>
    <t>Empresa 242 LTDA</t>
  </si>
  <si>
    <t>SIM1241</t>
  </si>
  <si>
    <t>40.699.862/0001-72</t>
  </si>
  <si>
    <t>Empresa 243 LTDA</t>
  </si>
  <si>
    <t>SIM1242</t>
  </si>
  <si>
    <t>78.609.535/0001-26</t>
  </si>
  <si>
    <t>Empresa 244 LTDA</t>
  </si>
  <si>
    <t>SIM1243</t>
  </si>
  <si>
    <t>35.170.927/0001-60</t>
  </si>
  <si>
    <t>Empresa 245 LTDA</t>
  </si>
  <si>
    <t>SIM1244</t>
  </si>
  <si>
    <t>12.450.547/0001-77</t>
  </si>
  <si>
    <t>Empresa 246 LTDA</t>
  </si>
  <si>
    <t>SIM1245</t>
  </si>
  <si>
    <t>40.240.836/0001-27</t>
  </si>
  <si>
    <t>Empresa 247 LTDA</t>
  </si>
  <si>
    <t>SIM1246</t>
  </si>
  <si>
    <t>57.315.449/0001-34</t>
  </si>
  <si>
    <t>Empresa 248 LTDA</t>
  </si>
  <si>
    <t>SIM1247</t>
  </si>
  <si>
    <t>61.246.274/0001-20</t>
  </si>
  <si>
    <t>Empresa 249 LTDA</t>
  </si>
  <si>
    <t>SIM1248</t>
  </si>
  <si>
    <t>23.193.420/0001-80</t>
  </si>
  <si>
    <t>Empresa 250 LTDA</t>
  </si>
  <si>
    <t>SIM1249</t>
  </si>
  <si>
    <t>88.396.931/0001-58</t>
  </si>
  <si>
    <t>Empresa 251 LTDA</t>
  </si>
  <si>
    <t>SIM1250</t>
  </si>
  <si>
    <t>57.877.483/0001-35</t>
  </si>
  <si>
    <t>Empresa 252 LTDA</t>
  </si>
  <si>
    <t>SIM1251</t>
  </si>
  <si>
    <t>74.587.477/0001-16</t>
  </si>
  <si>
    <t>Empresa 253 LTDA</t>
  </si>
  <si>
    <t>SIM1252</t>
  </si>
  <si>
    <t>79.853.457/0001-41</t>
  </si>
  <si>
    <t>Empresa 254 LTDA</t>
  </si>
  <si>
    <t>SIM1253</t>
  </si>
  <si>
    <t>39.101.211/0001-20</t>
  </si>
  <si>
    <t>Empresa 255 LTDA</t>
  </si>
  <si>
    <t>SIM1254</t>
  </si>
  <si>
    <t>16.498.526/0001-89</t>
  </si>
  <si>
    <t>Empresa 256 LTDA</t>
  </si>
  <si>
    <t>SIM1255</t>
  </si>
  <si>
    <t>58.706.214/0001-92</t>
  </si>
  <si>
    <t>Empresa 257 LTDA</t>
  </si>
  <si>
    <t>SIM1256</t>
  </si>
  <si>
    <t>76.835.737/0001-23</t>
  </si>
  <si>
    <t>Empresa 258 LTDA</t>
  </si>
  <si>
    <t>SIM1257</t>
  </si>
  <si>
    <t>23.384.363/0001-35</t>
  </si>
  <si>
    <t>Empresa 259 LTDA</t>
  </si>
  <si>
    <t>SIM1258</t>
  </si>
  <si>
    <t>19.912.650/0001-27</t>
  </si>
  <si>
    <t>Empresa 260 LTDA</t>
  </si>
  <si>
    <t>SIM1259</t>
  </si>
  <si>
    <t>95.842.539/0001-65</t>
  </si>
  <si>
    <t>Empresa 261 LTDA</t>
  </si>
  <si>
    <t>SIM1260</t>
  </si>
  <si>
    <t>80.201.950/0001-62</t>
  </si>
  <si>
    <t>Empresa 262 LTDA</t>
  </si>
  <si>
    <t>SIM1261</t>
  </si>
  <si>
    <t>69.913.810/0001-12</t>
  </si>
  <si>
    <t>Empresa 263 LTDA</t>
  </si>
  <si>
    <t>SIM1262</t>
  </si>
  <si>
    <t>29.791.464/0001-63</t>
  </si>
  <si>
    <t>Empresa 264 LTDA</t>
  </si>
  <si>
    <t>SIM1263</t>
  </si>
  <si>
    <t>23.161.843/0001-62</t>
  </si>
  <si>
    <t>Empresa 265 LTDA</t>
  </si>
  <si>
    <t>SIM1264</t>
  </si>
  <si>
    <t>32.138.673/0001-71</t>
  </si>
  <si>
    <t>Empresa 266 LTDA</t>
  </si>
  <si>
    <t>SIM1265</t>
  </si>
  <si>
    <t>10.529.674/0001-33</t>
  </si>
  <si>
    <t>Empresa 267 LTDA</t>
  </si>
  <si>
    <t>SIM1266</t>
  </si>
  <si>
    <t>83.749.897/0001-22</t>
  </si>
  <si>
    <t>Empresa 268 LTDA</t>
  </si>
  <si>
    <t>SIM1267</t>
  </si>
  <si>
    <t>94.953.841/0001-33</t>
  </si>
  <si>
    <t>Empresa 269 LTDA</t>
  </si>
  <si>
    <t>SIM1268</t>
  </si>
  <si>
    <t>17.503.799/0001-34</t>
  </si>
  <si>
    <t>Empresa 270 LTDA</t>
  </si>
  <si>
    <t>SIM1269</t>
  </si>
  <si>
    <t>69.335.162/0001-47</t>
  </si>
  <si>
    <t>Empresa 271 LTDA</t>
  </si>
  <si>
    <t>SIM1270</t>
  </si>
  <si>
    <t>83.182.987/0001-72</t>
  </si>
  <si>
    <t>Empresa 272 LTDA</t>
  </si>
  <si>
    <t>SIM1271</t>
  </si>
  <si>
    <t>47.484.685/0001-30</t>
  </si>
  <si>
    <t>Empresa 273 LTDA</t>
  </si>
  <si>
    <t>SIM1272</t>
  </si>
  <si>
    <t>96.463.636/0001-62</t>
  </si>
  <si>
    <t>Empresa 274 LTDA</t>
  </si>
  <si>
    <t>SIM1273</t>
  </si>
  <si>
    <t>82.917.975/0001-45</t>
  </si>
  <si>
    <t>Empresa 275 LTDA</t>
  </si>
  <si>
    <t>SIM1274</t>
  </si>
  <si>
    <t>50.476.571/0001-70</t>
  </si>
  <si>
    <t>Empresa 276 LTDA</t>
  </si>
  <si>
    <t>SIM1275</t>
  </si>
  <si>
    <t>96.774.216/0001-23</t>
  </si>
  <si>
    <t>Empresa 277 LTDA</t>
  </si>
  <si>
    <t>SIM1276</t>
  </si>
  <si>
    <t>86.388.350/0001-78</t>
  </si>
  <si>
    <t>Empresa 278 LTDA</t>
  </si>
  <si>
    <t>SIM1277</t>
  </si>
  <si>
    <t>96.627.572/0001-56</t>
  </si>
  <si>
    <t>Empresa 279 LTDA</t>
  </si>
  <si>
    <t>SIM1278</t>
  </si>
  <si>
    <t>29.789.831/0001-79</t>
  </si>
  <si>
    <t>Empresa 280 LTDA</t>
  </si>
  <si>
    <t>SIM1279</t>
  </si>
  <si>
    <t>80.274.394/0001-32</t>
  </si>
  <si>
    <t>Empresa 281 LTDA</t>
  </si>
  <si>
    <t>SIM1280</t>
  </si>
  <si>
    <t>47.911.414/0001-75</t>
  </si>
  <si>
    <t>Empresa 282 LTDA</t>
  </si>
  <si>
    <t>SIM1281</t>
  </si>
  <si>
    <t>78.270.952/0001-69</t>
  </si>
  <si>
    <t>Empresa 283 LTDA</t>
  </si>
  <si>
    <t>SIM1282</t>
  </si>
  <si>
    <t>32.972.137/0001-96</t>
  </si>
  <si>
    <t>Empresa 284 LTDA</t>
  </si>
  <si>
    <t>SIM1283</t>
  </si>
  <si>
    <t>52.223.864/0001-64</t>
  </si>
  <si>
    <t>Empresa 285 LTDA</t>
  </si>
  <si>
    <t>SIM1284</t>
  </si>
  <si>
    <t>83.344.173/0001-67</t>
  </si>
  <si>
    <t>Empresa 286 LTDA</t>
  </si>
  <si>
    <t>SIM1285</t>
  </si>
  <si>
    <t>16.737.214/0001-49</t>
  </si>
  <si>
    <t>Empresa 287 LTDA</t>
  </si>
  <si>
    <t>SIM1286</t>
  </si>
  <si>
    <t>92.113.183/0001-40</t>
  </si>
  <si>
    <t>Empresa 288 LTDA</t>
  </si>
  <si>
    <t>SIM1287</t>
  </si>
  <si>
    <t>30.491.213/0001-72</t>
  </si>
  <si>
    <t>Empresa 289 LTDA</t>
  </si>
  <si>
    <t>SIM1288</t>
  </si>
  <si>
    <t>75.114.137/0001-10</t>
  </si>
  <si>
    <t>Empresa 290 LTDA</t>
  </si>
  <si>
    <t>SIM1289</t>
  </si>
  <si>
    <t>40.258.552/0001-91</t>
  </si>
  <si>
    <t>Empresa 291 LTDA</t>
  </si>
  <si>
    <t>SIM1290</t>
  </si>
  <si>
    <t>90.158.361/0001-33</t>
  </si>
  <si>
    <t>Empresa 292 LTDA</t>
  </si>
  <si>
    <t>SIM1291</t>
  </si>
  <si>
    <t>63.882.681/0001-28</t>
  </si>
  <si>
    <t>Empresa 293 LTDA</t>
  </si>
  <si>
    <t>SIM1292</t>
  </si>
  <si>
    <t>92.408.820/0001-54</t>
  </si>
  <si>
    <t>Empresa 294 LTDA</t>
  </si>
  <si>
    <t>SIM1293</t>
  </si>
  <si>
    <t>43.622.789/0001-41</t>
  </si>
  <si>
    <t>Empresa 295 LTDA</t>
  </si>
  <si>
    <t>SIM1294</t>
  </si>
  <si>
    <t>31.836.986/0001-47</t>
  </si>
  <si>
    <t>Empresa 296 LTDA</t>
  </si>
  <si>
    <t>SIM1295</t>
  </si>
  <si>
    <t>54.617.343/0001-95</t>
  </si>
  <si>
    <t>Empresa 297 LTDA</t>
  </si>
  <si>
    <t>SIM1296</t>
  </si>
  <si>
    <t>48.364.480/0001-90</t>
  </si>
  <si>
    <t>Empresa 298 LTDA</t>
  </si>
  <si>
    <t>SIM1297</t>
  </si>
  <si>
    <t>90.243.847/0001-29</t>
  </si>
  <si>
    <t>Empresa 299 LTDA</t>
  </si>
  <si>
    <t>SIM1298</t>
  </si>
  <si>
    <t>32.247.617/0001-21</t>
  </si>
  <si>
    <t>Empresa 300 LTDA</t>
  </si>
  <si>
    <t>SIM1299</t>
  </si>
  <si>
    <t>37.783.152/0001-80</t>
  </si>
  <si>
    <t>Empresa 301 LTDA</t>
  </si>
  <si>
    <t>SIM1300</t>
  </si>
  <si>
    <t>20.804.325/0001-34</t>
  </si>
  <si>
    <t>Empresa 302 LTDA</t>
  </si>
  <si>
    <t>SIM1301</t>
  </si>
  <si>
    <t>87.810.566/0001-64</t>
  </si>
  <si>
    <t>Empresa 303 LTDA</t>
  </si>
  <si>
    <t>SIM1302</t>
  </si>
  <si>
    <t>51.221.605/0001-60</t>
  </si>
  <si>
    <t>Empresa 304 LTDA</t>
  </si>
  <si>
    <t>SIM1303</t>
  </si>
  <si>
    <t>86.234.733/0001-79</t>
  </si>
  <si>
    <t>Empresa 305 LTDA</t>
  </si>
  <si>
    <t>SIM1304</t>
  </si>
  <si>
    <t>36.133.264/0001-27</t>
  </si>
  <si>
    <t>Empresa 306 LTDA</t>
  </si>
  <si>
    <t>SIM1305</t>
  </si>
  <si>
    <t>84.632.645/0001-79</t>
  </si>
  <si>
    <t>Empresa 307 LTDA</t>
  </si>
  <si>
    <t>SIM1306</t>
  </si>
  <si>
    <t>48.994.447/0001-98</t>
  </si>
  <si>
    <t>Empresa 308 LTDA</t>
  </si>
  <si>
    <t>SIM1307</t>
  </si>
  <si>
    <t>85.588.780/0001-42</t>
  </si>
  <si>
    <t>Empresa 309 LTDA</t>
  </si>
  <si>
    <t>SIM1308</t>
  </si>
  <si>
    <t>88.236.453/0001-12</t>
  </si>
  <si>
    <t>Empresa 310 LTDA</t>
  </si>
  <si>
    <t>SIM1309</t>
  </si>
  <si>
    <t>10.364.211/0001-39</t>
  </si>
  <si>
    <t>Empresa 311 LTDA</t>
  </si>
  <si>
    <t>SIM1310</t>
  </si>
  <si>
    <t>68.524.187/0001-75</t>
  </si>
  <si>
    <t>Empresa 312 LTDA</t>
  </si>
  <si>
    <t>SIM1311</t>
  </si>
  <si>
    <t>86.888.822/0001-12</t>
  </si>
  <si>
    <t>Empresa 313 LTDA</t>
  </si>
  <si>
    <t>SIM1312</t>
  </si>
  <si>
    <t>19.868.196/0001-39</t>
  </si>
  <si>
    <t>Empresa 314 LTDA</t>
  </si>
  <si>
    <t>SIM1313</t>
  </si>
  <si>
    <t>66.636.849/0001-51</t>
  </si>
  <si>
    <t>Empresa 315 LTDA</t>
  </si>
  <si>
    <t>SIM1314</t>
  </si>
  <si>
    <t>32.996.345/0001-59</t>
  </si>
  <si>
    <t>Empresa 316 LTDA</t>
  </si>
  <si>
    <t>SIM1315</t>
  </si>
  <si>
    <t>70.827.603/0001-28</t>
  </si>
  <si>
    <t>Empresa 317 LTDA</t>
  </si>
  <si>
    <t>SIM1316</t>
  </si>
  <si>
    <t>43.962.423/0001-35</t>
  </si>
  <si>
    <t>Empresa 318 LTDA</t>
  </si>
  <si>
    <t>SIM1317</t>
  </si>
  <si>
    <t>57.186.318/0001-30</t>
  </si>
  <si>
    <t>Empresa 319 LTDA</t>
  </si>
  <si>
    <t>SIM1318</t>
  </si>
  <si>
    <t>67.250.720/0001-59</t>
  </si>
  <si>
    <t>Empresa 320 LTDA</t>
  </si>
  <si>
    <t>SIM1319</t>
  </si>
  <si>
    <t>83.191.393/0001-19</t>
  </si>
  <si>
    <t>Empresa 321 LTDA</t>
  </si>
  <si>
    <t>SIM1320</t>
  </si>
  <si>
    <t>67.626.421/0001-45</t>
  </si>
  <si>
    <t>Empresa 322 LTDA</t>
  </si>
  <si>
    <t>SIM1321</t>
  </si>
  <si>
    <t>56.632.121/0001-38</t>
  </si>
  <si>
    <t>Empresa 323 LTDA</t>
  </si>
  <si>
    <t>SIM1322</t>
  </si>
  <si>
    <t>99.291.443/0001-91</t>
  </si>
  <si>
    <t>Empresa 324 LTDA</t>
  </si>
  <si>
    <t>SIM1323</t>
  </si>
  <si>
    <t>58.407.205/0001-37</t>
  </si>
  <si>
    <t>Empresa 325 LTDA</t>
  </si>
  <si>
    <t>SIM1324</t>
  </si>
  <si>
    <t>94.501.735/0001-79</t>
  </si>
  <si>
    <t>Empresa 326 LTDA</t>
  </si>
  <si>
    <t>SIM1325</t>
  </si>
  <si>
    <t>76.489.810/0001-11</t>
  </si>
  <si>
    <t>Empresa 327 LTDA</t>
  </si>
  <si>
    <t>SIM1326</t>
  </si>
  <si>
    <t>14.619.860/0001-13</t>
  </si>
  <si>
    <t>Empresa 328 LTDA</t>
  </si>
  <si>
    <t>SIM1327</t>
  </si>
  <si>
    <t>25.555.979/0001-69</t>
  </si>
  <si>
    <t>Empresa 329 LTDA</t>
  </si>
  <si>
    <t>SIM1328</t>
  </si>
  <si>
    <t>90.224.797/0001-53</t>
  </si>
  <si>
    <t>Empresa 330 LTDA</t>
  </si>
  <si>
    <t>SIM1329</t>
  </si>
  <si>
    <t>19.395.745/0001-55</t>
  </si>
  <si>
    <t>Empresa 331 LTDA</t>
  </si>
  <si>
    <t>SIM1330</t>
  </si>
  <si>
    <t>38.624.935/0001-49</t>
  </si>
  <si>
    <t>Empresa 332 LTDA</t>
  </si>
  <si>
    <t>SIM1331</t>
  </si>
  <si>
    <t>40.420.509/0001-34</t>
  </si>
  <si>
    <t>Empresa 333 LTDA</t>
  </si>
  <si>
    <t>SIM1332</t>
  </si>
  <si>
    <t>53.103.882/0001-27</t>
  </si>
  <si>
    <t>Empresa 334 LTDA</t>
  </si>
  <si>
    <t>SIM1333</t>
  </si>
  <si>
    <t>60.560.653/0001-66</t>
  </si>
  <si>
    <t>Empresa 335 LTDA</t>
  </si>
  <si>
    <t>SIM1334</t>
  </si>
  <si>
    <t>29.498.981/0001-16</t>
  </si>
  <si>
    <t>Empresa 336 LTDA</t>
  </si>
  <si>
    <t>SIM1335</t>
  </si>
  <si>
    <t>41.103.285/0001-10</t>
  </si>
  <si>
    <t>Empresa 337 LTDA</t>
  </si>
  <si>
    <t>SIM1336</t>
  </si>
  <si>
    <t>50.143.456/0001-61</t>
  </si>
  <si>
    <t>Empresa 338 LTDA</t>
  </si>
  <si>
    <t>SIM1337</t>
  </si>
  <si>
    <t>55.419.947/0001-63</t>
  </si>
  <si>
    <t>Empresa 339 LTDA</t>
  </si>
  <si>
    <t>SIM1338</t>
  </si>
  <si>
    <t>31.716.963/0001-72</t>
  </si>
  <si>
    <t>Empresa 340 LTDA</t>
  </si>
  <si>
    <t>SIM1339</t>
  </si>
  <si>
    <t>53.246.564/0001-45</t>
  </si>
  <si>
    <t>Empresa 341 LTDA</t>
  </si>
  <si>
    <t>SIM1340</t>
  </si>
  <si>
    <t>51.404.592/0001-19</t>
  </si>
  <si>
    <t>Empresa 342 LTDA</t>
  </si>
  <si>
    <t>SIM1341</t>
  </si>
  <si>
    <t>69.401.264/0001-22</t>
  </si>
  <si>
    <t>Empresa 343 LTDA</t>
  </si>
  <si>
    <t>SIM1342</t>
  </si>
  <si>
    <t>39.802.742/0001-87</t>
  </si>
  <si>
    <t>Empresa 344 LTDA</t>
  </si>
  <si>
    <t>SIM1343</t>
  </si>
  <si>
    <t>55.503.385/0001-74</t>
  </si>
  <si>
    <t>Empresa 345 LTDA</t>
  </si>
  <si>
    <t>SIM1344</t>
  </si>
  <si>
    <t>67.179.621/0001-71</t>
  </si>
  <si>
    <t>Empresa 346 LTDA</t>
  </si>
  <si>
    <t>SIM1345</t>
  </si>
  <si>
    <t>44.483.128/0001-75</t>
  </si>
  <si>
    <t>Empresa 347 LTDA</t>
  </si>
  <si>
    <t>SIM1346</t>
  </si>
  <si>
    <t>25.638.581/0001-49</t>
  </si>
  <si>
    <t>Empresa 348 LTDA</t>
  </si>
  <si>
    <t>SIM1347</t>
  </si>
  <si>
    <t>72.732.606/0001-15</t>
  </si>
  <si>
    <t>Empresa 349 LTDA</t>
  </si>
  <si>
    <t>SIM1348</t>
  </si>
  <si>
    <t>39.804.384/0001-31</t>
  </si>
  <si>
    <t>Empresa 350 LTDA</t>
  </si>
  <si>
    <t>SIM1349</t>
  </si>
  <si>
    <t>36.210.522/0001-65</t>
  </si>
  <si>
    <t>Empresa 351 LTDA</t>
  </si>
  <si>
    <t>SIM1350</t>
  </si>
  <si>
    <t>51.411.481/0001-44</t>
  </si>
  <si>
    <t>Empresa 352 LTDA</t>
  </si>
  <si>
    <t>SIM1351</t>
  </si>
  <si>
    <t>20.102.776/0001-39</t>
  </si>
  <si>
    <t>Empresa 353 LTDA</t>
  </si>
  <si>
    <t>SIM1352</t>
  </si>
  <si>
    <t>93.350.674/0001-20</t>
  </si>
  <si>
    <t>Empresa 354 LTDA</t>
  </si>
  <si>
    <t>SIM1353</t>
  </si>
  <si>
    <t>22.423.988/0001-88</t>
  </si>
  <si>
    <t>Empresa 355 LTDA</t>
  </si>
  <si>
    <t>SIM1354</t>
  </si>
  <si>
    <t>13.646.269/0001-48</t>
  </si>
  <si>
    <t>Empresa 356 LTDA</t>
  </si>
  <si>
    <t>SIM1355</t>
  </si>
  <si>
    <t>52.206.755/0001-36</t>
  </si>
  <si>
    <t>Empresa 357 LTDA</t>
  </si>
  <si>
    <t>SIM1356</t>
  </si>
  <si>
    <t>50.272.172/0001-89</t>
  </si>
  <si>
    <t>Empresa 358 LTDA</t>
  </si>
  <si>
    <t>SIM1357</t>
  </si>
  <si>
    <t>42.380.757/0001-73</t>
  </si>
  <si>
    <t>Empresa 359 LTDA</t>
  </si>
  <si>
    <t>SIM1358</t>
  </si>
  <si>
    <t>44.177.514/0001-90</t>
  </si>
  <si>
    <t>Empresa 360 LTDA</t>
  </si>
  <si>
    <t>SIM1359</t>
  </si>
  <si>
    <t>94.978.855/0001-44</t>
  </si>
  <si>
    <t>Empresa 361 LTDA</t>
  </si>
  <si>
    <t>SIM1360</t>
  </si>
  <si>
    <t>27.332.811/0001-53</t>
  </si>
  <si>
    <t>Empresa 362 LTDA</t>
  </si>
  <si>
    <t>SIM1361</t>
  </si>
  <si>
    <t>84.996.965/0001-10</t>
  </si>
  <si>
    <t>Empresa 363 LTDA</t>
  </si>
  <si>
    <t>SIM1362</t>
  </si>
  <si>
    <t>97.386.724/0001-82</t>
  </si>
  <si>
    <t>Empresa 364 LTDA</t>
  </si>
  <si>
    <t>SIM1363</t>
  </si>
  <si>
    <t>32.463.652/0001-85</t>
  </si>
  <si>
    <t>Empresa 365 LTDA</t>
  </si>
  <si>
    <t>SIM1364</t>
  </si>
  <si>
    <t>47.521.117/0001-36</t>
  </si>
  <si>
    <t>Empresa 366 LTDA</t>
  </si>
  <si>
    <t>SIM1365</t>
  </si>
  <si>
    <t>73.617.549/0001-44</t>
  </si>
  <si>
    <t>Empresa 367 LTDA</t>
  </si>
  <si>
    <t>SIM1366</t>
  </si>
  <si>
    <t>89.294.397/0001-52</t>
  </si>
  <si>
    <t>Empresa 368 LTDA</t>
  </si>
  <si>
    <t>SIM1367</t>
  </si>
  <si>
    <t>27.225.348/0001-91</t>
  </si>
  <si>
    <t>Empresa 369 LTDA</t>
  </si>
  <si>
    <t>SIM1368</t>
  </si>
  <si>
    <t>91.121.857/0001-79</t>
  </si>
  <si>
    <t>Empresa 370 LTDA</t>
  </si>
  <si>
    <t>SIM1369</t>
  </si>
  <si>
    <t>65.659.758/0001-99</t>
  </si>
  <si>
    <t>Empresa 371 LTDA</t>
  </si>
  <si>
    <t>SIM1370</t>
  </si>
  <si>
    <t>68.797.862/0001-20</t>
  </si>
  <si>
    <t>Empresa 372 LTDA</t>
  </si>
  <si>
    <t>SIM1371</t>
  </si>
  <si>
    <t>21.715.321/0001-85</t>
  </si>
  <si>
    <t>Empresa 373 LTDA</t>
  </si>
  <si>
    <t>SIM1372</t>
  </si>
  <si>
    <t>72.193.216/0001-63</t>
  </si>
  <si>
    <t>Empresa 374 LTDA</t>
  </si>
  <si>
    <t>SIM1373</t>
  </si>
  <si>
    <t>66.471.959/0001-20</t>
  </si>
  <si>
    <t>Empresa 375 LTDA</t>
  </si>
  <si>
    <t>SIM1374</t>
  </si>
  <si>
    <t>34.656.206/0001-49</t>
  </si>
  <si>
    <t>Empresa 376 LTDA</t>
  </si>
  <si>
    <t>SIM1375</t>
  </si>
  <si>
    <t>54.605.182/0001-56</t>
  </si>
  <si>
    <t>Empresa 377 LTDA</t>
  </si>
  <si>
    <t>SIM1376</t>
  </si>
  <si>
    <t>22.769.353/0001-36</t>
  </si>
  <si>
    <t>Empresa 378 LTDA</t>
  </si>
  <si>
    <t>SIM1377</t>
  </si>
  <si>
    <t>73.700.611/0001-23</t>
  </si>
  <si>
    <t>Empresa 379 LTDA</t>
  </si>
  <si>
    <t>SIM1378</t>
  </si>
  <si>
    <t>85.384.506/0001-36</t>
  </si>
  <si>
    <t>Empresa 380 LTDA</t>
  </si>
  <si>
    <t>SIM1379</t>
  </si>
  <si>
    <t>81.413.639/0001-22</t>
  </si>
  <si>
    <t>Empresa 381 LTDA</t>
  </si>
  <si>
    <t>SIM1380</t>
  </si>
  <si>
    <t>97.128.692/0001-46</t>
  </si>
  <si>
    <t>Empresa 382 LTDA</t>
  </si>
  <si>
    <t>SIM1381</t>
  </si>
  <si>
    <t>25.447.814/0001-61</t>
  </si>
  <si>
    <t>Empresa 383 LTDA</t>
  </si>
  <si>
    <t>SIM1382</t>
  </si>
  <si>
    <t>53.715.200/0001-68</t>
  </si>
  <si>
    <t>Empresa 384 LTDA</t>
  </si>
  <si>
    <t>SIM1383</t>
  </si>
  <si>
    <t>75.148.161/0001-30</t>
  </si>
  <si>
    <t>Empresa 385 LTDA</t>
  </si>
  <si>
    <t>SIM1384</t>
  </si>
  <si>
    <t>78.863.987/0001-73</t>
  </si>
  <si>
    <t>Empresa 386 LTDA</t>
  </si>
  <si>
    <t>SIM1385</t>
  </si>
  <si>
    <t>91.760.753/0001-86</t>
  </si>
  <si>
    <t>Empresa 387 LTDA</t>
  </si>
  <si>
    <t>SIM1386</t>
  </si>
  <si>
    <t>19.615.387/0001-10</t>
  </si>
  <si>
    <t>Empresa 388 LTDA</t>
  </si>
  <si>
    <t>SIM1387</t>
  </si>
  <si>
    <t>74.668.358/0001-50</t>
  </si>
  <si>
    <t>Empresa 389 LTDA</t>
  </si>
  <si>
    <t>SIM1388</t>
  </si>
  <si>
    <t>96.237.477/0001-21</t>
  </si>
  <si>
    <t>Empresa 390 LTDA</t>
  </si>
  <si>
    <t>SIM1389</t>
  </si>
  <si>
    <t>86.271.908/0001-33</t>
  </si>
  <si>
    <t>Empresa 391 LTDA</t>
  </si>
  <si>
    <t>SIM1390</t>
  </si>
  <si>
    <t>92.211.511/0001-45</t>
  </si>
  <si>
    <t>Empresa 392 LTDA</t>
  </si>
  <si>
    <t>SIM1391</t>
  </si>
  <si>
    <t>46.127.325/0001-64</t>
  </si>
  <si>
    <t>Empresa 393 LTDA</t>
  </si>
  <si>
    <t>SIM1392</t>
  </si>
  <si>
    <t>54.756.342/0001-38</t>
  </si>
  <si>
    <t>Empresa 394 LTDA</t>
  </si>
  <si>
    <t>SIM1393</t>
  </si>
  <si>
    <t>54.539.331/0001-30</t>
  </si>
  <si>
    <t>Empresa 395 LTDA</t>
  </si>
  <si>
    <t>SIM1394</t>
  </si>
  <si>
    <t>65.916.271/0001-35</t>
  </si>
  <si>
    <t>Empresa 396 LTDA</t>
  </si>
  <si>
    <t>SIM1395</t>
  </si>
  <si>
    <t>52.639.441/0001-67</t>
  </si>
  <si>
    <t>Empresa 397 LTDA</t>
  </si>
  <si>
    <t>SIM1396</t>
  </si>
  <si>
    <t>67.437.250/0001-33</t>
  </si>
  <si>
    <t>Empresa 398 LTDA</t>
  </si>
  <si>
    <t>SIM1397</t>
  </si>
  <si>
    <t>76.232.133/0001-99</t>
  </si>
  <si>
    <t>Empresa 399 LTDA</t>
  </si>
  <si>
    <t>SIM1398</t>
  </si>
  <si>
    <t>10.689.238/0001-63</t>
  </si>
  <si>
    <t>Empresa 400 LTDA</t>
  </si>
  <si>
    <t>SIM1399</t>
  </si>
  <si>
    <t>76.805.811/0001-49</t>
  </si>
  <si>
    <t>Empresa 401 LTDA</t>
  </si>
  <si>
    <t>SIM1400</t>
  </si>
  <si>
    <t>28.713.734/0001-22</t>
  </si>
  <si>
    <t>Empresa 402 LTDA</t>
  </si>
  <si>
    <t>SIM1401</t>
  </si>
  <si>
    <t>29.489.467/0001-55</t>
  </si>
  <si>
    <t>Empresa 403 LTDA</t>
  </si>
  <si>
    <t>SIM1402</t>
  </si>
  <si>
    <t>83.386.410/0001-97</t>
  </si>
  <si>
    <t>Empresa 404 LTDA</t>
  </si>
  <si>
    <t>SIM1403</t>
  </si>
  <si>
    <t>51.501.623/0001-68</t>
  </si>
  <si>
    <t>Empresa 405 LTDA</t>
  </si>
  <si>
    <t>SIM1404</t>
  </si>
  <si>
    <t>83.617.807/0001-29</t>
  </si>
  <si>
    <t>Empresa 406 LTDA</t>
  </si>
  <si>
    <t>SIM1405</t>
  </si>
  <si>
    <t>18.530.507/0001-62</t>
  </si>
  <si>
    <t>Empresa 407 LTDA</t>
  </si>
  <si>
    <t>SIM1406</t>
  </si>
  <si>
    <t>85.845.592/0001-61</t>
  </si>
  <si>
    <t>Empresa 408 LTDA</t>
  </si>
  <si>
    <t>SIM1407</t>
  </si>
  <si>
    <t>33.920.373/0001-94</t>
  </si>
  <si>
    <t>Empresa 409 LTDA</t>
  </si>
  <si>
    <t>SIM1408</t>
  </si>
  <si>
    <t>66.234.276/0001-94</t>
  </si>
  <si>
    <t>Empresa 410 LTDA</t>
  </si>
  <si>
    <t>SIM1409</t>
  </si>
  <si>
    <t>12.730.224/0001-63</t>
  </si>
  <si>
    <t>Empresa 411 LTDA</t>
  </si>
  <si>
    <t>SIM1410</t>
  </si>
  <si>
    <t>46.786.422/0001-37</t>
  </si>
  <si>
    <t>Empresa 412 LTDA</t>
  </si>
  <si>
    <t>SIM1411</t>
  </si>
  <si>
    <t>64.714.748/0001-19</t>
  </si>
  <si>
    <t>Empresa 413 LTDA</t>
  </si>
  <si>
    <t>SIM1412</t>
  </si>
  <si>
    <t>44.502.282/0001-97</t>
  </si>
  <si>
    <t>Empresa 414 LTDA</t>
  </si>
  <si>
    <t>SIM1413</t>
  </si>
  <si>
    <t>60.718.401/0001-91</t>
  </si>
  <si>
    <t>Empresa 415 LTDA</t>
  </si>
  <si>
    <t>SIM1414</t>
  </si>
  <si>
    <t>22.854.689/0001-83</t>
  </si>
  <si>
    <t>Empresa 416 LTDA</t>
  </si>
  <si>
    <t>SIM1415</t>
  </si>
  <si>
    <t>12.971.657/0001-92</t>
  </si>
  <si>
    <t>Empresa 417 LTDA</t>
  </si>
  <si>
    <t>SIM1416</t>
  </si>
  <si>
    <t>23.582.342/0001-34</t>
  </si>
  <si>
    <t>Empresa 418 LTDA</t>
  </si>
  <si>
    <t>SIM1417</t>
  </si>
  <si>
    <t>58.729.702/0001-99</t>
  </si>
  <si>
    <t>Empresa 419 LTDA</t>
  </si>
  <si>
    <t>SIM1418</t>
  </si>
  <si>
    <t>61.173.271/0001-22</t>
  </si>
  <si>
    <t>Empresa 420 LTDA</t>
  </si>
  <si>
    <t>SIM1419</t>
  </si>
  <si>
    <t>49.560.377/0001-90</t>
  </si>
  <si>
    <t>Empresa 421 LTDA</t>
  </si>
  <si>
    <t>SIM1420</t>
  </si>
  <si>
    <t>32.363.437/0001-93</t>
  </si>
  <si>
    <t>Empresa 422 LTDA</t>
  </si>
  <si>
    <t>SIM1421</t>
  </si>
  <si>
    <t>49.127.328/0001-53</t>
  </si>
  <si>
    <t>Empresa 423 LTDA</t>
  </si>
  <si>
    <t>SIM1422</t>
  </si>
  <si>
    <t>49.255.295/0001-62</t>
  </si>
  <si>
    <t>Empresa 424 LTDA</t>
  </si>
  <si>
    <t>SIM1423</t>
  </si>
  <si>
    <t>24.971.313/0001-38</t>
  </si>
  <si>
    <t>Empresa 425 LTDA</t>
  </si>
  <si>
    <t>SIM1424</t>
  </si>
  <si>
    <t>52.880.230/0001-18</t>
  </si>
  <si>
    <t>Empresa 426 LTDA</t>
  </si>
  <si>
    <t>SIM1425</t>
  </si>
  <si>
    <t>76.126.597/0001-84</t>
  </si>
  <si>
    <t>Empresa 427 LTDA</t>
  </si>
  <si>
    <t>SIM1426</t>
  </si>
  <si>
    <t>89.259.402/0001-96</t>
  </si>
  <si>
    <t>Empresa 428 LTDA</t>
  </si>
  <si>
    <t>SIM1427</t>
  </si>
  <si>
    <t>13.691.130/0001-25</t>
  </si>
  <si>
    <t>Empresa 429 LTDA</t>
  </si>
  <si>
    <t>SIM1428</t>
  </si>
  <si>
    <t>43.760.667/0001-43</t>
  </si>
  <si>
    <t>Empresa 430 LTDA</t>
  </si>
  <si>
    <t>SIM1429</t>
  </si>
  <si>
    <t>67.641.408/0001-29</t>
  </si>
  <si>
    <t>Empresa 431 LTDA</t>
  </si>
  <si>
    <t>SIM1430</t>
  </si>
  <si>
    <t>93.892.987/0001-91</t>
  </si>
  <si>
    <t>Empresa 432 LTDA</t>
  </si>
  <si>
    <t>SIM1431</t>
  </si>
  <si>
    <t>10.675.333/0001-28</t>
  </si>
  <si>
    <t>Empresa 433 LTDA</t>
  </si>
  <si>
    <t>SIM1432</t>
  </si>
  <si>
    <t>53.849.199/0001-94</t>
  </si>
  <si>
    <t>Empresa 434 LTDA</t>
  </si>
  <si>
    <t>SIM1433</t>
  </si>
  <si>
    <t>19.313.293/0001-27</t>
  </si>
  <si>
    <t>Empresa 435 LTDA</t>
  </si>
  <si>
    <t>SIM1434</t>
  </si>
  <si>
    <t>73.957.514/0001-43</t>
  </si>
  <si>
    <t>Empresa 436 LTDA</t>
  </si>
  <si>
    <t>SIM1435</t>
  </si>
  <si>
    <t>56.600.840/0001-10</t>
  </si>
  <si>
    <t>Empresa 437 LTDA</t>
  </si>
  <si>
    <t>SIM1436</t>
  </si>
  <si>
    <t>44.677.395/0001-55</t>
  </si>
  <si>
    <t>Empresa 438 LTDA</t>
  </si>
  <si>
    <t>SIM1437</t>
  </si>
  <si>
    <t>27.854.606/0001-15</t>
  </si>
  <si>
    <t>Empresa 439 LTDA</t>
  </si>
  <si>
    <t>SIM1438</t>
  </si>
  <si>
    <t>12.177.607/0001-94</t>
  </si>
  <si>
    <t>Empresa 440 LTDA</t>
  </si>
  <si>
    <t>SIM1439</t>
  </si>
  <si>
    <t>17.551.900/0001-54</t>
  </si>
  <si>
    <t>Empresa 441 LTDA</t>
  </si>
  <si>
    <t>SIM1440</t>
  </si>
  <si>
    <t>53.763.775/0001-70</t>
  </si>
  <si>
    <t>Empresa 442 LTDA</t>
  </si>
  <si>
    <t>SIM1441</t>
  </si>
  <si>
    <t>38.711.258/0001-71</t>
  </si>
  <si>
    <t>Empresa 443 LTDA</t>
  </si>
  <si>
    <t>SIM1442</t>
  </si>
  <si>
    <t>91.860.726/0001-98</t>
  </si>
  <si>
    <t>Empresa 444 LTDA</t>
  </si>
  <si>
    <t>SIM1443</t>
  </si>
  <si>
    <t>63.250.375/0001-94</t>
  </si>
  <si>
    <t>Empresa 445 LTDA</t>
  </si>
  <si>
    <t>SIM1444</t>
  </si>
  <si>
    <t>22.317.267/0001-55</t>
  </si>
  <si>
    <t>Empresa 446 LTDA</t>
  </si>
  <si>
    <t>SIM1445</t>
  </si>
  <si>
    <t>84.992.967/0001-63</t>
  </si>
  <si>
    <t>Empresa 447 LTDA</t>
  </si>
  <si>
    <t>SIM1446</t>
  </si>
  <si>
    <t>20.967.988/0001-27</t>
  </si>
  <si>
    <t>Empresa 448 LTDA</t>
  </si>
  <si>
    <t>SIM1447</t>
  </si>
  <si>
    <t>82.719.275/0001-62</t>
  </si>
  <si>
    <t>Empresa 449 LTDA</t>
  </si>
  <si>
    <t>SIM1448</t>
  </si>
  <si>
    <t>29.907.326/0001-11</t>
  </si>
  <si>
    <t>Empresa 450 LTDA</t>
  </si>
  <si>
    <t>SIM1449</t>
  </si>
  <si>
    <t>78.190.381/0001-67</t>
  </si>
  <si>
    <t>Empresa 451 LTDA</t>
  </si>
  <si>
    <t>SIM1450</t>
  </si>
  <si>
    <t>81.817.436/0001-39</t>
  </si>
  <si>
    <t>Empresa 452 LTDA</t>
  </si>
  <si>
    <t>SIM1451</t>
  </si>
  <si>
    <t>36.661.836/0001-80</t>
  </si>
  <si>
    <t>Empresa 453 LTDA</t>
  </si>
  <si>
    <t>SIM1452</t>
  </si>
  <si>
    <t>49.957.248/0001-19</t>
  </si>
  <si>
    <t>Empresa 454 LTDA</t>
  </si>
  <si>
    <t>SIM1453</t>
  </si>
  <si>
    <t>52.872.593/0001-28</t>
  </si>
  <si>
    <t>Empresa 455 LTDA</t>
  </si>
  <si>
    <t>SIM1454</t>
  </si>
  <si>
    <t>75.882.470/0001-81</t>
  </si>
  <si>
    <t>Empresa 456 LTDA</t>
  </si>
  <si>
    <t>SIM1455</t>
  </si>
  <si>
    <t>77.755.541/0001-55</t>
  </si>
  <si>
    <t>Empresa 457 LTDA</t>
  </si>
  <si>
    <t>SIM1456</t>
  </si>
  <si>
    <t>36.412.757/0001-32</t>
  </si>
  <si>
    <t>Empresa 458 LTDA</t>
  </si>
  <si>
    <t>SIM1457</t>
  </si>
  <si>
    <t>69.481.218/0001-54</t>
  </si>
  <si>
    <t>Empresa 459 LTDA</t>
  </si>
  <si>
    <t>SIM1458</t>
  </si>
  <si>
    <t>40.891.312/0001-46</t>
  </si>
  <si>
    <t>Empresa 460 LTDA</t>
  </si>
  <si>
    <t>SIM1459</t>
  </si>
  <si>
    <t>69.730.349/0001-74</t>
  </si>
  <si>
    <t>Empresa 461 LTDA</t>
  </si>
  <si>
    <t>SIM1460</t>
  </si>
  <si>
    <t>94.442.259/0001-75</t>
  </si>
  <si>
    <t>Empresa 462 LTDA</t>
  </si>
  <si>
    <t>SIM1461</t>
  </si>
  <si>
    <t>53.921.826/0001-80</t>
  </si>
  <si>
    <t>Empresa 463 LTDA</t>
  </si>
  <si>
    <t>SIM1462</t>
  </si>
  <si>
    <t>71.233.850/0001-85</t>
  </si>
  <si>
    <t>Empresa 464 LTDA</t>
  </si>
  <si>
    <t>SIM1463</t>
  </si>
  <si>
    <t>70.259.402/0001-60</t>
  </si>
  <si>
    <t>Empresa 465 LTDA</t>
  </si>
  <si>
    <t>SIM1464</t>
  </si>
  <si>
    <t>57.371.794/0001-39</t>
  </si>
  <si>
    <t>Empresa 466 LTDA</t>
  </si>
  <si>
    <t>SIM1465</t>
  </si>
  <si>
    <t>45.613.251/0001-86</t>
  </si>
  <si>
    <t>Empresa 467 LTDA</t>
  </si>
  <si>
    <t>SIM1466</t>
  </si>
  <si>
    <t>81.458.569/0001-47</t>
  </si>
  <si>
    <t>Empresa 468 LTDA</t>
  </si>
  <si>
    <t>SIM1467</t>
  </si>
  <si>
    <t>56.224.912/0001-26</t>
  </si>
  <si>
    <t>Empresa 469 LTDA</t>
  </si>
  <si>
    <t>SIM1468</t>
  </si>
  <si>
    <t>26.271.558/0001-99</t>
  </si>
  <si>
    <t>Empresa 470 LTDA</t>
  </si>
  <si>
    <t>SIM1469</t>
  </si>
  <si>
    <t>71.972.190/0001-54</t>
  </si>
  <si>
    <t>Empresa 471 LTDA</t>
  </si>
  <si>
    <t>SIM1470</t>
  </si>
  <si>
    <t>42.978.539/0001-73</t>
  </si>
  <si>
    <t>Empresa 472 LTDA</t>
  </si>
  <si>
    <t>SIM1471</t>
  </si>
  <si>
    <t>24.614.777/0001-90</t>
  </si>
  <si>
    <t>Empresa 473 LTDA</t>
  </si>
  <si>
    <t>SIM1472</t>
  </si>
  <si>
    <t>80.942.197/0001-64</t>
  </si>
  <si>
    <t>Empresa 474 LTDA</t>
  </si>
  <si>
    <t>SIM1473</t>
  </si>
  <si>
    <t>97.799.317/0001-53</t>
  </si>
  <si>
    <t>Empresa 475 LTDA</t>
  </si>
  <si>
    <t>SIM1474</t>
  </si>
  <si>
    <t>25.133.483/0001-62</t>
  </si>
  <si>
    <t>Empresa 476 LTDA</t>
  </si>
  <si>
    <t>SIM1475</t>
  </si>
  <si>
    <t>73.363.831/0001-60</t>
  </si>
  <si>
    <t>Empresa 477 LTDA</t>
  </si>
  <si>
    <t>SIM1476</t>
  </si>
  <si>
    <t>25.659.623/0001-56</t>
  </si>
  <si>
    <t>Empresa 478 LTDA</t>
  </si>
  <si>
    <t>SIM1477</t>
  </si>
  <si>
    <t>37.895.403/0001-86</t>
  </si>
  <si>
    <t>Empresa 479 LTDA</t>
  </si>
  <si>
    <t>SIM1478</t>
  </si>
  <si>
    <t>16.923.212/0001-47</t>
  </si>
  <si>
    <t>Empresa 480 LTDA</t>
  </si>
  <si>
    <t>SIM1479</t>
  </si>
  <si>
    <t>70.247.485/0001-45</t>
  </si>
  <si>
    <t>Empresa 481 LTDA</t>
  </si>
  <si>
    <t>SIM1480</t>
  </si>
  <si>
    <t>97.179.698/0001-31</t>
  </si>
  <si>
    <t>Empresa 482 LTDA</t>
  </si>
  <si>
    <t>SIM1481</t>
  </si>
  <si>
    <t>42.963.506/0001-37</t>
  </si>
  <si>
    <t>Empresa 483 LTDA</t>
  </si>
  <si>
    <t>SIM1482</t>
  </si>
  <si>
    <t>77.796.763/0001-89</t>
  </si>
  <si>
    <t>Empresa 484 LTDA</t>
  </si>
  <si>
    <t>SIM1483</t>
  </si>
  <si>
    <t>95.770.507/0001-12</t>
  </si>
  <si>
    <t>Empresa 485 LTDA</t>
  </si>
  <si>
    <t>SIM1484</t>
  </si>
  <si>
    <t>69.297.599/0001-11</t>
  </si>
  <si>
    <t>Empresa 486 LTDA</t>
  </si>
  <si>
    <t>SIM1485</t>
  </si>
  <si>
    <t>32.358.725/0001-17</t>
  </si>
  <si>
    <t>Empresa 487 LTDA</t>
  </si>
  <si>
    <t>SIM1486</t>
  </si>
  <si>
    <t>90.185.134/0001-82</t>
  </si>
  <si>
    <t>Empresa 488 LTDA</t>
  </si>
  <si>
    <t>SIM1487</t>
  </si>
  <si>
    <t>12.621.173/0001-62</t>
  </si>
  <si>
    <t>Empresa 489 LTDA</t>
  </si>
  <si>
    <t>SIM1488</t>
  </si>
  <si>
    <t>25.355.486/0001-49</t>
  </si>
  <si>
    <t>Empresa 490 LTDA</t>
  </si>
  <si>
    <t>SIM1489</t>
  </si>
  <si>
    <t>96.109.393/0001-64</t>
  </si>
  <si>
    <t>Empresa 491 LTDA</t>
  </si>
  <si>
    <t>SIM1490</t>
  </si>
  <si>
    <t>39.762.557/0001-62</t>
  </si>
  <si>
    <t>Empresa 492 LTDA</t>
  </si>
  <si>
    <t>SIM1491</t>
  </si>
  <si>
    <t>21.995.806/0001-16</t>
  </si>
  <si>
    <t>Empresa 493 LTDA</t>
  </si>
  <si>
    <t>SIM1492</t>
  </si>
  <si>
    <t>80.381.762/0001-57</t>
  </si>
  <si>
    <t>Empresa 494 LTDA</t>
  </si>
  <si>
    <t>SIM1493</t>
  </si>
  <si>
    <t>73.253.810/0001-88</t>
  </si>
  <si>
    <t>Empresa 495 LTDA</t>
  </si>
  <si>
    <t>SIM1494</t>
  </si>
  <si>
    <t>82.662.829/0001-48</t>
  </si>
  <si>
    <t>Empresa 496 LTDA</t>
  </si>
  <si>
    <t>SIM1495</t>
  </si>
  <si>
    <t>68.990.692/0001-76</t>
  </si>
  <si>
    <t>Empresa 497 LTDA</t>
  </si>
  <si>
    <t>SIM1496</t>
  </si>
  <si>
    <t>15.999.773/0001-17</t>
  </si>
  <si>
    <t>Empresa 498 LTDA</t>
  </si>
  <si>
    <t>SIM1497</t>
  </si>
  <si>
    <t>38.619.883/0001-39</t>
  </si>
  <si>
    <t>Empresa 499 LTDA</t>
  </si>
  <si>
    <t>SIM1498</t>
  </si>
  <si>
    <t>48.218.313/0001-64</t>
  </si>
  <si>
    <t>Empresa 500 LTDA</t>
  </si>
  <si>
    <t>SIM1499</t>
  </si>
  <si>
    <t>35.322.867/0001-46</t>
  </si>
  <si>
    <t>Empresa 501 LTDA</t>
  </si>
  <si>
    <t>SIM1500</t>
  </si>
  <si>
    <t>77.982.652/0001-48</t>
  </si>
  <si>
    <t>Empresa 502 LTDA</t>
  </si>
  <si>
    <t>SIM1501</t>
  </si>
  <si>
    <t>71.752.914/0001-57</t>
  </si>
  <si>
    <t>Empresa 503 LTDA</t>
  </si>
  <si>
    <t>SIM1502</t>
  </si>
  <si>
    <t>65.575.291/0001-92</t>
  </si>
  <si>
    <t>Empresa 504 LTDA</t>
  </si>
  <si>
    <t>SIM1503</t>
  </si>
  <si>
    <t>10.729.637/0001-73</t>
  </si>
  <si>
    <t>Empresa 505 LTDA</t>
  </si>
  <si>
    <t>SIM1504</t>
  </si>
  <si>
    <t>45.973.953/0001-93</t>
  </si>
  <si>
    <t>Empresa 506 LTDA</t>
  </si>
  <si>
    <t>SIM1505</t>
  </si>
  <si>
    <t>82.345.519/0001-61</t>
  </si>
  <si>
    <t>Empresa 507 LTDA</t>
  </si>
  <si>
    <t>SIM1506</t>
  </si>
  <si>
    <t>33.561.653/0001-74</t>
  </si>
  <si>
    <t>Empresa 508 LTDA</t>
  </si>
  <si>
    <t>SIM1507</t>
  </si>
  <si>
    <t>99.795.768/0001-41</t>
  </si>
  <si>
    <t>Empresa 509 LTDA</t>
  </si>
  <si>
    <t>SIM1508</t>
  </si>
  <si>
    <t>20.974.999/0001-11</t>
  </si>
  <si>
    <t>Empresa 510 LTDA</t>
  </si>
  <si>
    <t>SIM1509</t>
  </si>
  <si>
    <t>66.140.695/0001-59</t>
  </si>
  <si>
    <t>Empresa 511 LTDA</t>
  </si>
  <si>
    <t>SIM1510</t>
  </si>
  <si>
    <t>26.689.596/0001-20</t>
  </si>
  <si>
    <t>Empresa 512 LTDA</t>
  </si>
  <si>
    <t>SIM1511</t>
  </si>
  <si>
    <t>56.932.189/0001-72</t>
  </si>
  <si>
    <t>Empresa 513 LTDA</t>
  </si>
  <si>
    <t>SIM1512</t>
  </si>
  <si>
    <t>24.688.375/0001-90</t>
  </si>
  <si>
    <t>Empresa 514 LTDA</t>
  </si>
  <si>
    <t>SIM1513</t>
  </si>
  <si>
    <t>57.503.406/0001-75</t>
  </si>
  <si>
    <t>Empresa 515 LTDA</t>
  </si>
  <si>
    <t>SIM1514</t>
  </si>
  <si>
    <t>24.935.508/0001-54</t>
  </si>
  <si>
    <t>Empresa 516 LTDA</t>
  </si>
  <si>
    <t>SIM1515</t>
  </si>
  <si>
    <t>75.613.914/0001-58</t>
  </si>
  <si>
    <t>Empresa 517 LTDA</t>
  </si>
  <si>
    <t>SIM1516</t>
  </si>
  <si>
    <t>37.513.146/0001-31</t>
  </si>
  <si>
    <t>Empresa 518 LTDA</t>
  </si>
  <si>
    <t>SIM1517</t>
  </si>
  <si>
    <t>70.580.403/0001-72</t>
  </si>
  <si>
    <t>Empresa 519 LTDA</t>
  </si>
  <si>
    <t>SIM1518</t>
  </si>
  <si>
    <t>64.912.259/0001-49</t>
  </si>
  <si>
    <t>Empresa 520 LTDA</t>
  </si>
  <si>
    <t>SIM1519</t>
  </si>
  <si>
    <t>88.735.267/0001-78</t>
  </si>
  <si>
    <t>Empresa 521 LTDA</t>
  </si>
  <si>
    <t>SIM1520</t>
  </si>
  <si>
    <t>51.685.309/0001-50</t>
  </si>
  <si>
    <t>Empresa 522 LTDA</t>
  </si>
  <si>
    <t>SIM1521</t>
  </si>
  <si>
    <t>46.221.571/0001-89</t>
  </si>
  <si>
    <t>Empresa 523 LTDA</t>
  </si>
  <si>
    <t>SIM1522</t>
  </si>
  <si>
    <t>13.372.961/0001-15</t>
  </si>
  <si>
    <t>Empresa 524 LTDA</t>
  </si>
  <si>
    <t>SIM1523</t>
  </si>
  <si>
    <t>45.138.220/0001-71</t>
  </si>
  <si>
    <t>Empresa 525 LTDA</t>
  </si>
  <si>
    <t>SIM1524</t>
  </si>
  <si>
    <t>86.756.997/0001-70</t>
  </si>
  <si>
    <t>Empresa 526 LTDA</t>
  </si>
  <si>
    <t>SIM1525</t>
  </si>
  <si>
    <t>85.882.894/0001-63</t>
  </si>
  <si>
    <t>Empresa 527 LTDA</t>
  </si>
  <si>
    <t>SIM1526</t>
  </si>
  <si>
    <t>59.766.525/0001-51</t>
  </si>
  <si>
    <t>Empresa 528 LTDA</t>
  </si>
  <si>
    <t>SIM1527</t>
  </si>
  <si>
    <t>60.908.450/0001-41</t>
  </si>
  <si>
    <t>Empresa 529 LTDA</t>
  </si>
  <si>
    <t>SIM1528</t>
  </si>
  <si>
    <t>62.948.941/0001-88</t>
  </si>
  <si>
    <t>Empresa 530 LTDA</t>
  </si>
  <si>
    <t>SIM1529</t>
  </si>
  <si>
    <t>96.893.511/0001-81</t>
  </si>
  <si>
    <t>Empresa 531 LTDA</t>
  </si>
  <si>
    <t>SIM1530</t>
  </si>
  <si>
    <t>55.410.650/0001-49</t>
  </si>
  <si>
    <t>Empresa 532 LTDA</t>
  </si>
  <si>
    <t>SIM1531</t>
  </si>
  <si>
    <t>66.162.337/0001-20</t>
  </si>
  <si>
    <t>Empresa 533 LTDA</t>
  </si>
  <si>
    <t>SIM1532</t>
  </si>
  <si>
    <t>97.757.938/0001-92</t>
  </si>
  <si>
    <t>Empresa 534 LTDA</t>
  </si>
  <si>
    <t>SIM1533</t>
  </si>
  <si>
    <t>60.896.583/0001-90</t>
  </si>
  <si>
    <t>Empresa 535 LTDA</t>
  </si>
  <si>
    <t>SIM1534</t>
  </si>
  <si>
    <t>37.628.405/0001-17</t>
  </si>
  <si>
    <t>Empresa 536 LTDA</t>
  </si>
  <si>
    <t>SIM1535</t>
  </si>
  <si>
    <t>98.800.395/0001-38</t>
  </si>
  <si>
    <t>Empresa 537 LTDA</t>
  </si>
  <si>
    <t>SIM1536</t>
  </si>
  <si>
    <t>47.557.359/0001-27</t>
  </si>
  <si>
    <t>Empresa 538 LTDA</t>
  </si>
  <si>
    <t>SIM1537</t>
  </si>
  <si>
    <t>85.127.731/0001-68</t>
  </si>
  <si>
    <t>Empresa 539 LTDA</t>
  </si>
  <si>
    <t>SIM1538</t>
  </si>
  <si>
    <t>23.111.733/0001-84</t>
  </si>
  <si>
    <t>Empresa 540 LTDA</t>
  </si>
  <si>
    <t>SIM1539</t>
  </si>
  <si>
    <t>86.201.551/0001-27</t>
  </si>
  <si>
    <t>Empresa 541 LTDA</t>
  </si>
  <si>
    <t>SIM1540</t>
  </si>
  <si>
    <t>16.907.905/0001-57</t>
  </si>
  <si>
    <t>Empresa 542 LTDA</t>
  </si>
  <si>
    <t>SIM1541</t>
  </si>
  <si>
    <t>27.426.604/0001-12</t>
  </si>
  <si>
    <t>Empresa 543 LTDA</t>
  </si>
  <si>
    <t>SIM1542</t>
  </si>
  <si>
    <t>29.717.919/0001-98</t>
  </si>
  <si>
    <t>Empresa 544 LTDA</t>
  </si>
  <si>
    <t>SIM1543</t>
  </si>
  <si>
    <t>36.205.286/0001-74</t>
  </si>
  <si>
    <t>Empresa 545 LTDA</t>
  </si>
  <si>
    <t>SIM1544</t>
  </si>
  <si>
    <t>73.670.962/0001-30</t>
  </si>
  <si>
    <t>Empresa 546 LTDA</t>
  </si>
  <si>
    <t>SIM1545</t>
  </si>
  <si>
    <t>43.320.240/0001-91</t>
  </si>
  <si>
    <t>Empresa 547 LTDA</t>
  </si>
  <si>
    <t>SIM1546</t>
  </si>
  <si>
    <t>39.791.452/0001-63</t>
  </si>
  <si>
    <t>Empresa 548 LTDA</t>
  </si>
  <si>
    <t>SIM1547</t>
  </si>
  <si>
    <t>93.999.225/0001-25</t>
  </si>
  <si>
    <t>Empresa 549 LTDA</t>
  </si>
  <si>
    <t>SIM1548</t>
  </si>
  <si>
    <t>31.151.295/0001-28</t>
  </si>
  <si>
    <t>Empresa 550 LTDA</t>
  </si>
  <si>
    <t>SIM1549</t>
  </si>
  <si>
    <t>28.794.119/0001-63</t>
  </si>
  <si>
    <t>Empresa 551 LTDA</t>
  </si>
  <si>
    <t>SIM1550</t>
  </si>
  <si>
    <t>63.306.576/0001-51</t>
  </si>
  <si>
    <t>Empresa 552 LTDA</t>
  </si>
  <si>
    <t>SIM1551</t>
  </si>
  <si>
    <t>50.107.424/0001-41</t>
  </si>
  <si>
    <t>Empresa 553 LTDA</t>
  </si>
  <si>
    <t>SIM1552</t>
  </si>
  <si>
    <t>30.779.969/0001-56</t>
  </si>
  <si>
    <t>Empresa 554 LTDA</t>
  </si>
  <si>
    <t>SIM1553</t>
  </si>
  <si>
    <t>38.122.349/0001-53</t>
  </si>
  <si>
    <t>Empresa 555 LTDA</t>
  </si>
  <si>
    <t>SIM1554</t>
  </si>
  <si>
    <t>61.296.332/0001-81</t>
  </si>
  <si>
    <t>Empresa 556 LTDA</t>
  </si>
  <si>
    <t>SIM1555</t>
  </si>
  <si>
    <t>70.100.559/0001-89</t>
  </si>
  <si>
    <t>Empresa 557 LTDA</t>
  </si>
  <si>
    <t>SIM1556</t>
  </si>
  <si>
    <t>67.939.737/0001-27</t>
  </si>
  <si>
    <t>Empresa 558 LTDA</t>
  </si>
  <si>
    <t>SIM1557</t>
  </si>
  <si>
    <t>36.513.139/0001-55</t>
  </si>
  <si>
    <t>Empresa 559 LTDA</t>
  </si>
  <si>
    <t>SIM1558</t>
  </si>
  <si>
    <t>56.255.368/0001-64</t>
  </si>
  <si>
    <t>Empresa 560 LTDA</t>
  </si>
  <si>
    <t>SIM1559</t>
  </si>
  <si>
    <t>70.339.381/0001-96</t>
  </si>
  <si>
    <t>Empresa 561 LTDA</t>
  </si>
  <si>
    <t>SIM1560</t>
  </si>
  <si>
    <t>63.990.849/0001-37</t>
  </si>
  <si>
    <t>Empresa 562 LTDA</t>
  </si>
  <si>
    <t>SIM1561</t>
  </si>
  <si>
    <t>50.147.170/0001-32</t>
  </si>
  <si>
    <t>Empresa 563 LTDA</t>
  </si>
  <si>
    <t>SIM1562</t>
  </si>
  <si>
    <t>71.778.466/0001-46</t>
  </si>
  <si>
    <t>Empresa 564 LTDA</t>
  </si>
  <si>
    <t>SIM1563</t>
  </si>
  <si>
    <t>31.293.179/0001-41</t>
  </si>
  <si>
    <t>Empresa 565 LTDA</t>
  </si>
  <si>
    <t>SIM1564</t>
  </si>
  <si>
    <t>88.758.991/0001-17</t>
  </si>
  <si>
    <t>Empresa 566 LTDA</t>
  </si>
  <si>
    <t>SIM1565</t>
  </si>
  <si>
    <t>51.594.812/0001-99</t>
  </si>
  <si>
    <t>Empresa 567 LTDA</t>
  </si>
  <si>
    <t>SIM1566</t>
  </si>
  <si>
    <t>68.348.789/0001-32</t>
  </si>
  <si>
    <t>Empresa 568 LTDA</t>
  </si>
  <si>
    <t>SIM1567</t>
  </si>
  <si>
    <t>20.976.754/0001-46</t>
  </si>
  <si>
    <t>Empresa 569 LTDA</t>
  </si>
  <si>
    <t>SIM1568</t>
  </si>
  <si>
    <t>33.934.193/0001-23</t>
  </si>
  <si>
    <t>Empresa 570 LTDA</t>
  </si>
  <si>
    <t>SIM1569</t>
  </si>
  <si>
    <t>40.912.319/0001-75</t>
  </si>
  <si>
    <t>Empresa 571 LTDA</t>
  </si>
  <si>
    <t>SIM1570</t>
  </si>
  <si>
    <t>76.492.443/0001-28</t>
  </si>
  <si>
    <t>Empresa 572 LTDA</t>
  </si>
  <si>
    <t>SIM1571</t>
  </si>
  <si>
    <t>21.281.830/0001-59</t>
  </si>
  <si>
    <t>Empresa 573 LTDA</t>
  </si>
  <si>
    <t>SIM1572</t>
  </si>
  <si>
    <t>56.760.391/0001-52</t>
  </si>
  <si>
    <t>Empresa 574 LTDA</t>
  </si>
  <si>
    <t>SIM1573</t>
  </si>
  <si>
    <t>83.565.863/0001-52</t>
  </si>
  <si>
    <t>Empresa 575 LTDA</t>
  </si>
  <si>
    <t>SIM1574</t>
  </si>
  <si>
    <t>57.164.687/0001-34</t>
  </si>
  <si>
    <t>Empresa 576 LTDA</t>
  </si>
  <si>
    <t>SIM1575</t>
  </si>
  <si>
    <t>69.440.529/0001-71</t>
  </si>
  <si>
    <t>Empresa 577 LTDA</t>
  </si>
  <si>
    <t>SIM1576</t>
  </si>
  <si>
    <t>79.872.969/0001-80</t>
  </si>
  <si>
    <t>Empresa 578 LTDA</t>
  </si>
  <si>
    <t>SIM1577</t>
  </si>
  <si>
    <t>84.891.886/0001-59</t>
  </si>
  <si>
    <t>Empresa 579 LTDA</t>
  </si>
  <si>
    <t>SIM1578</t>
  </si>
  <si>
    <t>45.929.129/0001-49</t>
  </si>
  <si>
    <t>Empresa 580 LTDA</t>
  </si>
  <si>
    <t>SIM1579</t>
  </si>
  <si>
    <t>16.439.155/0001-65</t>
  </si>
  <si>
    <t>Empresa 581 LTDA</t>
  </si>
  <si>
    <t>SIM1580</t>
  </si>
  <si>
    <t>18.151.808/0001-40</t>
  </si>
  <si>
    <t>Empresa 582 LTDA</t>
  </si>
  <si>
    <t>SIM1581</t>
  </si>
  <si>
    <t>86.103.254/0001-28</t>
  </si>
  <si>
    <t>Empresa 583 LTDA</t>
  </si>
  <si>
    <t>SIM1582</t>
  </si>
  <si>
    <t>69.462.850/0001-64</t>
  </si>
  <si>
    <t>Empresa 584 LTDA</t>
  </si>
  <si>
    <t>SIM1583</t>
  </si>
  <si>
    <t>95.275.602/0001-96</t>
  </si>
  <si>
    <t>Empresa 585 LTDA</t>
  </si>
  <si>
    <t>SIM1584</t>
  </si>
  <si>
    <t>31.772.599/0001-50</t>
  </si>
  <si>
    <t>Empresa 586 LTDA</t>
  </si>
  <si>
    <t>SIM1585</t>
  </si>
  <si>
    <t>92.706.307/0001-83</t>
  </si>
  <si>
    <t>Empresa 587 LTDA</t>
  </si>
  <si>
    <t>SIM1586</t>
  </si>
  <si>
    <t>40.179.597/0001-16</t>
  </si>
  <si>
    <t>Empresa 588 LTDA</t>
  </si>
  <si>
    <t>SIM1587</t>
  </si>
  <si>
    <t>55.209.160/0001-90</t>
  </si>
  <si>
    <t>Empresa 589 LTDA</t>
  </si>
  <si>
    <t>SIM1588</t>
  </si>
  <si>
    <t>14.714.302/0001-88</t>
  </si>
  <si>
    <t>Empresa 590 LTDA</t>
  </si>
  <si>
    <t>SIM1589</t>
  </si>
  <si>
    <t>18.279.904/0001-90</t>
  </si>
  <si>
    <t>Empresa 591 LTDA</t>
  </si>
  <si>
    <t>SIM1590</t>
  </si>
  <si>
    <t>63.528.832/0001-27</t>
  </si>
  <si>
    <t>Empresa 592 LTDA</t>
  </si>
  <si>
    <t>SIM1591</t>
  </si>
  <si>
    <t>75.567.686/0001-35</t>
  </si>
  <si>
    <t>Empresa 593 LTDA</t>
  </si>
  <si>
    <t>SIM1592</t>
  </si>
  <si>
    <t>53.685.843/0001-99</t>
  </si>
  <si>
    <t>Empresa 594 LTDA</t>
  </si>
  <si>
    <t>SIM1593</t>
  </si>
  <si>
    <t>70.285.484/0001-11</t>
  </si>
  <si>
    <t>Empresa 595 LTDA</t>
  </si>
  <si>
    <t>SIM1594</t>
  </si>
  <si>
    <t>39.619.988/0001-98</t>
  </si>
  <si>
    <t>Empresa 596 LTDA</t>
  </si>
  <si>
    <t>SIM1595</t>
  </si>
  <si>
    <t>55.320.828/0001-32</t>
  </si>
  <si>
    <t>Empresa 597 LTDA</t>
  </si>
  <si>
    <t>SIM1596</t>
  </si>
  <si>
    <t>19.638.485/0001-55</t>
  </si>
  <si>
    <t>Empresa 598 LTDA</t>
  </si>
  <si>
    <t>SIM1597</t>
  </si>
  <si>
    <t>59.880.119/0001-36</t>
  </si>
  <si>
    <t>Empresa 599 LTDA</t>
  </si>
  <si>
    <t>SIM1598</t>
  </si>
  <si>
    <t>35.126.917/0001-87</t>
  </si>
  <si>
    <t>Empresa 600 LTDA</t>
  </si>
  <si>
    <t>SIM1599</t>
  </si>
  <si>
    <t>36.360.714/0001-70</t>
  </si>
  <si>
    <t>Empresa 601 LTDA</t>
  </si>
  <si>
    <t>SIM1600</t>
  </si>
  <si>
    <t>65.981.521/0001-94</t>
  </si>
  <si>
    <t>Empresa 602 LTDA</t>
  </si>
  <si>
    <t>SIM1601</t>
  </si>
  <si>
    <t>63.856.886/0001-94</t>
  </si>
  <si>
    <t>Empresa 603 LTDA</t>
  </si>
  <si>
    <t>SIM1602</t>
  </si>
  <si>
    <t>61.532.596/0001-60</t>
  </si>
  <si>
    <t>Empresa 604 LTDA</t>
  </si>
  <si>
    <t>SIM1603</t>
  </si>
  <si>
    <t>99.351.630/0001-92</t>
  </si>
  <si>
    <t>Empresa 605 LTDA</t>
  </si>
  <si>
    <t>SIM1604</t>
  </si>
  <si>
    <t>32.988.874/0001-56</t>
  </si>
  <si>
    <t>Empresa 606 LTDA</t>
  </si>
  <si>
    <t>SIM1605</t>
  </si>
  <si>
    <t>55.891.173/0001-37</t>
  </si>
  <si>
    <t>Empresa 607 LTDA</t>
  </si>
  <si>
    <t>SIM1606</t>
  </si>
  <si>
    <t>42.800.541/0001-71</t>
  </si>
  <si>
    <t>Empresa 608 LTDA</t>
  </si>
  <si>
    <t>SIM1607</t>
  </si>
  <si>
    <t>98.680.790/0001-26</t>
  </si>
  <si>
    <t>Empresa 609 LTDA</t>
  </si>
  <si>
    <t>SIM1608</t>
  </si>
  <si>
    <t>56.953.838/0001-64</t>
  </si>
  <si>
    <t>Empresa 610 LTDA</t>
  </si>
  <si>
    <t>SIM1609</t>
  </si>
  <si>
    <t>19.645.813/0001-81</t>
  </si>
  <si>
    <t>Empresa 611 LTDA</t>
  </si>
  <si>
    <t>SIM1610</t>
  </si>
  <si>
    <t>75.938.984/0001-68</t>
  </si>
  <si>
    <t>Empresa 612 LTDA</t>
  </si>
  <si>
    <t>SIM1611</t>
  </si>
  <si>
    <t>67.708.128/0001-73</t>
  </si>
  <si>
    <t>Empresa 613 LTDA</t>
  </si>
  <si>
    <t>SIM1612</t>
  </si>
  <si>
    <t>97.230.187/0001-34</t>
  </si>
  <si>
    <t>Empresa 614 LTDA</t>
  </si>
  <si>
    <t>SIM1613</t>
  </si>
  <si>
    <t>57.415.617/0001-79</t>
  </si>
  <si>
    <t>Empresa 615 LTDA</t>
  </si>
  <si>
    <t>SIM1614</t>
  </si>
  <si>
    <t>92.551.810/0001-98</t>
  </si>
  <si>
    <t>Empresa 616 LTDA</t>
  </si>
  <si>
    <t>SIM1615</t>
  </si>
  <si>
    <t>81.192.615/0001-85</t>
  </si>
  <si>
    <t>Empresa 617 LTDA</t>
  </si>
  <si>
    <t>SIM1616</t>
  </si>
  <si>
    <t>20.145.987/0001-47</t>
  </si>
  <si>
    <t>Empresa 618 LTDA</t>
  </si>
  <si>
    <t>SIM1617</t>
  </si>
  <si>
    <t>79.572.138/0001-34</t>
  </si>
  <si>
    <t>Empresa 619 LTDA</t>
  </si>
  <si>
    <t>SIM1618</t>
  </si>
  <si>
    <t>35.949.146/0001-34</t>
  </si>
  <si>
    <t>Empresa 620 LTDA</t>
  </si>
  <si>
    <t>SIM1619</t>
  </si>
  <si>
    <t>46.446.340/0001-18</t>
  </si>
  <si>
    <t>Empresa 621 LTDA</t>
  </si>
  <si>
    <t>SIM1620</t>
  </si>
  <si>
    <t>55.185.961/0001-81</t>
  </si>
  <si>
    <t>Empresa 622 LTDA</t>
  </si>
  <si>
    <t>SIM1621</t>
  </si>
  <si>
    <t>74.637.792/0001-73</t>
  </si>
  <si>
    <t>Empresa 623 LTDA</t>
  </si>
  <si>
    <t>SIM1622</t>
  </si>
  <si>
    <t>18.776.872/0001-13</t>
  </si>
  <si>
    <t>Empresa 624 LTDA</t>
  </si>
  <si>
    <t>SIM1623</t>
  </si>
  <si>
    <t>81.668.377/0001-15</t>
  </si>
  <si>
    <t>Empresa 625 LTDA</t>
  </si>
  <si>
    <t>SIM1624</t>
  </si>
  <si>
    <t>66.395.762/0001-77</t>
  </si>
  <si>
    <t>Empresa 626 LTDA</t>
  </si>
  <si>
    <t>SIM1625</t>
  </si>
  <si>
    <t>13.171.378/0001-47</t>
  </si>
  <si>
    <t>Empresa 627 LTDA</t>
  </si>
  <si>
    <t>SIM1626</t>
  </si>
  <si>
    <t>59.673.286/0001-44</t>
  </si>
  <si>
    <t>Empresa 628 LTDA</t>
  </si>
  <si>
    <t>SIM1627</t>
  </si>
  <si>
    <t>36.109.521/0001-94</t>
  </si>
  <si>
    <t>Empresa 629 LTDA</t>
  </si>
  <si>
    <t>SIM1628</t>
  </si>
  <si>
    <t>38.933.735/0001-66</t>
  </si>
  <si>
    <t>Empresa 630 LTDA</t>
  </si>
  <si>
    <t>SIM1629</t>
  </si>
  <si>
    <t>60.996.509/0001-38</t>
  </si>
  <si>
    <t>Empresa 631 LTDA</t>
  </si>
  <si>
    <t>SIM1630</t>
  </si>
  <si>
    <t>71.959.811/0001-43</t>
  </si>
  <si>
    <t>Empresa 632 LTDA</t>
  </si>
  <si>
    <t>SIM1631</t>
  </si>
  <si>
    <t>64.858.392/0001-45</t>
  </si>
  <si>
    <t>Empresa 633 LTDA</t>
  </si>
  <si>
    <t>SIM1632</t>
  </si>
  <si>
    <t>79.830.102/0001-14</t>
  </si>
  <si>
    <t>Empresa 634 LTDA</t>
  </si>
  <si>
    <t>SIM1633</t>
  </si>
  <si>
    <t>19.246.853/0001-12</t>
  </si>
  <si>
    <t>Empresa 635 LTDA</t>
  </si>
  <si>
    <t>SIM1634</t>
  </si>
  <si>
    <t>70.786.200/0001-37</t>
  </si>
  <si>
    <t>Empresa 636 LTDA</t>
  </si>
  <si>
    <t>SIM1635</t>
  </si>
  <si>
    <t>52.521.487/0001-89</t>
  </si>
  <si>
    <t>Empresa 637 LTDA</t>
  </si>
  <si>
    <t>SIM1636</t>
  </si>
  <si>
    <t>26.503.405/0001-33</t>
  </si>
  <si>
    <t>Empresa 638 LTDA</t>
  </si>
  <si>
    <t>SIM1637</t>
  </si>
  <si>
    <t>78.201.530/0001-96</t>
  </si>
  <si>
    <t>Empresa 639 LTDA</t>
  </si>
  <si>
    <t>SIM1638</t>
  </si>
  <si>
    <t>52.632.877/0001-94</t>
  </si>
  <si>
    <t>Empresa 640 LTDA</t>
  </si>
  <si>
    <t>SIM1639</t>
  </si>
  <si>
    <t>36.271.786/0001-47</t>
  </si>
  <si>
    <t>Empresa 641 LTDA</t>
  </si>
  <si>
    <t>SIM1640</t>
  </si>
  <si>
    <t>35.910.913/0001-50</t>
  </si>
  <si>
    <t>Empresa 642 LTDA</t>
  </si>
  <si>
    <t>SIM1641</t>
  </si>
  <si>
    <t>41.395.640/0001-33</t>
  </si>
  <si>
    <t>Empresa 643 LTDA</t>
  </si>
  <si>
    <t>SIM1642</t>
  </si>
  <si>
    <t>12.401.953/0001-77</t>
  </si>
  <si>
    <t>Empresa 644 LTDA</t>
  </si>
  <si>
    <t>SIM1643</t>
  </si>
  <si>
    <t>77.320.132/0001-53</t>
  </si>
  <si>
    <t>Empresa 645 LTDA</t>
  </si>
  <si>
    <t>SIM1644</t>
  </si>
  <si>
    <t>68.481.591/0001-52</t>
  </si>
  <si>
    <t>Empresa 646 LTDA</t>
  </si>
  <si>
    <t>SIM1645</t>
  </si>
  <si>
    <t>71.393.571/0001-37</t>
  </si>
  <si>
    <t>Empresa 647 LTDA</t>
  </si>
  <si>
    <t>SIM1646</t>
  </si>
  <si>
    <t>57.908.287/0001-59</t>
  </si>
  <si>
    <t>Empresa 648 LTDA</t>
  </si>
  <si>
    <t>SIM1647</t>
  </si>
  <si>
    <t>12.295.211/0001-58</t>
  </si>
  <si>
    <t>Empresa 649 LTDA</t>
  </si>
  <si>
    <t>SIM1648</t>
  </si>
  <si>
    <t>22.886.747/0001-80</t>
  </si>
  <si>
    <t>Empresa 650 LTDA</t>
  </si>
  <si>
    <t>SIM1649</t>
  </si>
  <si>
    <t>28.218.268/0001-71</t>
  </si>
  <si>
    <t>Empresa 651 LTDA</t>
  </si>
  <si>
    <t>SIM1650</t>
  </si>
  <si>
    <t>62.543.468/0001-14</t>
  </si>
  <si>
    <t>Empresa 652 LTDA</t>
  </si>
  <si>
    <t>SIM1651</t>
  </si>
  <si>
    <t>80.653.881/0001-26</t>
  </si>
  <si>
    <t>Empresa 653 LTDA</t>
  </si>
  <si>
    <t>SIM1652</t>
  </si>
  <si>
    <t>93.375.401/0001-16</t>
  </si>
  <si>
    <t>Empresa 654 LTDA</t>
  </si>
  <si>
    <t>SIM1653</t>
  </si>
  <si>
    <t>44.858.419/0001-10</t>
  </si>
  <si>
    <t>Empresa 655 LTDA</t>
  </si>
  <si>
    <t>SIM1654</t>
  </si>
  <si>
    <t>42.928.163/0001-20</t>
  </si>
  <si>
    <t>Empresa 656 LTDA</t>
  </si>
  <si>
    <t>SIM1655</t>
  </si>
  <si>
    <t>98.146.462/0001-29</t>
  </si>
  <si>
    <t>Empresa 657 LTDA</t>
  </si>
  <si>
    <t>SIM1656</t>
  </si>
  <si>
    <t>81.336.356/0001-65</t>
  </si>
  <si>
    <t>Empresa 658 LTDA</t>
  </si>
  <si>
    <t>SIM1657</t>
  </si>
  <si>
    <t>26.383.136/0001-65</t>
  </si>
  <si>
    <t>Empresa 659 LTDA</t>
  </si>
  <si>
    <t>SIM1658</t>
  </si>
  <si>
    <t>42.859.829/0001-99</t>
  </si>
  <si>
    <t>Empresa 660 LTDA</t>
  </si>
  <si>
    <t>SIM1659</t>
  </si>
  <si>
    <t>48.262.553/0001-17</t>
  </si>
  <si>
    <t>Empresa 661 LTDA</t>
  </si>
  <si>
    <t>SIM1660</t>
  </si>
  <si>
    <t>12.979.624/0001-24</t>
  </si>
  <si>
    <t>Empresa 662 LTDA</t>
  </si>
  <si>
    <t>SIM1661</t>
  </si>
  <si>
    <t>68.526.376/0001-33</t>
  </si>
  <si>
    <t>Empresa 663 LTDA</t>
  </si>
  <si>
    <t>SIM1662</t>
  </si>
  <si>
    <t>55.115.138/0001-19</t>
  </si>
  <si>
    <t>Empresa 664 LTDA</t>
  </si>
  <si>
    <t>SIM1663</t>
  </si>
  <si>
    <t>57.843.951/0001-21</t>
  </si>
  <si>
    <t>Empresa 665 LTDA</t>
  </si>
  <si>
    <t>SIM1664</t>
  </si>
  <si>
    <t>33.805.802/0001-15</t>
  </si>
  <si>
    <t>Empresa 666 LTDA</t>
  </si>
  <si>
    <t>SIM1665</t>
  </si>
  <si>
    <t>50.717.678/0001-45</t>
  </si>
  <si>
    <t>Empresa 667 LTDA</t>
  </si>
  <si>
    <t>SIM1666</t>
  </si>
  <si>
    <t>23.756.256/0001-62</t>
  </si>
  <si>
    <t>Empresa 668 LTDA</t>
  </si>
  <si>
    <t>SIM1667</t>
  </si>
  <si>
    <t>14.967.525/0001-82</t>
  </si>
  <si>
    <t>Empresa 669 LTDA</t>
  </si>
  <si>
    <t>SIM1668</t>
  </si>
  <si>
    <t>65.154.184/0001-48</t>
  </si>
  <si>
    <t>Empresa 670 LTDA</t>
  </si>
  <si>
    <t>SIM1669</t>
  </si>
  <si>
    <t>73.334.637/0001-89</t>
  </si>
  <si>
    <t>Empresa 671 LTDA</t>
  </si>
  <si>
    <t>SIM1670</t>
  </si>
  <si>
    <t>54.211.795/0001-42</t>
  </si>
  <si>
    <t>Empresa 672 LTDA</t>
  </si>
  <si>
    <t>SIM1671</t>
  </si>
  <si>
    <t>22.153.713/0001-61</t>
  </si>
  <si>
    <t>Empresa 673 LTDA</t>
  </si>
  <si>
    <t>SIM1672</t>
  </si>
  <si>
    <t>80.420.477/0001-23</t>
  </si>
  <si>
    <t>Empresa 674 LTDA</t>
  </si>
  <si>
    <t>SIM1673</t>
  </si>
  <si>
    <t>78.983.303/0001-28</t>
  </si>
  <si>
    <t>Empresa 675 LTDA</t>
  </si>
  <si>
    <t>SIM1674</t>
  </si>
  <si>
    <t>94.958.291/0001-30</t>
  </si>
  <si>
    <t>Empresa 676 LTDA</t>
  </si>
  <si>
    <t>SIM1675</t>
  </si>
  <si>
    <t>95.475.906/0001-68</t>
  </si>
  <si>
    <t>Empresa 677 LTDA</t>
  </si>
  <si>
    <t>SIM1676</t>
  </si>
  <si>
    <t>16.584.692/0001-31</t>
  </si>
  <si>
    <t>Empresa 678 LTDA</t>
  </si>
  <si>
    <t>SIM1677</t>
  </si>
  <si>
    <t>48.169.498/0001-98</t>
  </si>
  <si>
    <t>Empresa 679 LTDA</t>
  </si>
  <si>
    <t>SIM1678</t>
  </si>
  <si>
    <t>20.927.279/0001-10</t>
  </si>
  <si>
    <t>Empresa 680 LTDA</t>
  </si>
  <si>
    <t>SIM1679</t>
  </si>
  <si>
    <t>94.280.255/0001-15</t>
  </si>
  <si>
    <t>Empresa 681 LTDA</t>
  </si>
  <si>
    <t>SIM1680</t>
  </si>
  <si>
    <t>53.911.443/0001-32</t>
  </si>
  <si>
    <t>Empresa 682 LTDA</t>
  </si>
  <si>
    <t>SIM1681</t>
  </si>
  <si>
    <t>45.314.113/0001-43</t>
  </si>
  <si>
    <t>Empresa 683 LTDA</t>
  </si>
  <si>
    <t>SIM1682</t>
  </si>
  <si>
    <t>33.383.495/0001-88</t>
  </si>
  <si>
    <t>Empresa 684 LTDA</t>
  </si>
  <si>
    <t>SIM1683</t>
  </si>
  <si>
    <t>89.889.492/0001-51</t>
  </si>
  <si>
    <t>Empresa 685 LTDA</t>
  </si>
  <si>
    <t>SIM1684</t>
  </si>
  <si>
    <t>21.904.600/0001-71</t>
  </si>
  <si>
    <t>Empresa 686 LTDA</t>
  </si>
  <si>
    <t>SIM1685</t>
  </si>
  <si>
    <t>39.751.967/0001-39</t>
  </si>
  <si>
    <t>Empresa 687 LTDA</t>
  </si>
  <si>
    <t>SIM1686</t>
  </si>
  <si>
    <t>48.985.571/0001-80</t>
  </si>
  <si>
    <t>Empresa 688 LTDA</t>
  </si>
  <si>
    <t>SIM1687</t>
  </si>
  <si>
    <t>51.439.238/0001-48</t>
  </si>
  <si>
    <t>Empresa 689 LTDA</t>
  </si>
  <si>
    <t>SIM1688</t>
  </si>
  <si>
    <t>24.534.341/0001-96</t>
  </si>
  <si>
    <t>Empresa 690 LTDA</t>
  </si>
  <si>
    <t>SIM1689</t>
  </si>
  <si>
    <t>36.867.180/0001-43</t>
  </si>
  <si>
    <t>Empresa 691 LTDA</t>
  </si>
  <si>
    <t>SIM1690</t>
  </si>
  <si>
    <t>88.416.769/0001-45</t>
  </si>
  <si>
    <t>Empresa 692 LTDA</t>
  </si>
  <si>
    <t>SIM1691</t>
  </si>
  <si>
    <t>62.334.500/0001-38</t>
  </si>
  <si>
    <t>Empresa 693 LTDA</t>
  </si>
  <si>
    <t>SIM1692</t>
  </si>
  <si>
    <t>41.165.916/0001-90</t>
  </si>
  <si>
    <t>Empresa 694 LTDA</t>
  </si>
  <si>
    <t>SIM1693</t>
  </si>
  <si>
    <t>29.508.509/0001-48</t>
  </si>
  <si>
    <t>Empresa 695 LTDA</t>
  </si>
  <si>
    <t>SIM1694</t>
  </si>
  <si>
    <t>51.509.753/0001-88</t>
  </si>
  <si>
    <t>Empresa 696 LTDA</t>
  </si>
  <si>
    <t>SIM1695</t>
  </si>
  <si>
    <t>65.534.705/0001-36</t>
  </si>
  <si>
    <t>Empresa 697 LTDA</t>
  </si>
  <si>
    <t>SIM1696</t>
  </si>
  <si>
    <t>47.196.770/0001-80</t>
  </si>
  <si>
    <t>Empresa 698 LTDA</t>
  </si>
  <si>
    <t>SIM1697</t>
  </si>
  <si>
    <t>89.750.867/0001-24</t>
  </si>
  <si>
    <t>Empresa 699 LTDA</t>
  </si>
  <si>
    <t>SIM1698</t>
  </si>
  <si>
    <t>24.559.860/0001-18</t>
  </si>
  <si>
    <t>Empresa 700 LTDA</t>
  </si>
  <si>
    <t>SIM1699</t>
  </si>
  <si>
    <t>61.337.896/0001-98</t>
  </si>
  <si>
    <t>Empresa 701 LTDA</t>
  </si>
  <si>
    <t>SIM1700</t>
  </si>
  <si>
    <t>93.558.501/0001-79</t>
  </si>
  <si>
    <t>Empresa 702 LTDA</t>
  </si>
  <si>
    <t>SIM1701</t>
  </si>
  <si>
    <t>78.407.701/0001-70</t>
  </si>
  <si>
    <t>Empresa 703 LTDA</t>
  </si>
  <si>
    <t>SIM1702</t>
  </si>
  <si>
    <t>38.502.417/0001-60</t>
  </si>
  <si>
    <t>Empresa 704 LTDA</t>
  </si>
  <si>
    <t>SIM1703</t>
  </si>
  <si>
    <t>52.818.640/0001-96</t>
  </si>
  <si>
    <t>Empresa 705 LTDA</t>
  </si>
  <si>
    <t>SIM1704</t>
  </si>
  <si>
    <t>34.744.329/0001-61</t>
  </si>
  <si>
    <t>Empresa 706 LTDA</t>
  </si>
  <si>
    <t>SIM1705</t>
  </si>
  <si>
    <t>40.807.238/0001-16</t>
  </si>
  <si>
    <t>Empresa 707 LTDA</t>
  </si>
  <si>
    <t>SIM1706</t>
  </si>
  <si>
    <t>86.664.464/0001-89</t>
  </si>
  <si>
    <t>Empresa 708 LTDA</t>
  </si>
  <si>
    <t>SIM1707</t>
  </si>
  <si>
    <t>49.692.869/0001-69</t>
  </si>
  <si>
    <t>Empresa 709 LTDA</t>
  </si>
  <si>
    <t>SIM1708</t>
  </si>
  <si>
    <t>78.134.292/0001-98</t>
  </si>
  <si>
    <t>Empresa 710 LTDA</t>
  </si>
  <si>
    <t>SIM1709</t>
  </si>
  <si>
    <t>56.810.472/0001-21</t>
  </si>
  <si>
    <t>Empresa 711 LTDA</t>
  </si>
  <si>
    <t>SIM1710</t>
  </si>
  <si>
    <t>61.134.317/0001-56</t>
  </si>
  <si>
    <t>Empresa 712 LTDA</t>
  </si>
  <si>
    <t>SIM1711</t>
  </si>
  <si>
    <t>14.859.700/0001-74</t>
  </si>
  <si>
    <t>Empresa 713 LTDA</t>
  </si>
  <si>
    <t>SIM1712</t>
  </si>
  <si>
    <t>96.258.506/0001-51</t>
  </si>
  <si>
    <t>Empresa 714 LTDA</t>
  </si>
  <si>
    <t>SIM1713</t>
  </si>
  <si>
    <t>92.846.699/0001-47</t>
  </si>
  <si>
    <t>Empresa 715 LTDA</t>
  </si>
  <si>
    <t>SIM1714</t>
  </si>
  <si>
    <t>70.479.599/0001-66</t>
  </si>
  <si>
    <t>Empresa 716 LTDA</t>
  </si>
  <si>
    <t>SIM1715</t>
  </si>
  <si>
    <t>76.919.408/0001-36</t>
  </si>
  <si>
    <t>Empresa 717 LTDA</t>
  </si>
  <si>
    <t>SIM1716</t>
  </si>
  <si>
    <t>39.630.552/0001-16</t>
  </si>
  <si>
    <t>Empresa 718 LTDA</t>
  </si>
  <si>
    <t>SIM1717</t>
  </si>
  <si>
    <t>77.788.544/0001-41</t>
  </si>
  <si>
    <t>Empresa 719 LTDA</t>
  </si>
  <si>
    <t>SIM1718</t>
  </si>
  <si>
    <t>83.104.890/0001-89</t>
  </si>
  <si>
    <t>Empresa 720 LTDA</t>
  </si>
  <si>
    <t>SIM1719</t>
  </si>
  <si>
    <t>25.845.547/0001-12</t>
  </si>
  <si>
    <t>Empresa 721 LTDA</t>
  </si>
  <si>
    <t>SIM1720</t>
  </si>
  <si>
    <t>29.120.773/0001-89</t>
  </si>
  <si>
    <t>Empresa 722 LTDA</t>
  </si>
  <si>
    <t>SIM1721</t>
  </si>
  <si>
    <t>99.318.390/0001-15</t>
  </si>
  <si>
    <t>Empresa 723 LTDA</t>
  </si>
  <si>
    <t>SIM1722</t>
  </si>
  <si>
    <t>47.626.382/0001-95</t>
  </si>
  <si>
    <t>Empresa 724 LTDA</t>
  </si>
  <si>
    <t>SIM1723</t>
  </si>
  <si>
    <t>94.180.923/0001-99</t>
  </si>
  <si>
    <t>Empresa 725 LTDA</t>
  </si>
  <si>
    <t>SIM1724</t>
  </si>
  <si>
    <t>46.614.784/0001-30</t>
  </si>
  <si>
    <t>Empresa 726 LTDA</t>
  </si>
  <si>
    <t>SIM1725</t>
  </si>
  <si>
    <t>65.825.508/0001-48</t>
  </si>
  <si>
    <t>Empresa 727 LTDA</t>
  </si>
  <si>
    <t>SIM1726</t>
  </si>
  <si>
    <t>57.842.730/0001-43</t>
  </si>
  <si>
    <t>Empresa 728 LTDA</t>
  </si>
  <si>
    <t>SIM1727</t>
  </si>
  <si>
    <t>90.445.258/0001-59</t>
  </si>
  <si>
    <t>Empresa 729 LTDA</t>
  </si>
  <si>
    <t>SIM1728</t>
  </si>
  <si>
    <t>66.303.632/0001-15</t>
  </si>
  <si>
    <t>Empresa 730 LTDA</t>
  </si>
  <si>
    <t>SIM1729</t>
  </si>
  <si>
    <t>96.193.784/0001-42</t>
  </si>
  <si>
    <t>Empresa 731 LTDA</t>
  </si>
  <si>
    <t>SIM1730</t>
  </si>
  <si>
    <t>93.493.709/0001-94</t>
  </si>
  <si>
    <t>Empresa 732 LTDA</t>
  </si>
  <si>
    <t>SIM1731</t>
  </si>
  <si>
    <t>49.440.484/0001-97</t>
  </si>
  <si>
    <t>Empresa 733 LTDA</t>
  </si>
  <si>
    <t>SIM1732</t>
  </si>
  <si>
    <t>24.939.208/0001-59</t>
  </si>
  <si>
    <t>Empresa 734 LTDA</t>
  </si>
  <si>
    <t>SIM1733</t>
  </si>
  <si>
    <t>91.959.215/0001-50</t>
  </si>
  <si>
    <t>Empresa 735 LTDA</t>
  </si>
  <si>
    <t>SIM1734</t>
  </si>
  <si>
    <t>21.296.675/0001-16</t>
  </si>
  <si>
    <t>Empresa 736 LTDA</t>
  </si>
  <si>
    <t>SIM1735</t>
  </si>
  <si>
    <t>78.743.128/0001-45</t>
  </si>
  <si>
    <t>Empresa 737 LTDA</t>
  </si>
  <si>
    <t>SIM1736</t>
  </si>
  <si>
    <t>75.936.252/0001-96</t>
  </si>
  <si>
    <t>Empresa 738 LTDA</t>
  </si>
  <si>
    <t>SIM1737</t>
  </si>
  <si>
    <t>35.770.842/0001-50</t>
  </si>
  <si>
    <t>Empresa 739 LTDA</t>
  </si>
  <si>
    <t>SIM1738</t>
  </si>
  <si>
    <t>48.401.285/0001-94</t>
  </si>
  <si>
    <t>Empresa 740 LTDA</t>
  </si>
  <si>
    <t>SIM1739</t>
  </si>
  <si>
    <t>10.385.568/0001-86</t>
  </si>
  <si>
    <t>Empresa 741 LTDA</t>
  </si>
  <si>
    <t>SIM1740</t>
  </si>
  <si>
    <t>21.908.458/0001-95</t>
  </si>
  <si>
    <t>Empresa 742 LTDA</t>
  </si>
  <si>
    <t>SIM1741</t>
  </si>
  <si>
    <t>53.268.146/0001-69</t>
  </si>
  <si>
    <t>Empresa 743 LTDA</t>
  </si>
  <si>
    <t>SIM1742</t>
  </si>
  <si>
    <t>97.385.212/0001-56</t>
  </si>
  <si>
    <t>Empresa 744 LTDA</t>
  </si>
  <si>
    <t>SIM1743</t>
  </si>
  <si>
    <t>41.280.756/0001-18</t>
  </si>
  <si>
    <t>Empresa 745 LTDA</t>
  </si>
  <si>
    <t>SIM1744</t>
  </si>
  <si>
    <t>76.649.190/0001-73</t>
  </si>
  <si>
    <t>Empresa 746 LTDA</t>
  </si>
  <si>
    <t>SIM1745</t>
  </si>
  <si>
    <t>25.135.535/0001-64</t>
  </si>
  <si>
    <t>Empresa 747 LTDA</t>
  </si>
  <si>
    <t>SIM1746</t>
  </si>
  <si>
    <t>53.615.495/0001-46</t>
  </si>
  <si>
    <t>Empresa 748 LTDA</t>
  </si>
  <si>
    <t>SIM1747</t>
  </si>
  <si>
    <t>99.996.435/0001-92</t>
  </si>
  <si>
    <t>Empresa 749 LTDA</t>
  </si>
  <si>
    <t>SIM1748</t>
  </si>
  <si>
    <t>65.910.480/0001-90</t>
  </si>
  <si>
    <t>Empresa 750 LTDA</t>
  </si>
  <si>
    <t>SIM1749</t>
  </si>
  <si>
    <t>62.517.992/0001-92</t>
  </si>
  <si>
    <t>Empresa 751 LTDA</t>
  </si>
  <si>
    <t>SIM1750</t>
  </si>
  <si>
    <t>32.104.619/0001-36</t>
  </si>
  <si>
    <t>Empresa 752 LTDA</t>
  </si>
  <si>
    <t>SIM1751</t>
  </si>
  <si>
    <t>52.855.417/0001-27</t>
  </si>
  <si>
    <t>Empresa 753 LTDA</t>
  </si>
  <si>
    <t>SIM1752</t>
  </si>
  <si>
    <t>58.465.864/0001-57</t>
  </si>
  <si>
    <t>Empresa 754 LTDA</t>
  </si>
  <si>
    <t>SIM1753</t>
  </si>
  <si>
    <t>55.640.136/0001-28</t>
  </si>
  <si>
    <t>Empresa 755 LTDA</t>
  </si>
  <si>
    <t>SIM1754</t>
  </si>
  <si>
    <t>53.924.630/0001-12</t>
  </si>
  <si>
    <t>Empresa 756 LTDA</t>
  </si>
  <si>
    <t>SIM1755</t>
  </si>
  <si>
    <t>40.257.147/0001-63</t>
  </si>
  <si>
    <t>Empresa 757 LTDA</t>
  </si>
  <si>
    <t>SIM1756</t>
  </si>
  <si>
    <t>83.213.797/0001-11</t>
  </si>
  <si>
    <t>Empresa 758 LTDA</t>
  </si>
  <si>
    <t>SIM1757</t>
  </si>
  <si>
    <t>84.578.131/0001-93</t>
  </si>
  <si>
    <t>Empresa 759 LTDA</t>
  </si>
  <si>
    <t>SIM1758</t>
  </si>
  <si>
    <t>16.775.401/0001-84</t>
  </si>
  <si>
    <t>Empresa 760 LTDA</t>
  </si>
  <si>
    <t>SIM1759</t>
  </si>
  <si>
    <t>45.634.606/0001-38</t>
  </si>
  <si>
    <t>Empresa 761 LTDA</t>
  </si>
  <si>
    <t>SIM1760</t>
  </si>
  <si>
    <t>67.817.206/0001-98</t>
  </si>
  <si>
    <t>Empresa 762 LTDA</t>
  </si>
  <si>
    <t>SIM1761</t>
  </si>
  <si>
    <t>49.351.632/0001-48</t>
  </si>
  <si>
    <t>Empresa 763 LTDA</t>
  </si>
  <si>
    <t>SIM1762</t>
  </si>
  <si>
    <t>60.919.164/0001-38</t>
  </si>
  <si>
    <t>Empresa 764 LTDA</t>
  </si>
  <si>
    <t>SIM1763</t>
  </si>
  <si>
    <t>66.767.176/0001-81</t>
  </si>
  <si>
    <t>Empresa 765 LTDA</t>
  </si>
  <si>
    <t>SIM1764</t>
  </si>
  <si>
    <t>59.770.607/0001-75</t>
  </si>
  <si>
    <t>Empresa 766 LTDA</t>
  </si>
  <si>
    <t>SIM1765</t>
  </si>
  <si>
    <t>49.420.249/0001-33</t>
  </si>
  <si>
    <t>Empresa 767 LTDA</t>
  </si>
  <si>
    <t>SIM1766</t>
  </si>
  <si>
    <t>99.946.415/0001-18</t>
  </si>
  <si>
    <t>Empresa 768 LTDA</t>
  </si>
  <si>
    <t>SIM1767</t>
  </si>
  <si>
    <t>34.726.281/0001-84</t>
  </si>
  <si>
    <t>Empresa 769 LTDA</t>
  </si>
  <si>
    <t>SIM1768</t>
  </si>
  <si>
    <t>68.133.777/0001-31</t>
  </si>
  <si>
    <t>Empresa 770 LTDA</t>
  </si>
  <si>
    <t>SIM1769</t>
  </si>
  <si>
    <t>47.427.816/0001-56</t>
  </si>
  <si>
    <t>Empresa 771 LTDA</t>
  </si>
  <si>
    <t>SIM1770</t>
  </si>
  <si>
    <t>86.878.628/0001-21</t>
  </si>
  <si>
    <t>Empresa 772 LTDA</t>
  </si>
  <si>
    <t>SIM1771</t>
  </si>
  <si>
    <t>52.849.470/0001-45</t>
  </si>
  <si>
    <t>Empresa 773 LTDA</t>
  </si>
  <si>
    <t>SIM1772</t>
  </si>
  <si>
    <t>70.208.774/0001-50</t>
  </si>
  <si>
    <t>Empresa 774 LTDA</t>
  </si>
  <si>
    <t>SIM1773</t>
  </si>
  <si>
    <t>52.691.416/0001-87</t>
  </si>
  <si>
    <t>Empresa 775 LTDA</t>
  </si>
  <si>
    <t>SIM1774</t>
  </si>
  <si>
    <t>37.736.234/0001-94</t>
  </si>
  <si>
    <t>Empresa 776 LTDA</t>
  </si>
  <si>
    <t>SIM1775</t>
  </si>
  <si>
    <t>48.233.203/0001-56</t>
  </si>
  <si>
    <t>Empresa 777 LTDA</t>
  </si>
  <si>
    <t>SIM1776</t>
  </si>
  <si>
    <t>51.320.615/0001-95</t>
  </si>
  <si>
    <t>Empresa 778 LTDA</t>
  </si>
  <si>
    <t>SIM1777</t>
  </si>
  <si>
    <t>57.986.755/0001-99</t>
  </si>
  <si>
    <t>Empresa 779 LTDA</t>
  </si>
  <si>
    <t>SIM1778</t>
  </si>
  <si>
    <t>36.227.335/0001-19</t>
  </si>
  <si>
    <t>Empresa 780 LTDA</t>
  </si>
  <si>
    <t>SIM1779</t>
  </si>
  <si>
    <t>18.895.522/0001-82</t>
  </si>
  <si>
    <t>Empresa 781 LTDA</t>
  </si>
  <si>
    <t>SIM1780</t>
  </si>
  <si>
    <t>12.727.498/0001-64</t>
  </si>
  <si>
    <t>Empresa 782 LTDA</t>
  </si>
  <si>
    <t>SIM1781</t>
  </si>
  <si>
    <t>91.336.304/0001-61</t>
  </si>
  <si>
    <t>Empresa 783 LTDA</t>
  </si>
  <si>
    <t>SIM1782</t>
  </si>
  <si>
    <t>57.145.735/0001-96</t>
  </si>
  <si>
    <t>Empresa 784 LTDA</t>
  </si>
  <si>
    <t>SIM1783</t>
  </si>
  <si>
    <t>39.345.544/0001-23</t>
  </si>
  <si>
    <t>Empresa 785 LTDA</t>
  </si>
  <si>
    <t>SIM1784</t>
  </si>
  <si>
    <t>64.777.175/0001-36</t>
  </si>
  <si>
    <t>Empresa 786 LTDA</t>
  </si>
  <si>
    <t>SIM1785</t>
  </si>
  <si>
    <t>94.465.824/0001-85</t>
  </si>
  <si>
    <t>Empresa 787 LTDA</t>
  </si>
  <si>
    <t>SIM1786</t>
  </si>
  <si>
    <t>43.108.303/0001-12</t>
  </si>
  <si>
    <t>Empresa 788 LTDA</t>
  </si>
  <si>
    <t>SIM1787</t>
  </si>
  <si>
    <t>26.369.625/0001-52</t>
  </si>
  <si>
    <t>Empresa 789 LTDA</t>
  </si>
  <si>
    <t>SIM1788</t>
  </si>
  <si>
    <t>38.922.811/0001-88</t>
  </si>
  <si>
    <t>Empresa 790 LTDA</t>
  </si>
  <si>
    <t>SIM1789</t>
  </si>
  <si>
    <t>12.287.552/0001-16</t>
  </si>
  <si>
    <t>Empresa 791 LTDA</t>
  </si>
  <si>
    <t>SIM1790</t>
  </si>
  <si>
    <t>52.966.157/0001-22</t>
  </si>
  <si>
    <t>Empresa 792 LTDA</t>
  </si>
  <si>
    <t>SIM1791</t>
  </si>
  <si>
    <t>40.150.779/0001-25</t>
  </si>
  <si>
    <t>Empresa 793 LTDA</t>
  </si>
  <si>
    <t>SIM1792</t>
  </si>
  <si>
    <t>79.473.109/0001-69</t>
  </si>
  <si>
    <t>Empresa 794 LTDA</t>
  </si>
  <si>
    <t>SIM1793</t>
  </si>
  <si>
    <t>68.586.972/0001-79</t>
  </si>
  <si>
    <t>Empresa 795 LTDA</t>
  </si>
  <si>
    <t>SIM1794</t>
  </si>
  <si>
    <t>32.826.393/0001-82</t>
  </si>
  <si>
    <t>Empresa 796 LTDA</t>
  </si>
  <si>
    <t>SIM1795</t>
  </si>
  <si>
    <t>54.140.964/0001-47</t>
  </si>
  <si>
    <t>Empresa 797 LTDA</t>
  </si>
  <si>
    <t>SIM1796</t>
  </si>
  <si>
    <t>50.746.175/0001-58</t>
  </si>
  <si>
    <t>Empresa 798 LTDA</t>
  </si>
  <si>
    <t>SIM1797</t>
  </si>
  <si>
    <t>42.782.140/0001-49</t>
  </si>
  <si>
    <t>Empresa 799 LTDA</t>
  </si>
  <si>
    <t>SIM1798</t>
  </si>
  <si>
    <t>55.216.581/0001-17</t>
  </si>
  <si>
    <t>Empresa 800 LTDA</t>
  </si>
  <si>
    <t>SIM1799</t>
  </si>
  <si>
    <t>81.284.591/0001-29</t>
  </si>
  <si>
    <t>Empresa 801 LTDA</t>
  </si>
  <si>
    <t>SIM1800</t>
  </si>
  <si>
    <t>96.610.500/0001-41</t>
  </si>
  <si>
    <t>Empresa 802 LTDA</t>
  </si>
  <si>
    <t>SIM1801</t>
  </si>
  <si>
    <t>69.801.865/0001-71</t>
  </si>
  <si>
    <t>Empresa 803 LTDA</t>
  </si>
  <si>
    <t>SIM1802</t>
  </si>
  <si>
    <t>34.122.683/0001-95</t>
  </si>
  <si>
    <t>Empresa 804 LTDA</t>
  </si>
  <si>
    <t>SIM1803</t>
  </si>
  <si>
    <t>33.678.523/0001-26</t>
  </si>
  <si>
    <t>Empresa 805 LTDA</t>
  </si>
  <si>
    <t>SIM1804</t>
  </si>
  <si>
    <t>18.412.531/0001-23</t>
  </si>
  <si>
    <t>Empresa 806 LTDA</t>
  </si>
  <si>
    <t>SIM1805</t>
  </si>
  <si>
    <t>93.117.894/0001-70</t>
  </si>
  <si>
    <t>Empresa 807 LTDA</t>
  </si>
  <si>
    <t>SIM1806</t>
  </si>
  <si>
    <t>26.211.821/0001-70</t>
  </si>
  <si>
    <t>Empresa 808 LTDA</t>
  </si>
  <si>
    <t>SIM1807</t>
  </si>
  <si>
    <t>49.121.240/0001-54</t>
  </si>
  <si>
    <t>Empresa 809 LTDA</t>
  </si>
  <si>
    <t>SIM1808</t>
  </si>
  <si>
    <t>41.593.574/0001-36</t>
  </si>
  <si>
    <t>Empresa 810 LTDA</t>
  </si>
  <si>
    <t>SIM1809</t>
  </si>
  <si>
    <t>76.917.614/0001-48</t>
  </si>
  <si>
    <t>Empresa 811 LTDA</t>
  </si>
  <si>
    <t>SIM1810</t>
  </si>
  <si>
    <t>14.854.243/0001-48</t>
  </si>
  <si>
    <t>Empresa 812 LTDA</t>
  </si>
  <si>
    <t>SIM1811</t>
  </si>
  <si>
    <t>99.209.386/0001-87</t>
  </si>
  <si>
    <t>Empresa 813 LTDA</t>
  </si>
  <si>
    <t>SIM1812</t>
  </si>
  <si>
    <t>50.956.519/0001-90</t>
  </si>
  <si>
    <t>Empresa 814 LTDA</t>
  </si>
  <si>
    <t>SIM1813</t>
  </si>
  <si>
    <t>77.411.694/0001-58</t>
  </si>
  <si>
    <t>Empresa 815 LTDA</t>
  </si>
  <si>
    <t>SIM1814</t>
  </si>
  <si>
    <t>32.618.436/0001-53</t>
  </si>
  <si>
    <t>Empresa 816 LTDA</t>
  </si>
  <si>
    <t>SIM1815</t>
  </si>
  <si>
    <t>44.970.243/0001-50</t>
  </si>
  <si>
    <t>Empresa 817 LTDA</t>
  </si>
  <si>
    <t>SIM1816</t>
  </si>
  <si>
    <t>79.631.702/0001-94</t>
  </si>
  <si>
    <t>Empresa 818 LTDA</t>
  </si>
  <si>
    <t>SIM1817</t>
  </si>
  <si>
    <t>81.610.331/0001-41</t>
  </si>
  <si>
    <t>Empresa 819 LTDA</t>
  </si>
  <si>
    <t>SIM1818</t>
  </si>
  <si>
    <t>94.956.753/0001-80</t>
  </si>
  <si>
    <t>Empresa 820 LTDA</t>
  </si>
  <si>
    <t>SIM1819</t>
  </si>
  <si>
    <t>87.489.412/0001-31</t>
  </si>
  <si>
    <t>Empresa 821 LTDA</t>
  </si>
  <si>
    <t>SIM1820</t>
  </si>
  <si>
    <t>24.782.947/0001-65</t>
  </si>
  <si>
    <t>Empresa 822 LTDA</t>
  </si>
  <si>
    <t>SIM1821</t>
  </si>
  <si>
    <t>31.636.333/0001-14</t>
  </si>
  <si>
    <t>Empresa 823 LTDA</t>
  </si>
  <si>
    <t>SIM1822</t>
  </si>
  <si>
    <t>21.320.872/0001-18</t>
  </si>
  <si>
    <t>Empresa 824 LTDA</t>
  </si>
  <si>
    <t>SIM1823</t>
  </si>
  <si>
    <t>32.989.705/0001-16</t>
  </si>
  <si>
    <t>Empresa 825 LTDA</t>
  </si>
  <si>
    <t>SIM1824</t>
  </si>
  <si>
    <t>74.242.249/0001-46</t>
  </si>
  <si>
    <t>Empresa 826 LTDA</t>
  </si>
  <si>
    <t>SIM1825</t>
  </si>
  <si>
    <t>79.493.226/0001-35</t>
  </si>
  <si>
    <t>Empresa 827 LTDA</t>
  </si>
  <si>
    <t>SIM1826</t>
  </si>
  <si>
    <t>98.739.935/0001-67</t>
  </si>
  <si>
    <t>Empresa 828 LTDA</t>
  </si>
  <si>
    <t>SIM1827</t>
  </si>
  <si>
    <t>71.286.542/0001-47</t>
  </si>
  <si>
    <t>Empresa 829 LTDA</t>
  </si>
  <si>
    <t>SIM1828</t>
  </si>
  <si>
    <t>12.983.301/0001-76</t>
  </si>
  <si>
    <t>Empresa 830 LTDA</t>
  </si>
  <si>
    <t>SIM1829</t>
  </si>
  <si>
    <t>82.631.851/0001-46</t>
  </si>
  <si>
    <t>Empresa 831 LTDA</t>
  </si>
  <si>
    <t>SIM1830</t>
  </si>
  <si>
    <t>61.777.320/0001-31</t>
  </si>
  <si>
    <t>Empresa 832 LTDA</t>
  </si>
  <si>
    <t>SIM1831</t>
  </si>
  <si>
    <t>88.963.239/0001-74</t>
  </si>
  <si>
    <t>Empresa 833 LTDA</t>
  </si>
  <si>
    <t>SIM1832</t>
  </si>
  <si>
    <t>43.837.299/0001-43</t>
  </si>
  <si>
    <t>Empresa 834 LTDA</t>
  </si>
  <si>
    <t>SIM1833</t>
  </si>
  <si>
    <t>63.722.555/0001-57</t>
  </si>
  <si>
    <t>Empresa 835 LTDA</t>
  </si>
  <si>
    <t>SIM1834</t>
  </si>
  <si>
    <t>63.688.933/0001-83</t>
  </si>
  <si>
    <t>Empresa 836 LTDA</t>
  </si>
  <si>
    <t>SIM1835</t>
  </si>
  <si>
    <t>57.988.670/0001-16</t>
  </si>
  <si>
    <t>Empresa 837 LTDA</t>
  </si>
  <si>
    <t>SIM1836</t>
  </si>
  <si>
    <t>50.628.401/0001-26</t>
  </si>
  <si>
    <t>Empresa 838 LTDA</t>
  </si>
  <si>
    <t>SIM1837</t>
  </si>
  <si>
    <t>56.675.782/0001-53</t>
  </si>
  <si>
    <t>Empresa 839 LTDA</t>
  </si>
  <si>
    <t>SIM1838</t>
  </si>
  <si>
    <t>21.453.126/0001-10</t>
  </si>
  <si>
    <t>Empresa 840 LTDA</t>
  </si>
  <si>
    <t>SIM1839</t>
  </si>
  <si>
    <t>58.910.924/0001-86</t>
  </si>
  <si>
    <t>Empresa 841 LTDA</t>
  </si>
  <si>
    <t>SIM1840</t>
  </si>
  <si>
    <t>77.251.933/0001-16</t>
  </si>
  <si>
    <t>Empresa 842 LTDA</t>
  </si>
  <si>
    <t>SIM1841</t>
  </si>
  <si>
    <t>69.979.286/0001-40</t>
  </si>
  <si>
    <t>Empresa 843 LTDA</t>
  </si>
  <si>
    <t>SIM1842</t>
  </si>
  <si>
    <t>13.592.590/0001-23</t>
  </si>
  <si>
    <t>Empresa 844 LTDA</t>
  </si>
  <si>
    <t>SIM1843</t>
  </si>
  <si>
    <t>35.284.160/0001-73</t>
  </si>
  <si>
    <t>Empresa 845 LTDA</t>
  </si>
  <si>
    <t>SIM1844</t>
  </si>
  <si>
    <t>25.174.293/0001-17</t>
  </si>
  <si>
    <t>Empresa 846 LTDA</t>
  </si>
  <si>
    <t>SIM1845</t>
  </si>
  <si>
    <t>51.885.982/0001-12</t>
  </si>
  <si>
    <t>Empresa 847 LTDA</t>
  </si>
  <si>
    <t>SIM1846</t>
  </si>
  <si>
    <t>20.302.300/0001-88</t>
  </si>
  <si>
    <t>Empresa 848 LTDA</t>
  </si>
  <si>
    <t>SIM1847</t>
  </si>
  <si>
    <t>28.993.727/0001-61</t>
  </si>
  <si>
    <t>Empresa 849 LTDA</t>
  </si>
  <si>
    <t>SIM1848</t>
  </si>
  <si>
    <t>69.978.647/0001-78</t>
  </si>
  <si>
    <t>Empresa 850 LTDA</t>
  </si>
  <si>
    <t>SIM1849</t>
  </si>
  <si>
    <t>23.507.126/0001-92</t>
  </si>
  <si>
    <t>Empresa 851 LTDA</t>
  </si>
  <si>
    <t>SIM1850</t>
  </si>
  <si>
    <t>45.958.201/0001-63</t>
  </si>
  <si>
    <t>Empresa 852 LTDA</t>
  </si>
  <si>
    <t>SIM1851</t>
  </si>
  <si>
    <t>24.825.741/0001-89</t>
  </si>
  <si>
    <t>Empresa 853 LTDA</t>
  </si>
  <si>
    <t>SIM1852</t>
  </si>
  <si>
    <t>48.506.553/0001-88</t>
  </si>
  <si>
    <t>Empresa 854 LTDA</t>
  </si>
  <si>
    <t>SIM1853</t>
  </si>
  <si>
    <t>74.496.112/0001-54</t>
  </si>
  <si>
    <t>Empresa 855 LTDA</t>
  </si>
  <si>
    <t>SIM1854</t>
  </si>
  <si>
    <t>69.897.295/0001-74</t>
  </si>
  <si>
    <t>Empresa 856 LTDA</t>
  </si>
  <si>
    <t>SIM1855</t>
  </si>
  <si>
    <t>14.264.401/0001-93</t>
  </si>
  <si>
    <t>Empresa 857 LTDA</t>
  </si>
  <si>
    <t>SIM1856</t>
  </si>
  <si>
    <t>46.582.982/0001-56</t>
  </si>
  <si>
    <t>Empresa 858 LTDA</t>
  </si>
  <si>
    <t>SIM1857</t>
  </si>
  <si>
    <t>37.949.462/0001-78</t>
  </si>
  <si>
    <t>Empresa 859 LTDA</t>
  </si>
  <si>
    <t>SIM1858</t>
  </si>
  <si>
    <t>97.771.835/0001-26</t>
  </si>
  <si>
    <t>Empresa 860 LTDA</t>
  </si>
  <si>
    <t>SIM1859</t>
  </si>
  <si>
    <t>20.965.610/0001-82</t>
  </si>
  <si>
    <t>Empresa 861 LTDA</t>
  </si>
  <si>
    <t>SIM1860</t>
  </si>
  <si>
    <t>32.894.951/0001-75</t>
  </si>
  <si>
    <t>Empresa 862 LTDA</t>
  </si>
  <si>
    <t>SIM1861</t>
  </si>
  <si>
    <t>80.713.892/0001-15</t>
  </si>
  <si>
    <t>Empresa 863 LTDA</t>
  </si>
  <si>
    <t>SIM1862</t>
  </si>
  <si>
    <t>26.156.492/0001-43</t>
  </si>
  <si>
    <t>Empresa 864 LTDA</t>
  </si>
  <si>
    <t>SIM1863</t>
  </si>
  <si>
    <t>14.221.457/0001-25</t>
  </si>
  <si>
    <t>Empresa 865 LTDA</t>
  </si>
  <si>
    <t>SIM1864</t>
  </si>
  <si>
    <t>99.375.246/0001-23</t>
  </si>
  <si>
    <t>Empresa 866 LTDA</t>
  </si>
  <si>
    <t>SIM1865</t>
  </si>
  <si>
    <t>20.401.674/0001-40</t>
  </si>
  <si>
    <t>Empresa 867 LTDA</t>
  </si>
  <si>
    <t>SIM1866</t>
  </si>
  <si>
    <t>16.175.801/0001-81</t>
  </si>
  <si>
    <t>Empresa 868 LTDA</t>
  </si>
  <si>
    <t>SIM1867</t>
  </si>
  <si>
    <t>29.637.438/0001-36</t>
  </si>
  <si>
    <t>Empresa 869 LTDA</t>
  </si>
  <si>
    <t>SIM1868</t>
  </si>
  <si>
    <t>11.301.904/0001-13</t>
  </si>
  <si>
    <t>Empresa 870 LTDA</t>
  </si>
  <si>
    <t>SIM1869</t>
  </si>
  <si>
    <t>40.199.494/0001-87</t>
  </si>
  <si>
    <t>Empresa 871 LTDA</t>
  </si>
  <si>
    <t>SIM1870</t>
  </si>
  <si>
    <t>99.903.101/0001-30</t>
  </si>
  <si>
    <t>Empresa 872 LTDA</t>
  </si>
  <si>
    <t>SIM1871</t>
  </si>
  <si>
    <t>27.791.205/0001-98</t>
  </si>
  <si>
    <t>Empresa 873 LTDA</t>
  </si>
  <si>
    <t>SIM1872</t>
  </si>
  <si>
    <t>15.217.524/0001-73</t>
  </si>
  <si>
    <t>Empresa 874 LTDA</t>
  </si>
  <si>
    <t>SIM1873</t>
  </si>
  <si>
    <t>69.647.266/0001-94</t>
  </si>
  <si>
    <t>Empresa 875 LTDA</t>
  </si>
  <si>
    <t>SIM1874</t>
  </si>
  <si>
    <t>99.533.262/0001-35</t>
  </si>
  <si>
    <t>Empresa 876 LTDA</t>
  </si>
  <si>
    <t>SIM1875</t>
  </si>
  <si>
    <t>14.835.909/0001-32</t>
  </si>
  <si>
    <t>Empresa 877 LTDA</t>
  </si>
  <si>
    <t>SIM1876</t>
  </si>
  <si>
    <t>31.210.281/0001-25</t>
  </si>
  <si>
    <t>Empresa 878 LTDA</t>
  </si>
  <si>
    <t>SIM1877</t>
  </si>
  <si>
    <t>66.891.692/0001-13</t>
  </si>
  <si>
    <t>Empresa 879 LTDA</t>
  </si>
  <si>
    <t>SIM1878</t>
  </si>
  <si>
    <t>17.385.478/0001-22</t>
  </si>
  <si>
    <t>Empresa 880 LTDA</t>
  </si>
  <si>
    <t>SIM1879</t>
  </si>
  <si>
    <t>10.971.443/0001-72</t>
  </si>
  <si>
    <t>Empresa 881 LTDA</t>
  </si>
  <si>
    <t>SIM1880</t>
  </si>
  <si>
    <t>10.441.963/0001-12</t>
  </si>
  <si>
    <t>Empresa 882 LTDA</t>
  </si>
  <si>
    <t>SIM1881</t>
  </si>
  <si>
    <t>30.670.977/0001-89</t>
  </si>
  <si>
    <t>Empresa 883 LTDA</t>
  </si>
  <si>
    <t>SIM1882</t>
  </si>
  <si>
    <t>73.247.875/0001-37</t>
  </si>
  <si>
    <t>Empresa 884 LTDA</t>
  </si>
  <si>
    <t>SIM1883</t>
  </si>
  <si>
    <t>91.240.792/0001-86</t>
  </si>
  <si>
    <t>Empresa 885 LTDA</t>
  </si>
  <si>
    <t>SIM1884</t>
  </si>
  <si>
    <t>28.553.729/0001-86</t>
  </si>
  <si>
    <t>Empresa 886 LTDA</t>
  </si>
  <si>
    <t>SIM1885</t>
  </si>
  <si>
    <t>43.590.805/0001-79</t>
  </si>
  <si>
    <t>Empresa 887 LTDA</t>
  </si>
  <si>
    <t>SIM1886</t>
  </si>
  <si>
    <t>81.751.291/0001-14</t>
  </si>
  <si>
    <t>Empresa 888 LTDA</t>
  </si>
  <si>
    <t>SIM1887</t>
  </si>
  <si>
    <t>21.525.872/0001-14</t>
  </si>
  <si>
    <t>Empresa 889 LTDA</t>
  </si>
  <si>
    <t>SIM1888</t>
  </si>
  <si>
    <t>60.153.628/0001-94</t>
  </si>
  <si>
    <t>Empresa 890 LTDA</t>
  </si>
  <si>
    <t>SIM1889</t>
  </si>
  <si>
    <t>77.418.581/0001-96</t>
  </si>
  <si>
    <t>Empresa 891 LTDA</t>
  </si>
  <si>
    <t>SIM1890</t>
  </si>
  <si>
    <t>83.439.984/0001-15</t>
  </si>
  <si>
    <t>Empresa 892 LTDA</t>
  </si>
  <si>
    <t>SIM1891</t>
  </si>
  <si>
    <t>28.550.648/0001-31</t>
  </si>
  <si>
    <t>Empresa 893 LTDA</t>
  </si>
  <si>
    <t>SIM1892</t>
  </si>
  <si>
    <t>57.620.876/0001-88</t>
  </si>
  <si>
    <t>Empresa 894 LTDA</t>
  </si>
  <si>
    <t>SIM1893</t>
  </si>
  <si>
    <t>85.602.783/0001-27</t>
  </si>
  <si>
    <t>Empresa 895 LTDA</t>
  </si>
  <si>
    <t>SIM1894</t>
  </si>
  <si>
    <t>52.287.762/0001-11</t>
  </si>
  <si>
    <t>Empresa 896 LTDA</t>
  </si>
  <si>
    <t>SIM1895</t>
  </si>
  <si>
    <t>88.372.979/0001-65</t>
  </si>
  <si>
    <t>Empresa 897 LTDA</t>
  </si>
  <si>
    <t>SIM1896</t>
  </si>
  <si>
    <t>44.700.697/0001-40</t>
  </si>
  <si>
    <t>Empresa 898 LTDA</t>
  </si>
  <si>
    <t>SIM1897</t>
  </si>
  <si>
    <t>11.263.605/0001-74</t>
  </si>
  <si>
    <t>Empresa 899 LTDA</t>
  </si>
  <si>
    <t>SIM1898</t>
  </si>
  <si>
    <t>29.857.449/0001-82</t>
  </si>
  <si>
    <t>Empresa 900 LTDA</t>
  </si>
  <si>
    <t>SIM1899</t>
  </si>
  <si>
    <t>74.529.291/0001-52</t>
  </si>
  <si>
    <t>Empresa 901 LTDA</t>
  </si>
  <si>
    <t>SIM1900</t>
  </si>
  <si>
    <t>59.674.670/0001-53</t>
  </si>
  <si>
    <t>Empresa 902 LTDA</t>
  </si>
  <si>
    <t>SIM1901</t>
  </si>
  <si>
    <t>77.200.522/0001-41</t>
  </si>
  <si>
    <t>Empresa 903 LTDA</t>
  </si>
  <si>
    <t>SIM1902</t>
  </si>
  <si>
    <t>26.206.725/0001-96</t>
  </si>
  <si>
    <t>Empresa 904 LTDA</t>
  </si>
  <si>
    <t>SIM1903</t>
  </si>
  <si>
    <t>59.521.165/0001-83</t>
  </si>
  <si>
    <t>Empresa 905 LTDA</t>
  </si>
  <si>
    <t>SIM1904</t>
  </si>
  <si>
    <t>93.669.630/0001-61</t>
  </si>
  <si>
    <t>Empresa 906 LTDA</t>
  </si>
  <si>
    <t>SIM1905</t>
  </si>
  <si>
    <t>46.298.984/0001-76</t>
  </si>
  <si>
    <t>Empresa 907 LTDA</t>
  </si>
  <si>
    <t>SIM1906</t>
  </si>
  <si>
    <t>76.978.643/0001-76</t>
  </si>
  <si>
    <t>Empresa 908 LTDA</t>
  </si>
  <si>
    <t>SIM1907</t>
  </si>
  <si>
    <t>34.459.204/0001-80</t>
  </si>
  <si>
    <t>Empresa 909 LTDA</t>
  </si>
  <si>
    <t>SIM1908</t>
  </si>
  <si>
    <t>14.383.495/0001-99</t>
  </si>
  <si>
    <t>Empresa 910 LTDA</t>
  </si>
  <si>
    <t>SIM1909</t>
  </si>
  <si>
    <t>76.836.909/0001-54</t>
  </si>
  <si>
    <t>Empresa 911 LTDA</t>
  </si>
  <si>
    <t>SIM1910</t>
  </si>
  <si>
    <t>40.153.641/0001-80</t>
  </si>
  <si>
    <t>Empresa 912 LTDA</t>
  </si>
  <si>
    <t>SIM1911</t>
  </si>
  <si>
    <t>77.335.275/0001-61</t>
  </si>
  <si>
    <t>Empresa 913 LTDA</t>
  </si>
  <si>
    <t>SIM1912</t>
  </si>
  <si>
    <t>47.686.172/0001-80</t>
  </si>
  <si>
    <t>Empresa 914 LTDA</t>
  </si>
  <si>
    <t>SIM1913</t>
  </si>
  <si>
    <t>88.165.630/0001-51</t>
  </si>
  <si>
    <t>Empresa 915 LTDA</t>
  </si>
  <si>
    <t>SIM1914</t>
  </si>
  <si>
    <t>19.887.630/0001-11</t>
  </si>
  <si>
    <t>Empresa 916 LTDA</t>
  </si>
  <si>
    <t>SIM1915</t>
  </si>
  <si>
    <t>52.977.810/0001-71</t>
  </si>
  <si>
    <t>Empresa 917 LTDA</t>
  </si>
  <si>
    <t>SIM1916</t>
  </si>
  <si>
    <t>95.317.209/0001-58</t>
  </si>
  <si>
    <t>Empresa 918 LTDA</t>
  </si>
  <si>
    <t>SIM1917</t>
  </si>
  <si>
    <t>18.936.938/0001-33</t>
  </si>
  <si>
    <t>Empresa 919 LTDA</t>
  </si>
  <si>
    <t>SIM1918</t>
  </si>
  <si>
    <t>47.312.369/0001-19</t>
  </si>
  <si>
    <t>Empresa 920 LTDA</t>
  </si>
  <si>
    <t>SIM1919</t>
  </si>
  <si>
    <t>71.902.991/0001-14</t>
  </si>
  <si>
    <t>Empresa 921 LTDA</t>
  </si>
  <si>
    <t>SIM1920</t>
  </si>
  <si>
    <t>49.114.303/0001-49</t>
  </si>
  <si>
    <t>Empresa 922 LTDA</t>
  </si>
  <si>
    <t>SIM1921</t>
  </si>
  <si>
    <t>14.861.594/0001-97</t>
  </si>
  <si>
    <t>Empresa 923 LTDA</t>
  </si>
  <si>
    <t>SIM1922</t>
  </si>
  <si>
    <t>10.264.484/0001-45</t>
  </si>
  <si>
    <t>Empresa 924 LTDA</t>
  </si>
  <si>
    <t>SIM1923</t>
  </si>
  <si>
    <t>63.224.228/0001-23</t>
  </si>
  <si>
    <t>Empresa 925 LTDA</t>
  </si>
  <si>
    <t>SIM1924</t>
  </si>
  <si>
    <t>42.350.466/0001-11</t>
  </si>
  <si>
    <t>Empresa 926 LTDA</t>
  </si>
  <si>
    <t>SIM1925</t>
  </si>
  <si>
    <t>22.326.442/0001-34</t>
  </si>
  <si>
    <t>Empresa 927 LTDA</t>
  </si>
  <si>
    <t>SIM1926</t>
  </si>
  <si>
    <t>88.608.687/0001-13</t>
  </si>
  <si>
    <t>Empresa 928 LTDA</t>
  </si>
  <si>
    <t>SIM1927</t>
  </si>
  <si>
    <t>21.785.448/0001-18</t>
  </si>
  <si>
    <t>Empresa 929 LTDA</t>
  </si>
  <si>
    <t>SIM1928</t>
  </si>
  <si>
    <t>58.467.733/0001-44</t>
  </si>
  <si>
    <t>Empresa 930 LTDA</t>
  </si>
  <si>
    <t>SIM1929</t>
  </si>
  <si>
    <t>45.908.305/0001-36</t>
  </si>
  <si>
    <t>Empresa 931 LTDA</t>
  </si>
  <si>
    <t>SIM1930</t>
  </si>
  <si>
    <t>52.775.564/0001-97</t>
  </si>
  <si>
    <t>Empresa 932 LTDA</t>
  </si>
  <si>
    <t>SIM1931</t>
  </si>
  <si>
    <t>12.641.210/0001-87</t>
  </si>
  <si>
    <t>Empresa 933 LTDA</t>
  </si>
  <si>
    <t>SIM1932</t>
  </si>
  <si>
    <t>16.157.909/0001-24</t>
  </si>
  <si>
    <t>Empresa 934 LTDA</t>
  </si>
  <si>
    <t>SIM1933</t>
  </si>
  <si>
    <t>88.598.120/0001-93</t>
  </si>
  <si>
    <t>Empresa 935 LTDA</t>
  </si>
  <si>
    <t>SIM1934</t>
  </si>
  <si>
    <t>50.614.886/0001-24</t>
  </si>
  <si>
    <t>Empresa 936 LTDA</t>
  </si>
  <si>
    <t>SIM1935</t>
  </si>
  <si>
    <t>85.912.395/0001-17</t>
  </si>
  <si>
    <t>Empresa 937 LTDA</t>
  </si>
  <si>
    <t>SIM1936</t>
  </si>
  <si>
    <t>81.821.655/0001-11</t>
  </si>
  <si>
    <t>Empresa 938 LTDA</t>
  </si>
  <si>
    <t>SIM1937</t>
  </si>
  <si>
    <t>83.576.936/0001-82</t>
  </si>
  <si>
    <t>Empresa 939 LTDA</t>
  </si>
  <si>
    <t>SIM1938</t>
  </si>
  <si>
    <t>39.201.610/0001-45</t>
  </si>
  <si>
    <t>Empresa 940 LTDA</t>
  </si>
  <si>
    <t>SIM1939</t>
  </si>
  <si>
    <t>78.458.120/0001-56</t>
  </si>
  <si>
    <t>Empresa 941 LTDA</t>
  </si>
  <si>
    <t>SIM1940</t>
  </si>
  <si>
    <t>62.410.904/0001-17</t>
  </si>
  <si>
    <t>Empresa 942 LTDA</t>
  </si>
  <si>
    <t>SIM1941</t>
  </si>
  <si>
    <t>48.837.316/0001-95</t>
  </si>
  <si>
    <t>Empresa 943 LTDA</t>
  </si>
  <si>
    <t>SIM1942</t>
  </si>
  <si>
    <t>11.705.215/0001-21</t>
  </si>
  <si>
    <t>Empresa 944 LTDA</t>
  </si>
  <si>
    <t>SIM1943</t>
  </si>
  <si>
    <t>57.502.228/0001-17</t>
  </si>
  <si>
    <t>Empresa 945 LTDA</t>
  </si>
  <si>
    <t>SIM1944</t>
  </si>
  <si>
    <t>37.671.857/0001-94</t>
  </si>
  <si>
    <t>Empresa 946 LTDA</t>
  </si>
  <si>
    <t>SIM1945</t>
  </si>
  <si>
    <t>28.550.658/0001-19</t>
  </si>
  <si>
    <t>Empresa 947 LTDA</t>
  </si>
  <si>
    <t>SIM1946</t>
  </si>
  <si>
    <t>69.548.475/0001-57</t>
  </si>
  <si>
    <t>Empresa 948 LTDA</t>
  </si>
  <si>
    <t>SIM1947</t>
  </si>
  <si>
    <t>28.731.880/0001-74</t>
  </si>
  <si>
    <t>Empresa 949 LTDA</t>
  </si>
  <si>
    <t>SIM1948</t>
  </si>
  <si>
    <t>33.522.995/0001-93</t>
  </si>
  <si>
    <t>Empresa 950 LTDA</t>
  </si>
  <si>
    <t>SIM1949</t>
  </si>
  <si>
    <t>63.562.949/0001-94</t>
  </si>
  <si>
    <t>Empresa 951 LTDA</t>
  </si>
  <si>
    <t>SIM1950</t>
  </si>
  <si>
    <t>71.393.909/0001-15</t>
  </si>
  <si>
    <t>Empresa 952 LTDA</t>
  </si>
  <si>
    <t>SIM1951</t>
  </si>
  <si>
    <t>25.386.240/0001-87</t>
  </si>
  <si>
    <t>Empresa 953 LTDA</t>
  </si>
  <si>
    <t>SIM1952</t>
  </si>
  <si>
    <t>58.780.441/0001-15</t>
  </si>
  <si>
    <t>Empresa 954 LTDA</t>
  </si>
  <si>
    <t>SIM1953</t>
  </si>
  <si>
    <t>38.813.599/0001-63</t>
  </si>
  <si>
    <t>Empresa 955 LTDA</t>
  </si>
  <si>
    <t>SIM1954</t>
  </si>
  <si>
    <t>72.816.784/0001-66</t>
  </si>
  <si>
    <t>Empresa 956 LTDA</t>
  </si>
  <si>
    <t>SIM1955</t>
  </si>
  <si>
    <t>77.458.612/0001-19</t>
  </si>
  <si>
    <t>Empresa 957 LTDA</t>
  </si>
  <si>
    <t>SIM1956</t>
  </si>
  <si>
    <t>91.749.558/0001-49</t>
  </si>
  <si>
    <t>Empresa 958 LTDA</t>
  </si>
  <si>
    <t>SIM1957</t>
  </si>
  <si>
    <t>46.214.172/0001-71</t>
  </si>
  <si>
    <t>Empresa 959 LTDA</t>
  </si>
  <si>
    <t>SIM1958</t>
  </si>
  <si>
    <t>25.609.306/0001-42</t>
  </si>
  <si>
    <t>Empresa 960 LTDA</t>
  </si>
  <si>
    <t>SIM1959</t>
  </si>
  <si>
    <t>74.504.283/0001-18</t>
  </si>
  <si>
    <t>Empresa 961 LTDA</t>
  </si>
  <si>
    <t>SIM1960</t>
  </si>
  <si>
    <t>10.900.589/0001-71</t>
  </si>
  <si>
    <t>Empresa 962 LTDA</t>
  </si>
  <si>
    <t>SIM1961</t>
  </si>
  <si>
    <t>59.652.546/0001-15</t>
  </si>
  <si>
    <t>Empresa 963 LTDA</t>
  </si>
  <si>
    <t>SIM1962</t>
  </si>
  <si>
    <t>62.779.988/0001-56</t>
  </si>
  <si>
    <t>Empresa 964 LTDA</t>
  </si>
  <si>
    <t>SIM1963</t>
  </si>
  <si>
    <t>48.942.376/0001-31</t>
  </si>
  <si>
    <t>Empresa 965 LTDA</t>
  </si>
  <si>
    <t>SIM1964</t>
  </si>
  <si>
    <t>14.285.590/0001-87</t>
  </si>
  <si>
    <t>Empresa 966 LTDA</t>
  </si>
  <si>
    <t>SIM1965</t>
  </si>
  <si>
    <t>82.761.422/0001-73</t>
  </si>
  <si>
    <t>Empresa 967 LTDA</t>
  </si>
  <si>
    <t>SIM1966</t>
  </si>
  <si>
    <t>38.254.452/0001-87</t>
  </si>
  <si>
    <t>Empresa 968 LTDA</t>
  </si>
  <si>
    <t>SIM1967</t>
  </si>
  <si>
    <t>48.570.418/0001-10</t>
  </si>
  <si>
    <t>Empresa 969 LTDA</t>
  </si>
  <si>
    <t>SIM1968</t>
  </si>
  <si>
    <t>29.766.450/0001-26</t>
  </si>
  <si>
    <t>Empresa 970 LTDA</t>
  </si>
  <si>
    <t>SIM1969</t>
  </si>
  <si>
    <t>28.880.619/0001-23</t>
  </si>
  <si>
    <t>Empresa 971 LTDA</t>
  </si>
  <si>
    <t>SIM1970</t>
  </si>
  <si>
    <t>71.295.431/0001-45</t>
  </si>
  <si>
    <t>Empresa 972 LTDA</t>
  </si>
  <si>
    <t>SIM1971</t>
  </si>
  <si>
    <t>65.855.583/0001-89</t>
  </si>
  <si>
    <t>Empresa 973 LTDA</t>
  </si>
  <si>
    <t>SIM1972</t>
  </si>
  <si>
    <t>70.727.651/0001-76</t>
  </si>
  <si>
    <t>Empresa 974 LTDA</t>
  </si>
  <si>
    <t>SIM1973</t>
  </si>
  <si>
    <t>75.374.574/0001-22</t>
  </si>
  <si>
    <t>Empresa 975 LTDA</t>
  </si>
  <si>
    <t>SIM1974</t>
  </si>
  <si>
    <t>72.328.403/0001-92</t>
  </si>
  <si>
    <t>Empresa 976 LTDA</t>
  </si>
  <si>
    <t>SIM1975</t>
  </si>
  <si>
    <t>23.270.227/0001-22</t>
  </si>
  <si>
    <t>Empresa 977 LTDA</t>
  </si>
  <si>
    <t>SIM1976</t>
  </si>
  <si>
    <t>13.473.411/0001-12</t>
  </si>
  <si>
    <t>Empresa 978 LTDA</t>
  </si>
  <si>
    <t>SIM1977</t>
  </si>
  <si>
    <t>21.880.303/0001-11</t>
  </si>
  <si>
    <t>Empresa 979 LTDA</t>
  </si>
  <si>
    <t>SIM1978</t>
  </si>
  <si>
    <t>99.467.723/0001-23</t>
  </si>
  <si>
    <t>Empresa 980 LTDA</t>
  </si>
  <si>
    <t>SIM1979</t>
  </si>
  <si>
    <t>13.212.718/0001-46</t>
  </si>
  <si>
    <t>Empresa 981 LTDA</t>
  </si>
  <si>
    <t>SIM1980</t>
  </si>
  <si>
    <t>98.804.517/0001-88</t>
  </si>
  <si>
    <t>Empresa 982 LTDA</t>
  </si>
  <si>
    <t>SIM1981</t>
  </si>
  <si>
    <t>47.396.510/0001-87</t>
  </si>
  <si>
    <t>Empresa 983 LTDA</t>
  </si>
  <si>
    <t>SIM1982</t>
  </si>
  <si>
    <t>95.572.556/0001-29</t>
  </si>
  <si>
    <t>Empresa 984 LTDA</t>
  </si>
  <si>
    <t>SIM1983</t>
  </si>
  <si>
    <t>65.650.863/0001-80</t>
  </si>
  <si>
    <t>Empresa 985 LTDA</t>
  </si>
  <si>
    <t>SIM1984</t>
  </si>
  <si>
    <t>88.788.138/0001-92</t>
  </si>
  <si>
    <t>Empresa 986 LTDA</t>
  </si>
  <si>
    <t>SIM1985</t>
  </si>
  <si>
    <t>69.464.643/0001-40</t>
  </si>
  <si>
    <t>Empresa 987 LTDA</t>
  </si>
  <si>
    <t>SIM1986</t>
  </si>
  <si>
    <t>91.122.679/0001-50</t>
  </si>
  <si>
    <t>Empresa 988 LTDA</t>
  </si>
  <si>
    <t>SIM1987</t>
  </si>
  <si>
    <t>24.624.762/0001-94</t>
  </si>
  <si>
    <t>Empresa 989 LTDA</t>
  </si>
  <si>
    <t>SIM1988</t>
  </si>
  <si>
    <t>80.635.331/0001-32</t>
  </si>
  <si>
    <t>Empresa 990 LTDA</t>
  </si>
  <si>
    <t>SIM1989</t>
  </si>
  <si>
    <t>90.519.740/0001-63</t>
  </si>
  <si>
    <t>Empresa 991 LTDA</t>
  </si>
  <si>
    <t>SIM1990</t>
  </si>
  <si>
    <t>65.249.859/0001-92</t>
  </si>
  <si>
    <t>Empresa 992 LTDA</t>
  </si>
  <si>
    <t>SIM1991</t>
  </si>
  <si>
    <t>17.343.773/0001-84</t>
  </si>
  <si>
    <t>Empresa 993 LTDA</t>
  </si>
  <si>
    <t>SIM1992</t>
  </si>
  <si>
    <t>41.780.784/0001-14</t>
  </si>
  <si>
    <t>Empresa 994 LTDA</t>
  </si>
  <si>
    <t>SIM1993</t>
  </si>
  <si>
    <t>47.528.701/0001-18</t>
  </si>
  <si>
    <t>Empresa 995 LTDA</t>
  </si>
  <si>
    <t>SIM1994</t>
  </si>
  <si>
    <t>49.177.169/0001-99</t>
  </si>
  <si>
    <t>Empresa 996 LTDA</t>
  </si>
  <si>
    <t>SIM1995</t>
  </si>
  <si>
    <t>65.519.640/0001-25</t>
  </si>
  <si>
    <t>Empresa 997 LTDA</t>
  </si>
  <si>
    <t>SIM1996</t>
  </si>
  <si>
    <t>30.997.714/0001-19</t>
  </si>
  <si>
    <t>Empresa 998 LTDA</t>
  </si>
  <si>
    <t>SIM1997</t>
  </si>
  <si>
    <t>18.628.547/0001-45</t>
  </si>
  <si>
    <t>Empresa 999 LTDA</t>
  </si>
  <si>
    <t>SIM1998</t>
  </si>
  <si>
    <t>87.651.767/0001-13</t>
  </si>
  <si>
    <t>Empresa 1000 LTDA</t>
  </si>
  <si>
    <t>SIM1999</t>
  </si>
  <si>
    <t>NR_CNPJ</t>
  </si>
  <si>
    <t>RAZAO_SOCIAL</t>
  </si>
  <si>
    <t>NR_SIMULACAO</t>
  </si>
  <si>
    <t>STATUS</t>
  </si>
  <si>
    <t>VALOR_MOVEL</t>
  </si>
  <si>
    <t>VALOR_AVANCADO</t>
  </si>
  <si>
    <t>VALOR_FIXABASICA</t>
  </si>
  <si>
    <t>VALOR_TI</t>
  </si>
  <si>
    <t>VALOR_APARELHO</t>
  </si>
  <si>
    <t>MES</t>
  </si>
  <si>
    <t>CONCLUÍDO</t>
  </si>
  <si>
    <t>VALOR_CONC_MOVEL</t>
  </si>
  <si>
    <t>VALOR_CONC_AVANCADO</t>
  </si>
  <si>
    <t>VALOR_CONC_FIXABASICA</t>
  </si>
  <si>
    <t>VALOR_CONC_TI</t>
  </si>
  <si>
    <t>VALOR_CONC_APARELHO</t>
  </si>
  <si>
    <t>VALOR_TOTAL</t>
  </si>
  <si>
    <t>VALOR_EMANALISE</t>
  </si>
  <si>
    <t>VALOR_ALÇADA</t>
  </si>
  <si>
    <t>VALOR_PERDIDO</t>
  </si>
  <si>
    <t>VALOR_TRAMITANDO</t>
  </si>
  <si>
    <t>VALOR_NEGOCIANDO</t>
  </si>
  <si>
    <t>VALOR_CONCLUIDO</t>
  </si>
  <si>
    <t>Row Labels</t>
  </si>
  <si>
    <t>Grand Total</t>
  </si>
  <si>
    <t>Sum of VALOR_TOTAL</t>
  </si>
  <si>
    <t>Sum of VALOR_CONC_MOVEL</t>
  </si>
  <si>
    <t>Sum of VALOR_CONC_AVANCADO</t>
  </si>
  <si>
    <t>Sum of VALOR_CONC_FIXABASICA</t>
  </si>
  <si>
    <t>Sum of VALOR_CONC_TI</t>
  </si>
  <si>
    <t>Sum of VALOR_CONC_APARELHO</t>
  </si>
  <si>
    <t>Column Labels</t>
  </si>
  <si>
    <t>Sum of VALOR_NEGOCIANDO</t>
  </si>
  <si>
    <t>Sum of VALOR_ALÇADA</t>
  </si>
  <si>
    <t>Sum of VALOR_EMANALISE</t>
  </si>
  <si>
    <t>Sum of VALOR_TRAMITANDO</t>
  </si>
  <si>
    <t>Sum of VALOR_PERDIDO</t>
  </si>
  <si>
    <t>Sum of VALOR_CONCLUIDO</t>
  </si>
  <si>
    <t>DE</t>
  </si>
  <si>
    <t>ATE</t>
  </si>
  <si>
    <t>R$ FATOR</t>
  </si>
  <si>
    <t>R$ FATOR (AP)</t>
  </si>
  <si>
    <t>Total</t>
  </si>
  <si>
    <t>% ICM</t>
  </si>
  <si>
    <t>Fatorização</t>
  </si>
  <si>
    <t>RV Aparelhos</t>
  </si>
  <si>
    <t>RV Total</t>
  </si>
  <si>
    <t>Categoria</t>
  </si>
  <si>
    <t>Móvel</t>
  </si>
  <si>
    <t>Avançados</t>
  </si>
  <si>
    <t>Fixa Básica</t>
  </si>
  <si>
    <t>TI</t>
  </si>
  <si>
    <t>Composição</t>
  </si>
  <si>
    <t>Aparelhos</t>
  </si>
  <si>
    <t>Diff Meta</t>
  </si>
  <si>
    <t>Count of NR_CNPJ</t>
  </si>
  <si>
    <t>CLIENTES OPORTUNADOS</t>
  </si>
  <si>
    <t>CLIENTES CONCLUÍDOS</t>
  </si>
  <si>
    <t>VALOR CONCLUÍDO</t>
  </si>
  <si>
    <t>RV Serviços</t>
  </si>
  <si>
    <t>Valor Venda</t>
  </si>
  <si>
    <t>Valor RV</t>
  </si>
  <si>
    <t>Meta</t>
  </si>
  <si>
    <t>Values</t>
  </si>
  <si>
    <t>26.448.955/0001-74</t>
  </si>
  <si>
    <t>Empresa 0 LTDA</t>
  </si>
  <si>
    <t>SIM0999</t>
  </si>
  <si>
    <t>Empresa 1001 LTDA</t>
  </si>
  <si>
    <t>SIM2000</t>
  </si>
  <si>
    <t>Empresa 1002 LTDA</t>
  </si>
  <si>
    <t>SIM2001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</si>
</sst>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R$-416]\ * #,##0.00_-;\-[$R$-416]\ * #,##0.00_-;_-[$R$-416]\ * &quot;-&quot;??_-;_-@_-"/>
    <numFmt numFmtId="165" formatCode="00\.000\.000\/0000\-00"/>
  </numFmts>
  <fonts count="6" x14ac:knownFonts="1">
    <font>
      <sz val="11"/>
      <color theme="1"/>
      <name val="Aptos Narrow"/>
      <family val="2"/>
      <scheme val="minor"/>
    </font>
    <font>
      <sz val="11"/>
      <color theme="1"/>
      <name val="Aptos Narrow"/>
      <family val="2"/>
      <scheme val="minor"/>
    </font>
    <font>
      <b/>
      <sz val="11"/>
      <color theme="1"/>
      <name val="Aptos Narrow"/>
      <family val="2"/>
      <scheme val="minor"/>
    </font>
    <font>
      <sz val="12"/>
      <color theme="1"/>
      <name val="Segoe UI"/>
      <family val="2"/>
    </font>
    <font>
      <sz val="11"/>
      <color theme="1"/>
      <name val="Arial"/>
      <family val="2"/>
    </font>
    <font>
      <sz val="8"/>
      <name val="Aptos Narrow"/>
      <family val="2"/>
      <scheme val="minor"/>
    </font>
  </fonts>
  <fills count="4">
    <fill>
      <patternFill patternType="none"/>
    </fill>
    <fill>
      <patternFill patternType="gray125"/>
    </fill>
    <fill>
      <patternFill patternType="solid">
        <fgColor theme="2" tint="-0.89999084444715716"/>
        <bgColor indexed="64"/>
      </patternFill>
    </fill>
    <fill>
      <patternFill patternType="solid">
        <fgColor theme="2"/>
        <bgColor indexed="64"/>
      </patternFill>
    </fill>
  </fills>
  <borders count="16">
    <border>
      <left/>
      <right/>
      <top/>
      <bottom/>
      <diagonal/>
    </border>
    <border>
      <left style="thick">
        <color auto="1"/>
      </left>
      <right style="dotted">
        <color auto="1"/>
      </right>
      <top style="thick">
        <color auto="1"/>
      </top>
      <bottom style="dotted">
        <color auto="1"/>
      </bottom>
      <diagonal/>
    </border>
    <border>
      <left style="dotted">
        <color auto="1"/>
      </left>
      <right style="dotted">
        <color auto="1"/>
      </right>
      <top style="thick">
        <color auto="1"/>
      </top>
      <bottom style="dotted">
        <color auto="1"/>
      </bottom>
      <diagonal/>
    </border>
    <border>
      <left style="dotted">
        <color auto="1"/>
      </left>
      <right style="thick">
        <color auto="1"/>
      </right>
      <top style="thick">
        <color auto="1"/>
      </top>
      <bottom style="dotted">
        <color auto="1"/>
      </bottom>
      <diagonal/>
    </border>
    <border>
      <left style="thick">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ck">
        <color auto="1"/>
      </right>
      <top style="dotted">
        <color auto="1"/>
      </top>
      <bottom style="dotted">
        <color auto="1"/>
      </bottom>
      <diagonal/>
    </border>
    <border>
      <left style="thick">
        <color auto="1"/>
      </left>
      <right style="dashed">
        <color auto="1"/>
      </right>
      <top style="dashed">
        <color auto="1"/>
      </top>
      <bottom style="thick">
        <color auto="1"/>
      </bottom>
      <diagonal/>
    </border>
    <border>
      <left style="dashed">
        <color auto="1"/>
      </left>
      <right style="dashed">
        <color auto="1"/>
      </right>
      <top style="dashed">
        <color auto="1"/>
      </top>
      <bottom style="thick">
        <color auto="1"/>
      </bottom>
      <diagonal/>
    </border>
    <border>
      <left style="dashed">
        <color auto="1"/>
      </left>
      <right style="thick">
        <color auto="1"/>
      </right>
      <top style="dashed">
        <color auto="1"/>
      </top>
      <bottom style="thick">
        <color auto="1"/>
      </bottom>
      <diagonal/>
    </border>
    <border>
      <left style="thick">
        <color auto="1"/>
      </left>
      <right style="dashed">
        <color auto="1"/>
      </right>
      <top style="dotted">
        <color auto="1"/>
      </top>
      <bottom style="dashed">
        <color auto="1"/>
      </bottom>
      <diagonal/>
    </border>
    <border>
      <left style="dashed">
        <color auto="1"/>
      </left>
      <right style="dashed">
        <color auto="1"/>
      </right>
      <top style="dotted">
        <color auto="1"/>
      </top>
      <bottom style="dashed">
        <color auto="1"/>
      </bottom>
      <diagonal/>
    </border>
    <border>
      <left style="dashed">
        <color auto="1"/>
      </left>
      <right style="thick">
        <color auto="1"/>
      </right>
      <top style="dotted">
        <color auto="1"/>
      </top>
      <bottom style="dashed">
        <color auto="1"/>
      </bottom>
      <diagonal/>
    </border>
    <border>
      <left style="thick">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ck">
        <color auto="1"/>
      </right>
      <top style="dashed">
        <color auto="1"/>
      </top>
      <bottom style="dashed">
        <color auto="1"/>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5">
    <xf numFmtId="0" fontId="0" fillId="0" borderId="0" xfId="0"/>
    <xf numFmtId="0" fontId="4" fillId="0" borderId="0" xfId="0" applyFont="1" applyAlignment="1">
      <alignment horizontal="center" vertical="center"/>
    </xf>
    <xf numFmtId="0" fontId="3" fillId="0" borderId="0" xfId="0" applyFont="1" applyAlignment="1">
      <alignment horizontal="center" vertical="center"/>
    </xf>
    <xf numFmtId="164" fontId="4" fillId="0" borderId="0" xfId="1" applyNumberFormat="1" applyFont="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10" fontId="0" fillId="0" borderId="4" xfId="0" applyNumberFormat="1" applyBorder="1" applyAlignment="1">
      <alignment horizontal="center" vertical="center"/>
    </xf>
    <xf numFmtId="10" fontId="0" fillId="0" borderId="5" xfId="0" applyNumberFormat="1" applyBorder="1" applyAlignment="1">
      <alignment horizontal="center" vertical="center"/>
    </xf>
    <xf numFmtId="10" fontId="0" fillId="0" borderId="6" xfId="0" applyNumberFormat="1" applyBorder="1" applyAlignment="1">
      <alignment horizontal="center" vertical="center"/>
    </xf>
    <xf numFmtId="10" fontId="0" fillId="0" borderId="7" xfId="0" applyNumberFormat="1" applyBorder="1" applyAlignment="1">
      <alignment horizontal="center" vertical="center"/>
    </xf>
    <xf numFmtId="10" fontId="0" fillId="0" borderId="8" xfId="0" applyNumberFormat="1" applyBorder="1" applyAlignment="1">
      <alignment horizontal="center" vertical="center"/>
    </xf>
    <xf numFmtId="10" fontId="0" fillId="0" borderId="9" xfId="0" applyNumberFormat="1" applyBorder="1" applyAlignment="1">
      <alignment horizontal="center" vertical="center"/>
    </xf>
    <xf numFmtId="10" fontId="0" fillId="0" borderId="10" xfId="0" applyNumberFormat="1" applyBorder="1" applyAlignment="1">
      <alignment horizontal="center" vertical="center"/>
    </xf>
    <xf numFmtId="10" fontId="0" fillId="0" borderId="11" xfId="0" applyNumberFormat="1" applyBorder="1" applyAlignment="1">
      <alignment horizontal="center" vertical="center"/>
    </xf>
    <xf numFmtId="10" fontId="0" fillId="0" borderId="12" xfId="0" applyNumberFormat="1" applyBorder="1" applyAlignment="1">
      <alignment horizontal="center" vertical="center"/>
    </xf>
    <xf numFmtId="10" fontId="0" fillId="0" borderId="13" xfId="0" applyNumberFormat="1" applyBorder="1" applyAlignment="1">
      <alignment horizontal="center" vertical="center"/>
    </xf>
    <xf numFmtId="10" fontId="0" fillId="0" borderId="14" xfId="0" applyNumberFormat="1" applyBorder="1" applyAlignment="1">
      <alignment horizontal="center" vertical="center"/>
    </xf>
    <xf numFmtId="10" fontId="0" fillId="0" borderId="15" xfId="0" applyNumberFormat="1" applyBorder="1" applyAlignment="1">
      <alignment horizontal="center" vertical="center"/>
    </xf>
    <xf numFmtId="10" fontId="0" fillId="0" borderId="0" xfId="2" applyNumberFormat="1" applyFont="1"/>
    <xf numFmtId="164" fontId="0" fillId="0" borderId="0" xfId="1" applyNumberFormat="1" applyFont="1"/>
    <xf numFmtId="164" fontId="0" fillId="0" borderId="0" xfId="0" applyNumberFormat="1"/>
    <xf numFmtId="10" fontId="0" fillId="0" borderId="0" xfId="0" applyNumberFormat="1"/>
    <xf numFmtId="0" fontId="0" fillId="2" borderId="0" xfId="0" applyFill="1"/>
    <xf numFmtId="0" fontId="3" fillId="2" borderId="0" xfId="0" applyFont="1" applyFill="1" applyAlignment="1">
      <alignment horizontal="center" vertical="center"/>
    </xf>
    <xf numFmtId="0" fontId="4" fillId="3" borderId="0" xfId="0" applyFont="1" applyFill="1" applyAlignment="1">
      <alignment horizontal="center" vertical="center"/>
    </xf>
    <xf numFmtId="164" fontId="4" fillId="3" borderId="0" xfId="1" applyNumberFormat="1" applyFont="1" applyFill="1" applyAlignment="1">
      <alignment horizontal="center" vertical="center"/>
    </xf>
    <xf numFmtId="165" fontId="4" fillId="0" borderId="0" xfId="0" applyNumberFormat="1" applyFont="1" applyAlignment="1">
      <alignment horizontal="center" vertical="center"/>
    </xf>
    <xf numFmtId="165" fontId="4" fillId="3" borderId="0" xfId="0" applyNumberFormat="1" applyFont="1" applyFill="1" applyAlignment="1">
      <alignment horizontal="center" vertical="center"/>
    </xf>
    <xf numFmtId="165" fontId="0" fillId="2" borderId="0" xfId="0" applyNumberFormat="1" applyFill="1"/>
    <xf numFmtId="165" fontId="0" fillId="0" borderId="0" xfId="0" applyNumberFormat="1"/>
  </cellXfs>
  <cellStyles count="3">
    <cellStyle name="Currency" xfId="1" builtinId="4"/>
    <cellStyle name="Normal" xfId="0" builtinId="0"/>
    <cellStyle name="Percent" xfId="2" builtinId="5"/>
  </cellStyles>
  <dxfs count="4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000\.000\/0000\-00"/>
    </dxf>
    <dxf>
      <numFmt numFmtId="0" formatCode="General"/>
    </dxf>
    <dxf>
      <numFmt numFmtId="164" formatCode="_-[$R$-416]\ * #,##0.00_-;\-[$R$-416]\ * #,##0.00_-;_-[$R$-416]\ * &quot;-&quot;??_-;_-@_-"/>
    </dxf>
    <dxf>
      <numFmt numFmtId="164" formatCode="_-[$R$-416]\ * #,##0.00_-;\-[$R$-416]\ * #,##0.00_-;_-[$R$-416]\ * &quot;-&quot;??_-;_-@_-"/>
    </dxf>
    <dxf>
      <numFmt numFmtId="164" formatCode="_-[$R$-416]\ * #,##0.00_-;\-[$R$-416]\ * #,##0.00_-;_-[$R$-416]\ * &quot;-&quot;??_-;_-@_-"/>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5" formatCode="00\.000\.000\/0000\-00"/>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ill>
        <patternFill>
          <bgColor theme="2" tint="-9.9948118533890809E-2"/>
        </patternFill>
      </fill>
    </dxf>
    <dxf>
      <fill>
        <patternFill>
          <bgColor theme="3" tint="0.89996032593768116"/>
        </patternFill>
      </fill>
    </dxf>
    <dxf>
      <fill>
        <patternFill>
          <bgColor rgb="FFFFE697"/>
        </patternFill>
      </fill>
    </dxf>
    <dxf>
      <fill>
        <patternFill>
          <bgColor theme="8" tint="0.59996337778862885"/>
        </patternFill>
      </fill>
    </dxf>
    <dxf>
      <fill>
        <patternFill>
          <bgColor theme="6" tint="0.79998168889431442"/>
        </patternFill>
      </fill>
    </dxf>
    <dxf>
      <fill>
        <patternFill>
          <bgColor theme="5" tint="0.59996337778862885"/>
        </patternFill>
      </fill>
    </dxf>
    <dxf>
      <font>
        <color theme="0"/>
      </font>
      <fill>
        <patternFill>
          <bgColor theme="2" tint="-0.749961851863155"/>
        </patternFill>
      </fill>
    </dxf>
    <dxf>
      <font>
        <strike val="0"/>
        <color theme="1"/>
      </font>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ont>
        <b/>
        <i val="0"/>
        <sz val="12"/>
        <color theme="2" tint="-0.89996032593768116"/>
        <name val="Segoe UI"/>
        <family val="2"/>
        <scheme val="none"/>
      </font>
      <fill>
        <patternFill>
          <bgColor theme="2" tint="-0.499984740745262"/>
        </patternFill>
      </fill>
    </dxf>
  </dxfs>
  <tableStyles count="2" defaultTableStyle="TableStyleMedium2" defaultPivotStyle="PivotStyleLight16">
    <tableStyle name="Slicer Style 1" pivot="0" table="0" count="5" xr9:uid="{16CD3D36-162B-48CE-AB6C-62364F7B363F}">
      <tableStyleElement type="wholeTable" dxfId="39"/>
    </tableStyle>
    <tableStyle name="Table Style 1" pivot="0" count="2" xr9:uid="{74426382-F68D-48C7-BCF2-D17D80DFBD5A}">
      <tableStyleElement type="wholeTable" dxfId="38"/>
      <tableStyleElement type="headerRow" dxfId="37"/>
    </tableStyle>
  </tableStyles>
  <colors>
    <mruColors>
      <color rgb="FFFFE697"/>
    </mruColors>
  </colors>
  <extLst>
    <ext xmlns:x14="http://schemas.microsoft.com/office/spreadsheetml/2009/9/main" uri="{46F421CA-312F-682f-3DD2-61675219B42D}">
      <x14:dxfs count="4">
        <dxf>
          <fill>
            <patternFill>
              <bgColor theme="2" tint="-0.24994659260841701"/>
            </patternFill>
          </fill>
        </dxf>
        <dxf>
          <fill>
            <patternFill>
              <bgColor theme="2" tint="-0.24994659260841701"/>
            </patternFill>
          </fill>
        </dxf>
        <dxf>
          <fill>
            <patternFill>
              <bgColor theme="2" tint="-0.89996032593768116"/>
            </patternFill>
          </fill>
        </dxf>
        <dxf>
          <font>
            <b/>
            <i val="0"/>
            <color theme="2" tint="-9.9948118533890809E-2"/>
          </font>
          <fill>
            <patternFill>
              <bgColor theme="2" tint="-0.89996032593768116"/>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chemeClr val="bg2">
                    <a:lumMod val="10000"/>
                  </a:schemeClr>
                </a:solidFill>
                <a:latin typeface="+mn-lt"/>
                <a:ea typeface="+mn-ea"/>
                <a:cs typeface="+mn-cs"/>
              </a:defRPr>
            </a:pPr>
            <a:r>
              <a:rPr lang="en-US" b="1">
                <a:solidFill>
                  <a:schemeClr val="bg2">
                    <a:lumMod val="10000"/>
                  </a:schemeClr>
                </a:solidFill>
                <a:latin typeface="Segoe UI" panose="020B0502040204020203" pitchFamily="34" charset="0"/>
                <a:cs typeface="Segoe UI" panose="020B0502040204020203" pitchFamily="34" charset="0"/>
              </a:rPr>
              <a:t>Composição da</a:t>
            </a:r>
            <a:r>
              <a:rPr lang="en-US" b="1" baseline="0">
                <a:solidFill>
                  <a:schemeClr val="bg2">
                    <a:lumMod val="10000"/>
                  </a:schemeClr>
                </a:solidFill>
                <a:latin typeface="Segoe UI" panose="020B0502040204020203" pitchFamily="34" charset="0"/>
                <a:cs typeface="Segoe UI" panose="020B0502040204020203" pitchFamily="34" charset="0"/>
              </a:rPr>
              <a:t> Receita por Produto</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10000"/>
                </a:schemeClr>
              </a:solidFill>
              <a:latin typeface="+mn-lt"/>
              <a:ea typeface="+mn-ea"/>
              <a:cs typeface="+mn-cs"/>
            </a:defRPr>
          </a:pPr>
          <a:endParaRPr lang="en-US"/>
        </a:p>
      </c:txPr>
    </c:title>
    <c:autoTitleDeleted val="0"/>
    <c:plotArea>
      <c:layout/>
      <c:barChart>
        <c:barDir val="col"/>
        <c:grouping val="stacked"/>
        <c:varyColors val="0"/>
        <c:ser>
          <c:idx val="0"/>
          <c:order val="0"/>
          <c:tx>
            <c:strRef>
              <c:f>BASE_CALCULO!$S$38</c:f>
              <c:strCache>
                <c:ptCount val="1"/>
                <c:pt idx="0">
                  <c:v>Móvel</c:v>
                </c:pt>
              </c:strCache>
            </c:strRef>
          </c:tx>
          <c:spPr>
            <a:solidFill>
              <a:schemeClr val="accent5">
                <a:shade val="50000"/>
              </a:schemeClr>
            </a:solidFill>
            <a:ln>
              <a:noFill/>
            </a:ln>
            <a:effectLst/>
          </c:spPr>
          <c:invertIfNegative val="0"/>
          <c:cat>
            <c:strRef>
              <c:f>BASE_CALCULO!$R$39:$R$40</c:f>
              <c:strCache>
                <c:ptCount val="2"/>
                <c:pt idx="0">
                  <c:v>Composição</c:v>
                </c:pt>
                <c:pt idx="1">
                  <c:v>Total</c:v>
                </c:pt>
              </c:strCache>
            </c:strRef>
          </c:cat>
          <c:val>
            <c:numRef>
              <c:f>BASE_CALCULO!$S$39:$S$40</c:f>
              <c:numCache>
                <c:formatCode>General</c:formatCode>
                <c:ptCount val="2"/>
                <c:pt idx="0" formatCode="_-[$R$-416]\ * #,##0.00_-;\-[$R$-416]\ * #,##0.00_-;_-[$R$-416]\ * &quot;-&quot;??_-;_-@_-">
                  <c:v>20180.2</c:v>
                </c:pt>
              </c:numCache>
            </c:numRef>
          </c:val>
          <c:extLst>
            <c:ext xmlns:c16="http://schemas.microsoft.com/office/drawing/2014/chart" uri="{C3380CC4-5D6E-409C-BE32-E72D297353CC}">
              <c16:uniqueId val="{00000000-E34D-40A6-AFDC-D7DC5F3FA017}"/>
            </c:ext>
          </c:extLst>
        </c:ser>
        <c:ser>
          <c:idx val="1"/>
          <c:order val="1"/>
          <c:tx>
            <c:strRef>
              <c:f>BASE_CALCULO!$T$38</c:f>
              <c:strCache>
                <c:ptCount val="1"/>
                <c:pt idx="0">
                  <c:v>Avançados</c:v>
                </c:pt>
              </c:strCache>
            </c:strRef>
          </c:tx>
          <c:spPr>
            <a:solidFill>
              <a:schemeClr val="accent5">
                <a:shade val="70000"/>
              </a:schemeClr>
            </a:solidFill>
            <a:ln>
              <a:noFill/>
            </a:ln>
            <a:effectLst/>
          </c:spPr>
          <c:invertIfNegative val="0"/>
          <c:cat>
            <c:strRef>
              <c:f>BASE_CALCULO!$R$39:$R$40</c:f>
              <c:strCache>
                <c:ptCount val="2"/>
                <c:pt idx="0">
                  <c:v>Composição</c:v>
                </c:pt>
                <c:pt idx="1">
                  <c:v>Total</c:v>
                </c:pt>
              </c:strCache>
            </c:strRef>
          </c:cat>
          <c:val>
            <c:numRef>
              <c:f>BASE_CALCULO!$T$39:$T$40</c:f>
              <c:numCache>
                <c:formatCode>General</c:formatCode>
                <c:ptCount val="2"/>
                <c:pt idx="0" formatCode="_-[$R$-416]\ * #,##0.00_-;\-[$R$-416]\ * #,##0.00_-;_-[$R$-416]\ * &quot;-&quot;??_-;_-@_-">
                  <c:v>11491.18</c:v>
                </c:pt>
              </c:numCache>
            </c:numRef>
          </c:val>
          <c:extLst>
            <c:ext xmlns:c16="http://schemas.microsoft.com/office/drawing/2014/chart" uri="{C3380CC4-5D6E-409C-BE32-E72D297353CC}">
              <c16:uniqueId val="{00000001-E34D-40A6-AFDC-D7DC5F3FA017}"/>
            </c:ext>
          </c:extLst>
        </c:ser>
        <c:ser>
          <c:idx val="2"/>
          <c:order val="2"/>
          <c:tx>
            <c:strRef>
              <c:f>BASE_CALCULO!$U$38</c:f>
              <c:strCache>
                <c:ptCount val="1"/>
                <c:pt idx="0">
                  <c:v>Fixa Básica</c:v>
                </c:pt>
              </c:strCache>
            </c:strRef>
          </c:tx>
          <c:spPr>
            <a:solidFill>
              <a:schemeClr val="accent5">
                <a:shade val="90000"/>
              </a:schemeClr>
            </a:solidFill>
            <a:ln>
              <a:noFill/>
            </a:ln>
            <a:effectLst/>
          </c:spPr>
          <c:invertIfNegative val="0"/>
          <c:cat>
            <c:strRef>
              <c:f>BASE_CALCULO!$R$39:$R$40</c:f>
              <c:strCache>
                <c:ptCount val="2"/>
                <c:pt idx="0">
                  <c:v>Composição</c:v>
                </c:pt>
                <c:pt idx="1">
                  <c:v>Total</c:v>
                </c:pt>
              </c:strCache>
            </c:strRef>
          </c:cat>
          <c:val>
            <c:numRef>
              <c:f>BASE_CALCULO!$U$39:$U$40</c:f>
              <c:numCache>
                <c:formatCode>General</c:formatCode>
                <c:ptCount val="2"/>
                <c:pt idx="0" formatCode="_-[$R$-416]\ * #,##0.00_-;\-[$R$-416]\ * #,##0.00_-;_-[$R$-416]\ * &quot;-&quot;??_-;_-@_-">
                  <c:v>11708.56</c:v>
                </c:pt>
              </c:numCache>
            </c:numRef>
          </c:val>
          <c:extLst>
            <c:ext xmlns:c16="http://schemas.microsoft.com/office/drawing/2014/chart" uri="{C3380CC4-5D6E-409C-BE32-E72D297353CC}">
              <c16:uniqueId val="{00000002-E34D-40A6-AFDC-D7DC5F3FA017}"/>
            </c:ext>
          </c:extLst>
        </c:ser>
        <c:ser>
          <c:idx val="3"/>
          <c:order val="3"/>
          <c:tx>
            <c:strRef>
              <c:f>BASE_CALCULO!$V$38</c:f>
              <c:strCache>
                <c:ptCount val="1"/>
                <c:pt idx="0">
                  <c:v>TI</c:v>
                </c:pt>
              </c:strCache>
            </c:strRef>
          </c:tx>
          <c:spPr>
            <a:solidFill>
              <a:schemeClr val="accent5">
                <a:tint val="90000"/>
              </a:schemeClr>
            </a:solidFill>
            <a:ln>
              <a:noFill/>
            </a:ln>
            <a:effectLst/>
          </c:spPr>
          <c:invertIfNegative val="0"/>
          <c:cat>
            <c:strRef>
              <c:f>BASE_CALCULO!$R$39:$R$40</c:f>
              <c:strCache>
                <c:ptCount val="2"/>
                <c:pt idx="0">
                  <c:v>Composição</c:v>
                </c:pt>
                <c:pt idx="1">
                  <c:v>Total</c:v>
                </c:pt>
              </c:strCache>
            </c:strRef>
          </c:cat>
          <c:val>
            <c:numRef>
              <c:f>BASE_CALCULO!$V$39:$V$40</c:f>
              <c:numCache>
                <c:formatCode>General</c:formatCode>
                <c:ptCount val="2"/>
                <c:pt idx="0" formatCode="_-[$R$-416]\ * #,##0.00_-;\-[$R$-416]\ * #,##0.00_-;_-[$R$-416]\ * &quot;-&quot;??_-;_-@_-">
                  <c:v>30998.95</c:v>
                </c:pt>
              </c:numCache>
            </c:numRef>
          </c:val>
          <c:extLst>
            <c:ext xmlns:c16="http://schemas.microsoft.com/office/drawing/2014/chart" uri="{C3380CC4-5D6E-409C-BE32-E72D297353CC}">
              <c16:uniqueId val="{00000003-E34D-40A6-AFDC-D7DC5F3FA017}"/>
            </c:ext>
          </c:extLst>
        </c:ser>
        <c:ser>
          <c:idx val="4"/>
          <c:order val="4"/>
          <c:tx>
            <c:strRef>
              <c:f>BASE_CALCULO!$W$38</c:f>
              <c:strCache>
                <c:ptCount val="1"/>
                <c:pt idx="0">
                  <c:v>Aparelhos</c:v>
                </c:pt>
              </c:strCache>
            </c:strRef>
          </c:tx>
          <c:spPr>
            <a:solidFill>
              <a:schemeClr val="accent5">
                <a:tint val="70000"/>
              </a:schemeClr>
            </a:solidFill>
            <a:ln>
              <a:noFill/>
            </a:ln>
            <a:effectLst/>
          </c:spPr>
          <c:invertIfNegative val="0"/>
          <c:cat>
            <c:strRef>
              <c:f>BASE_CALCULO!$R$39:$R$40</c:f>
              <c:strCache>
                <c:ptCount val="2"/>
                <c:pt idx="0">
                  <c:v>Composição</c:v>
                </c:pt>
                <c:pt idx="1">
                  <c:v>Total</c:v>
                </c:pt>
              </c:strCache>
            </c:strRef>
          </c:cat>
          <c:val>
            <c:numRef>
              <c:f>BASE_CALCULO!$W$39:$W$40</c:f>
              <c:numCache>
                <c:formatCode>General</c:formatCode>
                <c:ptCount val="2"/>
                <c:pt idx="0" formatCode="_-[$R$-416]\ * #,##0.00_-;\-[$R$-416]\ * #,##0.00_-;_-[$R$-416]\ * &quot;-&quot;??_-;_-@_-">
                  <c:v>34197.270000000004</c:v>
                </c:pt>
              </c:numCache>
            </c:numRef>
          </c:val>
          <c:extLst>
            <c:ext xmlns:c16="http://schemas.microsoft.com/office/drawing/2014/chart" uri="{C3380CC4-5D6E-409C-BE32-E72D297353CC}">
              <c16:uniqueId val="{00000004-E34D-40A6-AFDC-D7DC5F3FA017}"/>
            </c:ext>
          </c:extLst>
        </c:ser>
        <c:ser>
          <c:idx val="5"/>
          <c:order val="5"/>
          <c:tx>
            <c:strRef>
              <c:f>BASE_CALCULO!$X$38</c:f>
              <c:strCache>
                <c:ptCount val="1"/>
                <c:pt idx="0">
                  <c:v>Total</c:v>
                </c:pt>
              </c:strCache>
            </c:strRef>
          </c:tx>
          <c:spPr>
            <a:solidFill>
              <a:schemeClr val="accent5">
                <a:tint val="50000"/>
              </a:schemeClr>
            </a:solidFill>
            <a:ln>
              <a:noFill/>
            </a:ln>
            <a:effectLst/>
          </c:spPr>
          <c:invertIfNegative val="0"/>
          <c:cat>
            <c:strRef>
              <c:f>BASE_CALCULO!$R$39:$R$40</c:f>
              <c:strCache>
                <c:ptCount val="2"/>
                <c:pt idx="0">
                  <c:v>Composição</c:v>
                </c:pt>
                <c:pt idx="1">
                  <c:v>Total</c:v>
                </c:pt>
              </c:strCache>
            </c:strRef>
          </c:cat>
          <c:val>
            <c:numRef>
              <c:f>BASE_CALCULO!$X$39:$X$40</c:f>
              <c:numCache>
                <c:formatCode>_-[$R$-416]\ * #,##0.00_-;\-[$R$-416]\ * #,##0.00_-;_-[$R$-416]\ * "-"??_-;_-@_-</c:formatCode>
                <c:ptCount val="2"/>
                <c:pt idx="1">
                  <c:v>108576.16</c:v>
                </c:pt>
              </c:numCache>
            </c:numRef>
          </c:val>
          <c:extLst>
            <c:ext xmlns:c16="http://schemas.microsoft.com/office/drawing/2014/chart" uri="{C3380CC4-5D6E-409C-BE32-E72D297353CC}">
              <c16:uniqueId val="{00000005-E34D-40A6-AFDC-D7DC5F3FA017}"/>
            </c:ext>
          </c:extLst>
        </c:ser>
        <c:dLbls>
          <c:showLegendKey val="0"/>
          <c:showVal val="0"/>
          <c:showCatName val="0"/>
          <c:showSerName val="0"/>
          <c:showPercent val="0"/>
          <c:showBubbleSize val="0"/>
        </c:dLbls>
        <c:gapWidth val="55"/>
        <c:overlap val="100"/>
        <c:axId val="1971209775"/>
        <c:axId val="1971211215"/>
      </c:barChart>
      <c:catAx>
        <c:axId val="1971209775"/>
        <c:scaling>
          <c:orientation val="minMax"/>
        </c:scaling>
        <c:delete val="0"/>
        <c:axPos val="b"/>
        <c:majorGridlines>
          <c:spPr>
            <a:ln w="9525" cap="flat" cmpd="sng" algn="ctr">
              <a:solidFill>
                <a:schemeClr val="tx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971211215"/>
        <c:crosses val="autoZero"/>
        <c:auto val="1"/>
        <c:lblAlgn val="ctr"/>
        <c:lblOffset val="100"/>
        <c:noMultiLvlLbl val="0"/>
      </c:catAx>
      <c:valAx>
        <c:axId val="1971211215"/>
        <c:scaling>
          <c:orientation val="minMax"/>
        </c:scaling>
        <c:delete val="0"/>
        <c:axPos val="l"/>
        <c:majorGridlines>
          <c:spPr>
            <a:ln w="9525" cap="flat" cmpd="sng" algn="ctr">
              <a:solidFill>
                <a:schemeClr val="tx1">
                  <a:lumMod val="50000"/>
                  <a:lumOff val="50000"/>
                </a:schemeClr>
              </a:solidFill>
              <a:round/>
            </a:ln>
            <a:effectLst/>
          </c:spPr>
        </c:majorGridlines>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971209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2">
                    <a:lumMod val="10000"/>
                  </a:schemeClr>
                </a:solidFill>
                <a:latin typeface="Segoe UI" panose="020B0502040204020203" pitchFamily="34" charset="0"/>
                <a:cs typeface="Segoe UI" panose="020B0502040204020203" pitchFamily="34" charset="0"/>
              </a:rPr>
              <a:t>Histórico</a:t>
            </a:r>
            <a:r>
              <a:rPr lang="en-US" b="1" baseline="0">
                <a:solidFill>
                  <a:schemeClr val="bg2">
                    <a:lumMod val="10000"/>
                  </a:schemeClr>
                </a:solidFill>
                <a:latin typeface="Segoe UI" panose="020B0502040204020203" pitchFamily="34" charset="0"/>
                <a:cs typeface="Segoe UI" panose="020B0502040204020203" pitchFamily="34" charset="0"/>
              </a:rPr>
              <a:t> Clientes x Vendas</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BASE_CALCULO!$S$24</c:f>
              <c:strCache>
                <c:ptCount val="1"/>
                <c:pt idx="0">
                  <c:v>CLIENTES OPORTUNADOS</c:v>
                </c:pt>
              </c:strCache>
            </c:strRef>
          </c:tx>
          <c:spPr>
            <a:solidFill>
              <a:schemeClr val="accent5">
                <a:shade val="65000"/>
              </a:schemeClr>
            </a:solidFill>
            <a:ln>
              <a:noFill/>
            </a:ln>
            <a:effectLst/>
          </c:spPr>
          <c:invertIfNegative val="0"/>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BASE_CALCULO!$S$25:$S$36</c:f>
              <c:numCache>
                <c:formatCode>General</c:formatCode>
                <c:ptCount val="12"/>
                <c:pt idx="0">
                  <c:v>22</c:v>
                </c:pt>
                <c:pt idx="1">
                  <c:v>17</c:v>
                </c:pt>
                <c:pt idx="2">
                  <c:v>14</c:v>
                </c:pt>
                <c:pt idx="3">
                  <c:v>12</c:v>
                </c:pt>
                <c:pt idx="4">
                  <c:v>20</c:v>
                </c:pt>
                <c:pt idx="5">
                  <c:v>11</c:v>
                </c:pt>
                <c:pt idx="6">
                  <c:v>13</c:v>
                </c:pt>
                <c:pt idx="7">
                  <c:v>11</c:v>
                </c:pt>
                <c:pt idx="8">
                  <c:v>15</c:v>
                </c:pt>
                <c:pt idx="9">
                  <c:v>13</c:v>
                </c:pt>
                <c:pt idx="10">
                  <c:v>17</c:v>
                </c:pt>
                <c:pt idx="11">
                  <c:v>15</c:v>
                </c:pt>
              </c:numCache>
            </c:numRef>
          </c:val>
          <c:extLst>
            <c:ext xmlns:c16="http://schemas.microsoft.com/office/drawing/2014/chart" uri="{C3380CC4-5D6E-409C-BE32-E72D297353CC}">
              <c16:uniqueId val="{00000000-3D00-42C0-A19D-747ADD1955D6}"/>
            </c:ext>
          </c:extLst>
        </c:ser>
        <c:ser>
          <c:idx val="1"/>
          <c:order val="1"/>
          <c:tx>
            <c:strRef>
              <c:f>BASE_CALCULO!$T$24</c:f>
              <c:strCache>
                <c:ptCount val="1"/>
                <c:pt idx="0">
                  <c:v>CLIENTES CONCLUÍDOS</c:v>
                </c:pt>
              </c:strCache>
            </c:strRef>
          </c:tx>
          <c:spPr>
            <a:solidFill>
              <a:schemeClr val="accent5"/>
            </a:solidFill>
            <a:ln>
              <a:noFill/>
            </a:ln>
            <a:effectLst/>
          </c:spPr>
          <c:invertIfNegative val="0"/>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BASE_CALCULO!$T$25:$T$36</c:f>
              <c:numCache>
                <c:formatCode>General</c:formatCode>
                <c:ptCount val="12"/>
                <c:pt idx="0">
                  <c:v>22</c:v>
                </c:pt>
                <c:pt idx="1">
                  <c:v>17</c:v>
                </c:pt>
                <c:pt idx="2">
                  <c:v>14</c:v>
                </c:pt>
                <c:pt idx="3">
                  <c:v>12</c:v>
                </c:pt>
                <c:pt idx="4">
                  <c:v>20</c:v>
                </c:pt>
                <c:pt idx="5">
                  <c:v>11</c:v>
                </c:pt>
                <c:pt idx="6">
                  <c:v>13</c:v>
                </c:pt>
                <c:pt idx="7">
                  <c:v>11</c:v>
                </c:pt>
                <c:pt idx="8">
                  <c:v>15</c:v>
                </c:pt>
                <c:pt idx="9">
                  <c:v>13</c:v>
                </c:pt>
                <c:pt idx="10">
                  <c:v>17</c:v>
                </c:pt>
                <c:pt idx="11">
                  <c:v>15</c:v>
                </c:pt>
              </c:numCache>
            </c:numRef>
          </c:val>
          <c:extLst>
            <c:ext xmlns:c16="http://schemas.microsoft.com/office/drawing/2014/chart" uri="{C3380CC4-5D6E-409C-BE32-E72D297353CC}">
              <c16:uniqueId val="{00000001-3D00-42C0-A19D-747ADD1955D6}"/>
            </c:ext>
          </c:extLst>
        </c:ser>
        <c:dLbls>
          <c:showLegendKey val="0"/>
          <c:showVal val="0"/>
          <c:showCatName val="0"/>
          <c:showSerName val="0"/>
          <c:showPercent val="0"/>
          <c:showBubbleSize val="0"/>
        </c:dLbls>
        <c:gapWidth val="75"/>
        <c:overlap val="-25"/>
        <c:axId val="119753856"/>
        <c:axId val="119740896"/>
      </c:barChart>
      <c:lineChart>
        <c:grouping val="standard"/>
        <c:varyColors val="0"/>
        <c:ser>
          <c:idx val="2"/>
          <c:order val="2"/>
          <c:tx>
            <c:strRef>
              <c:f>BASE_CALCULO!$U$24</c:f>
              <c:strCache>
                <c:ptCount val="1"/>
                <c:pt idx="0">
                  <c:v>VALOR CONCLUÍDO</c:v>
                </c:pt>
              </c:strCache>
            </c:strRef>
          </c:tx>
          <c:spPr>
            <a:ln w="28575" cap="rnd">
              <a:solidFill>
                <a:schemeClr val="accent5">
                  <a:tint val="65000"/>
                </a:schemeClr>
              </a:solidFill>
              <a:round/>
            </a:ln>
            <a:effectLst/>
          </c:spPr>
          <c:marker>
            <c:symbol val="none"/>
          </c:marker>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BASE_CALCULO!$U$25:$U$36</c:f>
              <c:numCache>
                <c:formatCode>_-[$R$-416]\ * #,##0.00_-;\-[$R$-416]\ * #,##0.00_-;_-[$R$-416]\ * "-"??_-;_-@_-</c:formatCode>
                <c:ptCount val="12"/>
                <c:pt idx="0">
                  <c:v>181113.85</c:v>
                </c:pt>
                <c:pt idx="1">
                  <c:v>189922.21000000005</c:v>
                </c:pt>
                <c:pt idx="2">
                  <c:v>121727.57999999997</c:v>
                </c:pt>
                <c:pt idx="3">
                  <c:v>98514.06</c:v>
                </c:pt>
                <c:pt idx="4">
                  <c:v>195997.04</c:v>
                </c:pt>
                <c:pt idx="5">
                  <c:v>108576.16</c:v>
                </c:pt>
                <c:pt idx="6">
                  <c:v>121808.52000000002</c:v>
                </c:pt>
                <c:pt idx="7">
                  <c:v>107267.22</c:v>
                </c:pt>
                <c:pt idx="8">
                  <c:v>170476.94</c:v>
                </c:pt>
                <c:pt idx="9">
                  <c:v>128093.66000000002</c:v>
                </c:pt>
                <c:pt idx="10">
                  <c:v>180733.71000000002</c:v>
                </c:pt>
                <c:pt idx="11">
                  <c:v>157269.79999999996</c:v>
                </c:pt>
              </c:numCache>
            </c:numRef>
          </c:val>
          <c:smooth val="0"/>
          <c:extLst>
            <c:ext xmlns:c16="http://schemas.microsoft.com/office/drawing/2014/chart" uri="{C3380CC4-5D6E-409C-BE32-E72D297353CC}">
              <c16:uniqueId val="{00000002-3D00-42C0-A19D-747ADD1955D6}"/>
            </c:ext>
          </c:extLst>
        </c:ser>
        <c:dLbls>
          <c:showLegendKey val="0"/>
          <c:showVal val="0"/>
          <c:showCatName val="0"/>
          <c:showSerName val="0"/>
          <c:showPercent val="0"/>
          <c:showBubbleSize val="0"/>
        </c:dLbls>
        <c:marker val="1"/>
        <c:smooth val="0"/>
        <c:axId val="119750016"/>
        <c:axId val="119741376"/>
      </c:lineChart>
      <c:catAx>
        <c:axId val="11975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9740896"/>
        <c:crosses val="autoZero"/>
        <c:auto val="1"/>
        <c:lblAlgn val="ctr"/>
        <c:lblOffset val="100"/>
        <c:noMultiLvlLbl val="0"/>
      </c:catAx>
      <c:valAx>
        <c:axId val="119740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effectLst>
                  <a:outerShdw blurRad="50800" dist="50800" dir="5400000" algn="ctr" rotWithShape="0">
                    <a:schemeClr val="bg2">
                      <a:lumMod val="50000"/>
                    </a:schemeClr>
                  </a:outerShdw>
                </a:effectLst>
                <a:latin typeface="+mn-lt"/>
                <a:ea typeface="+mn-ea"/>
                <a:cs typeface="+mn-cs"/>
              </a:defRPr>
            </a:pPr>
            <a:endParaRPr lang="en-US"/>
          </a:p>
        </c:txPr>
        <c:crossAx val="119753856"/>
        <c:crosses val="autoZero"/>
        <c:crossBetween val="between"/>
      </c:valAx>
      <c:valAx>
        <c:axId val="119741376"/>
        <c:scaling>
          <c:orientation val="minMax"/>
        </c:scaling>
        <c:delete val="0"/>
        <c:axPos val="r"/>
        <c:numFmt formatCode="_-[$R$-416]\ * #,##0.00_-;\-[$R$-416]\ * #,##0.00_-;_-[$R$-416]\ *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9750016"/>
        <c:crosses val="max"/>
        <c:crossBetween val="between"/>
      </c:valAx>
      <c:catAx>
        <c:axId val="119750016"/>
        <c:scaling>
          <c:orientation val="minMax"/>
        </c:scaling>
        <c:delete val="1"/>
        <c:axPos val="b"/>
        <c:numFmt formatCode="General" sourceLinked="1"/>
        <c:majorTickMark val="out"/>
        <c:minorTickMark val="none"/>
        <c:tickLblPos val="nextTo"/>
        <c:crossAx val="11974137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 Comercial.xlsm]BASE_CALCULO!PivotTable21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b="1">
                <a:solidFill>
                  <a:schemeClr val="bg2">
                    <a:lumMod val="10000"/>
                  </a:schemeClr>
                </a:solidFill>
                <a:latin typeface="Segoe UI" panose="020B0502040204020203" pitchFamily="34" charset="0"/>
                <a:cs typeface="Segoe UI" panose="020B0502040204020203" pitchFamily="34" charset="0"/>
              </a:rPr>
              <a:t>Clientes</a:t>
            </a:r>
            <a:r>
              <a:rPr lang="en-US" b="1" baseline="0">
                <a:solidFill>
                  <a:schemeClr val="bg2">
                    <a:lumMod val="10000"/>
                  </a:schemeClr>
                </a:solidFill>
                <a:latin typeface="Segoe UI" panose="020B0502040204020203" pitchFamily="34" charset="0"/>
                <a:cs typeface="Segoe UI" panose="020B0502040204020203" pitchFamily="34" charset="0"/>
              </a:rPr>
              <a:t> por Status</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hade val="50000"/>
            </a:schemeClr>
          </a:solidFill>
          <a:ln w="19050">
            <a:solidFill>
              <a:schemeClr val="lt1"/>
            </a:solidFill>
          </a:ln>
          <a:effectLst/>
        </c:spPr>
      </c:pivotFmt>
      <c:pivotFmt>
        <c:idx val="3"/>
        <c:spPr>
          <a:solidFill>
            <a:schemeClr val="accent5">
              <a:shade val="70000"/>
            </a:schemeClr>
          </a:solidFill>
          <a:ln w="19050">
            <a:solidFill>
              <a:schemeClr val="lt1"/>
            </a:solidFill>
          </a:ln>
          <a:effectLst/>
        </c:spPr>
      </c:pivotFmt>
      <c:pivotFmt>
        <c:idx val="4"/>
        <c:spPr>
          <a:solidFill>
            <a:schemeClr val="accent5">
              <a:shade val="90000"/>
            </a:schemeClr>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tint val="70000"/>
            </a:schemeClr>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5">
              <a:shade val="50000"/>
            </a:schemeClr>
          </a:solidFill>
          <a:ln w="19050">
            <a:solidFill>
              <a:schemeClr val="bg1"/>
            </a:solidFill>
          </a:ln>
          <a:effectLst/>
        </c:spPr>
      </c:pivotFmt>
      <c:pivotFmt>
        <c:idx val="10"/>
        <c:spPr>
          <a:solidFill>
            <a:schemeClr val="accent5">
              <a:shade val="70000"/>
            </a:schemeClr>
          </a:solidFill>
          <a:ln w="19050">
            <a:solidFill>
              <a:schemeClr val="bg1"/>
            </a:solidFill>
          </a:ln>
          <a:effectLst/>
        </c:spPr>
      </c:pivotFmt>
      <c:pivotFmt>
        <c:idx val="11"/>
        <c:spPr>
          <a:solidFill>
            <a:schemeClr val="accent5">
              <a:shade val="90000"/>
            </a:schemeClr>
          </a:solidFill>
          <a:ln w="19050">
            <a:solidFill>
              <a:schemeClr val="bg1"/>
            </a:solidFill>
          </a:ln>
          <a:effectLst/>
        </c:spPr>
      </c:pivotFmt>
      <c:pivotFmt>
        <c:idx val="12"/>
        <c:spPr>
          <a:solidFill>
            <a:schemeClr val="accent5"/>
          </a:solidFill>
          <a:ln w="19050">
            <a:solidFill>
              <a:schemeClr val="bg1"/>
            </a:solidFill>
          </a:ln>
          <a:effectLst/>
        </c:spPr>
      </c:pivotFmt>
      <c:pivotFmt>
        <c:idx val="13"/>
        <c:spPr>
          <a:solidFill>
            <a:schemeClr val="accent5">
              <a:tint val="70000"/>
            </a:schemeClr>
          </a:solidFill>
          <a:ln w="19050">
            <a:solidFill>
              <a:schemeClr val="bg1"/>
            </a:solidFill>
          </a:ln>
          <a:effectLst/>
        </c:spPr>
      </c:pivotFmt>
      <c:pivotFmt>
        <c:idx val="14"/>
        <c:spPr>
          <a:solidFill>
            <a:schemeClr val="accent5"/>
          </a:solidFill>
          <a:ln w="19050">
            <a:solidFill>
              <a:schemeClr val="bg1"/>
            </a:solidFill>
          </a:ln>
          <a:effectLst/>
        </c:spPr>
      </c:pivotFmt>
      <c:pivotFmt>
        <c:idx val="1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BASE_CALCULO!$X$19:$X$20</c:f>
              <c:strCache>
                <c:ptCount val="1"/>
                <c:pt idx="0">
                  <c:v>Janeiro</c:v>
                </c:pt>
              </c:strCache>
            </c:strRef>
          </c:tx>
          <c:spPr>
            <a:ln>
              <a:solidFill>
                <a:schemeClr val="bg1"/>
              </a:solidFill>
            </a:ln>
          </c:spPr>
          <c:dPt>
            <c:idx val="0"/>
            <c:bubble3D val="0"/>
            <c:spPr>
              <a:solidFill>
                <a:schemeClr val="accent5">
                  <a:shade val="50000"/>
                </a:schemeClr>
              </a:solidFill>
              <a:ln w="19050">
                <a:solidFill>
                  <a:schemeClr val="bg1"/>
                </a:solidFill>
              </a:ln>
              <a:effectLst/>
            </c:spPr>
            <c:extLst>
              <c:ext xmlns:c16="http://schemas.microsoft.com/office/drawing/2014/chart" uri="{C3380CC4-5D6E-409C-BE32-E72D297353CC}">
                <c16:uniqueId val="{00000001-A2D5-4960-8AF7-758C5E63FD3B}"/>
              </c:ext>
            </c:extLst>
          </c:dPt>
          <c:dPt>
            <c:idx val="1"/>
            <c:bubble3D val="0"/>
            <c:spPr>
              <a:solidFill>
                <a:schemeClr val="accent5">
                  <a:shade val="70000"/>
                </a:schemeClr>
              </a:solidFill>
              <a:ln w="19050">
                <a:solidFill>
                  <a:schemeClr val="bg1"/>
                </a:solidFill>
              </a:ln>
              <a:effectLst/>
            </c:spPr>
            <c:extLst>
              <c:ext xmlns:c16="http://schemas.microsoft.com/office/drawing/2014/chart" uri="{C3380CC4-5D6E-409C-BE32-E72D297353CC}">
                <c16:uniqueId val="{00000003-A2D5-4960-8AF7-758C5E63FD3B}"/>
              </c:ext>
            </c:extLst>
          </c:dPt>
          <c:dPt>
            <c:idx val="2"/>
            <c:bubble3D val="0"/>
            <c:spPr>
              <a:solidFill>
                <a:schemeClr val="accent5">
                  <a:shade val="90000"/>
                </a:schemeClr>
              </a:solidFill>
              <a:ln w="19050">
                <a:solidFill>
                  <a:schemeClr val="bg1"/>
                </a:solidFill>
              </a:ln>
              <a:effectLst/>
            </c:spPr>
            <c:extLst>
              <c:ext xmlns:c16="http://schemas.microsoft.com/office/drawing/2014/chart" uri="{C3380CC4-5D6E-409C-BE32-E72D297353CC}">
                <c16:uniqueId val="{00000005-A2D5-4960-8AF7-758C5E63FD3B}"/>
              </c:ext>
            </c:extLst>
          </c:dPt>
          <c:dPt>
            <c:idx val="3"/>
            <c:bubble3D val="0"/>
            <c:spPr>
              <a:solidFill>
                <a:schemeClr val="accent5">
                  <a:tint val="90000"/>
                </a:schemeClr>
              </a:solidFill>
              <a:ln w="19050">
                <a:solidFill>
                  <a:schemeClr val="bg1"/>
                </a:solidFill>
              </a:ln>
              <a:effectLst/>
            </c:spPr>
            <c:extLst>
              <c:ext xmlns:c16="http://schemas.microsoft.com/office/drawing/2014/chart" uri="{C3380CC4-5D6E-409C-BE32-E72D297353CC}">
                <c16:uniqueId val="{00000007-A2D5-4960-8AF7-758C5E63FD3B}"/>
              </c:ext>
            </c:extLst>
          </c:dPt>
          <c:dPt>
            <c:idx val="4"/>
            <c:bubble3D val="0"/>
            <c:spPr>
              <a:solidFill>
                <a:schemeClr val="accent5">
                  <a:tint val="70000"/>
                </a:schemeClr>
              </a:solidFill>
              <a:ln w="19050">
                <a:solidFill>
                  <a:schemeClr val="bg1"/>
                </a:solidFill>
              </a:ln>
              <a:effectLst/>
            </c:spPr>
            <c:extLst>
              <c:ext xmlns:c16="http://schemas.microsoft.com/office/drawing/2014/chart" uri="{C3380CC4-5D6E-409C-BE32-E72D297353CC}">
                <c16:uniqueId val="{00000009-A2D5-4960-8AF7-758C5E63FD3B}"/>
              </c:ext>
            </c:extLst>
          </c:dPt>
          <c:dPt>
            <c:idx val="5"/>
            <c:bubble3D val="0"/>
            <c:spPr>
              <a:solidFill>
                <a:schemeClr val="accent5">
                  <a:tint val="50000"/>
                </a:schemeClr>
              </a:solidFill>
              <a:ln w="19050">
                <a:solidFill>
                  <a:schemeClr val="bg1"/>
                </a:solidFill>
              </a:ln>
              <a:effectLst/>
            </c:spPr>
            <c:extLst>
              <c:ext xmlns:c16="http://schemas.microsoft.com/office/drawing/2014/chart" uri="{C3380CC4-5D6E-409C-BE32-E72D297353CC}">
                <c16:uniqueId val="{0000000B-A2D5-4960-8AF7-758C5E63FD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BASE_CALCULO!$W$21:$W$27</c:f>
              <c:strCache>
                <c:ptCount val="6"/>
                <c:pt idx="0">
                  <c:v>ALÇADA</c:v>
                </c:pt>
                <c:pt idx="1">
                  <c:v>CONCLUÍDO</c:v>
                </c:pt>
                <c:pt idx="2">
                  <c:v>EM ANÁLISE</c:v>
                </c:pt>
                <c:pt idx="3">
                  <c:v>NEGOCIANDO</c:v>
                </c:pt>
                <c:pt idx="4">
                  <c:v>PERDIDO</c:v>
                </c:pt>
                <c:pt idx="5">
                  <c:v>TRAMITANDO</c:v>
                </c:pt>
              </c:strCache>
            </c:strRef>
          </c:cat>
          <c:val>
            <c:numRef>
              <c:f>BASE_CALCULO!$X$21:$X$27</c:f>
              <c:numCache>
                <c:formatCode>General</c:formatCode>
                <c:ptCount val="6"/>
                <c:pt idx="0">
                  <c:v>19</c:v>
                </c:pt>
                <c:pt idx="1">
                  <c:v>22</c:v>
                </c:pt>
                <c:pt idx="2">
                  <c:v>12</c:v>
                </c:pt>
                <c:pt idx="3">
                  <c:v>15</c:v>
                </c:pt>
                <c:pt idx="4">
                  <c:v>19</c:v>
                </c:pt>
                <c:pt idx="5">
                  <c:v>12</c:v>
                </c:pt>
              </c:numCache>
            </c:numRef>
          </c:val>
          <c:extLst>
            <c:ext xmlns:c16="http://schemas.microsoft.com/office/drawing/2014/chart" uri="{C3380CC4-5D6E-409C-BE32-E72D297353CC}">
              <c16:uniqueId val="{0000000C-A2D5-4960-8AF7-758C5E63FD3B}"/>
            </c:ext>
          </c:extLst>
        </c:ser>
        <c:dLbls>
          <c:showLegendKey val="0"/>
          <c:showVal val="0"/>
          <c:showCatName val="0"/>
          <c:showSerName val="0"/>
          <c:showPercent val="1"/>
          <c:showBubbleSize val="0"/>
          <c:showLeaderLines val="1"/>
        </c:dLbls>
        <c:firstSliceAng val="0"/>
        <c:holeSize val="44"/>
      </c:doughnutChart>
      <c:spPr>
        <a:noFill/>
        <a:ln>
          <a:noFill/>
        </a:ln>
        <a:effectLst/>
      </c:spPr>
    </c:plotArea>
    <c:legend>
      <c:legendPos val="r"/>
      <c:overlay val="0"/>
      <c:spPr>
        <a:noFill/>
        <a:ln w="19050">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CONTROLE_VENDAS!A1"/><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hyperlink" Target="#BASE_VENDAS!A1"/></Relationships>
</file>

<file path=xl/drawings/_rels/drawing2.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image" Target="../media/image15.svg"/><Relationship Id="rId26" Type="http://schemas.openxmlformats.org/officeDocument/2006/relationships/image" Target="../media/image20.png"/><Relationship Id="rId3" Type="http://schemas.openxmlformats.org/officeDocument/2006/relationships/hyperlink" Target="#READ_ME!A1"/><Relationship Id="rId21" Type="http://schemas.openxmlformats.org/officeDocument/2006/relationships/chart" Target="../charts/chart1.xml"/><Relationship Id="rId34" Type="http://schemas.openxmlformats.org/officeDocument/2006/relationships/image" Target="../media/image28.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4.png"/><Relationship Id="rId25" Type="http://schemas.openxmlformats.org/officeDocument/2006/relationships/image" Target="../media/image19.svg"/><Relationship Id="rId33" Type="http://schemas.openxmlformats.org/officeDocument/2006/relationships/image" Target="../media/image27.svg"/><Relationship Id="rId2" Type="http://schemas.microsoft.com/office/2007/relationships/hdphoto" Target="../media/hdphoto1.wdp"/><Relationship Id="rId16" Type="http://schemas.openxmlformats.org/officeDocument/2006/relationships/image" Target="../media/image13.svg"/><Relationship Id="rId20" Type="http://schemas.openxmlformats.org/officeDocument/2006/relationships/image" Target="../media/image17.svg"/><Relationship Id="rId29" Type="http://schemas.openxmlformats.org/officeDocument/2006/relationships/image" Target="../media/image23.svg"/><Relationship Id="rId1" Type="http://schemas.openxmlformats.org/officeDocument/2006/relationships/image" Target="../media/image1.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18.png"/><Relationship Id="rId32" Type="http://schemas.openxmlformats.org/officeDocument/2006/relationships/image" Target="../media/image26.pn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chart" Target="../charts/chart3.xml"/><Relationship Id="rId28" Type="http://schemas.openxmlformats.org/officeDocument/2006/relationships/image" Target="../media/image22.png"/><Relationship Id="rId10" Type="http://schemas.openxmlformats.org/officeDocument/2006/relationships/image" Target="../media/image7.svg"/><Relationship Id="rId19" Type="http://schemas.openxmlformats.org/officeDocument/2006/relationships/image" Target="../media/image16.png"/><Relationship Id="rId31" Type="http://schemas.openxmlformats.org/officeDocument/2006/relationships/image" Target="../media/image25.svg"/><Relationship Id="rId4" Type="http://schemas.openxmlformats.org/officeDocument/2006/relationships/hyperlink" Target="#BASE_VENDAS!A1"/><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chart" Target="../charts/chart2.xml"/><Relationship Id="rId27" Type="http://schemas.openxmlformats.org/officeDocument/2006/relationships/image" Target="../media/image21.svg"/><Relationship Id="rId30" Type="http://schemas.openxmlformats.org/officeDocument/2006/relationships/image" Target="../media/image24.png"/><Relationship Id="rId35" Type="http://schemas.openxmlformats.org/officeDocument/2006/relationships/image" Target="../media/image29.svg"/><Relationship Id="rId8" Type="http://schemas.openxmlformats.org/officeDocument/2006/relationships/image" Target="../media/image5.svg"/></Relationships>
</file>

<file path=xl/drawings/_rels/drawing3.xml.rels><?xml version="1.0" encoding="UTF-8" standalone="yes"?>
<Relationships xmlns="http://schemas.openxmlformats.org/package/2006/relationships"><Relationship Id="rId3" Type="http://schemas.openxmlformats.org/officeDocument/2006/relationships/hyperlink" Target="#CONTROLE_VENDAS!A1"/><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hyperlink" Target="#READ_ME!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209550</xdr:colOff>
      <xdr:row>48</xdr:row>
      <xdr:rowOff>152400</xdr:rowOff>
    </xdr:to>
    <xdr:sp macro="" textlink="">
      <xdr:nvSpPr>
        <xdr:cNvPr id="2" name="Rectangle 1">
          <a:extLst>
            <a:ext uri="{FF2B5EF4-FFF2-40B4-BE49-F238E27FC236}">
              <a16:creationId xmlns:a16="http://schemas.microsoft.com/office/drawing/2014/main" id="{8FA128FA-6AD7-407C-A925-438B0C35074F}"/>
            </a:ext>
          </a:extLst>
        </xdr:cNvPr>
        <xdr:cNvSpPr/>
      </xdr:nvSpPr>
      <xdr:spPr>
        <a:xfrm>
          <a:off x="0" y="0"/>
          <a:ext cx="18497550" cy="9296400"/>
        </a:xfrm>
        <a:prstGeom prst="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0</xdr:row>
      <xdr:rowOff>95250</xdr:rowOff>
    </xdr:from>
    <xdr:to>
      <xdr:col>29</xdr:col>
      <xdr:colOff>85725</xdr:colOff>
      <xdr:row>6</xdr:row>
      <xdr:rowOff>38100</xdr:rowOff>
    </xdr:to>
    <xdr:sp macro="" textlink="">
      <xdr:nvSpPr>
        <xdr:cNvPr id="8" name="Rectangle: Rounded Corners 7">
          <a:extLst>
            <a:ext uri="{FF2B5EF4-FFF2-40B4-BE49-F238E27FC236}">
              <a16:creationId xmlns:a16="http://schemas.microsoft.com/office/drawing/2014/main" id="{1CF9EDED-60D4-4DF7-9AD6-9592FA8673A1}"/>
            </a:ext>
          </a:extLst>
        </xdr:cNvPr>
        <xdr:cNvSpPr/>
      </xdr:nvSpPr>
      <xdr:spPr>
        <a:xfrm>
          <a:off x="85725" y="95250"/>
          <a:ext cx="17678400" cy="108585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DASHBOARD COMERCIAL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Visão Geral de Desempenho</a:t>
          </a:r>
        </a:p>
      </xdr:txBody>
    </xdr:sp>
    <xdr:clientData/>
  </xdr:twoCellAnchor>
  <xdr:twoCellAnchor editAs="oneCell">
    <xdr:from>
      <xdr:col>27</xdr:col>
      <xdr:colOff>123825</xdr:colOff>
      <xdr:row>0</xdr:row>
      <xdr:rowOff>0</xdr:rowOff>
    </xdr:from>
    <xdr:to>
      <xdr:col>29</xdr:col>
      <xdr:colOff>161925</xdr:colOff>
      <xdr:row>6</xdr:row>
      <xdr:rowOff>114300</xdr:rowOff>
    </xdr:to>
    <xdr:pic>
      <xdr:nvPicPr>
        <xdr:cNvPr id="3" name="Picture 2">
          <a:extLst>
            <a:ext uri="{FF2B5EF4-FFF2-40B4-BE49-F238E27FC236}">
              <a16:creationId xmlns:a16="http://schemas.microsoft.com/office/drawing/2014/main" id="{AC0B383D-ECE0-40D9-A057-D5ECC310AC5A}"/>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0</xdr:col>
      <xdr:colOff>180975</xdr:colOff>
      <xdr:row>4</xdr:row>
      <xdr:rowOff>33338</xdr:rowOff>
    </xdr:from>
    <xdr:to>
      <xdr:col>3</xdr:col>
      <xdr:colOff>171450</xdr:colOff>
      <xdr:row>5</xdr:row>
      <xdr:rowOff>138113</xdr:rowOff>
    </xdr:to>
    <xdr:sp macro="" textlink="">
      <xdr:nvSpPr>
        <xdr:cNvPr id="5" name="Rectangle: Rounded Corners 4">
          <a:extLst>
            <a:ext uri="{FF2B5EF4-FFF2-40B4-BE49-F238E27FC236}">
              <a16:creationId xmlns:a16="http://schemas.microsoft.com/office/drawing/2014/main" id="{2C1FBC6A-6D6C-1AF7-BB51-2B792439F864}"/>
            </a:ext>
          </a:extLst>
        </xdr:cNvPr>
        <xdr:cNvSpPr/>
      </xdr:nvSpPr>
      <xdr:spPr>
        <a:xfrm>
          <a:off x="180975" y="795338"/>
          <a:ext cx="1819275"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READ</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ME</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3</xdr:col>
      <xdr:colOff>257175</xdr:colOff>
      <xdr:row>4</xdr:row>
      <xdr:rowOff>33338</xdr:rowOff>
    </xdr:from>
    <xdr:to>
      <xdr:col>6</xdr:col>
      <xdr:colOff>247650</xdr:colOff>
      <xdr:row>5</xdr:row>
      <xdr:rowOff>138113</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AE014FC4-64B4-454D-8681-E6BA8F5EE5A5}"/>
            </a:ext>
          </a:extLst>
        </xdr:cNvPr>
        <xdr:cNvSpPr/>
      </xdr:nvSpPr>
      <xdr:spPr>
        <a:xfrm>
          <a:off x="2085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DASHBOARD VENDAS</a:t>
          </a:r>
        </a:p>
      </xdr:txBody>
    </xdr:sp>
    <xdr:clientData/>
  </xdr:twoCellAnchor>
  <xdr:twoCellAnchor>
    <xdr:from>
      <xdr:col>6</xdr:col>
      <xdr:colOff>333375</xdr:colOff>
      <xdr:row>4</xdr:row>
      <xdr:rowOff>33338</xdr:rowOff>
    </xdr:from>
    <xdr:to>
      <xdr:col>9</xdr:col>
      <xdr:colOff>323850</xdr:colOff>
      <xdr:row>5</xdr:row>
      <xdr:rowOff>138113</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7A50CD44-0F3D-4106-97CF-F7DEDA582D33}"/>
            </a:ext>
          </a:extLst>
        </xdr:cNvPr>
        <xdr:cNvSpPr/>
      </xdr:nvSpPr>
      <xdr:spPr>
        <a:xfrm>
          <a:off x="3990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BASE DE VENDAS</a:t>
          </a:r>
        </a:p>
      </xdr:txBody>
    </xdr:sp>
    <xdr:clientData/>
  </xdr:twoCellAnchor>
  <xdr:twoCellAnchor>
    <xdr:from>
      <xdr:col>19</xdr:col>
      <xdr:colOff>485775</xdr:colOff>
      <xdr:row>4</xdr:row>
      <xdr:rowOff>47625</xdr:rowOff>
    </xdr:from>
    <xdr:to>
      <xdr:col>27</xdr:col>
      <xdr:colOff>42994</xdr:colOff>
      <xdr:row>5</xdr:row>
      <xdr:rowOff>152400</xdr:rowOff>
    </xdr:to>
    <xdr:sp macro="[0]!AbrirFormulario" textlink="">
      <xdr:nvSpPr>
        <xdr:cNvPr id="9" name="Rectangle: Rounded Corners 8">
          <a:extLst>
            <a:ext uri="{FF2B5EF4-FFF2-40B4-BE49-F238E27FC236}">
              <a16:creationId xmlns:a16="http://schemas.microsoft.com/office/drawing/2014/main" id="{8E927589-9E87-4215-B1DF-1C81C3F92109}"/>
            </a:ext>
          </a:extLst>
        </xdr:cNvPr>
        <xdr:cNvSpPr/>
      </xdr:nvSpPr>
      <xdr:spPr>
        <a:xfrm>
          <a:off x="12068175" y="809625"/>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95250</xdr:colOff>
      <xdr:row>6</xdr:row>
      <xdr:rowOff>142874</xdr:rowOff>
    </xdr:from>
    <xdr:to>
      <xdr:col>29</xdr:col>
      <xdr:colOff>95250</xdr:colOff>
      <xdr:row>44</xdr:row>
      <xdr:rowOff>114299</xdr:rowOff>
    </xdr:to>
    <xdr:sp macro="" textlink="">
      <xdr:nvSpPr>
        <xdr:cNvPr id="4" name="Rectangle: Rounded Corners 3">
          <a:extLst>
            <a:ext uri="{FF2B5EF4-FFF2-40B4-BE49-F238E27FC236}">
              <a16:creationId xmlns:a16="http://schemas.microsoft.com/office/drawing/2014/main" id="{090E09BB-5C46-465D-8D13-5E67BAC3A23A}"/>
            </a:ext>
          </a:extLst>
        </xdr:cNvPr>
        <xdr:cNvSpPr/>
      </xdr:nvSpPr>
      <xdr:spPr>
        <a:xfrm>
          <a:off x="95250" y="1285874"/>
          <a:ext cx="17678400" cy="7210425"/>
        </a:xfrm>
        <a:prstGeom prst="roundRect">
          <a:avLst>
            <a:gd name="adj" fmla="val 2516"/>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Sobre o Projeto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Este projeto consiste em um dashboard comercial desenvolvido em Microsoft Excel com o objetivo de consolidar indicadores estratégicos de vendas em um único painel interativo.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 solução foi inspirada em indicadores acompanhados durante minha experiência profissional na área comercial, permitindo visualizar rapidamente o desempenho das negociações, receitas e principais métricas de acompanhamento.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Todos os dados presentes neste projeto são fictícios e foram criados exclusivamente para fins de estudo e composição de portfólio.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Objetivo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Demonstrar conhecimentos em construção de dashboards, organização de dados, automação em Excel, modelagem de indicadores e visualização de informações para apoio à tomada de decisão.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Autor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⇨Vinicius Ramos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⇨Analistar Administrativo | Analista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⇨Projeto desnevolvido para composição de portfólio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4</xdr:col>
      <xdr:colOff>550544</xdr:colOff>
      <xdr:row>13</xdr:row>
      <xdr:rowOff>19046</xdr:rowOff>
    </xdr:from>
    <xdr:to>
      <xdr:col>10</xdr:col>
      <xdr:colOff>1904</xdr:colOff>
      <xdr:row>36</xdr:row>
      <xdr:rowOff>90674</xdr:rowOff>
    </xdr:to>
    <xdr:sp macro="" textlink="">
      <xdr:nvSpPr>
        <xdr:cNvPr id="10" name="Rectangle: Rounded Corners 9">
          <a:extLst>
            <a:ext uri="{FF2B5EF4-FFF2-40B4-BE49-F238E27FC236}">
              <a16:creationId xmlns:a16="http://schemas.microsoft.com/office/drawing/2014/main" id="{F33CD258-63CE-468A-A35C-DC337CA22495}"/>
            </a:ext>
          </a:extLst>
        </xdr:cNvPr>
        <xdr:cNvSpPr/>
      </xdr:nvSpPr>
      <xdr:spPr>
        <a:xfrm>
          <a:off x="298894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⇨Cliente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⇨Produto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total</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Serviços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Aparelhos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⇨Status da negociação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⇨Mês da oportunidade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⇨Simulação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9</xdr:col>
      <xdr:colOff>396239</xdr:colOff>
      <xdr:row>13</xdr:row>
      <xdr:rowOff>19046</xdr:rowOff>
    </xdr:from>
    <xdr:to>
      <xdr:col>14</xdr:col>
      <xdr:colOff>457199</xdr:colOff>
      <xdr:row>36</xdr:row>
      <xdr:rowOff>90674</xdr:rowOff>
    </xdr:to>
    <xdr:sp macro="" textlink="">
      <xdr:nvSpPr>
        <xdr:cNvPr id="11" name="Rectangle: Rounded Corners 10">
          <a:extLst>
            <a:ext uri="{FF2B5EF4-FFF2-40B4-BE49-F238E27FC236}">
              <a16:creationId xmlns:a16="http://schemas.microsoft.com/office/drawing/2014/main" id="{29099987-EB11-423C-B687-FC5278050A80}"/>
            </a:ext>
          </a:extLst>
        </xdr:cNvPr>
        <xdr:cNvSpPr/>
      </xdr:nvSpPr>
      <xdr:spPr>
        <a:xfrm>
          <a:off x="5882639"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Abas do projeto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⇨READ_ME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Documentação do projeto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⇨CONTROLE_VENDAS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Dashboard principal para análise dos indicadores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⇨BASE_VENDAS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 fictícia utilizada para alimentar os indicadores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⇨BASE_CALCULO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Área responsável pelos cálculos, tabelas dinâmicas e consolidação das informações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⇨SENHA para acesso as abas protegidas: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VXNUZ</a:t>
          </a:r>
        </a:p>
      </xdr:txBody>
    </xdr:sp>
    <xdr:clientData/>
  </xdr:twoCellAnchor>
  <xdr:twoCellAnchor>
    <xdr:from>
      <xdr:col>14</xdr:col>
      <xdr:colOff>241934</xdr:colOff>
      <xdr:row>13</xdr:row>
      <xdr:rowOff>19046</xdr:rowOff>
    </xdr:from>
    <xdr:to>
      <xdr:col>19</xdr:col>
      <xdr:colOff>302894</xdr:colOff>
      <xdr:row>36</xdr:row>
      <xdr:rowOff>90674</xdr:rowOff>
    </xdr:to>
    <xdr:sp macro="" textlink="">
      <xdr:nvSpPr>
        <xdr:cNvPr id="12" name="Rectangle: Rounded Corners 11">
          <a:extLst>
            <a:ext uri="{FF2B5EF4-FFF2-40B4-BE49-F238E27FC236}">
              <a16:creationId xmlns:a16="http://schemas.microsoft.com/office/drawing/2014/main" id="{763F644C-B1B6-4995-B807-EA25AC375B75}"/>
            </a:ext>
          </a:extLst>
        </xdr:cNvPr>
        <xdr:cNvSpPr/>
      </xdr:nvSpPr>
      <xdr:spPr>
        <a:xfrm>
          <a:off x="877633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Como utilizar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1. Acesse a aba CONTROLE_VENDAS (clique em "DASHBOARD VENDAS" nas abas superiores.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2. Utilize as segmentações de dados para filtrar os resultados por período e status.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3. Os indicadores e gráficos são atualizados automaticamente conforme os filtros aplicados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4. Caso novos registros sejam adicionados à base, clique no botão "ATUALIZAR DADOS</a:t>
          </a:r>
        </a:p>
      </xdr:txBody>
    </xdr:sp>
    <xdr:clientData/>
  </xdr:twoCellAnchor>
  <xdr:twoCellAnchor>
    <xdr:from>
      <xdr:col>19</xdr:col>
      <xdr:colOff>87627</xdr:colOff>
      <xdr:row>13</xdr:row>
      <xdr:rowOff>19046</xdr:rowOff>
    </xdr:from>
    <xdr:to>
      <xdr:col>24</xdr:col>
      <xdr:colOff>148587</xdr:colOff>
      <xdr:row>36</xdr:row>
      <xdr:rowOff>90674</xdr:rowOff>
    </xdr:to>
    <xdr:sp macro="" textlink="">
      <xdr:nvSpPr>
        <xdr:cNvPr id="13" name="Rectangle: Rounded Corners 12">
          <a:extLst>
            <a:ext uri="{FF2B5EF4-FFF2-40B4-BE49-F238E27FC236}">
              <a16:creationId xmlns:a16="http://schemas.microsoft.com/office/drawing/2014/main" id="{BCC1D1BE-CBC5-4393-BEA5-B621CD417F64}"/>
            </a:ext>
          </a:extLst>
        </xdr:cNvPr>
        <xdr:cNvSpPr/>
      </xdr:nvSpPr>
      <xdr:spPr>
        <a:xfrm>
          <a:off x="11670027"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Automações implementadas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 projeto utiliza VBA para automatizar processos de cadastro e validação de informações, reduzindo a necessidade de intervenção manual e garantindo maior consistência dos dados inseridos.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As principais automações incluem: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⇨Formulário para cadastro de registros.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⇨Validação de campos obrigatórios.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⇨Inserção automática de novos registros na base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⇨Fechamento automático do formulário após o cadastro.</a:t>
          </a:r>
        </a:p>
      </xdr:txBody>
    </xdr:sp>
    <xdr:clientData/>
  </xdr:twoCellAnchor>
  <xdr:twoCellAnchor>
    <xdr:from>
      <xdr:col>23</xdr:col>
      <xdr:colOff>542924</xdr:colOff>
      <xdr:row>13</xdr:row>
      <xdr:rowOff>19046</xdr:rowOff>
    </xdr:from>
    <xdr:to>
      <xdr:col>28</xdr:col>
      <xdr:colOff>603884</xdr:colOff>
      <xdr:row>36</xdr:row>
      <xdr:rowOff>90674</xdr:rowOff>
    </xdr:to>
    <xdr:sp macro="" textlink="">
      <xdr:nvSpPr>
        <xdr:cNvPr id="14" name="Rectangle: Rounded Corners 13">
          <a:extLst>
            <a:ext uri="{FF2B5EF4-FFF2-40B4-BE49-F238E27FC236}">
              <a16:creationId xmlns:a16="http://schemas.microsoft.com/office/drawing/2014/main" id="{F6B88E9C-8C7C-455A-B72C-C109B6495764}"/>
            </a:ext>
          </a:extLst>
        </xdr:cNvPr>
        <xdr:cNvSpPr/>
      </xdr:nvSpPr>
      <xdr:spPr>
        <a:xfrm>
          <a:off x="1456372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Porque esses indicadores?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Os KPIs apresentados foram escolhidos com base na minha experiência profissional na área comercial B2B, onde eram utilizados para acompanhar o desempenho da carteira de clientes, o volume de receita por categoria e a evolução das negociações. Embora os dados sejam fictícios, a estrutura e os indicadores refletem um cenário de negócio real.</a:t>
          </a:r>
        </a:p>
      </xdr:txBody>
    </xdr:sp>
    <xdr:clientData/>
  </xdr:twoCellAnchor>
  <xdr:twoCellAnchor>
    <xdr:from>
      <xdr:col>0</xdr:col>
      <xdr:colOff>95249</xdr:colOff>
      <xdr:row>13</xdr:row>
      <xdr:rowOff>19046</xdr:rowOff>
    </xdr:from>
    <xdr:to>
      <xdr:col>5</xdr:col>
      <xdr:colOff>156209</xdr:colOff>
      <xdr:row>36</xdr:row>
      <xdr:rowOff>90674</xdr:rowOff>
    </xdr:to>
    <xdr:sp macro="" textlink="">
      <xdr:nvSpPr>
        <xdr:cNvPr id="15" name="Rectangle: Rounded Corners 14">
          <a:extLst>
            <a:ext uri="{FF2B5EF4-FFF2-40B4-BE49-F238E27FC236}">
              <a16:creationId xmlns:a16="http://schemas.microsoft.com/office/drawing/2014/main" id="{5E43BD07-7841-472F-8DD8-AD4E366F0A6A}"/>
            </a:ext>
          </a:extLst>
        </xdr:cNvPr>
        <xdr:cNvSpPr/>
      </xdr:nvSpPr>
      <xdr:spPr>
        <a:xfrm>
          <a:off x="95249"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Tecnologias Utilizadas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⇨Microsoft EXCEL e VBA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⇨Hiperlink</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⇨Tabelas Estruturadas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⇨Tabelas Dinâmicas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⇨Segmentação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⇨Fórmulas Avançadas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⇨GETPIVOTDATA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⇨Dashboard Interativo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209550</xdr:colOff>
      <xdr:row>48</xdr:row>
      <xdr:rowOff>9525</xdr:rowOff>
    </xdr:to>
    <xdr:sp macro="" textlink="">
      <xdr:nvSpPr>
        <xdr:cNvPr id="3" name="Rectangle 2">
          <a:extLst>
            <a:ext uri="{FF2B5EF4-FFF2-40B4-BE49-F238E27FC236}">
              <a16:creationId xmlns:a16="http://schemas.microsoft.com/office/drawing/2014/main" id="{BF839F97-C2C5-A5F8-081C-AF5FD79D78F2}"/>
            </a:ext>
          </a:extLst>
        </xdr:cNvPr>
        <xdr:cNvSpPr/>
      </xdr:nvSpPr>
      <xdr:spPr>
        <a:xfrm>
          <a:off x="0" y="0"/>
          <a:ext cx="18497550" cy="9153525"/>
        </a:xfrm>
        <a:prstGeom prst="rect">
          <a:avLst/>
        </a:prstGeom>
        <a:gradFill>
          <a:gsLst>
            <a:gs pos="0">
              <a:schemeClr val="bg2">
                <a:lumMod val="10000"/>
              </a:schemeClr>
            </a:gs>
            <a:gs pos="100000">
              <a:schemeClr val="tx1">
                <a:lumMod val="95000"/>
                <a:lumOff val="5000"/>
              </a:schemeClr>
            </a:gs>
          </a:gsLst>
          <a:path path="shape">
            <a:fillToRect l="50000" t="50000" r="50000" b="5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542925</xdr:colOff>
      <xdr:row>8</xdr:row>
      <xdr:rowOff>142875</xdr:rowOff>
    </xdr:from>
    <xdr:to>
      <xdr:col>29</xdr:col>
      <xdr:colOff>85725</xdr:colOff>
      <xdr:row>15</xdr:row>
      <xdr:rowOff>111933</xdr:rowOff>
    </xdr:to>
    <xdr:sp macro="" textlink="">
      <xdr:nvSpPr>
        <xdr:cNvPr id="24" name="Rectangle: Rounded Corners 23">
          <a:extLst>
            <a:ext uri="{FF2B5EF4-FFF2-40B4-BE49-F238E27FC236}">
              <a16:creationId xmlns:a16="http://schemas.microsoft.com/office/drawing/2014/main" id="{53B3C08F-1E77-41B9-AD82-8C6A0DB10BB0}"/>
            </a:ext>
          </a:extLst>
        </xdr:cNvPr>
        <xdr:cNvSpPr/>
      </xdr:nvSpPr>
      <xdr:spPr>
        <a:xfrm>
          <a:off x="2371725" y="1666875"/>
          <a:ext cx="15392400" cy="1302558"/>
        </a:xfrm>
        <a:prstGeom prst="roundRect">
          <a:avLst>
            <a:gd name="adj" fmla="val 12271"/>
          </a:avLst>
        </a:prstGeom>
        <a:solidFill>
          <a:schemeClr val="bg2">
            <a:lumMod val="5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0</xdr:col>
      <xdr:colOff>85725</xdr:colOff>
      <xdr:row>0</xdr:row>
      <xdr:rowOff>95250</xdr:rowOff>
    </xdr:from>
    <xdr:to>
      <xdr:col>29</xdr:col>
      <xdr:colOff>85725</xdr:colOff>
      <xdr:row>6</xdr:row>
      <xdr:rowOff>38100</xdr:rowOff>
    </xdr:to>
    <xdr:sp macro="" textlink="">
      <xdr:nvSpPr>
        <xdr:cNvPr id="14" name="Rectangle: Rounded Corners 13">
          <a:extLst>
            <a:ext uri="{FF2B5EF4-FFF2-40B4-BE49-F238E27FC236}">
              <a16:creationId xmlns:a16="http://schemas.microsoft.com/office/drawing/2014/main" id="{203AD821-34FA-419D-A7C6-010FDA0B5C3A}"/>
            </a:ext>
          </a:extLst>
        </xdr:cNvPr>
        <xdr:cNvSpPr/>
      </xdr:nvSpPr>
      <xdr:spPr>
        <a:xfrm>
          <a:off x="85725" y="95250"/>
          <a:ext cx="17678400" cy="1085850"/>
        </a:xfrm>
        <a:prstGeom prst="roundRect">
          <a:avLst/>
        </a:prstGeom>
        <a:solidFill>
          <a:schemeClr val="bg2">
            <a:lumMod val="50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DASHBOARD</a:t>
          </a:r>
          <a:r>
            <a:rPr lang="en-US" sz="3600" b="1" baseline="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COMERCIAL</a:t>
          </a:r>
        </a:p>
        <a:p>
          <a:pPr algn="ctr"/>
          <a:r>
            <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Visão</a:t>
          </a:r>
          <a:r>
            <a:rPr lang="en-US" sz="1200" b="0" baseline="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Geral de Desempenho</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editAs="oneCell">
    <xdr:from>
      <xdr:col>27</xdr:col>
      <xdr:colOff>123825</xdr:colOff>
      <xdr:row>0</xdr:row>
      <xdr:rowOff>0</xdr:rowOff>
    </xdr:from>
    <xdr:to>
      <xdr:col>29</xdr:col>
      <xdr:colOff>161925</xdr:colOff>
      <xdr:row>6</xdr:row>
      <xdr:rowOff>114300</xdr:rowOff>
    </xdr:to>
    <xdr:pic>
      <xdr:nvPicPr>
        <xdr:cNvPr id="15" name="Picture 14">
          <a:extLst>
            <a:ext uri="{FF2B5EF4-FFF2-40B4-BE49-F238E27FC236}">
              <a16:creationId xmlns:a16="http://schemas.microsoft.com/office/drawing/2014/main" id="{A4C7E754-4BE8-4A64-ACB3-C5ABCC9A3CC4}"/>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3</xdr:col>
      <xdr:colOff>251843</xdr:colOff>
      <xdr:row>4</xdr:row>
      <xdr:rowOff>33338</xdr:rowOff>
    </xdr:from>
    <xdr:to>
      <xdr:col>6</xdr:col>
      <xdr:colOff>242317</xdr:colOff>
      <xdr:row>5</xdr:row>
      <xdr:rowOff>138113</xdr:rowOff>
    </xdr:to>
    <xdr:sp macro="" textlink="">
      <xdr:nvSpPr>
        <xdr:cNvPr id="16" name="Rectangle: Rounded Corners 15">
          <a:extLst>
            <a:ext uri="{FF2B5EF4-FFF2-40B4-BE49-F238E27FC236}">
              <a16:creationId xmlns:a16="http://schemas.microsoft.com/office/drawing/2014/main" id="{D89A1682-6404-466F-B330-07F68D9D8FE3}"/>
            </a:ext>
          </a:extLst>
        </xdr:cNvPr>
        <xdr:cNvSpPr/>
      </xdr:nvSpPr>
      <xdr:spPr>
        <a:xfrm>
          <a:off x="2080643" y="795338"/>
          <a:ext cx="1819274"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DASHBOARD</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VENDAS</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174679</xdr:colOff>
      <xdr:row>4</xdr:row>
      <xdr:rowOff>33338</xdr:rowOff>
    </xdr:from>
    <xdr:to>
      <xdr:col>3</xdr:col>
      <xdr:colOff>165154</xdr:colOff>
      <xdr:row>5</xdr:row>
      <xdr:rowOff>138113</xdr:rowOff>
    </xdr:to>
    <xdr:sp macro="" textlink="">
      <xdr:nvSpPr>
        <xdr:cNvPr id="17" name="Rectangle: Rounded Corners 16">
          <a:hlinkClick xmlns:r="http://schemas.openxmlformats.org/officeDocument/2006/relationships" r:id="rId3"/>
          <a:extLst>
            <a:ext uri="{FF2B5EF4-FFF2-40B4-BE49-F238E27FC236}">
              <a16:creationId xmlns:a16="http://schemas.microsoft.com/office/drawing/2014/main" id="{BE9439E0-69E4-4B65-B779-EB0159C78B55}"/>
            </a:ext>
          </a:extLst>
        </xdr:cNvPr>
        <xdr:cNvSpPr/>
      </xdr:nvSpPr>
      <xdr:spPr>
        <a:xfrm>
          <a:off x="174679" y="795338"/>
          <a:ext cx="1821212"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READ ME</a:t>
          </a:r>
        </a:p>
      </xdr:txBody>
    </xdr:sp>
    <xdr:clientData/>
  </xdr:twoCellAnchor>
  <xdr:twoCellAnchor>
    <xdr:from>
      <xdr:col>6</xdr:col>
      <xdr:colOff>333375</xdr:colOff>
      <xdr:row>4</xdr:row>
      <xdr:rowOff>33338</xdr:rowOff>
    </xdr:from>
    <xdr:to>
      <xdr:col>9</xdr:col>
      <xdr:colOff>323850</xdr:colOff>
      <xdr:row>5</xdr:row>
      <xdr:rowOff>138113</xdr:rowOff>
    </xdr:to>
    <xdr:sp macro="" textlink="">
      <xdr:nvSpPr>
        <xdr:cNvPr id="18" name="Rectangle: Rounded Corners 17">
          <a:hlinkClick xmlns:r="http://schemas.openxmlformats.org/officeDocument/2006/relationships" r:id="rId4"/>
          <a:extLst>
            <a:ext uri="{FF2B5EF4-FFF2-40B4-BE49-F238E27FC236}">
              <a16:creationId xmlns:a16="http://schemas.microsoft.com/office/drawing/2014/main" id="{E5A83F90-E3E6-42AB-A05A-4E461884AA39}"/>
            </a:ext>
          </a:extLst>
        </xdr:cNvPr>
        <xdr:cNvSpPr/>
      </xdr:nvSpPr>
      <xdr:spPr>
        <a:xfrm>
          <a:off x="3990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BASE DE VENDAS</a:t>
          </a:r>
        </a:p>
      </xdr:txBody>
    </xdr:sp>
    <xdr:clientData/>
  </xdr:twoCellAnchor>
  <xdr:twoCellAnchor>
    <xdr:from>
      <xdr:col>3</xdr:col>
      <xdr:colOff>552449</xdr:colOff>
      <xdr:row>8</xdr:row>
      <xdr:rowOff>152399</xdr:rowOff>
    </xdr:from>
    <xdr:to>
      <xdr:col>7</xdr:col>
      <xdr:colOff>333374</xdr:colOff>
      <xdr:row>15</xdr:row>
      <xdr:rowOff>114300</xdr:rowOff>
    </xdr:to>
    <xdr:sp macro="" textlink="BASE_CALCULO!S39">
      <xdr:nvSpPr>
        <xdr:cNvPr id="25" name="Rectangle: Rounded Corners 24">
          <a:extLst>
            <a:ext uri="{FF2B5EF4-FFF2-40B4-BE49-F238E27FC236}">
              <a16:creationId xmlns:a16="http://schemas.microsoft.com/office/drawing/2014/main" id="{A6ED7F64-0770-1641-7B36-E358BC0F63FC}"/>
            </a:ext>
          </a:extLst>
        </xdr:cNvPr>
        <xdr:cNvSpPr/>
      </xdr:nvSpPr>
      <xdr:spPr>
        <a:xfrm>
          <a:off x="238124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A06CB2E-489C-4D87-B395-563C9C9EE5E5}"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R$ 20,180.20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7</xdr:col>
      <xdr:colOff>544780</xdr:colOff>
      <xdr:row>9</xdr:row>
      <xdr:rowOff>152400</xdr:rowOff>
    </xdr:from>
    <xdr:to>
      <xdr:col>7</xdr:col>
      <xdr:colOff>544780</xdr:colOff>
      <xdr:row>14</xdr:row>
      <xdr:rowOff>173240</xdr:rowOff>
    </xdr:to>
    <xdr:cxnSp macro="">
      <xdr:nvCxnSpPr>
        <xdr:cNvPr id="31" name="Straight Connector 30">
          <a:extLst>
            <a:ext uri="{FF2B5EF4-FFF2-40B4-BE49-F238E27FC236}">
              <a16:creationId xmlns:a16="http://schemas.microsoft.com/office/drawing/2014/main" id="{A0CDD6F4-4161-0D9F-D0AE-AAB755A5CDB7}"/>
            </a:ext>
          </a:extLst>
        </xdr:cNvPr>
        <xdr:cNvCxnSpPr/>
      </xdr:nvCxnSpPr>
      <xdr:spPr>
        <a:xfrm>
          <a:off x="4811980"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108788</xdr:colOff>
      <xdr:row>9</xdr:row>
      <xdr:rowOff>152400</xdr:rowOff>
    </xdr:from>
    <xdr:to>
      <xdr:col>25</xdr:col>
      <xdr:colOff>108788</xdr:colOff>
      <xdr:row>14</xdr:row>
      <xdr:rowOff>173240</xdr:rowOff>
    </xdr:to>
    <xdr:cxnSp macro="">
      <xdr:nvCxnSpPr>
        <xdr:cNvPr id="32" name="Straight Connector 31">
          <a:extLst>
            <a:ext uri="{FF2B5EF4-FFF2-40B4-BE49-F238E27FC236}">
              <a16:creationId xmlns:a16="http://schemas.microsoft.com/office/drawing/2014/main" id="{0CCB0E08-9EE9-4590-988D-56780A5A351C}"/>
            </a:ext>
          </a:extLst>
        </xdr:cNvPr>
        <xdr:cNvCxnSpPr/>
      </xdr:nvCxnSpPr>
      <xdr:spPr>
        <a:xfrm>
          <a:off x="15348788"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522586</xdr:colOff>
      <xdr:row>9</xdr:row>
      <xdr:rowOff>152400</xdr:rowOff>
    </xdr:from>
    <xdr:to>
      <xdr:col>20</xdr:col>
      <xdr:colOff>522586</xdr:colOff>
      <xdr:row>14</xdr:row>
      <xdr:rowOff>173240</xdr:rowOff>
    </xdr:to>
    <xdr:cxnSp macro="">
      <xdr:nvCxnSpPr>
        <xdr:cNvPr id="33" name="Straight Connector 32">
          <a:extLst>
            <a:ext uri="{FF2B5EF4-FFF2-40B4-BE49-F238E27FC236}">
              <a16:creationId xmlns:a16="http://schemas.microsoft.com/office/drawing/2014/main" id="{328668E0-EE8B-4DE9-A6A7-218695FF96D1}"/>
            </a:ext>
          </a:extLst>
        </xdr:cNvPr>
        <xdr:cNvCxnSpPr/>
      </xdr:nvCxnSpPr>
      <xdr:spPr>
        <a:xfrm>
          <a:off x="12714586"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130982</xdr:colOff>
      <xdr:row>9</xdr:row>
      <xdr:rowOff>152400</xdr:rowOff>
    </xdr:from>
    <xdr:to>
      <xdr:col>12</xdr:col>
      <xdr:colOff>130982</xdr:colOff>
      <xdr:row>14</xdr:row>
      <xdr:rowOff>173240</xdr:rowOff>
    </xdr:to>
    <xdr:cxnSp macro="">
      <xdr:nvCxnSpPr>
        <xdr:cNvPr id="34" name="Straight Connector 33">
          <a:extLst>
            <a:ext uri="{FF2B5EF4-FFF2-40B4-BE49-F238E27FC236}">
              <a16:creationId xmlns:a16="http://schemas.microsoft.com/office/drawing/2014/main" id="{803F9895-581F-4940-BA9E-8B7754B15E35}"/>
            </a:ext>
          </a:extLst>
        </xdr:cNvPr>
        <xdr:cNvCxnSpPr/>
      </xdr:nvCxnSpPr>
      <xdr:spPr>
        <a:xfrm>
          <a:off x="7446182"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326784</xdr:colOff>
      <xdr:row>9</xdr:row>
      <xdr:rowOff>152400</xdr:rowOff>
    </xdr:from>
    <xdr:to>
      <xdr:col>16</xdr:col>
      <xdr:colOff>326784</xdr:colOff>
      <xdr:row>14</xdr:row>
      <xdr:rowOff>173240</xdr:rowOff>
    </xdr:to>
    <xdr:cxnSp macro="">
      <xdr:nvCxnSpPr>
        <xdr:cNvPr id="35" name="Straight Connector 34">
          <a:extLst>
            <a:ext uri="{FF2B5EF4-FFF2-40B4-BE49-F238E27FC236}">
              <a16:creationId xmlns:a16="http://schemas.microsoft.com/office/drawing/2014/main" id="{2AD4B2F7-61D5-4BE9-A890-9483693DA629}"/>
            </a:ext>
          </a:extLst>
        </xdr:cNvPr>
        <xdr:cNvCxnSpPr/>
      </xdr:nvCxnSpPr>
      <xdr:spPr>
        <a:xfrm>
          <a:off x="10080384"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304799</xdr:colOff>
      <xdr:row>8</xdr:row>
      <xdr:rowOff>152399</xdr:rowOff>
    </xdr:from>
    <xdr:to>
      <xdr:col>29</xdr:col>
      <xdr:colOff>85724</xdr:colOff>
      <xdr:row>15</xdr:row>
      <xdr:rowOff>114300</xdr:rowOff>
    </xdr:to>
    <xdr:sp macro="" textlink="BASE_CALCULO!W39">
      <xdr:nvSpPr>
        <xdr:cNvPr id="36" name="Rectangle: Rounded Corners 35">
          <a:extLst>
            <a:ext uri="{FF2B5EF4-FFF2-40B4-BE49-F238E27FC236}">
              <a16:creationId xmlns:a16="http://schemas.microsoft.com/office/drawing/2014/main" id="{E1C26325-9424-4A43-A431-5254FC715E96}"/>
            </a:ext>
          </a:extLst>
        </xdr:cNvPr>
        <xdr:cNvSpPr/>
      </xdr:nvSpPr>
      <xdr:spPr>
        <a:xfrm>
          <a:off x="1554479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4DC3435-84A9-4ADB-84F7-61CFC914E844}"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R$ 34,197.27 </a:t>
          </a:fld>
          <a:endParaRPr lang="en-US" sz="32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8</xdr:col>
      <xdr:colOff>137159</xdr:colOff>
      <xdr:row>8</xdr:row>
      <xdr:rowOff>152399</xdr:rowOff>
    </xdr:from>
    <xdr:to>
      <xdr:col>11</xdr:col>
      <xdr:colOff>527684</xdr:colOff>
      <xdr:row>15</xdr:row>
      <xdr:rowOff>114300</xdr:rowOff>
    </xdr:to>
    <xdr:sp macro="" textlink="BASE_CALCULO!T39">
      <xdr:nvSpPr>
        <xdr:cNvPr id="37" name="Rectangle: Rounded Corners 36">
          <a:extLst>
            <a:ext uri="{FF2B5EF4-FFF2-40B4-BE49-F238E27FC236}">
              <a16:creationId xmlns:a16="http://schemas.microsoft.com/office/drawing/2014/main" id="{47B9A4CF-3E97-447C-8D5A-6305A7F083FF}"/>
            </a:ext>
          </a:extLst>
        </xdr:cNvPr>
        <xdr:cNvSpPr/>
      </xdr:nvSpPr>
      <xdr:spPr>
        <a:xfrm>
          <a:off x="501395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87BD172-13D7-42B1-BE27-58329414FCB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R$ 11,491.18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12</xdr:col>
      <xdr:colOff>331469</xdr:colOff>
      <xdr:row>8</xdr:row>
      <xdr:rowOff>152399</xdr:rowOff>
    </xdr:from>
    <xdr:to>
      <xdr:col>16</xdr:col>
      <xdr:colOff>112394</xdr:colOff>
      <xdr:row>15</xdr:row>
      <xdr:rowOff>114300</xdr:rowOff>
    </xdr:to>
    <xdr:sp macro="" textlink="BASE_CALCULO!U39">
      <xdr:nvSpPr>
        <xdr:cNvPr id="38" name="Rectangle: Rounded Corners 37">
          <a:extLst>
            <a:ext uri="{FF2B5EF4-FFF2-40B4-BE49-F238E27FC236}">
              <a16:creationId xmlns:a16="http://schemas.microsoft.com/office/drawing/2014/main" id="{832F1AB6-31E2-49D6-814F-56FD6F08C6D2}"/>
            </a:ext>
          </a:extLst>
        </xdr:cNvPr>
        <xdr:cNvSpPr/>
      </xdr:nvSpPr>
      <xdr:spPr>
        <a:xfrm>
          <a:off x="764666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A9F9C84-462A-4F48-91A9-912B43554EE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R$ 11,708.56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525779</xdr:colOff>
      <xdr:row>8</xdr:row>
      <xdr:rowOff>152399</xdr:rowOff>
    </xdr:from>
    <xdr:to>
      <xdr:col>20</xdr:col>
      <xdr:colOff>306704</xdr:colOff>
      <xdr:row>15</xdr:row>
      <xdr:rowOff>114300</xdr:rowOff>
    </xdr:to>
    <xdr:sp macro="" textlink="BASE_CALCULO!V39">
      <xdr:nvSpPr>
        <xdr:cNvPr id="39" name="Rectangle: Rounded Corners 38">
          <a:extLst>
            <a:ext uri="{FF2B5EF4-FFF2-40B4-BE49-F238E27FC236}">
              <a16:creationId xmlns:a16="http://schemas.microsoft.com/office/drawing/2014/main" id="{05C0735C-0584-4847-9799-753DC35CECFD}"/>
            </a:ext>
          </a:extLst>
        </xdr:cNvPr>
        <xdr:cNvSpPr/>
      </xdr:nvSpPr>
      <xdr:spPr>
        <a:xfrm>
          <a:off x="1027937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5DECE78-0284-4689-8BCE-D905C651A69F}"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R$ 30,998.95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21</xdr:col>
      <xdr:colOff>110489</xdr:colOff>
      <xdr:row>8</xdr:row>
      <xdr:rowOff>152399</xdr:rowOff>
    </xdr:from>
    <xdr:to>
      <xdr:col>24</xdr:col>
      <xdr:colOff>501014</xdr:colOff>
      <xdr:row>15</xdr:row>
      <xdr:rowOff>114300</xdr:rowOff>
    </xdr:to>
    <xdr:sp macro="" textlink="BASE_CALCULO!T47">
      <xdr:nvSpPr>
        <xdr:cNvPr id="40" name="Rectangle: Rounded Corners 39">
          <a:extLst>
            <a:ext uri="{FF2B5EF4-FFF2-40B4-BE49-F238E27FC236}">
              <a16:creationId xmlns:a16="http://schemas.microsoft.com/office/drawing/2014/main" id="{BED52A9E-2EC9-43D6-8A8A-9FCCA777524F}"/>
            </a:ext>
          </a:extLst>
        </xdr:cNvPr>
        <xdr:cNvSpPr/>
      </xdr:nvSpPr>
      <xdr:spPr>
        <a:xfrm>
          <a:off x="1291208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0D3F01-1E29-4647-8320-3E0F636BE9A5}"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R$ 74,378.89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8</xdr:row>
      <xdr:rowOff>142874</xdr:rowOff>
    </xdr:from>
    <xdr:to>
      <xdr:col>7</xdr:col>
      <xdr:colOff>333374</xdr:colOff>
      <xdr:row>15</xdr:row>
      <xdr:rowOff>104775</xdr:rowOff>
    </xdr:to>
    <xdr:sp macro="" textlink="">
      <xdr:nvSpPr>
        <xdr:cNvPr id="42" name="Rectangle: Rounded Corners 41">
          <a:extLst>
            <a:ext uri="{FF2B5EF4-FFF2-40B4-BE49-F238E27FC236}">
              <a16:creationId xmlns:a16="http://schemas.microsoft.com/office/drawing/2014/main" id="{A286255E-58FC-4D67-BBAB-A3B47B076031}"/>
            </a:ext>
          </a:extLst>
        </xdr:cNvPr>
        <xdr:cNvSpPr/>
      </xdr:nvSpPr>
      <xdr:spPr>
        <a:xfrm>
          <a:off x="238124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baseline="0">
              <a:solidFill>
                <a:schemeClr val="bg2">
                  <a:lumMod val="10000"/>
                </a:schemeClr>
              </a:solidFill>
              <a:latin typeface="Segoe UI" panose="020B0502040204020203" pitchFamily="34" charset="0"/>
              <a:cs typeface="Segoe UI" panose="020B0502040204020203" pitchFamily="34" charset="0"/>
            </a:rPr>
            <a:t>Móvel</a:t>
          </a:r>
          <a:endParaRPr lang="en-US" sz="1400" b="1">
            <a:solidFill>
              <a:schemeClr val="bg2">
                <a:lumMod val="10000"/>
              </a:schemeClr>
            </a:solidFill>
            <a:latin typeface="Segoe UI" panose="020B0502040204020203" pitchFamily="34" charset="0"/>
            <a:cs typeface="Segoe UI" panose="020B0502040204020203" pitchFamily="34" charset="0"/>
          </a:endParaRPr>
        </a:p>
      </xdr:txBody>
    </xdr:sp>
    <xdr:clientData/>
  </xdr:twoCellAnchor>
  <xdr:twoCellAnchor>
    <xdr:from>
      <xdr:col>25</xdr:col>
      <xdr:colOff>304799</xdr:colOff>
      <xdr:row>8</xdr:row>
      <xdr:rowOff>142874</xdr:rowOff>
    </xdr:from>
    <xdr:to>
      <xdr:col>29</xdr:col>
      <xdr:colOff>85724</xdr:colOff>
      <xdr:row>15</xdr:row>
      <xdr:rowOff>104775</xdr:rowOff>
    </xdr:to>
    <xdr:sp macro="" textlink="">
      <xdr:nvSpPr>
        <xdr:cNvPr id="43" name="Rectangle: Rounded Corners 42">
          <a:extLst>
            <a:ext uri="{FF2B5EF4-FFF2-40B4-BE49-F238E27FC236}">
              <a16:creationId xmlns:a16="http://schemas.microsoft.com/office/drawing/2014/main" id="{5711AA9E-6F9B-4B52-A86C-DE363C35CDCF}"/>
            </a:ext>
          </a:extLst>
        </xdr:cNvPr>
        <xdr:cNvSpPr/>
      </xdr:nvSpPr>
      <xdr:spPr>
        <a:xfrm>
          <a:off x="1554479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Total</a:t>
          </a:r>
          <a:r>
            <a:rPr lang="en-US" sz="1400" b="1" i="0" u="none" strike="noStrike" baseline="0">
              <a:solidFill>
                <a:schemeClr val="bg2">
                  <a:lumMod val="10000"/>
                </a:schemeClr>
              </a:solidFill>
              <a:latin typeface="Segoe UI" panose="020B0502040204020203" pitchFamily="34" charset="0"/>
              <a:cs typeface="Segoe UI" panose="020B0502040204020203" pitchFamily="34" charset="0"/>
            </a:rPr>
            <a:t> Aparelhos</a:t>
          </a:r>
          <a:endParaRPr lang="en-US" sz="1400" b="1" i="0" u="none" strike="noStrike">
            <a:solidFill>
              <a:schemeClr val="bg2">
                <a:lumMod val="10000"/>
              </a:schemeClr>
            </a:solidFill>
            <a:latin typeface="Segoe UI" panose="020B0502040204020203" pitchFamily="34" charset="0"/>
            <a:cs typeface="Segoe UI" panose="020B0502040204020203" pitchFamily="34" charset="0"/>
          </a:endParaRPr>
        </a:p>
      </xdr:txBody>
    </xdr:sp>
    <xdr:clientData/>
  </xdr:twoCellAnchor>
  <xdr:twoCellAnchor>
    <xdr:from>
      <xdr:col>8</xdr:col>
      <xdr:colOff>137159</xdr:colOff>
      <xdr:row>8</xdr:row>
      <xdr:rowOff>142874</xdr:rowOff>
    </xdr:from>
    <xdr:to>
      <xdr:col>11</xdr:col>
      <xdr:colOff>527684</xdr:colOff>
      <xdr:row>15</xdr:row>
      <xdr:rowOff>104775</xdr:rowOff>
    </xdr:to>
    <xdr:sp macro="" textlink="">
      <xdr:nvSpPr>
        <xdr:cNvPr id="44" name="Rectangle: Rounded Corners 43">
          <a:extLst>
            <a:ext uri="{FF2B5EF4-FFF2-40B4-BE49-F238E27FC236}">
              <a16:creationId xmlns:a16="http://schemas.microsoft.com/office/drawing/2014/main" id="{1569C989-8212-43A1-8184-C6FB3694FBD5}"/>
            </a:ext>
          </a:extLst>
        </xdr:cNvPr>
        <xdr:cNvSpPr/>
      </xdr:nvSpPr>
      <xdr:spPr>
        <a:xfrm>
          <a:off x="501395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 Avançado</a:t>
          </a:r>
        </a:p>
      </xdr:txBody>
    </xdr:sp>
    <xdr:clientData/>
  </xdr:twoCellAnchor>
  <xdr:twoCellAnchor>
    <xdr:from>
      <xdr:col>12</xdr:col>
      <xdr:colOff>331469</xdr:colOff>
      <xdr:row>8</xdr:row>
      <xdr:rowOff>142874</xdr:rowOff>
    </xdr:from>
    <xdr:to>
      <xdr:col>16</xdr:col>
      <xdr:colOff>112394</xdr:colOff>
      <xdr:row>15</xdr:row>
      <xdr:rowOff>104775</xdr:rowOff>
    </xdr:to>
    <xdr:sp macro="" textlink="">
      <xdr:nvSpPr>
        <xdr:cNvPr id="45" name="Rectangle: Rounded Corners 44">
          <a:extLst>
            <a:ext uri="{FF2B5EF4-FFF2-40B4-BE49-F238E27FC236}">
              <a16:creationId xmlns:a16="http://schemas.microsoft.com/office/drawing/2014/main" id="{A66C78BA-3365-45F9-BBC1-ADC9AA280476}"/>
            </a:ext>
          </a:extLst>
        </xdr:cNvPr>
        <xdr:cNvSpPr/>
      </xdr:nvSpPr>
      <xdr:spPr>
        <a:xfrm>
          <a:off x="764666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Fixa Básica</a:t>
          </a:r>
        </a:p>
      </xdr:txBody>
    </xdr:sp>
    <xdr:clientData/>
  </xdr:twoCellAnchor>
  <xdr:twoCellAnchor>
    <xdr:from>
      <xdr:col>16</xdr:col>
      <xdr:colOff>525779</xdr:colOff>
      <xdr:row>8</xdr:row>
      <xdr:rowOff>142874</xdr:rowOff>
    </xdr:from>
    <xdr:to>
      <xdr:col>20</xdr:col>
      <xdr:colOff>306704</xdr:colOff>
      <xdr:row>15</xdr:row>
      <xdr:rowOff>104775</xdr:rowOff>
    </xdr:to>
    <xdr:sp macro="" textlink="">
      <xdr:nvSpPr>
        <xdr:cNvPr id="46" name="Rectangle: Rounded Corners 45">
          <a:extLst>
            <a:ext uri="{FF2B5EF4-FFF2-40B4-BE49-F238E27FC236}">
              <a16:creationId xmlns:a16="http://schemas.microsoft.com/office/drawing/2014/main" id="{4EC61674-80A3-40FC-BD1D-2088EF6979AA}"/>
            </a:ext>
          </a:extLst>
        </xdr:cNvPr>
        <xdr:cNvSpPr/>
      </xdr:nvSpPr>
      <xdr:spPr>
        <a:xfrm>
          <a:off x="1027937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T.I.</a:t>
          </a:r>
        </a:p>
      </xdr:txBody>
    </xdr:sp>
    <xdr:clientData/>
  </xdr:twoCellAnchor>
  <xdr:twoCellAnchor>
    <xdr:from>
      <xdr:col>21</xdr:col>
      <xdr:colOff>110489</xdr:colOff>
      <xdr:row>8</xdr:row>
      <xdr:rowOff>142874</xdr:rowOff>
    </xdr:from>
    <xdr:to>
      <xdr:col>24</xdr:col>
      <xdr:colOff>501014</xdr:colOff>
      <xdr:row>15</xdr:row>
      <xdr:rowOff>104775</xdr:rowOff>
    </xdr:to>
    <xdr:sp macro="" textlink="">
      <xdr:nvSpPr>
        <xdr:cNvPr id="47" name="Rectangle: Rounded Corners 46">
          <a:extLst>
            <a:ext uri="{FF2B5EF4-FFF2-40B4-BE49-F238E27FC236}">
              <a16:creationId xmlns:a16="http://schemas.microsoft.com/office/drawing/2014/main" id="{8207A12D-0FE7-4058-90B9-79F98D024B67}"/>
            </a:ext>
          </a:extLst>
        </xdr:cNvPr>
        <xdr:cNvSpPr/>
      </xdr:nvSpPr>
      <xdr:spPr>
        <a:xfrm>
          <a:off x="1291208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Total Serviços</a:t>
          </a:r>
        </a:p>
      </xdr:txBody>
    </xdr:sp>
    <xdr:clientData/>
  </xdr:twoCellAnchor>
  <xdr:twoCellAnchor>
    <xdr:from>
      <xdr:col>4</xdr:col>
      <xdr:colOff>438150</xdr:colOff>
      <xdr:row>6</xdr:row>
      <xdr:rowOff>161925</xdr:rowOff>
    </xdr:from>
    <xdr:to>
      <xdr:col>10</xdr:col>
      <xdr:colOff>428626</xdr:colOff>
      <xdr:row>8</xdr:row>
      <xdr:rowOff>76200</xdr:rowOff>
    </xdr:to>
    <xdr:sp macro="" textlink="">
      <xdr:nvSpPr>
        <xdr:cNvPr id="53" name="Rectangle 52">
          <a:extLst>
            <a:ext uri="{FF2B5EF4-FFF2-40B4-BE49-F238E27FC236}">
              <a16:creationId xmlns:a16="http://schemas.microsoft.com/office/drawing/2014/main" id="{B05841C4-669B-8DC8-0720-F2446DFC5C31}"/>
            </a:ext>
          </a:extLst>
        </xdr:cNvPr>
        <xdr:cNvSpPr/>
      </xdr:nvSpPr>
      <xdr:spPr>
        <a:xfrm>
          <a:off x="2876550" y="130492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VALOR</a:t>
          </a:r>
          <a:r>
            <a:rPr lang="en-US" sz="1200" b="1" baseline="0">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 VENDAS CONCLUÍDAS POR CATEGORIA:</a:t>
          </a:r>
          <a:endPar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endParaRPr>
        </a:p>
      </xdr:txBody>
    </xdr:sp>
    <xdr:clientData/>
  </xdr:twoCellAnchor>
  <xdr:twoCellAnchor editAs="oneCell">
    <xdr:from>
      <xdr:col>3</xdr:col>
      <xdr:colOff>581025</xdr:colOff>
      <xdr:row>6</xdr:row>
      <xdr:rowOff>38100</xdr:rowOff>
    </xdr:from>
    <xdr:to>
      <xdr:col>4</xdr:col>
      <xdr:colOff>447675</xdr:colOff>
      <xdr:row>8</xdr:row>
      <xdr:rowOff>133350</xdr:rowOff>
    </xdr:to>
    <xdr:pic>
      <xdr:nvPicPr>
        <xdr:cNvPr id="55" name="Graphic 54" descr="Money with solid fill">
          <a:extLst>
            <a:ext uri="{FF2B5EF4-FFF2-40B4-BE49-F238E27FC236}">
              <a16:creationId xmlns:a16="http://schemas.microsoft.com/office/drawing/2014/main" id="{48BBB2C5-A30A-C5BE-38BD-5C01AFBA0D8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09825" y="1181100"/>
          <a:ext cx="476250" cy="476250"/>
        </a:xfrm>
        <a:prstGeom prst="rect">
          <a:avLst/>
        </a:prstGeom>
      </xdr:spPr>
    </xdr:pic>
    <xdr:clientData/>
  </xdr:twoCellAnchor>
  <xdr:twoCellAnchor editAs="oneCell">
    <xdr:from>
      <xdr:col>5</xdr:col>
      <xdr:colOff>552449</xdr:colOff>
      <xdr:row>9</xdr:row>
      <xdr:rowOff>19049</xdr:rowOff>
    </xdr:from>
    <xdr:to>
      <xdr:col>6</xdr:col>
      <xdr:colOff>266698</xdr:colOff>
      <xdr:row>10</xdr:row>
      <xdr:rowOff>152398</xdr:rowOff>
    </xdr:to>
    <xdr:pic>
      <xdr:nvPicPr>
        <xdr:cNvPr id="57" name="Graphic 56" descr="Receiver with solid fill">
          <a:extLst>
            <a:ext uri="{FF2B5EF4-FFF2-40B4-BE49-F238E27FC236}">
              <a16:creationId xmlns:a16="http://schemas.microsoft.com/office/drawing/2014/main" id="{227998D4-D7FD-5019-9A3D-4AC6DE26769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3600449" y="1733549"/>
          <a:ext cx="323849" cy="323849"/>
        </a:xfrm>
        <a:prstGeom prst="rect">
          <a:avLst/>
        </a:prstGeom>
      </xdr:spPr>
    </xdr:pic>
    <xdr:clientData/>
  </xdr:twoCellAnchor>
  <xdr:twoCellAnchor editAs="oneCell">
    <xdr:from>
      <xdr:col>9</xdr:col>
      <xdr:colOff>419100</xdr:colOff>
      <xdr:row>9</xdr:row>
      <xdr:rowOff>19049</xdr:rowOff>
    </xdr:from>
    <xdr:to>
      <xdr:col>10</xdr:col>
      <xdr:colOff>161925</xdr:colOff>
      <xdr:row>10</xdr:row>
      <xdr:rowOff>180974</xdr:rowOff>
    </xdr:to>
    <xdr:pic>
      <xdr:nvPicPr>
        <xdr:cNvPr id="59" name="Graphic 58" descr="Bar graph with upward trend with solid fill">
          <a:extLst>
            <a:ext uri="{FF2B5EF4-FFF2-40B4-BE49-F238E27FC236}">
              <a16:creationId xmlns:a16="http://schemas.microsoft.com/office/drawing/2014/main" id="{616884B2-D7AF-06D8-7708-A07E9E53DB1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905500" y="1733549"/>
          <a:ext cx="352425" cy="352425"/>
        </a:xfrm>
        <a:prstGeom prst="rect">
          <a:avLst/>
        </a:prstGeom>
      </xdr:spPr>
    </xdr:pic>
    <xdr:clientData/>
  </xdr:twoCellAnchor>
  <xdr:twoCellAnchor editAs="oneCell">
    <xdr:from>
      <xdr:col>13</xdr:col>
      <xdr:colOff>523875</xdr:colOff>
      <xdr:row>9</xdr:row>
      <xdr:rowOff>19049</xdr:rowOff>
    </xdr:from>
    <xdr:to>
      <xdr:col>14</xdr:col>
      <xdr:colOff>266700</xdr:colOff>
      <xdr:row>10</xdr:row>
      <xdr:rowOff>180974</xdr:rowOff>
    </xdr:to>
    <xdr:pic>
      <xdr:nvPicPr>
        <xdr:cNvPr id="60" name="Graphic 59" descr="Internet with solid fill">
          <a:extLst>
            <a:ext uri="{FF2B5EF4-FFF2-40B4-BE49-F238E27FC236}">
              <a16:creationId xmlns:a16="http://schemas.microsoft.com/office/drawing/2014/main" id="{AB178DDD-D6AB-491F-A7F1-7CA19DF3323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8448675" y="1733549"/>
          <a:ext cx="352425" cy="352425"/>
        </a:xfrm>
        <a:prstGeom prst="rect">
          <a:avLst/>
        </a:prstGeom>
      </xdr:spPr>
    </xdr:pic>
    <xdr:clientData/>
  </xdr:twoCellAnchor>
  <xdr:twoCellAnchor editAs="oneCell">
    <xdr:from>
      <xdr:col>19</xdr:col>
      <xdr:colOff>114300</xdr:colOff>
      <xdr:row>9</xdr:row>
      <xdr:rowOff>19049</xdr:rowOff>
    </xdr:from>
    <xdr:to>
      <xdr:col>19</xdr:col>
      <xdr:colOff>466725</xdr:colOff>
      <xdr:row>10</xdr:row>
      <xdr:rowOff>180974</xdr:rowOff>
    </xdr:to>
    <xdr:pic>
      <xdr:nvPicPr>
        <xdr:cNvPr id="61" name="Graphic 60" descr="Robot with solid fill">
          <a:extLst>
            <a:ext uri="{FF2B5EF4-FFF2-40B4-BE49-F238E27FC236}">
              <a16:creationId xmlns:a16="http://schemas.microsoft.com/office/drawing/2014/main" id="{9547280F-A5CD-4EBE-897C-3E0584991D5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1696700" y="1733549"/>
          <a:ext cx="352425" cy="352425"/>
        </a:xfrm>
        <a:prstGeom prst="rect">
          <a:avLst/>
        </a:prstGeom>
      </xdr:spPr>
    </xdr:pic>
    <xdr:clientData/>
  </xdr:twoCellAnchor>
  <xdr:twoCellAnchor editAs="oneCell">
    <xdr:from>
      <xdr:col>22</xdr:col>
      <xdr:colOff>66674</xdr:colOff>
      <xdr:row>9</xdr:row>
      <xdr:rowOff>19049</xdr:rowOff>
    </xdr:from>
    <xdr:to>
      <xdr:col>22</xdr:col>
      <xdr:colOff>390523</xdr:colOff>
      <xdr:row>10</xdr:row>
      <xdr:rowOff>152398</xdr:rowOff>
    </xdr:to>
    <xdr:pic>
      <xdr:nvPicPr>
        <xdr:cNvPr id="62" name="Graphic 61" descr="Piggy Bank with solid fill">
          <a:extLst>
            <a:ext uri="{FF2B5EF4-FFF2-40B4-BE49-F238E27FC236}">
              <a16:creationId xmlns:a16="http://schemas.microsoft.com/office/drawing/2014/main" id="{829D6571-4F72-4724-AD84-9894C075D7A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3477874" y="1733549"/>
          <a:ext cx="323849" cy="323849"/>
        </a:xfrm>
        <a:prstGeom prst="rect">
          <a:avLst/>
        </a:prstGeom>
      </xdr:spPr>
    </xdr:pic>
    <xdr:clientData/>
  </xdr:twoCellAnchor>
  <xdr:twoCellAnchor editAs="oneCell">
    <xdr:from>
      <xdr:col>26</xdr:col>
      <xdr:colOff>114299</xdr:colOff>
      <xdr:row>9</xdr:row>
      <xdr:rowOff>19049</xdr:rowOff>
    </xdr:from>
    <xdr:to>
      <xdr:col>26</xdr:col>
      <xdr:colOff>438148</xdr:colOff>
      <xdr:row>10</xdr:row>
      <xdr:rowOff>152398</xdr:rowOff>
    </xdr:to>
    <xdr:pic>
      <xdr:nvPicPr>
        <xdr:cNvPr id="63" name="Graphic 62" descr="Smart Phone with solid fill">
          <a:extLst>
            <a:ext uri="{FF2B5EF4-FFF2-40B4-BE49-F238E27FC236}">
              <a16:creationId xmlns:a16="http://schemas.microsoft.com/office/drawing/2014/main" id="{A58A0326-B344-4EC6-A744-82AC5A2B9A1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15963899" y="1733549"/>
          <a:ext cx="323849" cy="323849"/>
        </a:xfrm>
        <a:prstGeom prst="rect">
          <a:avLst/>
        </a:prstGeom>
      </xdr:spPr>
    </xdr:pic>
    <xdr:clientData/>
  </xdr:twoCellAnchor>
  <xdr:twoCellAnchor>
    <xdr:from>
      <xdr:col>3</xdr:col>
      <xdr:colOff>552449</xdr:colOff>
      <xdr:row>8</xdr:row>
      <xdr:rowOff>152399</xdr:rowOff>
    </xdr:from>
    <xdr:to>
      <xdr:col>7</xdr:col>
      <xdr:colOff>333374</xdr:colOff>
      <xdr:row>15</xdr:row>
      <xdr:rowOff>114300</xdr:rowOff>
    </xdr:to>
    <xdr:sp macro="" textlink="">
      <xdr:nvSpPr>
        <xdr:cNvPr id="64" name="Rectangle: Rounded Corners 63">
          <a:extLst>
            <a:ext uri="{FF2B5EF4-FFF2-40B4-BE49-F238E27FC236}">
              <a16:creationId xmlns:a16="http://schemas.microsoft.com/office/drawing/2014/main" id="{397B4E33-7D42-45AA-9933-0893FF510086}"/>
            </a:ext>
          </a:extLst>
        </xdr:cNvPr>
        <xdr:cNvSpPr/>
      </xdr:nvSpPr>
      <xdr:spPr>
        <a:xfrm>
          <a:off x="238124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050" b="1" i="0" u="none" strike="noStrike">
              <a:solidFill>
                <a:schemeClr val="bg2">
                  <a:lumMod val="90000"/>
                </a:schemeClr>
              </a:solidFill>
              <a:latin typeface="Segoe UI" panose="020B0502040204020203" pitchFamily="34" charset="0"/>
              <a:cs typeface="Segoe UI" panose="020B0502040204020203" pitchFamily="34" charset="0"/>
            </a:rPr>
            <a:t>Meta: </a:t>
          </a:r>
        </a:p>
        <a:p>
          <a:pPr algn="l"/>
          <a:r>
            <a:rPr lang="en-US" sz="1050" b="1" i="0" u="none" strike="noStrike">
              <a:solidFill>
                <a:schemeClr val="bg2">
                  <a:lumMod val="90000"/>
                </a:schemeClr>
              </a:solidFill>
              <a:latin typeface="Segoe UI" panose="020B0502040204020203" pitchFamily="34" charset="0"/>
              <a:cs typeface="Segoe UI" panose="020B0502040204020203" pitchFamily="34" charset="0"/>
            </a:rPr>
            <a:t>R$ 26,000.00</a:t>
          </a:r>
        </a:p>
      </xdr:txBody>
    </xdr:sp>
    <xdr:clientData/>
  </xdr:twoCellAnchor>
  <xdr:twoCellAnchor>
    <xdr:from>
      <xdr:col>25</xdr:col>
      <xdr:colOff>304799</xdr:colOff>
      <xdr:row>8</xdr:row>
      <xdr:rowOff>152399</xdr:rowOff>
    </xdr:from>
    <xdr:to>
      <xdr:col>29</xdr:col>
      <xdr:colOff>85724</xdr:colOff>
      <xdr:row>15</xdr:row>
      <xdr:rowOff>114300</xdr:rowOff>
    </xdr:to>
    <xdr:sp macro="" textlink="">
      <xdr:nvSpPr>
        <xdr:cNvPr id="65" name="Rectangle: Rounded Corners 64">
          <a:extLst>
            <a:ext uri="{FF2B5EF4-FFF2-40B4-BE49-F238E27FC236}">
              <a16:creationId xmlns:a16="http://schemas.microsoft.com/office/drawing/2014/main" id="{DD2018C1-1410-4F76-AF0B-D7C737930C5D}"/>
            </a:ext>
          </a:extLst>
        </xdr:cNvPr>
        <xdr:cNvSpPr/>
      </xdr:nvSpPr>
      <xdr:spPr>
        <a:xfrm>
          <a:off x="1554479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8</xdr:col>
      <xdr:colOff>137159</xdr:colOff>
      <xdr:row>8</xdr:row>
      <xdr:rowOff>152399</xdr:rowOff>
    </xdr:from>
    <xdr:to>
      <xdr:col>11</xdr:col>
      <xdr:colOff>527684</xdr:colOff>
      <xdr:row>15</xdr:row>
      <xdr:rowOff>114300</xdr:rowOff>
    </xdr:to>
    <xdr:sp macro="" textlink="">
      <xdr:nvSpPr>
        <xdr:cNvPr id="66" name="Rectangle: Rounded Corners 65">
          <a:extLst>
            <a:ext uri="{FF2B5EF4-FFF2-40B4-BE49-F238E27FC236}">
              <a16:creationId xmlns:a16="http://schemas.microsoft.com/office/drawing/2014/main" id="{544524CA-33F7-45C3-9DF8-D3EB54DB0EEF}"/>
            </a:ext>
          </a:extLst>
        </xdr:cNvPr>
        <xdr:cNvSpPr/>
      </xdr:nvSpPr>
      <xdr:spPr>
        <a:xfrm>
          <a:off x="501395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12</xdr:col>
      <xdr:colOff>331469</xdr:colOff>
      <xdr:row>8</xdr:row>
      <xdr:rowOff>152399</xdr:rowOff>
    </xdr:from>
    <xdr:to>
      <xdr:col>16</xdr:col>
      <xdr:colOff>112394</xdr:colOff>
      <xdr:row>15</xdr:row>
      <xdr:rowOff>114300</xdr:rowOff>
    </xdr:to>
    <xdr:sp macro="" textlink="">
      <xdr:nvSpPr>
        <xdr:cNvPr id="67" name="Rectangle: Rounded Corners 66">
          <a:extLst>
            <a:ext uri="{FF2B5EF4-FFF2-40B4-BE49-F238E27FC236}">
              <a16:creationId xmlns:a16="http://schemas.microsoft.com/office/drawing/2014/main" id="{168B84DD-C0FF-4117-95C1-F9611047104C}"/>
            </a:ext>
          </a:extLst>
        </xdr:cNvPr>
        <xdr:cNvSpPr/>
      </xdr:nvSpPr>
      <xdr:spPr>
        <a:xfrm>
          <a:off x="764666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16</xdr:col>
      <xdr:colOff>525779</xdr:colOff>
      <xdr:row>8</xdr:row>
      <xdr:rowOff>152399</xdr:rowOff>
    </xdr:from>
    <xdr:to>
      <xdr:col>20</xdr:col>
      <xdr:colOff>306704</xdr:colOff>
      <xdr:row>15</xdr:row>
      <xdr:rowOff>114300</xdr:rowOff>
    </xdr:to>
    <xdr:sp macro="" textlink="">
      <xdr:nvSpPr>
        <xdr:cNvPr id="68" name="Rectangle: Rounded Corners 67">
          <a:extLst>
            <a:ext uri="{FF2B5EF4-FFF2-40B4-BE49-F238E27FC236}">
              <a16:creationId xmlns:a16="http://schemas.microsoft.com/office/drawing/2014/main" id="{E809E0E5-C4B6-4650-AB87-8679AFF16C5D}"/>
            </a:ext>
          </a:extLst>
        </xdr:cNvPr>
        <xdr:cNvSpPr/>
      </xdr:nvSpPr>
      <xdr:spPr>
        <a:xfrm>
          <a:off x="1027937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21</xdr:col>
      <xdr:colOff>110489</xdr:colOff>
      <xdr:row>8</xdr:row>
      <xdr:rowOff>152399</xdr:rowOff>
    </xdr:from>
    <xdr:to>
      <xdr:col>24</xdr:col>
      <xdr:colOff>501014</xdr:colOff>
      <xdr:row>15</xdr:row>
      <xdr:rowOff>114300</xdr:rowOff>
    </xdr:to>
    <xdr:sp macro="" textlink="">
      <xdr:nvSpPr>
        <xdr:cNvPr id="69" name="Rectangle: Rounded Corners 68">
          <a:extLst>
            <a:ext uri="{FF2B5EF4-FFF2-40B4-BE49-F238E27FC236}">
              <a16:creationId xmlns:a16="http://schemas.microsoft.com/office/drawing/2014/main" id="{F89398F1-82C8-46C4-B125-88CCBC36863C}"/>
            </a:ext>
          </a:extLst>
        </xdr:cNvPr>
        <xdr:cNvSpPr/>
      </xdr:nvSpPr>
      <xdr:spPr>
        <a:xfrm>
          <a:off x="1291208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R$ 130,000.00</a:t>
          </a:r>
        </a:p>
      </xdr:txBody>
    </xdr:sp>
    <xdr:clientData/>
  </xdr:twoCellAnchor>
  <xdr:twoCellAnchor>
    <xdr:from>
      <xdr:col>3</xdr:col>
      <xdr:colOff>542925</xdr:colOff>
      <xdr:row>18</xdr:row>
      <xdr:rowOff>28575</xdr:rowOff>
    </xdr:from>
    <xdr:to>
      <xdr:col>29</xdr:col>
      <xdr:colOff>85725</xdr:colOff>
      <xdr:row>22</xdr:row>
      <xdr:rowOff>47625</xdr:rowOff>
    </xdr:to>
    <xdr:sp macro="" textlink="">
      <xdr:nvSpPr>
        <xdr:cNvPr id="70" name="Rectangle: Rounded Corners 69">
          <a:extLst>
            <a:ext uri="{FF2B5EF4-FFF2-40B4-BE49-F238E27FC236}">
              <a16:creationId xmlns:a16="http://schemas.microsoft.com/office/drawing/2014/main" id="{22B04ED3-F821-49D7-8CB1-17E45073CAFE}"/>
            </a:ext>
          </a:extLst>
        </xdr:cNvPr>
        <xdr:cNvSpPr/>
      </xdr:nvSpPr>
      <xdr:spPr>
        <a:xfrm>
          <a:off x="2371725" y="3457575"/>
          <a:ext cx="15392400" cy="781050"/>
        </a:xfrm>
        <a:prstGeom prst="roundRect">
          <a:avLst>
            <a:gd name="adj" fmla="val 17149"/>
          </a:avLst>
        </a:prstGeom>
        <a:solidFill>
          <a:schemeClr val="bg2">
            <a:lumMod val="5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18</xdr:row>
      <xdr:rowOff>38100</xdr:rowOff>
    </xdr:from>
    <xdr:to>
      <xdr:col>7</xdr:col>
      <xdr:colOff>333374</xdr:colOff>
      <xdr:row>22</xdr:row>
      <xdr:rowOff>52858</xdr:rowOff>
    </xdr:to>
    <xdr:sp macro="" textlink="BASE_CALCULO!Z11">
      <xdr:nvSpPr>
        <xdr:cNvPr id="71" name="Rectangle: Rounded Corners 70">
          <a:extLst>
            <a:ext uri="{FF2B5EF4-FFF2-40B4-BE49-F238E27FC236}">
              <a16:creationId xmlns:a16="http://schemas.microsoft.com/office/drawing/2014/main" id="{9BA4F799-9B37-488F-91F2-32CC15E7B6BC}"/>
            </a:ext>
          </a:extLst>
        </xdr:cNvPr>
        <xdr:cNvSpPr/>
      </xdr:nvSpPr>
      <xdr:spPr>
        <a:xfrm>
          <a:off x="238124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E8AA587-8394-42D9-982F-0A7C0A743646}"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R$ 144,244.73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25</xdr:col>
      <xdr:colOff>304799</xdr:colOff>
      <xdr:row>18</xdr:row>
      <xdr:rowOff>38100</xdr:rowOff>
    </xdr:from>
    <xdr:to>
      <xdr:col>29</xdr:col>
      <xdr:colOff>85724</xdr:colOff>
      <xdr:row>22</xdr:row>
      <xdr:rowOff>52858</xdr:rowOff>
    </xdr:to>
    <xdr:sp macro="" textlink="BASE_CALCULO!Z16">
      <xdr:nvSpPr>
        <xdr:cNvPr id="72" name="Rectangle: Rounded Corners 71">
          <a:extLst>
            <a:ext uri="{FF2B5EF4-FFF2-40B4-BE49-F238E27FC236}">
              <a16:creationId xmlns:a16="http://schemas.microsoft.com/office/drawing/2014/main" id="{C2F9184E-A922-4055-9178-17A545C11A19}"/>
            </a:ext>
          </a:extLst>
        </xdr:cNvPr>
        <xdr:cNvSpPr/>
      </xdr:nvSpPr>
      <xdr:spPr>
        <a:xfrm>
          <a:off x="1554479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03EAAC8-2687-49E8-A85E-FE6857A9E5A0}"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R$ 108,576.16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8</xdr:col>
      <xdr:colOff>137159</xdr:colOff>
      <xdr:row>18</xdr:row>
      <xdr:rowOff>38100</xdr:rowOff>
    </xdr:from>
    <xdr:to>
      <xdr:col>11</xdr:col>
      <xdr:colOff>527684</xdr:colOff>
      <xdr:row>22</xdr:row>
      <xdr:rowOff>52858</xdr:rowOff>
    </xdr:to>
    <xdr:sp macro="" textlink="BASE_CALCULO!Z12">
      <xdr:nvSpPr>
        <xdr:cNvPr id="73" name="Rectangle: Rounded Corners 72">
          <a:extLst>
            <a:ext uri="{FF2B5EF4-FFF2-40B4-BE49-F238E27FC236}">
              <a16:creationId xmlns:a16="http://schemas.microsoft.com/office/drawing/2014/main" id="{E984FBE3-9A2D-4B2A-92D0-32B52FBF728C}"/>
            </a:ext>
          </a:extLst>
        </xdr:cNvPr>
        <xdr:cNvSpPr/>
      </xdr:nvSpPr>
      <xdr:spPr>
        <a:xfrm>
          <a:off x="501395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422FE338-0F6E-4520-89CA-F03C8209E57D}"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R$ 175,842.61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12</xdr:col>
      <xdr:colOff>331469</xdr:colOff>
      <xdr:row>18</xdr:row>
      <xdr:rowOff>38100</xdr:rowOff>
    </xdr:from>
    <xdr:to>
      <xdr:col>16</xdr:col>
      <xdr:colOff>112394</xdr:colOff>
      <xdr:row>22</xdr:row>
      <xdr:rowOff>52858</xdr:rowOff>
    </xdr:to>
    <xdr:sp macro="" textlink="BASE_CALCULO!Z13">
      <xdr:nvSpPr>
        <xdr:cNvPr id="74" name="Rectangle: Rounded Corners 73">
          <a:extLst>
            <a:ext uri="{FF2B5EF4-FFF2-40B4-BE49-F238E27FC236}">
              <a16:creationId xmlns:a16="http://schemas.microsoft.com/office/drawing/2014/main" id="{6B5CDA74-F5BF-497C-9F2A-6FF9BEC19F3A}"/>
            </a:ext>
          </a:extLst>
        </xdr:cNvPr>
        <xdr:cNvSpPr/>
      </xdr:nvSpPr>
      <xdr:spPr>
        <a:xfrm>
          <a:off x="764666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EDB362C-F93B-4A80-800B-2D4B8BF4464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R$ 137,557.26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525779</xdr:colOff>
      <xdr:row>18</xdr:row>
      <xdr:rowOff>38100</xdr:rowOff>
    </xdr:from>
    <xdr:to>
      <xdr:col>20</xdr:col>
      <xdr:colOff>306704</xdr:colOff>
      <xdr:row>22</xdr:row>
      <xdr:rowOff>52858</xdr:rowOff>
    </xdr:to>
    <xdr:sp macro="" textlink="BASE_CALCULO!Z14">
      <xdr:nvSpPr>
        <xdr:cNvPr id="75" name="Rectangle: Rounded Corners 74">
          <a:extLst>
            <a:ext uri="{FF2B5EF4-FFF2-40B4-BE49-F238E27FC236}">
              <a16:creationId xmlns:a16="http://schemas.microsoft.com/office/drawing/2014/main" id="{1387BB4E-9227-4583-8AB3-76B2735059E1}"/>
            </a:ext>
          </a:extLst>
        </xdr:cNvPr>
        <xdr:cNvSpPr/>
      </xdr:nvSpPr>
      <xdr:spPr>
        <a:xfrm>
          <a:off x="1027937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7EB2E75-476E-4CBC-B13B-040F305312ED}"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R$ 167,719.22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21</xdr:col>
      <xdr:colOff>110489</xdr:colOff>
      <xdr:row>18</xdr:row>
      <xdr:rowOff>38100</xdr:rowOff>
    </xdr:from>
    <xdr:to>
      <xdr:col>24</xdr:col>
      <xdr:colOff>501014</xdr:colOff>
      <xdr:row>22</xdr:row>
      <xdr:rowOff>52858</xdr:rowOff>
    </xdr:to>
    <xdr:sp macro="" textlink="BASE_CALCULO!Z15">
      <xdr:nvSpPr>
        <xdr:cNvPr id="76" name="Rectangle: Rounded Corners 75">
          <a:extLst>
            <a:ext uri="{FF2B5EF4-FFF2-40B4-BE49-F238E27FC236}">
              <a16:creationId xmlns:a16="http://schemas.microsoft.com/office/drawing/2014/main" id="{D5059CA9-E497-4146-A120-F2E5BD8A314A}"/>
            </a:ext>
          </a:extLst>
        </xdr:cNvPr>
        <xdr:cNvSpPr/>
      </xdr:nvSpPr>
      <xdr:spPr>
        <a:xfrm>
          <a:off x="1291208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CB5F5B8-732B-49BE-BDC3-0B40938747C2}"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R$ 136,883.64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4</xdr:col>
      <xdr:colOff>438150</xdr:colOff>
      <xdr:row>16</xdr:row>
      <xdr:rowOff>38100</xdr:rowOff>
    </xdr:from>
    <xdr:to>
      <xdr:col>7</xdr:col>
      <xdr:colOff>485775</xdr:colOff>
      <xdr:row>17</xdr:row>
      <xdr:rowOff>142875</xdr:rowOff>
    </xdr:to>
    <xdr:sp macro="" textlink="">
      <xdr:nvSpPr>
        <xdr:cNvPr id="79" name="Rectangle 78">
          <a:extLst>
            <a:ext uri="{FF2B5EF4-FFF2-40B4-BE49-F238E27FC236}">
              <a16:creationId xmlns:a16="http://schemas.microsoft.com/office/drawing/2014/main" id="{8AB22E9F-5B23-4F51-88AC-F46012AF7757}"/>
            </a:ext>
          </a:extLst>
        </xdr:cNvPr>
        <xdr:cNvSpPr/>
      </xdr:nvSpPr>
      <xdr:spPr>
        <a:xfrm>
          <a:off x="2876550" y="3086100"/>
          <a:ext cx="1876425"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VALORES POR STATUS:</a:t>
          </a:r>
        </a:p>
      </xdr:txBody>
    </xdr:sp>
    <xdr:clientData/>
  </xdr:twoCellAnchor>
  <xdr:twoCellAnchor editAs="oneCell">
    <xdr:from>
      <xdr:col>3</xdr:col>
      <xdr:colOff>581025</xdr:colOff>
      <xdr:row>15</xdr:row>
      <xdr:rowOff>123825</xdr:rowOff>
    </xdr:from>
    <xdr:to>
      <xdr:col>4</xdr:col>
      <xdr:colOff>447675</xdr:colOff>
      <xdr:row>18</xdr:row>
      <xdr:rowOff>28575</xdr:rowOff>
    </xdr:to>
    <xdr:pic>
      <xdr:nvPicPr>
        <xdr:cNvPr id="80" name="Graphic 79" descr="Research with solid fill">
          <a:extLst>
            <a:ext uri="{FF2B5EF4-FFF2-40B4-BE49-F238E27FC236}">
              <a16:creationId xmlns:a16="http://schemas.microsoft.com/office/drawing/2014/main" id="{3E081D34-D3DB-436D-826D-C959C88127C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2409825" y="2981325"/>
          <a:ext cx="476250" cy="476250"/>
        </a:xfrm>
        <a:prstGeom prst="rect">
          <a:avLst/>
        </a:prstGeom>
      </xdr:spPr>
    </xdr:pic>
    <xdr:clientData/>
  </xdr:twoCellAnchor>
  <xdr:twoCellAnchor>
    <xdr:from>
      <xdr:col>3</xdr:col>
      <xdr:colOff>552449</xdr:colOff>
      <xdr:row>18</xdr:row>
      <xdr:rowOff>38099</xdr:rowOff>
    </xdr:from>
    <xdr:to>
      <xdr:col>7</xdr:col>
      <xdr:colOff>333374</xdr:colOff>
      <xdr:row>22</xdr:row>
      <xdr:rowOff>38100</xdr:rowOff>
    </xdr:to>
    <xdr:sp macro="" textlink="">
      <xdr:nvSpPr>
        <xdr:cNvPr id="81" name="Rectangle: Rounded Corners 80">
          <a:extLst>
            <a:ext uri="{FF2B5EF4-FFF2-40B4-BE49-F238E27FC236}">
              <a16:creationId xmlns:a16="http://schemas.microsoft.com/office/drawing/2014/main" id="{3DBD546F-785B-43D1-8B21-7FA0178634A3}"/>
            </a:ext>
          </a:extLst>
        </xdr:cNvPr>
        <xdr:cNvSpPr/>
      </xdr:nvSpPr>
      <xdr:spPr>
        <a:xfrm>
          <a:off x="238124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baseline="0">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Negociando</a:t>
          </a:r>
        </a:p>
      </xdr:txBody>
    </xdr:sp>
    <xdr:clientData/>
  </xdr:twoCellAnchor>
  <xdr:twoCellAnchor>
    <xdr:from>
      <xdr:col>25</xdr:col>
      <xdr:colOff>304799</xdr:colOff>
      <xdr:row>18</xdr:row>
      <xdr:rowOff>38099</xdr:rowOff>
    </xdr:from>
    <xdr:to>
      <xdr:col>29</xdr:col>
      <xdr:colOff>85724</xdr:colOff>
      <xdr:row>22</xdr:row>
      <xdr:rowOff>38100</xdr:rowOff>
    </xdr:to>
    <xdr:sp macro="" textlink="">
      <xdr:nvSpPr>
        <xdr:cNvPr id="82" name="Rectangle: Rounded Corners 81">
          <a:extLst>
            <a:ext uri="{FF2B5EF4-FFF2-40B4-BE49-F238E27FC236}">
              <a16:creationId xmlns:a16="http://schemas.microsoft.com/office/drawing/2014/main" id="{CC6C9398-C5D1-48FE-A876-531188C147B0}"/>
            </a:ext>
          </a:extLst>
        </xdr:cNvPr>
        <xdr:cNvSpPr/>
      </xdr:nvSpPr>
      <xdr:spPr>
        <a:xfrm>
          <a:off x="1554479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Concluído</a:t>
          </a:r>
        </a:p>
      </xdr:txBody>
    </xdr:sp>
    <xdr:clientData/>
  </xdr:twoCellAnchor>
  <xdr:twoCellAnchor>
    <xdr:from>
      <xdr:col>8</xdr:col>
      <xdr:colOff>137159</xdr:colOff>
      <xdr:row>18</xdr:row>
      <xdr:rowOff>38099</xdr:rowOff>
    </xdr:from>
    <xdr:to>
      <xdr:col>11</xdr:col>
      <xdr:colOff>527684</xdr:colOff>
      <xdr:row>22</xdr:row>
      <xdr:rowOff>38100</xdr:rowOff>
    </xdr:to>
    <xdr:sp macro="" textlink="">
      <xdr:nvSpPr>
        <xdr:cNvPr id="83" name="Rectangle: Rounded Corners 82">
          <a:extLst>
            <a:ext uri="{FF2B5EF4-FFF2-40B4-BE49-F238E27FC236}">
              <a16:creationId xmlns:a16="http://schemas.microsoft.com/office/drawing/2014/main" id="{58498341-A811-4FC1-B608-5B66A0FB07A0}"/>
            </a:ext>
          </a:extLst>
        </xdr:cNvPr>
        <xdr:cNvSpPr/>
      </xdr:nvSpPr>
      <xdr:spPr>
        <a:xfrm>
          <a:off x="501395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 Alçada</a:t>
          </a:r>
        </a:p>
      </xdr:txBody>
    </xdr:sp>
    <xdr:clientData/>
  </xdr:twoCellAnchor>
  <xdr:twoCellAnchor>
    <xdr:from>
      <xdr:col>12</xdr:col>
      <xdr:colOff>331469</xdr:colOff>
      <xdr:row>18</xdr:row>
      <xdr:rowOff>38099</xdr:rowOff>
    </xdr:from>
    <xdr:to>
      <xdr:col>16</xdr:col>
      <xdr:colOff>112394</xdr:colOff>
      <xdr:row>22</xdr:row>
      <xdr:rowOff>38100</xdr:rowOff>
    </xdr:to>
    <xdr:sp macro="" textlink="">
      <xdr:nvSpPr>
        <xdr:cNvPr id="84" name="Rectangle: Rounded Corners 83">
          <a:extLst>
            <a:ext uri="{FF2B5EF4-FFF2-40B4-BE49-F238E27FC236}">
              <a16:creationId xmlns:a16="http://schemas.microsoft.com/office/drawing/2014/main" id="{44E27FBB-8F5D-4417-9373-B776DE708925}"/>
            </a:ext>
          </a:extLst>
        </xdr:cNvPr>
        <xdr:cNvSpPr/>
      </xdr:nvSpPr>
      <xdr:spPr>
        <a:xfrm>
          <a:off x="764666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Em Análise</a:t>
          </a:r>
        </a:p>
      </xdr:txBody>
    </xdr:sp>
    <xdr:clientData/>
  </xdr:twoCellAnchor>
  <xdr:twoCellAnchor>
    <xdr:from>
      <xdr:col>16</xdr:col>
      <xdr:colOff>525779</xdr:colOff>
      <xdr:row>18</xdr:row>
      <xdr:rowOff>38099</xdr:rowOff>
    </xdr:from>
    <xdr:to>
      <xdr:col>20</xdr:col>
      <xdr:colOff>306704</xdr:colOff>
      <xdr:row>22</xdr:row>
      <xdr:rowOff>38100</xdr:rowOff>
    </xdr:to>
    <xdr:sp macro="" textlink="">
      <xdr:nvSpPr>
        <xdr:cNvPr id="85" name="Rectangle: Rounded Corners 84">
          <a:extLst>
            <a:ext uri="{FF2B5EF4-FFF2-40B4-BE49-F238E27FC236}">
              <a16:creationId xmlns:a16="http://schemas.microsoft.com/office/drawing/2014/main" id="{AF7B69EE-52A5-4C21-98D0-8790C8E4D99D}"/>
            </a:ext>
          </a:extLst>
        </xdr:cNvPr>
        <xdr:cNvSpPr/>
      </xdr:nvSpPr>
      <xdr:spPr>
        <a:xfrm>
          <a:off x="1027937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Tramitando</a:t>
          </a:r>
        </a:p>
      </xdr:txBody>
    </xdr:sp>
    <xdr:clientData/>
  </xdr:twoCellAnchor>
  <xdr:twoCellAnchor>
    <xdr:from>
      <xdr:col>21</xdr:col>
      <xdr:colOff>110489</xdr:colOff>
      <xdr:row>18</xdr:row>
      <xdr:rowOff>38099</xdr:rowOff>
    </xdr:from>
    <xdr:to>
      <xdr:col>24</xdr:col>
      <xdr:colOff>501014</xdr:colOff>
      <xdr:row>22</xdr:row>
      <xdr:rowOff>38100</xdr:rowOff>
    </xdr:to>
    <xdr:sp macro="" textlink="">
      <xdr:nvSpPr>
        <xdr:cNvPr id="86" name="Rectangle: Rounded Corners 85">
          <a:extLst>
            <a:ext uri="{FF2B5EF4-FFF2-40B4-BE49-F238E27FC236}">
              <a16:creationId xmlns:a16="http://schemas.microsoft.com/office/drawing/2014/main" id="{455649DB-16BF-415B-A3BC-56F878BF8272}"/>
            </a:ext>
          </a:extLst>
        </xdr:cNvPr>
        <xdr:cNvSpPr/>
      </xdr:nvSpPr>
      <xdr:spPr>
        <a:xfrm>
          <a:off x="1291208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Perdido</a:t>
          </a:r>
        </a:p>
      </xdr:txBody>
    </xdr:sp>
    <xdr:clientData/>
  </xdr:twoCellAnchor>
  <xdr:twoCellAnchor>
    <xdr:from>
      <xdr:col>7</xdr:col>
      <xdr:colOff>544780</xdr:colOff>
      <xdr:row>18</xdr:row>
      <xdr:rowOff>133350</xdr:rowOff>
    </xdr:from>
    <xdr:to>
      <xdr:col>7</xdr:col>
      <xdr:colOff>544780</xdr:colOff>
      <xdr:row>21</xdr:row>
      <xdr:rowOff>125615</xdr:rowOff>
    </xdr:to>
    <xdr:cxnSp macro="">
      <xdr:nvCxnSpPr>
        <xdr:cNvPr id="87" name="Straight Connector 86">
          <a:extLst>
            <a:ext uri="{FF2B5EF4-FFF2-40B4-BE49-F238E27FC236}">
              <a16:creationId xmlns:a16="http://schemas.microsoft.com/office/drawing/2014/main" id="{F256A02B-6BE8-4B3A-A934-F157E0E95A22}"/>
            </a:ext>
          </a:extLst>
        </xdr:cNvPr>
        <xdr:cNvCxnSpPr/>
      </xdr:nvCxnSpPr>
      <xdr:spPr>
        <a:xfrm>
          <a:off x="4811980"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106630</xdr:colOff>
      <xdr:row>18</xdr:row>
      <xdr:rowOff>133350</xdr:rowOff>
    </xdr:from>
    <xdr:to>
      <xdr:col>25</xdr:col>
      <xdr:colOff>106630</xdr:colOff>
      <xdr:row>21</xdr:row>
      <xdr:rowOff>125615</xdr:rowOff>
    </xdr:to>
    <xdr:cxnSp macro="">
      <xdr:nvCxnSpPr>
        <xdr:cNvPr id="112" name="Straight Connector 111">
          <a:extLst>
            <a:ext uri="{FF2B5EF4-FFF2-40B4-BE49-F238E27FC236}">
              <a16:creationId xmlns:a16="http://schemas.microsoft.com/office/drawing/2014/main" id="{EF9967A9-1D1F-40B1-B18F-45A6334255A1}"/>
            </a:ext>
          </a:extLst>
        </xdr:cNvPr>
        <xdr:cNvCxnSpPr/>
      </xdr:nvCxnSpPr>
      <xdr:spPr>
        <a:xfrm>
          <a:off x="15346630"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520968</xdr:colOff>
      <xdr:row>18</xdr:row>
      <xdr:rowOff>133350</xdr:rowOff>
    </xdr:from>
    <xdr:to>
      <xdr:col>20</xdr:col>
      <xdr:colOff>520968</xdr:colOff>
      <xdr:row>21</xdr:row>
      <xdr:rowOff>125615</xdr:rowOff>
    </xdr:to>
    <xdr:cxnSp macro="">
      <xdr:nvCxnSpPr>
        <xdr:cNvPr id="113" name="Straight Connector 112">
          <a:extLst>
            <a:ext uri="{FF2B5EF4-FFF2-40B4-BE49-F238E27FC236}">
              <a16:creationId xmlns:a16="http://schemas.microsoft.com/office/drawing/2014/main" id="{B7FE241C-B679-49D0-8C8E-E77A38704C05}"/>
            </a:ext>
          </a:extLst>
        </xdr:cNvPr>
        <xdr:cNvCxnSpPr/>
      </xdr:nvCxnSpPr>
      <xdr:spPr>
        <a:xfrm>
          <a:off x="12712968"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130443</xdr:colOff>
      <xdr:row>18</xdr:row>
      <xdr:rowOff>133350</xdr:rowOff>
    </xdr:from>
    <xdr:to>
      <xdr:col>12</xdr:col>
      <xdr:colOff>130443</xdr:colOff>
      <xdr:row>21</xdr:row>
      <xdr:rowOff>125615</xdr:rowOff>
    </xdr:to>
    <xdr:cxnSp macro="">
      <xdr:nvCxnSpPr>
        <xdr:cNvPr id="114" name="Straight Connector 113">
          <a:extLst>
            <a:ext uri="{FF2B5EF4-FFF2-40B4-BE49-F238E27FC236}">
              <a16:creationId xmlns:a16="http://schemas.microsoft.com/office/drawing/2014/main" id="{5E8B5090-0605-4BCA-924E-6478B85B93A9}"/>
            </a:ext>
          </a:extLst>
        </xdr:cNvPr>
        <xdr:cNvCxnSpPr/>
      </xdr:nvCxnSpPr>
      <xdr:spPr>
        <a:xfrm>
          <a:off x="7445643"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325706</xdr:colOff>
      <xdr:row>18</xdr:row>
      <xdr:rowOff>133350</xdr:rowOff>
    </xdr:from>
    <xdr:to>
      <xdr:col>16</xdr:col>
      <xdr:colOff>325706</xdr:colOff>
      <xdr:row>21</xdr:row>
      <xdr:rowOff>125615</xdr:rowOff>
    </xdr:to>
    <xdr:cxnSp macro="">
      <xdr:nvCxnSpPr>
        <xdr:cNvPr id="115" name="Straight Connector 114">
          <a:extLst>
            <a:ext uri="{FF2B5EF4-FFF2-40B4-BE49-F238E27FC236}">
              <a16:creationId xmlns:a16="http://schemas.microsoft.com/office/drawing/2014/main" id="{25DAE754-8DA6-4A13-A74B-E31B479CBA16}"/>
            </a:ext>
          </a:extLst>
        </xdr:cNvPr>
        <xdr:cNvCxnSpPr/>
      </xdr:nvCxnSpPr>
      <xdr:spPr>
        <a:xfrm>
          <a:off x="10079306"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542925</xdr:colOff>
      <xdr:row>39</xdr:row>
      <xdr:rowOff>161925</xdr:rowOff>
    </xdr:from>
    <xdr:to>
      <xdr:col>29</xdr:col>
      <xdr:colOff>85725</xdr:colOff>
      <xdr:row>43</xdr:row>
      <xdr:rowOff>180975</xdr:rowOff>
    </xdr:to>
    <xdr:sp macro="" textlink="">
      <xdr:nvSpPr>
        <xdr:cNvPr id="116" name="Rectangle: Rounded Corners 115">
          <a:extLst>
            <a:ext uri="{FF2B5EF4-FFF2-40B4-BE49-F238E27FC236}">
              <a16:creationId xmlns:a16="http://schemas.microsoft.com/office/drawing/2014/main" id="{17963A27-481F-4864-B06B-183ABDD35930}"/>
            </a:ext>
          </a:extLst>
        </xdr:cNvPr>
        <xdr:cNvSpPr/>
      </xdr:nvSpPr>
      <xdr:spPr>
        <a:xfrm>
          <a:off x="2371725" y="7591425"/>
          <a:ext cx="15392400" cy="781050"/>
        </a:xfrm>
        <a:prstGeom prst="roundRect">
          <a:avLst>
            <a:gd name="adj" fmla="val 19588"/>
          </a:avLst>
        </a:prstGeom>
        <a:solidFill>
          <a:schemeClr val="bg2">
            <a:lumMod val="1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Remuneração</a:t>
          </a:r>
          <a:r>
            <a:rPr lang="en-US" sz="1800" b="1" baseline="0">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Variável:</a:t>
          </a:r>
          <a:endParaRPr lang="en-US" sz="800" b="0">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552450</xdr:colOff>
      <xdr:row>24</xdr:row>
      <xdr:rowOff>157370</xdr:rowOff>
    </xdr:from>
    <xdr:to>
      <xdr:col>12</xdr:col>
      <xdr:colOff>133350</xdr:colOff>
      <xdr:row>39</xdr:row>
      <xdr:rowOff>85725</xdr:rowOff>
    </xdr:to>
    <xdr:sp macro="" textlink="">
      <xdr:nvSpPr>
        <xdr:cNvPr id="123" name="Rectangle: Rounded Corners 122">
          <a:extLst>
            <a:ext uri="{FF2B5EF4-FFF2-40B4-BE49-F238E27FC236}">
              <a16:creationId xmlns:a16="http://schemas.microsoft.com/office/drawing/2014/main" id="{5A346950-F73F-836F-99E9-990671A44439}"/>
            </a:ext>
          </a:extLst>
        </xdr:cNvPr>
        <xdr:cNvSpPr/>
      </xdr:nvSpPr>
      <xdr:spPr>
        <a:xfrm>
          <a:off x="2391189" y="4729370"/>
          <a:ext cx="5097118"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223838</xdr:colOff>
      <xdr:row>24</xdr:row>
      <xdr:rowOff>157370</xdr:rowOff>
    </xdr:from>
    <xdr:to>
      <xdr:col>20</xdr:col>
      <xdr:colOff>385763</xdr:colOff>
      <xdr:row>39</xdr:row>
      <xdr:rowOff>85725</xdr:rowOff>
    </xdr:to>
    <xdr:sp macro="" textlink="">
      <xdr:nvSpPr>
        <xdr:cNvPr id="124" name="Rectangle: Rounded Corners 123">
          <a:extLst>
            <a:ext uri="{FF2B5EF4-FFF2-40B4-BE49-F238E27FC236}">
              <a16:creationId xmlns:a16="http://schemas.microsoft.com/office/drawing/2014/main" id="{73F2D592-03B4-44C5-BCBA-FC97F280900A}"/>
            </a:ext>
          </a:extLst>
        </xdr:cNvPr>
        <xdr:cNvSpPr/>
      </xdr:nvSpPr>
      <xdr:spPr>
        <a:xfrm>
          <a:off x="7578795" y="4729370"/>
          <a:ext cx="5065229"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476250</xdr:colOff>
      <xdr:row>24</xdr:row>
      <xdr:rowOff>157370</xdr:rowOff>
    </xdr:from>
    <xdr:to>
      <xdr:col>29</xdr:col>
      <xdr:colOff>66675</xdr:colOff>
      <xdr:row>39</xdr:row>
      <xdr:rowOff>85725</xdr:rowOff>
    </xdr:to>
    <xdr:sp macro="" textlink="">
      <xdr:nvSpPr>
        <xdr:cNvPr id="125" name="Rectangle: Rounded Corners 124">
          <a:extLst>
            <a:ext uri="{FF2B5EF4-FFF2-40B4-BE49-F238E27FC236}">
              <a16:creationId xmlns:a16="http://schemas.microsoft.com/office/drawing/2014/main" id="{54250855-362D-46D5-BDF6-B991B2A3E515}"/>
            </a:ext>
          </a:extLst>
        </xdr:cNvPr>
        <xdr:cNvSpPr/>
      </xdr:nvSpPr>
      <xdr:spPr>
        <a:xfrm>
          <a:off x="12734511" y="4729370"/>
          <a:ext cx="5106642"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223838</xdr:colOff>
      <xdr:row>24</xdr:row>
      <xdr:rowOff>157370</xdr:rowOff>
    </xdr:from>
    <xdr:to>
      <xdr:col>20</xdr:col>
      <xdr:colOff>381000</xdr:colOff>
      <xdr:row>39</xdr:row>
      <xdr:rowOff>85724</xdr:rowOff>
    </xdr:to>
    <xdr:graphicFrame macro="">
      <xdr:nvGraphicFramePr>
        <xdr:cNvPr id="127" name="Chart 126">
          <a:extLst>
            <a:ext uri="{FF2B5EF4-FFF2-40B4-BE49-F238E27FC236}">
              <a16:creationId xmlns:a16="http://schemas.microsoft.com/office/drawing/2014/main" id="{B2F91DBB-0E9B-4FBC-89D5-A0505E3879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xdr:col>
      <xdr:colOff>476248</xdr:colOff>
      <xdr:row>24</xdr:row>
      <xdr:rowOff>157371</xdr:rowOff>
    </xdr:from>
    <xdr:to>
      <xdr:col>29</xdr:col>
      <xdr:colOff>76199</xdr:colOff>
      <xdr:row>39</xdr:row>
      <xdr:rowOff>85725</xdr:rowOff>
    </xdr:to>
    <xdr:graphicFrame macro="">
      <xdr:nvGraphicFramePr>
        <xdr:cNvPr id="129" name="Chart 128">
          <a:extLst>
            <a:ext uri="{FF2B5EF4-FFF2-40B4-BE49-F238E27FC236}">
              <a16:creationId xmlns:a16="http://schemas.microsoft.com/office/drawing/2014/main" id="{B792D636-C815-497B-A8C3-56AE5CC0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371475</xdr:colOff>
      <xdr:row>40</xdr:row>
      <xdr:rowOff>47625</xdr:rowOff>
    </xdr:from>
    <xdr:to>
      <xdr:col>14</xdr:col>
      <xdr:colOff>333375</xdr:colOff>
      <xdr:row>44</xdr:row>
      <xdr:rowOff>66675</xdr:rowOff>
    </xdr:to>
    <xdr:sp macro="" textlink="BASE_CALCULO!W47">
      <xdr:nvSpPr>
        <xdr:cNvPr id="145" name="Rectangle: Rounded Corners 144">
          <a:extLst>
            <a:ext uri="{FF2B5EF4-FFF2-40B4-BE49-F238E27FC236}">
              <a16:creationId xmlns:a16="http://schemas.microsoft.com/office/drawing/2014/main" id="{512F1BDE-2677-40AF-BF4A-0DB06B310B60}"/>
            </a:ext>
          </a:extLst>
        </xdr:cNvPr>
        <xdr:cNvSpPr/>
      </xdr:nvSpPr>
      <xdr:spPr>
        <a:xfrm>
          <a:off x="5857875" y="7667625"/>
          <a:ext cx="3009900"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49DCFF82-0761-4C73-B4E6-1E6EDABD5D77}" type="TxLink">
            <a:rPr lang="en-US" sz="1700" b="1" i="0" u="sng" strike="noStrike">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rPr>
            <a:pPr algn="r"/>
            <a:t> R$ 22,313.67 </a:t>
          </a:fld>
          <a:endParaRPr lang="en-US" sz="1700" b="1" i="0" u="sng">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24</xdr:col>
      <xdr:colOff>19050</xdr:colOff>
      <xdr:row>40</xdr:row>
      <xdr:rowOff>47625</xdr:rowOff>
    </xdr:from>
    <xdr:to>
      <xdr:col>29</xdr:col>
      <xdr:colOff>85725</xdr:colOff>
      <xdr:row>44</xdr:row>
      <xdr:rowOff>66675</xdr:rowOff>
    </xdr:to>
    <xdr:sp macro="" textlink="BASE_CALCULO!W49">
      <xdr:nvSpPr>
        <xdr:cNvPr id="146" name="Rectangle: Rounded Corners 145">
          <a:extLst>
            <a:ext uri="{FF2B5EF4-FFF2-40B4-BE49-F238E27FC236}">
              <a16:creationId xmlns:a16="http://schemas.microsoft.com/office/drawing/2014/main" id="{5893A77C-0827-4861-95FC-C89B319E99B9}"/>
            </a:ext>
          </a:extLst>
        </xdr:cNvPr>
        <xdr:cNvSpPr/>
      </xdr:nvSpPr>
      <xdr:spPr>
        <a:xfrm>
          <a:off x="14649450" y="766762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5E319EB-E65F-4864-BD87-ED9D2F3908A5}" type="TxLink">
            <a:rPr lang="en-US" sz="1700" b="1" i="0" u="sng" strike="noStrike">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rPr>
            <a:pPr algn="r"/>
            <a:t> R$ 67,292.64 </a:t>
          </a:fld>
          <a:endParaRPr lang="en-US" sz="1700" b="1" i="0" u="sng">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16</xdr:col>
      <xdr:colOff>552450</xdr:colOff>
      <xdr:row>40</xdr:row>
      <xdr:rowOff>47625</xdr:rowOff>
    </xdr:from>
    <xdr:to>
      <xdr:col>21</xdr:col>
      <xdr:colOff>514350</xdr:colOff>
      <xdr:row>44</xdr:row>
      <xdr:rowOff>66675</xdr:rowOff>
    </xdr:to>
    <xdr:sp macro="" textlink="BASE_CALCULO!W48">
      <xdr:nvSpPr>
        <xdr:cNvPr id="147" name="Rectangle: Rounded Corners 146">
          <a:extLst>
            <a:ext uri="{FF2B5EF4-FFF2-40B4-BE49-F238E27FC236}">
              <a16:creationId xmlns:a16="http://schemas.microsoft.com/office/drawing/2014/main" id="{67524B88-6E2F-4F66-AE8C-2CA56C8A9407}"/>
            </a:ext>
          </a:extLst>
        </xdr:cNvPr>
        <xdr:cNvSpPr/>
      </xdr:nvSpPr>
      <xdr:spPr>
        <a:xfrm>
          <a:off x="10306050" y="7667625"/>
          <a:ext cx="3009900"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1EA428D5-9697-41BA-A4B1-9039FC8E2E87}" type="TxLink">
            <a:rPr lang="en-US" sz="1700" b="1" i="0" u="sng" strike="noStrike">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rPr>
            <a:pPr algn="r"/>
            <a:t> R$ 44,978.97 </a:t>
          </a:fld>
          <a:endParaRPr lang="en-US" sz="1700" b="1" i="0" u="sng">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3</xdr:col>
      <xdr:colOff>542924</xdr:colOff>
      <xdr:row>24</xdr:row>
      <xdr:rowOff>165652</xdr:rowOff>
    </xdr:from>
    <xdr:to>
      <xdr:col>12</xdr:col>
      <xdr:colOff>133350</xdr:colOff>
      <xdr:row>39</xdr:row>
      <xdr:rowOff>95249</xdr:rowOff>
    </xdr:to>
    <xdr:graphicFrame macro="">
      <xdr:nvGraphicFramePr>
        <xdr:cNvPr id="130" name="Chart 129">
          <a:extLst>
            <a:ext uri="{FF2B5EF4-FFF2-40B4-BE49-F238E27FC236}">
              <a16:creationId xmlns:a16="http://schemas.microsoft.com/office/drawing/2014/main" id="{6463E536-31E8-4462-ABA2-89314D8105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3</xdr:col>
      <xdr:colOff>581025</xdr:colOff>
      <xdr:row>22</xdr:row>
      <xdr:rowOff>57150</xdr:rowOff>
    </xdr:from>
    <xdr:to>
      <xdr:col>4</xdr:col>
      <xdr:colOff>447675</xdr:colOff>
      <xdr:row>24</xdr:row>
      <xdr:rowOff>152400</xdr:rowOff>
    </xdr:to>
    <xdr:pic>
      <xdr:nvPicPr>
        <xdr:cNvPr id="132" name="Graphic 131" descr="Pie chart with solid fill">
          <a:extLst>
            <a:ext uri="{FF2B5EF4-FFF2-40B4-BE49-F238E27FC236}">
              <a16:creationId xmlns:a16="http://schemas.microsoft.com/office/drawing/2014/main" id="{7253AB1B-5DB7-4588-9EC8-7096A06E675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rcRect/>
        <a:stretch/>
      </xdr:blipFill>
      <xdr:spPr>
        <a:xfrm>
          <a:off x="2409825" y="4248150"/>
          <a:ext cx="476250" cy="476250"/>
        </a:xfrm>
        <a:prstGeom prst="rect">
          <a:avLst/>
        </a:prstGeom>
      </xdr:spPr>
    </xdr:pic>
    <xdr:clientData/>
  </xdr:twoCellAnchor>
  <xdr:twoCellAnchor>
    <xdr:from>
      <xdr:col>4</xdr:col>
      <xdr:colOff>438150</xdr:colOff>
      <xdr:row>22</xdr:row>
      <xdr:rowOff>171450</xdr:rowOff>
    </xdr:from>
    <xdr:to>
      <xdr:col>7</xdr:col>
      <xdr:colOff>485775</xdr:colOff>
      <xdr:row>24</xdr:row>
      <xdr:rowOff>85725</xdr:rowOff>
    </xdr:to>
    <xdr:sp macro="" textlink="">
      <xdr:nvSpPr>
        <xdr:cNvPr id="133" name="Rectangle 132">
          <a:extLst>
            <a:ext uri="{FF2B5EF4-FFF2-40B4-BE49-F238E27FC236}">
              <a16:creationId xmlns:a16="http://schemas.microsoft.com/office/drawing/2014/main" id="{C019FC34-5827-47ED-872E-60B9B2F289C8}"/>
            </a:ext>
          </a:extLst>
        </xdr:cNvPr>
        <xdr:cNvSpPr/>
      </xdr:nvSpPr>
      <xdr:spPr>
        <a:xfrm>
          <a:off x="2876550" y="4362450"/>
          <a:ext cx="1876425"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GRÁFICOS:</a:t>
          </a:r>
        </a:p>
      </xdr:txBody>
    </xdr:sp>
    <xdr:clientData/>
  </xdr:twoCellAnchor>
  <xdr:twoCellAnchor editAs="oneCell">
    <xdr:from>
      <xdr:col>3</xdr:col>
      <xdr:colOff>581025</xdr:colOff>
      <xdr:row>40</xdr:row>
      <xdr:rowOff>123825</xdr:rowOff>
    </xdr:from>
    <xdr:to>
      <xdr:col>4</xdr:col>
      <xdr:colOff>447675</xdr:colOff>
      <xdr:row>43</xdr:row>
      <xdr:rowOff>28575</xdr:rowOff>
    </xdr:to>
    <xdr:pic>
      <xdr:nvPicPr>
        <xdr:cNvPr id="144" name="Graphic 143" descr="Bank with solid fill">
          <a:extLst>
            <a:ext uri="{FF2B5EF4-FFF2-40B4-BE49-F238E27FC236}">
              <a16:creationId xmlns:a16="http://schemas.microsoft.com/office/drawing/2014/main" id="{29FDB204-02C0-42DF-A8B3-5C0E1075A9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rcRect/>
        <a:stretch/>
      </xdr:blipFill>
      <xdr:spPr>
        <a:xfrm>
          <a:off x="2409825" y="7743825"/>
          <a:ext cx="476250" cy="476250"/>
        </a:xfrm>
        <a:prstGeom prst="rect">
          <a:avLst/>
        </a:prstGeom>
      </xdr:spPr>
    </xdr:pic>
    <xdr:clientData/>
  </xdr:twoCellAnchor>
  <xdr:twoCellAnchor>
    <xdr:from>
      <xdr:col>3</xdr:col>
      <xdr:colOff>552449</xdr:colOff>
      <xdr:row>8</xdr:row>
      <xdr:rowOff>161924</xdr:rowOff>
    </xdr:from>
    <xdr:to>
      <xdr:col>7</xdr:col>
      <xdr:colOff>333374</xdr:colOff>
      <xdr:row>15</xdr:row>
      <xdr:rowOff>123825</xdr:rowOff>
    </xdr:to>
    <xdr:sp macro="" textlink="BASE_CALCULO!S41">
      <xdr:nvSpPr>
        <xdr:cNvPr id="148" name="Rectangle: Rounded Corners 147">
          <a:extLst>
            <a:ext uri="{FF2B5EF4-FFF2-40B4-BE49-F238E27FC236}">
              <a16:creationId xmlns:a16="http://schemas.microsoft.com/office/drawing/2014/main" id="{BCB958FD-7ACF-46CC-B4B8-C1E22FB871A6}"/>
            </a:ext>
          </a:extLst>
        </xdr:cNvPr>
        <xdr:cNvSpPr/>
      </xdr:nvSpPr>
      <xdr:spPr>
        <a:xfrm>
          <a:off x="238124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B9AA87E-1927-4C86-A130-42B72BC34AB8}" type="TxLink">
            <a:rPr lang="en-US" sz="1100" b="1" i="0" u="none" strike="noStrike">
              <a:solidFill>
                <a:srgbClr val="FFC000"/>
              </a:solidFill>
              <a:latin typeface="Segoe UI" panose="020B0502040204020203" pitchFamily="34" charset="0"/>
              <a:cs typeface="Segoe UI" panose="020B0502040204020203" pitchFamily="34" charset="0"/>
            </a:rPr>
            <a:pPr algn="r"/>
            <a:t>-R$ 5,819.80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8</xdr:col>
      <xdr:colOff>135254</xdr:colOff>
      <xdr:row>8</xdr:row>
      <xdr:rowOff>161924</xdr:rowOff>
    </xdr:from>
    <xdr:to>
      <xdr:col>11</xdr:col>
      <xdr:colOff>525779</xdr:colOff>
      <xdr:row>15</xdr:row>
      <xdr:rowOff>123825</xdr:rowOff>
    </xdr:to>
    <xdr:sp macro="" textlink="BASE_CALCULO!T41">
      <xdr:nvSpPr>
        <xdr:cNvPr id="154" name="Rectangle: Rounded Corners 153">
          <a:extLst>
            <a:ext uri="{FF2B5EF4-FFF2-40B4-BE49-F238E27FC236}">
              <a16:creationId xmlns:a16="http://schemas.microsoft.com/office/drawing/2014/main" id="{4F39C82D-12B5-47B0-BB62-C6FB1EFD674C}"/>
            </a:ext>
          </a:extLst>
        </xdr:cNvPr>
        <xdr:cNvSpPr/>
      </xdr:nvSpPr>
      <xdr:spPr>
        <a:xfrm>
          <a:off x="501205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B1088557-1F23-46B5-9EEA-0D0FF0A4AE1B}" type="TxLink">
            <a:rPr lang="en-US" sz="1100" b="1" i="0" u="none" strike="noStrike">
              <a:solidFill>
                <a:srgbClr val="FFC000"/>
              </a:solidFill>
              <a:latin typeface="Segoe UI" panose="020B0502040204020203" pitchFamily="34" charset="0"/>
              <a:cs typeface="Segoe UI" panose="020B0502040204020203" pitchFamily="34" charset="0"/>
            </a:rPr>
            <a:pPr algn="r"/>
            <a:t>-R$ 14,508.82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12</xdr:col>
      <xdr:colOff>327659</xdr:colOff>
      <xdr:row>8</xdr:row>
      <xdr:rowOff>161924</xdr:rowOff>
    </xdr:from>
    <xdr:to>
      <xdr:col>16</xdr:col>
      <xdr:colOff>108584</xdr:colOff>
      <xdr:row>15</xdr:row>
      <xdr:rowOff>123825</xdr:rowOff>
    </xdr:to>
    <xdr:sp macro="" textlink="BASE_CALCULO!U41">
      <xdr:nvSpPr>
        <xdr:cNvPr id="155" name="Rectangle: Rounded Corners 154">
          <a:extLst>
            <a:ext uri="{FF2B5EF4-FFF2-40B4-BE49-F238E27FC236}">
              <a16:creationId xmlns:a16="http://schemas.microsoft.com/office/drawing/2014/main" id="{5E477028-C3AB-404B-8F8C-50C9A237848C}"/>
            </a:ext>
          </a:extLst>
        </xdr:cNvPr>
        <xdr:cNvSpPr/>
      </xdr:nvSpPr>
      <xdr:spPr>
        <a:xfrm>
          <a:off x="764285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BE5F9224-9B46-45D4-AB50-AA5AB2DA800A}" type="TxLink">
            <a:rPr lang="en-US" sz="1100" b="1" i="0" u="none" strike="noStrike">
              <a:solidFill>
                <a:srgbClr val="FFC000"/>
              </a:solidFill>
              <a:latin typeface="Segoe UI" panose="020B0502040204020203" pitchFamily="34" charset="0"/>
              <a:cs typeface="Segoe UI" panose="020B0502040204020203" pitchFamily="34" charset="0"/>
            </a:rPr>
            <a:pPr algn="r"/>
            <a:t>-R$ 14,291.44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16</xdr:col>
      <xdr:colOff>520064</xdr:colOff>
      <xdr:row>8</xdr:row>
      <xdr:rowOff>161924</xdr:rowOff>
    </xdr:from>
    <xdr:to>
      <xdr:col>20</xdr:col>
      <xdr:colOff>300989</xdr:colOff>
      <xdr:row>15</xdr:row>
      <xdr:rowOff>123825</xdr:rowOff>
    </xdr:to>
    <xdr:sp macro="" textlink="BASE_CALCULO!V41">
      <xdr:nvSpPr>
        <xdr:cNvPr id="156" name="Rectangle: Rounded Corners 155">
          <a:extLst>
            <a:ext uri="{FF2B5EF4-FFF2-40B4-BE49-F238E27FC236}">
              <a16:creationId xmlns:a16="http://schemas.microsoft.com/office/drawing/2014/main" id="{0430AB33-53BC-413C-B7B7-B25E22898A95}"/>
            </a:ext>
          </a:extLst>
        </xdr:cNvPr>
        <xdr:cNvSpPr/>
      </xdr:nvSpPr>
      <xdr:spPr>
        <a:xfrm>
          <a:off x="1027366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E8EEF120-BFC6-43E0-A1E0-EFCF74C49BC8}" type="TxLink">
            <a:rPr lang="en-US" sz="1100" b="1" i="0" u="none" strike="noStrike">
              <a:solidFill>
                <a:srgbClr val="FFC000"/>
              </a:solidFill>
              <a:latin typeface="Segoe UI" panose="020B0502040204020203" pitchFamily="34" charset="0"/>
              <a:cs typeface="Segoe UI" panose="020B0502040204020203" pitchFamily="34" charset="0"/>
            </a:rPr>
            <a:pPr algn="r"/>
            <a:t> R$ 4,998.95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21</xdr:col>
      <xdr:colOff>102869</xdr:colOff>
      <xdr:row>8</xdr:row>
      <xdr:rowOff>161924</xdr:rowOff>
    </xdr:from>
    <xdr:to>
      <xdr:col>24</xdr:col>
      <xdr:colOff>493394</xdr:colOff>
      <xdr:row>15</xdr:row>
      <xdr:rowOff>123825</xdr:rowOff>
    </xdr:to>
    <xdr:sp macro="" textlink="BASE_CALCULO!X41">
      <xdr:nvSpPr>
        <xdr:cNvPr id="157" name="Rectangle: Rounded Corners 156">
          <a:extLst>
            <a:ext uri="{FF2B5EF4-FFF2-40B4-BE49-F238E27FC236}">
              <a16:creationId xmlns:a16="http://schemas.microsoft.com/office/drawing/2014/main" id="{BF3F6FFC-F3FA-4B97-A1EC-844F92D60AD3}"/>
            </a:ext>
          </a:extLst>
        </xdr:cNvPr>
        <xdr:cNvSpPr/>
      </xdr:nvSpPr>
      <xdr:spPr>
        <a:xfrm>
          <a:off x="1290446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92BD171-9BD9-4622-9A60-925D2C9A30C5}" type="TxLink">
            <a:rPr lang="en-US" sz="1100" b="1" i="0" u="none" strike="noStrike">
              <a:solidFill>
                <a:srgbClr val="FFC000"/>
              </a:solidFill>
              <a:latin typeface="Segoe UI" panose="020B0502040204020203" pitchFamily="34" charset="0"/>
              <a:cs typeface="Segoe UI" panose="020B0502040204020203" pitchFamily="34" charset="0"/>
            </a:rPr>
            <a:pPr algn="r"/>
            <a:t>-R$ 55,621.11 </a:t>
          </a:fld>
          <a:endParaRPr lang="en-US" sz="110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25</xdr:col>
      <xdr:colOff>295274</xdr:colOff>
      <xdr:row>8</xdr:row>
      <xdr:rowOff>161924</xdr:rowOff>
    </xdr:from>
    <xdr:to>
      <xdr:col>29</xdr:col>
      <xdr:colOff>76199</xdr:colOff>
      <xdr:row>15</xdr:row>
      <xdr:rowOff>123825</xdr:rowOff>
    </xdr:to>
    <xdr:sp macro="" textlink="BASE_CALCULO!W41">
      <xdr:nvSpPr>
        <xdr:cNvPr id="158" name="Rectangle: Rounded Corners 157">
          <a:extLst>
            <a:ext uri="{FF2B5EF4-FFF2-40B4-BE49-F238E27FC236}">
              <a16:creationId xmlns:a16="http://schemas.microsoft.com/office/drawing/2014/main" id="{FDE05524-AA98-4A04-9ED9-D594CD2F304D}"/>
            </a:ext>
          </a:extLst>
        </xdr:cNvPr>
        <xdr:cNvSpPr/>
      </xdr:nvSpPr>
      <xdr:spPr>
        <a:xfrm>
          <a:off x="1553527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DAE23B6A-140D-48A0-8467-84E5FAF4D2DA}" type="TxLink">
            <a:rPr lang="en-US" sz="1100" b="1" i="0" u="none" strike="noStrike">
              <a:solidFill>
                <a:srgbClr val="FFC000"/>
              </a:solidFill>
              <a:latin typeface="Segoe UI" panose="020B0502040204020203" pitchFamily="34" charset="0"/>
              <a:cs typeface="Segoe UI" panose="020B0502040204020203" pitchFamily="34" charset="0"/>
            </a:rPr>
            <a:pPr algn="r"/>
            <a:t> R$ 8,197.27 </a:t>
          </a:fld>
          <a:endParaRPr lang="en-US" sz="110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4</xdr:col>
      <xdr:colOff>209549</xdr:colOff>
      <xdr:row>8</xdr:row>
      <xdr:rowOff>142874</xdr:rowOff>
    </xdr:from>
    <xdr:to>
      <xdr:col>7</xdr:col>
      <xdr:colOff>600074</xdr:colOff>
      <xdr:row>15</xdr:row>
      <xdr:rowOff>104775</xdr:rowOff>
    </xdr:to>
    <xdr:sp macro="" textlink="">
      <xdr:nvSpPr>
        <xdr:cNvPr id="159" name="Rectangle: Rounded Corners 158">
          <a:extLst>
            <a:ext uri="{FF2B5EF4-FFF2-40B4-BE49-F238E27FC236}">
              <a16:creationId xmlns:a16="http://schemas.microsoft.com/office/drawing/2014/main" id="{C088CD3B-C5F4-4381-A661-428C5093C56C}"/>
            </a:ext>
          </a:extLst>
        </xdr:cNvPr>
        <xdr:cNvSpPr/>
      </xdr:nvSpPr>
      <xdr:spPr>
        <a:xfrm>
          <a:off x="264794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50" b="1" i="0" u="none" strike="noStrike">
              <a:solidFill>
                <a:schemeClr val="bg2">
                  <a:lumMod val="90000"/>
                </a:schemeClr>
              </a:solidFill>
              <a:latin typeface="Segoe UI" panose="020B0502040204020203" pitchFamily="34" charset="0"/>
              <a:cs typeface="Segoe UI" panose="020B0502040204020203" pitchFamily="34" charset="0"/>
            </a:rPr>
            <a:t>Diff:</a:t>
          </a:r>
        </a:p>
        <a:p>
          <a:pPr algn="ctr"/>
          <a:endParaRPr lang="en-US" sz="1050" b="1" i="0" u="none" strike="noStrike">
            <a:solidFill>
              <a:schemeClr val="bg2">
                <a:lumMod val="90000"/>
              </a:schemeClr>
            </a:solidFill>
            <a:latin typeface="Segoe UI" panose="020B0502040204020203" pitchFamily="34" charset="0"/>
            <a:cs typeface="Segoe UI" panose="020B0502040204020203" pitchFamily="34" charset="0"/>
          </a:endParaRPr>
        </a:p>
      </xdr:txBody>
    </xdr:sp>
    <xdr:clientData/>
  </xdr:twoCellAnchor>
  <xdr:twoCellAnchor>
    <xdr:from>
      <xdr:col>25</xdr:col>
      <xdr:colOff>571499</xdr:colOff>
      <xdr:row>8</xdr:row>
      <xdr:rowOff>142874</xdr:rowOff>
    </xdr:from>
    <xdr:to>
      <xdr:col>29</xdr:col>
      <xdr:colOff>352424</xdr:colOff>
      <xdr:row>15</xdr:row>
      <xdr:rowOff>104775</xdr:rowOff>
    </xdr:to>
    <xdr:sp macro="" textlink="">
      <xdr:nvSpPr>
        <xdr:cNvPr id="160" name="Rectangle: Rounded Corners 159">
          <a:extLst>
            <a:ext uri="{FF2B5EF4-FFF2-40B4-BE49-F238E27FC236}">
              <a16:creationId xmlns:a16="http://schemas.microsoft.com/office/drawing/2014/main" id="{8412354E-39B4-4AD6-8035-1B270F8C4FB4}"/>
            </a:ext>
          </a:extLst>
        </xdr:cNvPr>
        <xdr:cNvSpPr/>
      </xdr:nvSpPr>
      <xdr:spPr>
        <a:xfrm>
          <a:off x="1581149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8</xdr:col>
      <xdr:colOff>403859</xdr:colOff>
      <xdr:row>8</xdr:row>
      <xdr:rowOff>142874</xdr:rowOff>
    </xdr:from>
    <xdr:to>
      <xdr:col>12</xdr:col>
      <xdr:colOff>184784</xdr:colOff>
      <xdr:row>15</xdr:row>
      <xdr:rowOff>104775</xdr:rowOff>
    </xdr:to>
    <xdr:sp macro="" textlink="">
      <xdr:nvSpPr>
        <xdr:cNvPr id="161" name="Rectangle: Rounded Corners 160">
          <a:extLst>
            <a:ext uri="{FF2B5EF4-FFF2-40B4-BE49-F238E27FC236}">
              <a16:creationId xmlns:a16="http://schemas.microsoft.com/office/drawing/2014/main" id="{FBBC9AB9-C3B0-4E7F-BAFE-C2A99EB4D11A}"/>
            </a:ext>
          </a:extLst>
        </xdr:cNvPr>
        <xdr:cNvSpPr/>
      </xdr:nvSpPr>
      <xdr:spPr>
        <a:xfrm>
          <a:off x="528065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12</xdr:col>
      <xdr:colOff>598169</xdr:colOff>
      <xdr:row>8</xdr:row>
      <xdr:rowOff>142874</xdr:rowOff>
    </xdr:from>
    <xdr:to>
      <xdr:col>16</xdr:col>
      <xdr:colOff>379094</xdr:colOff>
      <xdr:row>15</xdr:row>
      <xdr:rowOff>104775</xdr:rowOff>
    </xdr:to>
    <xdr:sp macro="" textlink="">
      <xdr:nvSpPr>
        <xdr:cNvPr id="162" name="Rectangle: Rounded Corners 161">
          <a:extLst>
            <a:ext uri="{FF2B5EF4-FFF2-40B4-BE49-F238E27FC236}">
              <a16:creationId xmlns:a16="http://schemas.microsoft.com/office/drawing/2014/main" id="{834A3107-1948-4015-92D9-0677A187A990}"/>
            </a:ext>
          </a:extLst>
        </xdr:cNvPr>
        <xdr:cNvSpPr/>
      </xdr:nvSpPr>
      <xdr:spPr>
        <a:xfrm>
          <a:off x="791336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17</xdr:col>
      <xdr:colOff>182879</xdr:colOff>
      <xdr:row>8</xdr:row>
      <xdr:rowOff>142874</xdr:rowOff>
    </xdr:from>
    <xdr:to>
      <xdr:col>20</xdr:col>
      <xdr:colOff>573404</xdr:colOff>
      <xdr:row>15</xdr:row>
      <xdr:rowOff>104775</xdr:rowOff>
    </xdr:to>
    <xdr:sp macro="" textlink="">
      <xdr:nvSpPr>
        <xdr:cNvPr id="163" name="Rectangle: Rounded Corners 162">
          <a:extLst>
            <a:ext uri="{FF2B5EF4-FFF2-40B4-BE49-F238E27FC236}">
              <a16:creationId xmlns:a16="http://schemas.microsoft.com/office/drawing/2014/main" id="{F387E07D-49FE-4B1C-94A2-77C400275733}"/>
            </a:ext>
          </a:extLst>
        </xdr:cNvPr>
        <xdr:cNvSpPr/>
      </xdr:nvSpPr>
      <xdr:spPr>
        <a:xfrm>
          <a:off x="1054607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21</xdr:col>
      <xdr:colOff>377189</xdr:colOff>
      <xdr:row>8</xdr:row>
      <xdr:rowOff>142874</xdr:rowOff>
    </xdr:from>
    <xdr:to>
      <xdr:col>25</xdr:col>
      <xdr:colOff>158114</xdr:colOff>
      <xdr:row>15</xdr:row>
      <xdr:rowOff>104775</xdr:rowOff>
    </xdr:to>
    <xdr:sp macro="" textlink="">
      <xdr:nvSpPr>
        <xdr:cNvPr id="164" name="Rectangle: Rounded Corners 163">
          <a:extLst>
            <a:ext uri="{FF2B5EF4-FFF2-40B4-BE49-F238E27FC236}">
              <a16:creationId xmlns:a16="http://schemas.microsoft.com/office/drawing/2014/main" id="{1CEF4CF9-4A8A-4A8C-9514-DC3275A52BF5}"/>
            </a:ext>
          </a:extLst>
        </xdr:cNvPr>
        <xdr:cNvSpPr/>
      </xdr:nvSpPr>
      <xdr:spPr>
        <a:xfrm>
          <a:off x="1317878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10</xdr:col>
      <xdr:colOff>152400</xdr:colOff>
      <xdr:row>39</xdr:row>
      <xdr:rowOff>171450</xdr:rowOff>
    </xdr:from>
    <xdr:to>
      <xdr:col>14</xdr:col>
      <xdr:colOff>523875</xdr:colOff>
      <xdr:row>44</xdr:row>
      <xdr:rowOff>0</xdr:rowOff>
    </xdr:to>
    <xdr:sp macro="" textlink="BASE_CALCULO!V47">
      <xdr:nvSpPr>
        <xdr:cNvPr id="166" name="Rectangle: Rounded Corners 165">
          <a:extLst>
            <a:ext uri="{FF2B5EF4-FFF2-40B4-BE49-F238E27FC236}">
              <a16:creationId xmlns:a16="http://schemas.microsoft.com/office/drawing/2014/main" id="{2627ECD7-5617-4FFF-BB30-F6885D083320}"/>
            </a:ext>
          </a:extLst>
        </xdr:cNvPr>
        <xdr:cNvSpPr/>
      </xdr:nvSpPr>
      <xdr:spPr>
        <a:xfrm>
          <a:off x="624840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02220FA3-4864-48C2-BD84-2EBFBB614DF2}" type="TxLink">
            <a:rPr lang="en-US" sz="1100" b="0" i="0" u="none" strike="noStrike">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30.00%</a:t>
          </a:fld>
          <a:endParaRPr lang="en-US" sz="900" b="1">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409575</xdr:colOff>
      <xdr:row>39</xdr:row>
      <xdr:rowOff>171450</xdr:rowOff>
    </xdr:from>
    <xdr:to>
      <xdr:col>29</xdr:col>
      <xdr:colOff>171450</xdr:colOff>
      <xdr:row>44</xdr:row>
      <xdr:rowOff>0</xdr:rowOff>
    </xdr:to>
    <xdr:sp macro="" textlink="BASE_CALCULO!V49">
      <xdr:nvSpPr>
        <xdr:cNvPr id="167" name="Rectangle: Rounded Corners 166">
          <a:extLst>
            <a:ext uri="{FF2B5EF4-FFF2-40B4-BE49-F238E27FC236}">
              <a16:creationId xmlns:a16="http://schemas.microsoft.com/office/drawing/2014/main" id="{0243E812-26E3-4034-8FC4-0F1BA51CBA82}"/>
            </a:ext>
          </a:extLst>
        </xdr:cNvPr>
        <xdr:cNvSpPr/>
      </xdr:nvSpPr>
      <xdr:spPr>
        <a:xfrm>
          <a:off x="15039975"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D427F110-2012-4ED6-9EFA-3FA4B86326EB}" type="TxLink">
            <a:rPr lang="en-US" sz="1100" b="0" i="0" u="none" strike="noStrike">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15.55%</a:t>
          </a:fld>
          <a:endParaRPr lang="en-US" sz="900" b="1">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17</xdr:col>
      <xdr:colOff>323850</xdr:colOff>
      <xdr:row>39</xdr:row>
      <xdr:rowOff>171450</xdr:rowOff>
    </xdr:from>
    <xdr:to>
      <xdr:col>22</xdr:col>
      <xdr:colOff>85725</xdr:colOff>
      <xdr:row>44</xdr:row>
      <xdr:rowOff>0</xdr:rowOff>
    </xdr:to>
    <xdr:sp macro="" textlink="BASE_CALCULO!V48">
      <xdr:nvSpPr>
        <xdr:cNvPr id="168" name="Rectangle: Rounded Corners 167">
          <a:extLst>
            <a:ext uri="{FF2B5EF4-FFF2-40B4-BE49-F238E27FC236}">
              <a16:creationId xmlns:a16="http://schemas.microsoft.com/office/drawing/2014/main" id="{60A56BA7-BDC2-4970-BAE7-9F9F16B979C7}"/>
            </a:ext>
          </a:extLst>
        </xdr:cNvPr>
        <xdr:cNvSpPr/>
      </xdr:nvSpPr>
      <xdr:spPr>
        <a:xfrm>
          <a:off x="1068705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63F61C09-3677-4467-9EDF-BDCA146F3DB4}" type="TxLink">
            <a:rPr lang="en-US" sz="1100" b="0" i="0" u="none" strike="noStrike">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1.10%</a:t>
          </a:fld>
          <a:endParaRPr lang="en-US" sz="900" b="1">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8</xdr:col>
      <xdr:colOff>495300</xdr:colOff>
      <xdr:row>39</xdr:row>
      <xdr:rowOff>171450</xdr:rowOff>
    </xdr:from>
    <xdr:to>
      <xdr:col>13</xdr:col>
      <xdr:colOff>561975</xdr:colOff>
      <xdr:row>44</xdr:row>
      <xdr:rowOff>0</xdr:rowOff>
    </xdr:to>
    <xdr:sp macro="" textlink="">
      <xdr:nvSpPr>
        <xdr:cNvPr id="169" name="Rectangle: Rounded Corners 168">
          <a:extLst>
            <a:ext uri="{FF2B5EF4-FFF2-40B4-BE49-F238E27FC236}">
              <a16:creationId xmlns:a16="http://schemas.microsoft.com/office/drawing/2014/main" id="{7504E2D0-6E35-4D0C-A5A9-6F178D1B4C7B}"/>
            </a:ext>
          </a:extLst>
        </xdr:cNvPr>
        <xdr:cNvSpPr/>
      </xdr:nvSpPr>
      <xdr:spPr>
        <a:xfrm>
          <a:off x="53721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100" b="1" i="0" u="none" strike="noStrike">
              <a:solidFill>
                <a:schemeClr val="tx1">
                  <a:lumMod val="65000"/>
                  <a:lumOff val="35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Fatorização: </a:t>
          </a:r>
        </a:p>
      </xdr:txBody>
    </xdr:sp>
    <xdr:clientData/>
  </xdr:twoCellAnchor>
  <xdr:twoCellAnchor>
    <xdr:from>
      <xdr:col>23</xdr:col>
      <xdr:colOff>152400</xdr:colOff>
      <xdr:row>39</xdr:row>
      <xdr:rowOff>171450</xdr:rowOff>
    </xdr:from>
    <xdr:to>
      <xdr:col>28</xdr:col>
      <xdr:colOff>219075</xdr:colOff>
      <xdr:row>44</xdr:row>
      <xdr:rowOff>0</xdr:rowOff>
    </xdr:to>
    <xdr:sp macro="" textlink="">
      <xdr:nvSpPr>
        <xdr:cNvPr id="170" name="Rectangle: Rounded Corners 169">
          <a:extLst>
            <a:ext uri="{FF2B5EF4-FFF2-40B4-BE49-F238E27FC236}">
              <a16:creationId xmlns:a16="http://schemas.microsoft.com/office/drawing/2014/main" id="{7687CF09-73D6-475F-ABB1-E95BD931A91B}"/>
            </a:ext>
          </a:extLst>
        </xdr:cNvPr>
        <xdr:cNvSpPr/>
      </xdr:nvSpPr>
      <xdr:spPr>
        <a:xfrm>
          <a:off x="141732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US" sz="1100" b="1" i="0">
              <a:solidFill>
                <a:schemeClr val="tx1">
                  <a:lumMod val="65000"/>
                  <a:lumOff val="3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Fatorização: </a:t>
          </a:r>
          <a:endParaRPr lang="en-US">
            <a:solidFill>
              <a:schemeClr val="tx1">
                <a:lumMod val="65000"/>
                <a:lumOff val="35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66675</xdr:colOff>
      <xdr:row>39</xdr:row>
      <xdr:rowOff>171450</xdr:rowOff>
    </xdr:from>
    <xdr:to>
      <xdr:col>21</xdr:col>
      <xdr:colOff>133350</xdr:colOff>
      <xdr:row>44</xdr:row>
      <xdr:rowOff>0</xdr:rowOff>
    </xdr:to>
    <xdr:sp macro="" textlink="">
      <xdr:nvSpPr>
        <xdr:cNvPr id="171" name="Rectangle: Rounded Corners 170">
          <a:extLst>
            <a:ext uri="{FF2B5EF4-FFF2-40B4-BE49-F238E27FC236}">
              <a16:creationId xmlns:a16="http://schemas.microsoft.com/office/drawing/2014/main" id="{A6108C85-F5ED-4169-8A49-EEF0207B1517}"/>
            </a:ext>
          </a:extLst>
        </xdr:cNvPr>
        <xdr:cNvSpPr/>
      </xdr:nvSpPr>
      <xdr:spPr>
        <a:xfrm>
          <a:off x="9820275"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US" sz="1100" b="1" i="0">
              <a:solidFill>
                <a:schemeClr val="tx1">
                  <a:lumMod val="65000"/>
                  <a:lumOff val="3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Fatorização: </a:t>
          </a:r>
          <a:endParaRPr lang="en-US">
            <a:solidFill>
              <a:schemeClr val="tx1">
                <a:lumMod val="65000"/>
                <a:lumOff val="35000"/>
              </a:schemeClr>
            </a:solidFill>
            <a:effectLst/>
            <a:latin typeface="Segoe UI" panose="020B0502040204020203" pitchFamily="34" charset="0"/>
            <a:cs typeface="Segoe UI" panose="020B0502040204020203" pitchFamily="34" charset="0"/>
          </a:endParaRPr>
        </a:p>
      </xdr:txBody>
    </xdr:sp>
    <xdr:clientData/>
  </xdr:twoCellAnchor>
  <xdr:twoCellAnchor>
    <xdr:from>
      <xdr:col>10</xdr:col>
      <xdr:colOff>28575</xdr:colOff>
      <xdr:row>40</xdr:row>
      <xdr:rowOff>142875</xdr:rowOff>
    </xdr:from>
    <xdr:to>
      <xdr:col>14</xdr:col>
      <xdr:colOff>400050</xdr:colOff>
      <xdr:row>44</xdr:row>
      <xdr:rowOff>161925</xdr:rowOff>
    </xdr:to>
    <xdr:sp macro="" textlink="BASE_CALCULO!U47">
      <xdr:nvSpPr>
        <xdr:cNvPr id="185" name="Rectangle: Rounded Corners 184">
          <a:extLst>
            <a:ext uri="{FF2B5EF4-FFF2-40B4-BE49-F238E27FC236}">
              <a16:creationId xmlns:a16="http://schemas.microsoft.com/office/drawing/2014/main" id="{3E92A020-70FD-4EDF-9AA6-ECBAB4B0D0E7}"/>
            </a:ext>
          </a:extLst>
        </xdr:cNvPr>
        <xdr:cNvSpPr/>
      </xdr:nvSpPr>
      <xdr:spPr>
        <a:xfrm>
          <a:off x="6124575" y="7762875"/>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4A40200-3943-44D2-B9B0-2BF12298DF6C}" type="TxLink">
            <a:rPr lang="en-US" sz="1600" b="0" i="0" u="none" strike="noStrike">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57.21%</a:t>
          </a:fld>
          <a:endParaRPr lang="en-US" sz="1600" b="1">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285750</xdr:colOff>
      <xdr:row>40</xdr:row>
      <xdr:rowOff>142875</xdr:rowOff>
    </xdr:from>
    <xdr:to>
      <xdr:col>29</xdr:col>
      <xdr:colOff>47625</xdr:colOff>
      <xdr:row>44</xdr:row>
      <xdr:rowOff>161925</xdr:rowOff>
    </xdr:to>
    <xdr:sp macro="" textlink="BASE_CALCULO!U49">
      <xdr:nvSpPr>
        <xdr:cNvPr id="186" name="Rectangle: Rounded Corners 185">
          <a:extLst>
            <a:ext uri="{FF2B5EF4-FFF2-40B4-BE49-F238E27FC236}">
              <a16:creationId xmlns:a16="http://schemas.microsoft.com/office/drawing/2014/main" id="{FFEFC0B2-1096-4041-823F-C7E769DA4E0C}"/>
            </a:ext>
          </a:extLst>
        </xdr:cNvPr>
        <xdr:cNvSpPr/>
      </xdr:nvSpPr>
      <xdr:spPr>
        <a:xfrm>
          <a:off x="14916150" y="7762875"/>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F75902A-2B9C-48CB-A1FC-3EEAC0E086C8}" type="TxLink">
            <a:rPr lang="en-US" sz="1600" b="0" i="0" u="none" strike="noStrike">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94.37%</a:t>
          </a:fld>
          <a:endParaRPr lang="en-US" sz="1600" b="1">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17</xdr:col>
      <xdr:colOff>200025</xdr:colOff>
      <xdr:row>40</xdr:row>
      <xdr:rowOff>142875</xdr:rowOff>
    </xdr:from>
    <xdr:to>
      <xdr:col>21</xdr:col>
      <xdr:colOff>571500</xdr:colOff>
      <xdr:row>44</xdr:row>
      <xdr:rowOff>161925</xdr:rowOff>
    </xdr:to>
    <xdr:sp macro="" textlink="BASE_CALCULO!U48">
      <xdr:nvSpPr>
        <xdr:cNvPr id="187" name="Rectangle: Rounded Corners 186">
          <a:extLst>
            <a:ext uri="{FF2B5EF4-FFF2-40B4-BE49-F238E27FC236}">
              <a16:creationId xmlns:a16="http://schemas.microsoft.com/office/drawing/2014/main" id="{780F78C3-33B7-4F67-AC63-10BB0083A2BE}"/>
            </a:ext>
          </a:extLst>
        </xdr:cNvPr>
        <xdr:cNvSpPr/>
      </xdr:nvSpPr>
      <xdr:spPr>
        <a:xfrm>
          <a:off x="10563225" y="7762875"/>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9D1F73C-EB84-4388-AD3F-57C32C74056A}" type="TxLink">
            <a:rPr lang="en-US" sz="1600" b="0" i="0" u="none" strike="noStrike">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131.53%</a:t>
          </a:fld>
          <a:endParaRPr lang="en-US" sz="1600" b="1">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8</xdr:col>
      <xdr:colOff>457200</xdr:colOff>
      <xdr:row>40</xdr:row>
      <xdr:rowOff>142875</xdr:rowOff>
    </xdr:from>
    <xdr:to>
      <xdr:col>13</xdr:col>
      <xdr:colOff>523875</xdr:colOff>
      <xdr:row>44</xdr:row>
      <xdr:rowOff>161925</xdr:rowOff>
    </xdr:to>
    <xdr:sp macro="" textlink="">
      <xdr:nvSpPr>
        <xdr:cNvPr id="188" name="Rectangle: Rounded Corners 187">
          <a:extLst>
            <a:ext uri="{FF2B5EF4-FFF2-40B4-BE49-F238E27FC236}">
              <a16:creationId xmlns:a16="http://schemas.microsoft.com/office/drawing/2014/main" id="{1BEA71A0-CE54-4386-950F-ED9C3FF88F26}"/>
            </a:ext>
          </a:extLst>
        </xdr:cNvPr>
        <xdr:cNvSpPr/>
      </xdr:nvSpPr>
      <xdr:spPr>
        <a:xfrm>
          <a:off x="5334000" y="776287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i="0" u="none" strike="noStrike">
              <a:solidFill>
                <a:schemeClr val="bg1">
                  <a:lumMod val="65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 ICM: </a:t>
          </a:r>
        </a:p>
      </xdr:txBody>
    </xdr:sp>
    <xdr:clientData/>
  </xdr:twoCellAnchor>
  <xdr:twoCellAnchor>
    <xdr:from>
      <xdr:col>23</xdr:col>
      <xdr:colOff>114300</xdr:colOff>
      <xdr:row>40</xdr:row>
      <xdr:rowOff>142875</xdr:rowOff>
    </xdr:from>
    <xdr:to>
      <xdr:col>28</xdr:col>
      <xdr:colOff>180975</xdr:colOff>
      <xdr:row>44</xdr:row>
      <xdr:rowOff>161925</xdr:rowOff>
    </xdr:to>
    <xdr:sp macro="" textlink="">
      <xdr:nvSpPr>
        <xdr:cNvPr id="189" name="Rectangle: Rounded Corners 188">
          <a:extLst>
            <a:ext uri="{FF2B5EF4-FFF2-40B4-BE49-F238E27FC236}">
              <a16:creationId xmlns:a16="http://schemas.microsoft.com/office/drawing/2014/main" id="{149CB64E-0742-4F40-9176-B5F83268E699}"/>
            </a:ext>
          </a:extLst>
        </xdr:cNvPr>
        <xdr:cNvSpPr/>
      </xdr:nvSpPr>
      <xdr:spPr>
        <a:xfrm>
          <a:off x="14135100" y="776287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600" b="1" i="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 ICM: </a:t>
          </a:r>
          <a:endParaRPr lang="en-US" sz="1600">
            <a:solidFill>
              <a:schemeClr val="bg1">
                <a:lumMod val="65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28575</xdr:colOff>
      <xdr:row>40</xdr:row>
      <xdr:rowOff>142875</xdr:rowOff>
    </xdr:from>
    <xdr:to>
      <xdr:col>21</xdr:col>
      <xdr:colOff>95250</xdr:colOff>
      <xdr:row>44</xdr:row>
      <xdr:rowOff>161925</xdr:rowOff>
    </xdr:to>
    <xdr:sp macro="" textlink="">
      <xdr:nvSpPr>
        <xdr:cNvPr id="190" name="Rectangle: Rounded Corners 189">
          <a:extLst>
            <a:ext uri="{FF2B5EF4-FFF2-40B4-BE49-F238E27FC236}">
              <a16:creationId xmlns:a16="http://schemas.microsoft.com/office/drawing/2014/main" id="{867B3424-5985-4256-8368-EB43437D0ACC}"/>
            </a:ext>
          </a:extLst>
        </xdr:cNvPr>
        <xdr:cNvSpPr/>
      </xdr:nvSpPr>
      <xdr:spPr>
        <a:xfrm>
          <a:off x="9782175" y="776287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600" b="1" i="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a:t>
          </a:r>
          <a:r>
            <a:rPr lang="en-US" sz="1600" b="1" i="0" baseline="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ICM</a:t>
          </a:r>
          <a:r>
            <a:rPr lang="en-US" sz="1600" b="1" i="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a:t>
          </a:r>
          <a:endParaRPr lang="en-US" sz="1600">
            <a:solidFill>
              <a:schemeClr val="bg1">
                <a:lumMod val="65000"/>
              </a:schemeClr>
            </a:solidFill>
            <a:effectLst/>
            <a:latin typeface="Segoe UI" panose="020B0502040204020203" pitchFamily="34" charset="0"/>
            <a:cs typeface="Segoe UI" panose="020B0502040204020203" pitchFamily="34" charset="0"/>
          </a:endParaRPr>
        </a:p>
      </xdr:txBody>
    </xdr:sp>
    <xdr:clientData/>
  </xdr:twoCellAnchor>
  <xdr:twoCellAnchor>
    <xdr:from>
      <xdr:col>15</xdr:col>
      <xdr:colOff>306655</xdr:colOff>
      <xdr:row>40</xdr:row>
      <xdr:rowOff>76200</xdr:rowOff>
    </xdr:from>
    <xdr:to>
      <xdr:col>15</xdr:col>
      <xdr:colOff>306655</xdr:colOff>
      <xdr:row>43</xdr:row>
      <xdr:rowOff>68465</xdr:rowOff>
    </xdr:to>
    <xdr:cxnSp macro="">
      <xdr:nvCxnSpPr>
        <xdr:cNvPr id="191" name="Straight Connector 190">
          <a:extLst>
            <a:ext uri="{FF2B5EF4-FFF2-40B4-BE49-F238E27FC236}">
              <a16:creationId xmlns:a16="http://schemas.microsoft.com/office/drawing/2014/main" id="{4EABDFA5-7D3C-4705-B9FA-76C2E8C1CA58}"/>
            </a:ext>
          </a:extLst>
        </xdr:cNvPr>
        <xdr:cNvCxnSpPr/>
      </xdr:nvCxnSpPr>
      <xdr:spPr>
        <a:xfrm>
          <a:off x="9450655" y="7696200"/>
          <a:ext cx="0" cy="563765"/>
        </a:xfrm>
        <a:prstGeom prst="line">
          <a:avLst/>
        </a:prstGeom>
        <a:ln>
          <a:gradFill>
            <a:gsLst>
              <a:gs pos="0">
                <a:schemeClr val="bg2">
                  <a:lumMod val="10000"/>
                </a:schemeClr>
              </a:gs>
              <a:gs pos="50000">
                <a:schemeClr val="bg2">
                  <a:lumMod val="25000"/>
                </a:schemeClr>
              </a:gs>
              <a:gs pos="100000">
                <a:schemeClr val="bg2">
                  <a:lumMod val="1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440005</xdr:colOff>
      <xdr:row>40</xdr:row>
      <xdr:rowOff>76200</xdr:rowOff>
    </xdr:from>
    <xdr:to>
      <xdr:col>22</xdr:col>
      <xdr:colOff>440005</xdr:colOff>
      <xdr:row>43</xdr:row>
      <xdr:rowOff>68465</xdr:rowOff>
    </xdr:to>
    <xdr:cxnSp macro="">
      <xdr:nvCxnSpPr>
        <xdr:cNvPr id="193" name="Straight Connector 192">
          <a:extLst>
            <a:ext uri="{FF2B5EF4-FFF2-40B4-BE49-F238E27FC236}">
              <a16:creationId xmlns:a16="http://schemas.microsoft.com/office/drawing/2014/main" id="{827B5646-D426-4BA4-B65C-4AF87274AA11}"/>
            </a:ext>
          </a:extLst>
        </xdr:cNvPr>
        <xdr:cNvCxnSpPr/>
      </xdr:nvCxnSpPr>
      <xdr:spPr>
        <a:xfrm>
          <a:off x="13851205" y="7696200"/>
          <a:ext cx="0" cy="563765"/>
        </a:xfrm>
        <a:prstGeom prst="line">
          <a:avLst/>
        </a:prstGeom>
        <a:ln>
          <a:gradFill>
            <a:gsLst>
              <a:gs pos="0">
                <a:schemeClr val="bg2">
                  <a:lumMod val="10000"/>
                </a:schemeClr>
              </a:gs>
              <a:gs pos="50000">
                <a:schemeClr val="bg2">
                  <a:lumMod val="25000"/>
                </a:schemeClr>
              </a:gs>
              <a:gs pos="100000">
                <a:schemeClr val="bg2">
                  <a:lumMod val="1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485775</xdr:colOff>
      <xdr:row>4</xdr:row>
      <xdr:rowOff>47625</xdr:rowOff>
    </xdr:from>
    <xdr:to>
      <xdr:col>27</xdr:col>
      <xdr:colOff>42994</xdr:colOff>
      <xdr:row>5</xdr:row>
      <xdr:rowOff>152400</xdr:rowOff>
    </xdr:to>
    <xdr:sp macro="[0]!AbrirFormulario" textlink="">
      <xdr:nvSpPr>
        <xdr:cNvPr id="194" name="Rectangle: Rounded Corners 193">
          <a:extLst>
            <a:ext uri="{FF2B5EF4-FFF2-40B4-BE49-F238E27FC236}">
              <a16:creationId xmlns:a16="http://schemas.microsoft.com/office/drawing/2014/main" id="{C01E5BA3-29D0-4B81-B437-45B303E27C88}"/>
            </a:ext>
          </a:extLst>
        </xdr:cNvPr>
        <xdr:cNvSpPr/>
      </xdr:nvSpPr>
      <xdr:spPr>
        <a:xfrm>
          <a:off x="12068175" y="809625"/>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85725</xdr:colOff>
      <xdr:row>6</xdr:row>
      <xdr:rowOff>123824</xdr:rowOff>
    </xdr:from>
    <xdr:to>
      <xdr:col>3</xdr:col>
      <xdr:colOff>457200</xdr:colOff>
      <xdr:row>44</xdr:row>
      <xdr:rowOff>0</xdr:rowOff>
    </xdr:to>
    <xdr:sp macro="" textlink="">
      <xdr:nvSpPr>
        <xdr:cNvPr id="20" name="Rectangle: Rounded Corners 19">
          <a:extLst>
            <a:ext uri="{FF2B5EF4-FFF2-40B4-BE49-F238E27FC236}">
              <a16:creationId xmlns:a16="http://schemas.microsoft.com/office/drawing/2014/main" id="{9A4E2981-E146-454C-8828-2CC7221F54A7}"/>
            </a:ext>
          </a:extLst>
        </xdr:cNvPr>
        <xdr:cNvSpPr/>
      </xdr:nvSpPr>
      <xdr:spPr>
        <a:xfrm>
          <a:off x="85725" y="1266824"/>
          <a:ext cx="2200275" cy="7115176"/>
        </a:xfrm>
        <a:prstGeom prst="roundRect">
          <a:avLst>
            <a:gd name="adj" fmla="val 844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r>
            <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SELECIONE</a:t>
          </a:r>
          <a:r>
            <a:rPr lang="en-US" sz="1200" b="1" i="0" baseline="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O MÊS DE REFERÊNCIA:</a:t>
          </a:r>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endPar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editAs="oneCell">
    <xdr:from>
      <xdr:col>0</xdr:col>
      <xdr:colOff>152400</xdr:colOff>
      <xdr:row>6</xdr:row>
      <xdr:rowOff>180974</xdr:rowOff>
    </xdr:from>
    <xdr:to>
      <xdr:col>1</xdr:col>
      <xdr:colOff>38100</xdr:colOff>
      <xdr:row>9</xdr:row>
      <xdr:rowOff>104774</xdr:rowOff>
    </xdr:to>
    <xdr:pic>
      <xdr:nvPicPr>
        <xdr:cNvPr id="22" name="Graphic 21" descr="Coins with solid fill">
          <a:extLst>
            <a:ext uri="{FF2B5EF4-FFF2-40B4-BE49-F238E27FC236}">
              <a16:creationId xmlns:a16="http://schemas.microsoft.com/office/drawing/2014/main" id="{DDEB7297-30A0-BF13-D7D0-21002EF456D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52400" y="1323974"/>
          <a:ext cx="495300" cy="495300"/>
        </a:xfrm>
        <a:prstGeom prst="rect">
          <a:avLst/>
        </a:prstGeom>
      </xdr:spPr>
    </xdr:pic>
    <xdr:clientData/>
  </xdr:twoCellAnchor>
  <xdr:twoCellAnchor>
    <xdr:from>
      <xdr:col>1</xdr:col>
      <xdr:colOff>76200</xdr:colOff>
      <xdr:row>6</xdr:row>
      <xdr:rowOff>142875</xdr:rowOff>
    </xdr:from>
    <xdr:to>
      <xdr:col>3</xdr:col>
      <xdr:colOff>409575</xdr:colOff>
      <xdr:row>9</xdr:row>
      <xdr:rowOff>76200</xdr:rowOff>
    </xdr:to>
    <xdr:sp macro="" textlink="">
      <xdr:nvSpPr>
        <xdr:cNvPr id="23" name="Rectangle 22">
          <a:extLst>
            <a:ext uri="{FF2B5EF4-FFF2-40B4-BE49-F238E27FC236}">
              <a16:creationId xmlns:a16="http://schemas.microsoft.com/office/drawing/2014/main" id="{2D98CCA6-67EE-A73A-9D1D-E4B19BCA9507}"/>
            </a:ext>
          </a:extLst>
        </xdr:cNvPr>
        <xdr:cNvSpPr/>
      </xdr:nvSpPr>
      <xdr:spPr>
        <a:xfrm>
          <a:off x="685800" y="1285875"/>
          <a:ext cx="1552575" cy="504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ln w="15875">
                <a:solidFill>
                  <a:schemeClr val="bg2">
                    <a:lumMod val="10000"/>
                  </a:schemeClr>
                </a:solidFill>
              </a:ln>
              <a:gradFill>
                <a:gsLst>
                  <a:gs pos="100000">
                    <a:schemeClr val="tx1">
                      <a:lumMod val="95000"/>
                      <a:lumOff val="5000"/>
                    </a:schemeClr>
                  </a:gs>
                  <a:gs pos="0">
                    <a:schemeClr val="bg2">
                      <a:lumMod val="25000"/>
                    </a:schemeClr>
                  </a:gs>
                </a:gsLst>
                <a:lin ang="8100000" scaled="0"/>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VENDAS</a:t>
          </a:r>
          <a:endParaRPr lang="en-US" sz="1600" b="1">
            <a:ln w="15875">
              <a:solidFill>
                <a:schemeClr val="bg2">
                  <a:lumMod val="10000"/>
                </a:schemeClr>
              </a:solidFill>
            </a:ln>
            <a:gradFill>
              <a:gsLst>
                <a:gs pos="100000">
                  <a:schemeClr val="tx1">
                    <a:lumMod val="95000"/>
                    <a:lumOff val="5000"/>
                  </a:schemeClr>
                </a:gs>
                <a:gs pos="0">
                  <a:schemeClr val="bg2">
                    <a:lumMod val="25000"/>
                  </a:schemeClr>
                </a:gs>
              </a:gsLst>
              <a:lin ang="8100000" scaled="0"/>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0</xdr:col>
      <xdr:colOff>552450</xdr:colOff>
      <xdr:row>30</xdr:row>
      <xdr:rowOff>9525</xdr:rowOff>
    </xdr:from>
    <xdr:to>
      <xdr:col>3</xdr:col>
      <xdr:colOff>352425</xdr:colOff>
      <xdr:row>33</xdr:row>
      <xdr:rowOff>28574</xdr:rowOff>
    </xdr:to>
    <xdr:sp macro="" textlink="">
      <xdr:nvSpPr>
        <xdr:cNvPr id="117" name="Rectangle: Rounded Corners 116">
          <a:extLst>
            <a:ext uri="{FF2B5EF4-FFF2-40B4-BE49-F238E27FC236}">
              <a16:creationId xmlns:a16="http://schemas.microsoft.com/office/drawing/2014/main" id="{46212580-0E87-4BA5-A9D3-2F4E587DCC7A}"/>
            </a:ext>
          </a:extLst>
        </xdr:cNvPr>
        <xdr:cNvSpPr/>
      </xdr:nvSpPr>
      <xdr:spPr>
        <a:xfrm>
          <a:off x="552450" y="5724525"/>
          <a:ext cx="1628775" cy="590549"/>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Última Atualização</a:t>
          </a:r>
        </a:p>
        <a:p>
          <a:pPr algn="ctr"/>
          <a:r>
            <a:rPr lang="en-US" sz="1200" b="0">
              <a:solidFill>
                <a:schemeClr val="bg2">
                  <a:lumMod val="10000"/>
                </a:schemeClr>
              </a:solidFill>
              <a:effectLst/>
              <a:latin typeface="Segoe UI" panose="020B0502040204020203" pitchFamily="34" charset="0"/>
              <a:cs typeface="Segoe UI" panose="020B0502040204020203" pitchFamily="34" charset="0"/>
            </a:rPr>
            <a:t>17/05/2026	06:15</a:t>
          </a:r>
        </a:p>
      </xdr:txBody>
    </xdr:sp>
    <xdr:clientData/>
  </xdr:twoCellAnchor>
  <xdr:twoCellAnchor>
    <xdr:from>
      <xdr:col>0</xdr:col>
      <xdr:colOff>552450</xdr:colOff>
      <xdr:row>33</xdr:row>
      <xdr:rowOff>40957</xdr:rowOff>
    </xdr:from>
    <xdr:to>
      <xdr:col>3</xdr:col>
      <xdr:colOff>351282</xdr:colOff>
      <xdr:row>36</xdr:row>
      <xdr:rowOff>63817</xdr:rowOff>
    </xdr:to>
    <xdr:sp macro="" textlink="">
      <xdr:nvSpPr>
        <xdr:cNvPr id="118" name="Rectangle: Rounded Corners 117">
          <a:extLst>
            <a:ext uri="{FF2B5EF4-FFF2-40B4-BE49-F238E27FC236}">
              <a16:creationId xmlns:a16="http://schemas.microsoft.com/office/drawing/2014/main" id="{E363E8FA-FDE4-4EF2-B97F-CE7037C6A443}"/>
            </a:ext>
          </a:extLst>
        </xdr:cNvPr>
        <xdr:cNvSpPr/>
      </xdr:nvSpPr>
      <xdr:spPr>
        <a:xfrm>
          <a:off x="552450" y="6327457"/>
          <a:ext cx="1627632" cy="59436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Fonte dos</a:t>
          </a:r>
          <a:r>
            <a:rPr lang="en-US" sz="1200" b="1" baseline="0">
              <a:solidFill>
                <a:schemeClr val="bg2">
                  <a:lumMod val="10000"/>
                </a:schemeClr>
              </a:solidFill>
              <a:effectLst/>
              <a:latin typeface="Segoe UI" panose="020B0502040204020203" pitchFamily="34" charset="0"/>
              <a:cs typeface="Segoe UI" panose="020B0502040204020203" pitchFamily="34" charset="0"/>
            </a:rPr>
            <a:t> Dados</a:t>
          </a:r>
        </a:p>
        <a:p>
          <a:pPr algn="ctr"/>
          <a:r>
            <a:rPr lang="en-US" sz="1200" b="0" baseline="0">
              <a:solidFill>
                <a:schemeClr val="bg2">
                  <a:lumMod val="10000"/>
                </a:schemeClr>
              </a:solidFill>
              <a:effectLst/>
              <a:latin typeface="Segoe UI" panose="020B0502040204020203" pitchFamily="34" charset="0"/>
              <a:cs typeface="Segoe UI" panose="020B0502040204020203" pitchFamily="34" charset="0"/>
            </a:rPr>
            <a:t>Fictícia</a:t>
          </a:r>
          <a:endParaRPr lang="en-US" sz="1200" b="0">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0</xdr:col>
      <xdr:colOff>552450</xdr:colOff>
      <xdr:row>36</xdr:row>
      <xdr:rowOff>85725</xdr:rowOff>
    </xdr:from>
    <xdr:to>
      <xdr:col>3</xdr:col>
      <xdr:colOff>351282</xdr:colOff>
      <xdr:row>39</xdr:row>
      <xdr:rowOff>108585</xdr:rowOff>
    </xdr:to>
    <xdr:sp macro="" textlink="">
      <xdr:nvSpPr>
        <xdr:cNvPr id="119" name="Rectangle: Rounded Corners 118">
          <a:extLst>
            <a:ext uri="{FF2B5EF4-FFF2-40B4-BE49-F238E27FC236}">
              <a16:creationId xmlns:a16="http://schemas.microsoft.com/office/drawing/2014/main" id="{8AA09B64-176E-423D-932B-17D1D028FFA8}"/>
            </a:ext>
          </a:extLst>
        </xdr:cNvPr>
        <xdr:cNvSpPr/>
      </xdr:nvSpPr>
      <xdr:spPr>
        <a:xfrm>
          <a:off x="552450" y="6943725"/>
          <a:ext cx="1627632" cy="59436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Responsável</a:t>
          </a:r>
          <a:endParaRPr lang="en-US" sz="3600" b="0">
            <a:solidFill>
              <a:schemeClr val="bg2">
                <a:lumMod val="10000"/>
              </a:schemeClr>
            </a:solidFill>
            <a:effectLst/>
            <a:latin typeface="Segoe UI" panose="020B0502040204020203" pitchFamily="34" charset="0"/>
            <a:cs typeface="Segoe UI" panose="020B0502040204020203" pitchFamily="34" charset="0"/>
          </a:endParaRPr>
        </a:p>
        <a:p>
          <a:pPr algn="ctr"/>
          <a:r>
            <a:rPr lang="en-US" sz="1200" b="0">
              <a:solidFill>
                <a:schemeClr val="bg2">
                  <a:lumMod val="10000"/>
                </a:schemeClr>
              </a:solidFill>
              <a:effectLst/>
              <a:latin typeface="Segoe UI" panose="020B0502040204020203" pitchFamily="34" charset="0"/>
              <a:cs typeface="Segoe UI" panose="020B0502040204020203" pitchFamily="34" charset="0"/>
            </a:rPr>
            <a:t>Vinicius</a:t>
          </a:r>
          <a:r>
            <a:rPr lang="en-US" sz="1200" b="0" baseline="0">
              <a:solidFill>
                <a:schemeClr val="bg2">
                  <a:lumMod val="10000"/>
                </a:schemeClr>
              </a:solidFill>
              <a:effectLst/>
              <a:latin typeface="Segoe UI" panose="020B0502040204020203" pitchFamily="34" charset="0"/>
              <a:cs typeface="Segoe UI" panose="020B0502040204020203" pitchFamily="34" charset="0"/>
            </a:rPr>
            <a:t> Ramos</a:t>
          </a:r>
          <a:endParaRPr lang="en-US" sz="12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editAs="oneCell">
    <xdr:from>
      <xdr:col>0</xdr:col>
      <xdr:colOff>159544</xdr:colOff>
      <xdr:row>30</xdr:row>
      <xdr:rowOff>63308</xdr:rowOff>
    </xdr:from>
    <xdr:to>
      <xdr:col>1</xdr:col>
      <xdr:colOff>45244</xdr:colOff>
      <xdr:row>32</xdr:row>
      <xdr:rowOff>177608</xdr:rowOff>
    </xdr:to>
    <xdr:pic>
      <xdr:nvPicPr>
        <xdr:cNvPr id="120" name="Graphic 119" descr="Daily calendar with solid fill">
          <a:extLst>
            <a:ext uri="{FF2B5EF4-FFF2-40B4-BE49-F238E27FC236}">
              <a16:creationId xmlns:a16="http://schemas.microsoft.com/office/drawing/2014/main" id="{DF982C67-77D2-4F96-A664-06EF67231F0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rcRect/>
        <a:stretch/>
      </xdr:blipFill>
      <xdr:spPr>
        <a:xfrm>
          <a:off x="159544" y="5778308"/>
          <a:ext cx="496421" cy="495300"/>
        </a:xfrm>
        <a:prstGeom prst="rect">
          <a:avLst/>
        </a:prstGeom>
      </xdr:spPr>
    </xdr:pic>
    <xdr:clientData/>
  </xdr:twoCellAnchor>
  <xdr:twoCellAnchor editAs="oneCell">
    <xdr:from>
      <xdr:col>0</xdr:col>
      <xdr:colOff>159544</xdr:colOff>
      <xdr:row>33</xdr:row>
      <xdr:rowOff>105892</xdr:rowOff>
    </xdr:from>
    <xdr:to>
      <xdr:col>1</xdr:col>
      <xdr:colOff>45244</xdr:colOff>
      <xdr:row>36</xdr:row>
      <xdr:rowOff>29692</xdr:rowOff>
    </xdr:to>
    <xdr:pic>
      <xdr:nvPicPr>
        <xdr:cNvPr id="121" name="Graphic 120" descr="Help with solid fill">
          <a:extLst>
            <a:ext uri="{FF2B5EF4-FFF2-40B4-BE49-F238E27FC236}">
              <a16:creationId xmlns:a16="http://schemas.microsoft.com/office/drawing/2014/main" id="{A7A81DC5-26DD-4873-91C9-59D1F1C103A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rcRect/>
        <a:stretch/>
      </xdr:blipFill>
      <xdr:spPr>
        <a:xfrm>
          <a:off x="159544" y="6392392"/>
          <a:ext cx="496421" cy="495300"/>
        </a:xfrm>
        <a:prstGeom prst="rect">
          <a:avLst/>
        </a:prstGeom>
      </xdr:spPr>
    </xdr:pic>
    <xdr:clientData/>
  </xdr:twoCellAnchor>
  <xdr:twoCellAnchor editAs="oneCell">
    <xdr:from>
      <xdr:col>0</xdr:col>
      <xdr:colOff>159544</xdr:colOff>
      <xdr:row>36</xdr:row>
      <xdr:rowOff>148476</xdr:rowOff>
    </xdr:from>
    <xdr:to>
      <xdr:col>1</xdr:col>
      <xdr:colOff>45244</xdr:colOff>
      <xdr:row>39</xdr:row>
      <xdr:rowOff>72276</xdr:rowOff>
    </xdr:to>
    <xdr:pic>
      <xdr:nvPicPr>
        <xdr:cNvPr id="122" name="Graphic 121" descr="User with solid fill">
          <a:extLst>
            <a:ext uri="{FF2B5EF4-FFF2-40B4-BE49-F238E27FC236}">
              <a16:creationId xmlns:a16="http://schemas.microsoft.com/office/drawing/2014/main" id="{F63A0BD6-0259-45CB-86FF-5FE63C42FE5E}"/>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rcRect/>
        <a:stretch/>
      </xdr:blipFill>
      <xdr:spPr>
        <a:xfrm>
          <a:off x="159544" y="7006476"/>
          <a:ext cx="496421" cy="495300"/>
        </a:xfrm>
        <a:prstGeom prst="rect">
          <a:avLst/>
        </a:prstGeom>
      </xdr:spPr>
    </xdr:pic>
    <xdr:clientData/>
  </xdr:twoCellAnchor>
  <xdr:twoCellAnchor>
    <xdr:from>
      <xdr:col>0</xdr:col>
      <xdr:colOff>161925</xdr:colOff>
      <xdr:row>39</xdr:row>
      <xdr:rowOff>161925</xdr:rowOff>
    </xdr:from>
    <xdr:to>
      <xdr:col>3</xdr:col>
      <xdr:colOff>381000</xdr:colOff>
      <xdr:row>43</xdr:row>
      <xdr:rowOff>114300</xdr:rowOff>
    </xdr:to>
    <xdr:sp macro="[0]!atualizarTabelas" textlink="">
      <xdr:nvSpPr>
        <xdr:cNvPr id="131" name="Rectangle: Rounded Corners 130">
          <a:extLst>
            <a:ext uri="{FF2B5EF4-FFF2-40B4-BE49-F238E27FC236}">
              <a16:creationId xmlns:a16="http://schemas.microsoft.com/office/drawing/2014/main" id="{04C4F042-F3BE-BBB5-275F-8476F62DBBC5}"/>
            </a:ext>
          </a:extLst>
        </xdr:cNvPr>
        <xdr:cNvSpPr/>
      </xdr:nvSpPr>
      <xdr:spPr>
        <a:xfrm>
          <a:off x="161925" y="7591425"/>
          <a:ext cx="2047875" cy="714375"/>
        </a:xfrm>
        <a:prstGeom prst="roundRect">
          <a:avLst>
            <a:gd name="adj" fmla="val 23334"/>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rPr>
            <a:t>ATUALIZAR</a:t>
          </a:r>
          <a:r>
            <a:rPr lang="en-US" sz="1400" b="1" baseline="0">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rPr>
            <a:t> DADOS</a:t>
          </a:r>
          <a:endParaRPr lang="en-US" sz="1400" b="1">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242240</xdr:colOff>
      <xdr:row>33</xdr:row>
      <xdr:rowOff>46609</xdr:rowOff>
    </xdr:from>
    <xdr:to>
      <xdr:col>3</xdr:col>
      <xdr:colOff>218514</xdr:colOff>
      <xdr:row>33</xdr:row>
      <xdr:rowOff>46609</xdr:rowOff>
    </xdr:to>
    <xdr:cxnSp macro="">
      <xdr:nvCxnSpPr>
        <xdr:cNvPr id="134" name="Straight Connector 133">
          <a:extLst>
            <a:ext uri="{FF2B5EF4-FFF2-40B4-BE49-F238E27FC236}">
              <a16:creationId xmlns:a16="http://schemas.microsoft.com/office/drawing/2014/main" id="{4E9B5E51-4946-41BF-9258-F87B3E232AF7}"/>
            </a:ext>
          </a:extLst>
        </xdr:cNvPr>
        <xdr:cNvCxnSpPr/>
      </xdr:nvCxnSpPr>
      <xdr:spPr>
        <a:xfrm flipH="1">
          <a:off x="242240" y="6333109"/>
          <a:ext cx="1808436" cy="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242240</xdr:colOff>
      <xdr:row>36</xdr:row>
      <xdr:rowOff>93661</xdr:rowOff>
    </xdr:from>
    <xdr:to>
      <xdr:col>3</xdr:col>
      <xdr:colOff>218514</xdr:colOff>
      <xdr:row>36</xdr:row>
      <xdr:rowOff>93661</xdr:rowOff>
    </xdr:to>
    <xdr:cxnSp macro="">
      <xdr:nvCxnSpPr>
        <xdr:cNvPr id="143" name="Straight Connector 142">
          <a:extLst>
            <a:ext uri="{FF2B5EF4-FFF2-40B4-BE49-F238E27FC236}">
              <a16:creationId xmlns:a16="http://schemas.microsoft.com/office/drawing/2014/main" id="{7E3D3961-9F05-4382-BB60-095A41D74BA2}"/>
            </a:ext>
          </a:extLst>
        </xdr:cNvPr>
        <xdr:cNvCxnSpPr/>
      </xdr:nvCxnSpPr>
      <xdr:spPr>
        <a:xfrm flipH="1">
          <a:off x="242240" y="6951661"/>
          <a:ext cx="1808436" cy="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142875</xdr:colOff>
      <xdr:row>11</xdr:row>
      <xdr:rowOff>114300</xdr:rowOff>
    </xdr:from>
    <xdr:to>
      <xdr:col>3</xdr:col>
      <xdr:colOff>352425</xdr:colOff>
      <xdr:row>30</xdr:row>
      <xdr:rowOff>76200</xdr:rowOff>
    </xdr:to>
    <mc:AlternateContent xmlns:mc="http://schemas.openxmlformats.org/markup-compatibility/2006" xmlns:a14="http://schemas.microsoft.com/office/drawing/2010/main">
      <mc:Choice Requires="a14">
        <xdr:graphicFrame macro="">
          <xdr:nvGraphicFramePr>
            <xdr:cNvPr id="2" name="MES">
              <a:extLst>
                <a:ext uri="{FF2B5EF4-FFF2-40B4-BE49-F238E27FC236}">
                  <a16:creationId xmlns:a16="http://schemas.microsoft.com/office/drawing/2014/main" id="{FBB66AA3-23DE-4E0D-AFE0-F7950A1B5A24}"/>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mlns="">
        <xdr:sp macro="" textlink="">
          <xdr:nvSpPr>
            <xdr:cNvPr id="0" name=""/>
            <xdr:cNvSpPr>
              <a:spLocks noTextEdit="1"/>
            </xdr:cNvSpPr>
          </xdr:nvSpPr>
          <xdr:spPr>
            <a:xfrm>
              <a:off x="142875" y="2209800"/>
              <a:ext cx="2038350" cy="3581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581025</xdr:colOff>
      <xdr:row>39</xdr:row>
      <xdr:rowOff>180975</xdr:rowOff>
    </xdr:from>
    <xdr:to>
      <xdr:col>14</xdr:col>
      <xdr:colOff>571501</xdr:colOff>
      <xdr:row>41</xdr:row>
      <xdr:rowOff>95250</xdr:rowOff>
    </xdr:to>
    <xdr:sp macro="" textlink="">
      <xdr:nvSpPr>
        <xdr:cNvPr id="4" name="Rectangle 3">
          <a:extLst>
            <a:ext uri="{FF2B5EF4-FFF2-40B4-BE49-F238E27FC236}">
              <a16:creationId xmlns:a16="http://schemas.microsoft.com/office/drawing/2014/main" id="{33369F85-7C2C-432F-906F-9DBA5973A827}"/>
            </a:ext>
          </a:extLst>
        </xdr:cNvPr>
        <xdr:cNvSpPr/>
      </xdr:nvSpPr>
      <xdr:spPr>
        <a:xfrm>
          <a:off x="5457825" y="761047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RV</a:t>
          </a:r>
          <a:r>
            <a:rPr lang="en-US" sz="1800" b="1" baseline="0">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 Serviços:</a:t>
          </a:r>
          <a:endPar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endParaRPr>
        </a:p>
      </xdr:txBody>
    </xdr:sp>
    <xdr:clientData/>
  </xdr:twoCellAnchor>
  <xdr:twoCellAnchor>
    <xdr:from>
      <xdr:col>16</xdr:col>
      <xdr:colOff>142875</xdr:colOff>
      <xdr:row>39</xdr:row>
      <xdr:rowOff>180975</xdr:rowOff>
    </xdr:from>
    <xdr:to>
      <xdr:col>22</xdr:col>
      <xdr:colOff>133351</xdr:colOff>
      <xdr:row>41</xdr:row>
      <xdr:rowOff>95250</xdr:rowOff>
    </xdr:to>
    <xdr:sp macro="" textlink="">
      <xdr:nvSpPr>
        <xdr:cNvPr id="5" name="Rectangle 4">
          <a:extLst>
            <a:ext uri="{FF2B5EF4-FFF2-40B4-BE49-F238E27FC236}">
              <a16:creationId xmlns:a16="http://schemas.microsoft.com/office/drawing/2014/main" id="{96C78A02-F7C2-42B5-99A5-920011C4F5AF}"/>
            </a:ext>
          </a:extLst>
        </xdr:cNvPr>
        <xdr:cNvSpPr/>
      </xdr:nvSpPr>
      <xdr:spPr>
        <a:xfrm>
          <a:off x="9896475" y="761047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RV</a:t>
          </a:r>
          <a:r>
            <a:rPr lang="en-US" sz="1800" b="1" baseline="0">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 Aparelhos:</a:t>
          </a:r>
          <a:endPar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endParaRPr>
        </a:p>
      </xdr:txBody>
    </xdr:sp>
    <xdr:clientData/>
  </xdr:twoCellAnchor>
  <xdr:twoCellAnchor>
    <xdr:from>
      <xdr:col>23</xdr:col>
      <xdr:colOff>238125</xdr:colOff>
      <xdr:row>39</xdr:row>
      <xdr:rowOff>180975</xdr:rowOff>
    </xdr:from>
    <xdr:to>
      <xdr:col>29</xdr:col>
      <xdr:colOff>228601</xdr:colOff>
      <xdr:row>41</xdr:row>
      <xdr:rowOff>95250</xdr:rowOff>
    </xdr:to>
    <xdr:sp macro="" textlink="">
      <xdr:nvSpPr>
        <xdr:cNvPr id="6" name="Rectangle 5">
          <a:extLst>
            <a:ext uri="{FF2B5EF4-FFF2-40B4-BE49-F238E27FC236}">
              <a16:creationId xmlns:a16="http://schemas.microsoft.com/office/drawing/2014/main" id="{A18AF904-EA44-418A-837A-DA7465428A80}"/>
            </a:ext>
          </a:extLst>
        </xdr:cNvPr>
        <xdr:cNvSpPr/>
      </xdr:nvSpPr>
      <xdr:spPr>
        <a:xfrm>
          <a:off x="14258925" y="761047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RV</a:t>
          </a:r>
          <a:r>
            <a:rPr lang="en-US" sz="1800" b="1" baseline="0">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 Total:</a:t>
          </a:r>
          <a:endPar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85725</xdr:colOff>
      <xdr:row>0</xdr:row>
      <xdr:rowOff>95250</xdr:rowOff>
    </xdr:from>
    <xdr:to>
      <xdr:col>10</xdr:col>
      <xdr:colOff>1095375</xdr:colOff>
      <xdr:row>6</xdr:row>
      <xdr:rowOff>38100</xdr:rowOff>
    </xdr:to>
    <xdr:sp macro="" textlink="">
      <xdr:nvSpPr>
        <xdr:cNvPr id="8" name="Rectangle: Rounded Corners 7">
          <a:extLst>
            <a:ext uri="{FF2B5EF4-FFF2-40B4-BE49-F238E27FC236}">
              <a16:creationId xmlns:a16="http://schemas.microsoft.com/office/drawing/2014/main" id="{A091BF08-05B1-4F5C-99F4-A5C7E5C5A085}"/>
            </a:ext>
          </a:extLst>
        </xdr:cNvPr>
        <xdr:cNvSpPr/>
      </xdr:nvSpPr>
      <xdr:spPr>
        <a:xfrm>
          <a:off x="85725" y="95250"/>
          <a:ext cx="17678400" cy="1085850"/>
        </a:xfrm>
        <a:prstGeom prst="roundRect">
          <a:avLst/>
        </a:prstGeom>
        <a:solidFill>
          <a:schemeClr val="bg2">
            <a:lumMod val="50000"/>
          </a:schemeClr>
        </a:solidFill>
        <a:ln>
          <a:noFill/>
        </a:ln>
        <a:effectLst>
          <a:outerShdw blurRad="673100" dir="2700000" sx="97000" sy="97000" algn="tl" rotWithShape="0">
            <a:prstClr val="black">
              <a:alpha val="8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DASHBOARD COMERCIAL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Visão Geral de Desempenho</a:t>
          </a:r>
        </a:p>
      </xdr:txBody>
    </xdr:sp>
    <xdr:clientData/>
  </xdr:twoCellAnchor>
  <xdr:twoCellAnchor editAs="oneCell">
    <xdr:from>
      <xdr:col>9</xdr:col>
      <xdr:colOff>1581150</xdr:colOff>
      <xdr:row>0</xdr:row>
      <xdr:rowOff>0</xdr:rowOff>
    </xdr:from>
    <xdr:to>
      <xdr:col>10</xdr:col>
      <xdr:colOff>1171575</xdr:colOff>
      <xdr:row>6</xdr:row>
      <xdr:rowOff>114300</xdr:rowOff>
    </xdr:to>
    <xdr:pic>
      <xdr:nvPicPr>
        <xdr:cNvPr id="9" name="Picture 8">
          <a:extLst>
            <a:ext uri="{FF2B5EF4-FFF2-40B4-BE49-F238E27FC236}">
              <a16:creationId xmlns:a16="http://schemas.microsoft.com/office/drawing/2014/main" id="{EC564351-208B-43E5-8242-9533BCCD9CA4}"/>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2</xdr:col>
      <xdr:colOff>680906</xdr:colOff>
      <xdr:row>4</xdr:row>
      <xdr:rowOff>33338</xdr:rowOff>
    </xdr:from>
    <xdr:to>
      <xdr:col>3</xdr:col>
      <xdr:colOff>833306</xdr:colOff>
      <xdr:row>5</xdr:row>
      <xdr:rowOff>138113</xdr:rowOff>
    </xdr:to>
    <xdr:sp macro="" textlink="">
      <xdr:nvSpPr>
        <xdr:cNvPr id="10" name="Rectangle: Rounded Corners 9">
          <a:extLst>
            <a:ext uri="{FF2B5EF4-FFF2-40B4-BE49-F238E27FC236}">
              <a16:creationId xmlns:a16="http://schemas.microsoft.com/office/drawing/2014/main" id="{87B3D080-363C-4FF3-AC1E-33DE6ABCF75E}"/>
            </a:ext>
          </a:extLst>
        </xdr:cNvPr>
        <xdr:cNvSpPr/>
      </xdr:nvSpPr>
      <xdr:spPr>
        <a:xfrm>
          <a:off x="4014656" y="795338"/>
          <a:ext cx="1819275"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BASE DE VENDAS</a:t>
          </a:r>
        </a:p>
      </xdr:txBody>
    </xdr:sp>
    <xdr:clientData/>
  </xdr:twoCellAnchor>
  <xdr:twoCellAnchor>
    <xdr:from>
      <xdr:col>1</xdr:col>
      <xdr:colOff>419100</xdr:colOff>
      <xdr:row>4</xdr:row>
      <xdr:rowOff>33338</xdr:rowOff>
    </xdr:from>
    <xdr:to>
      <xdr:col>2</xdr:col>
      <xdr:colOff>571500</xdr:colOff>
      <xdr:row>5</xdr:row>
      <xdr:rowOff>138113</xdr:rowOff>
    </xdr:to>
    <xdr:sp macro="" textlink="">
      <xdr:nvSpPr>
        <xdr:cNvPr id="11" name="Rectangle: Rounded Corners 10">
          <a:hlinkClick xmlns:r="http://schemas.openxmlformats.org/officeDocument/2006/relationships" r:id="rId3"/>
          <a:extLst>
            <a:ext uri="{FF2B5EF4-FFF2-40B4-BE49-F238E27FC236}">
              <a16:creationId xmlns:a16="http://schemas.microsoft.com/office/drawing/2014/main" id="{CC95E067-F4FB-4CCD-9679-9D1B763FE392}"/>
            </a:ext>
          </a:extLst>
        </xdr:cNvPr>
        <xdr:cNvSpPr/>
      </xdr:nvSpPr>
      <xdr:spPr>
        <a:xfrm>
          <a:off x="2085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DASHBOARD VENDAS</a:t>
          </a:r>
        </a:p>
      </xdr:txBody>
    </xdr:sp>
    <xdr:clientData/>
  </xdr:twoCellAnchor>
  <xdr:twoCellAnchor>
    <xdr:from>
      <xdr:col>0</xdr:col>
      <xdr:colOff>174523</xdr:colOff>
      <xdr:row>4</xdr:row>
      <xdr:rowOff>33338</xdr:rowOff>
    </xdr:from>
    <xdr:to>
      <xdr:col>1</xdr:col>
      <xdr:colOff>326923</xdr:colOff>
      <xdr:row>5</xdr:row>
      <xdr:rowOff>138113</xdr:rowOff>
    </xdr:to>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67A9F0E4-F312-4B1E-89C7-BD0DCBC5B1CA}"/>
            </a:ext>
          </a:extLst>
        </xdr:cNvPr>
        <xdr:cNvSpPr/>
      </xdr:nvSpPr>
      <xdr:spPr>
        <a:xfrm>
          <a:off x="174523" y="795338"/>
          <a:ext cx="1820811"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READ ME</a:t>
          </a:r>
        </a:p>
      </xdr:txBody>
    </xdr:sp>
    <xdr:clientData/>
  </xdr:twoCellAnchor>
  <xdr:twoCellAnchor>
    <xdr:from>
      <xdr:col>7</xdr:col>
      <xdr:colOff>404681</xdr:colOff>
      <xdr:row>4</xdr:row>
      <xdr:rowOff>42863</xdr:rowOff>
    </xdr:from>
    <xdr:to>
      <xdr:col>9</xdr:col>
      <xdr:colOff>1504950</xdr:colOff>
      <xdr:row>5</xdr:row>
      <xdr:rowOff>147638</xdr:rowOff>
    </xdr:to>
    <xdr:sp macro="[0]!AbrirFormulario" textlink="">
      <xdr:nvSpPr>
        <xdr:cNvPr id="13" name="Rectangle: Rounded Corners 12">
          <a:extLst>
            <a:ext uri="{FF2B5EF4-FFF2-40B4-BE49-F238E27FC236}">
              <a16:creationId xmlns:a16="http://schemas.microsoft.com/office/drawing/2014/main" id="{DAB700F1-E9C4-4823-A7DF-E0A13B4D117E}"/>
            </a:ext>
          </a:extLst>
        </xdr:cNvPr>
        <xdr:cNvSpPr/>
      </xdr:nvSpPr>
      <xdr:spPr>
        <a:xfrm>
          <a:off x="12072806" y="804863"/>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icius Ramos" refreshedDate="46198.868407175927" createdVersion="8" refreshedVersion="8" minRefreshableVersion="3" recordCount="1003" xr:uid="{07AAFC87-86C9-4A9C-9DA2-C97410A1D0D5}">
  <cacheSource type="worksheet">
    <worksheetSource name="tblCalculo"/>
  </cacheSource>
  <cacheFields count="16">
    <cacheField name="NR_SIMULACAO" numFmtId="0">
      <sharedItems/>
    </cacheField>
    <cacheField name="NR_CNPJ" numFmtId="165">
      <sharedItems containsMixedTypes="1" containsNumber="1" containsInteger="1" minValue="12345678000190" maxValue="12345678000190"/>
    </cacheField>
    <cacheField name="STATUS" numFmtId="0">
      <sharedItems count="6">
        <s v="CONCLUÍDO"/>
        <s v="EM ANÁLISE"/>
        <s v="TRAMITANDO"/>
        <s v="ALÇADA"/>
        <s v="PERDIDO"/>
        <s v="NEGOCIANDO"/>
      </sharedItems>
    </cacheField>
    <cacheField name="MES" numFmtId="0">
      <sharedItems count="12">
        <s v="Janeiro"/>
        <s v="Agosto"/>
        <s v="Fevereiro"/>
        <s v="Dezembro"/>
        <s v="Maio"/>
        <s v="Julho"/>
        <s v="Setembro"/>
        <s v="Outubro"/>
        <s v="Novembro"/>
        <s v="Março"/>
        <s v="Junho"/>
        <s v="Abril"/>
      </sharedItems>
    </cacheField>
    <cacheField name="VALOR_TOTAL" numFmtId="0">
      <sharedItems containsSemiMixedTypes="0" containsString="0" containsNumber="1" minValue="141.96" maxValue="36244.36"/>
    </cacheField>
    <cacheField name="VALOR_CONC_MOVEL" numFmtId="0">
      <sharedItems containsSemiMixedTypes="0" containsString="0" containsNumber="1" minValue="0" maxValue="7925.98"/>
    </cacheField>
    <cacheField name="VALOR_CONC_AVANCADO" numFmtId="0">
      <sharedItems containsSemiMixedTypes="0" containsString="0" containsNumber="1" minValue="0" maxValue="4924.8900000000003"/>
    </cacheField>
    <cacheField name="VALOR_CONC_FIXABASICA" numFmtId="0">
      <sharedItems containsSemiMixedTypes="0" containsString="0" containsNumber="1" minValue="0" maxValue="4090.68"/>
    </cacheField>
    <cacheField name="VALOR_CONC_TI" numFmtId="0">
      <sharedItems containsSemiMixedTypes="0" containsString="0" containsNumber="1" minValue="0" maxValue="11761.63"/>
    </cacheField>
    <cacheField name="VALOR_CONC_APARELHO" numFmtId="0">
      <sharedItems containsSemiMixedTypes="0" containsString="0" containsNumber="1" minValue="0" maxValue="14977.39"/>
    </cacheField>
    <cacheField name="VALOR_NEGOCIANDO" numFmtId="0">
      <sharedItems containsMixedTypes="1" containsNumber="1" minValue="310.94" maxValue="28301.760000000002"/>
    </cacheField>
    <cacheField name="VALOR_ALÇADA" numFmtId="0">
      <sharedItems containsMixedTypes="1" containsNumber="1" minValue="299.22000000000003" maxValue="33501.89"/>
    </cacheField>
    <cacheField name="VALOR_EMANALISE" numFmtId="0">
      <sharedItems containsMixedTypes="1" containsNumber="1" minValue="141.96" maxValue="36244.36"/>
    </cacheField>
    <cacheField name="VALOR_TRAMITANDO" numFmtId="0">
      <sharedItems containsMixedTypes="1" containsNumber="1" minValue="211.38" maxValue="24556.03"/>
    </cacheField>
    <cacheField name="VALOR_PERDIDO" numFmtId="0">
      <sharedItems containsMixedTypes="1" containsNumber="1" minValue="339.07" maxValue="32424.53"/>
    </cacheField>
    <cacheField name="VALOR_CONCLUIDO" numFmtId="0">
      <sharedItems containsMixedTypes="1" containsNumber="1" minValue="210.29" maxValue="31646.090000000004"/>
    </cacheField>
  </cacheFields>
  <extLst>
    <ext xmlns:x14="http://schemas.microsoft.com/office/spreadsheetml/2009/9/main" uri="{725AE2AE-9491-48be-B2B4-4EB974FC3084}">
      <x14:pivotCacheDefinition pivotCacheId="19480782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3">
  <r>
    <s v="SIM0999"/>
    <s v="26.448.955/0001-74"/>
    <x v="0"/>
    <x v="0"/>
    <n v="5768"/>
    <n v="5768"/>
    <n v="0"/>
    <n v="0"/>
    <n v="0"/>
    <n v="0"/>
    <s v=""/>
    <s v=""/>
    <s v=""/>
    <s v=""/>
    <s v=""/>
    <n v="5768"/>
  </r>
  <r>
    <s v="SIM1000"/>
    <s v="26.448.955/0001-75"/>
    <x v="1"/>
    <x v="1"/>
    <n v="18010.21"/>
    <n v="0"/>
    <n v="0"/>
    <n v="0"/>
    <n v="0"/>
    <n v="0"/>
    <s v=""/>
    <s v=""/>
    <n v="18010.21"/>
    <s v=""/>
    <s v=""/>
    <s v=""/>
  </r>
  <r>
    <s v="SIM1001"/>
    <s v="37.928.864/0001-92"/>
    <x v="2"/>
    <x v="2"/>
    <n v="7316.5899999999992"/>
    <n v="0"/>
    <n v="0"/>
    <n v="0"/>
    <n v="0"/>
    <n v="0"/>
    <s v=""/>
    <s v=""/>
    <s v=""/>
    <n v="7316.5899999999992"/>
    <s v=""/>
    <s v=""/>
  </r>
  <r>
    <s v="SIM1002"/>
    <s v="20.657.837/0001-45"/>
    <x v="3"/>
    <x v="0"/>
    <n v="11157.439999999999"/>
    <n v="0"/>
    <n v="0"/>
    <n v="0"/>
    <n v="0"/>
    <n v="0"/>
    <s v=""/>
    <n v="11157.439999999999"/>
    <s v=""/>
    <s v=""/>
    <s v=""/>
    <s v=""/>
  </r>
  <r>
    <s v="SIM1003"/>
    <s v="84.920.113/0001-62"/>
    <x v="4"/>
    <x v="3"/>
    <n v="4545.46"/>
    <n v="0"/>
    <n v="0"/>
    <n v="0"/>
    <n v="0"/>
    <n v="0"/>
    <s v=""/>
    <s v=""/>
    <s v=""/>
    <s v=""/>
    <n v="4545.46"/>
    <s v=""/>
  </r>
  <r>
    <s v="SIM1004"/>
    <s v="75.271.815/0001-84"/>
    <x v="5"/>
    <x v="4"/>
    <n v="1262.8800000000001"/>
    <n v="0"/>
    <n v="0"/>
    <n v="0"/>
    <n v="0"/>
    <n v="0"/>
    <n v="1262.8800000000001"/>
    <s v=""/>
    <s v=""/>
    <s v=""/>
    <s v=""/>
    <s v=""/>
  </r>
  <r>
    <s v="SIM1005"/>
    <s v="22.828.137/0001-23"/>
    <x v="1"/>
    <x v="2"/>
    <n v="5915.96"/>
    <n v="0"/>
    <n v="0"/>
    <n v="0"/>
    <n v="0"/>
    <n v="0"/>
    <s v=""/>
    <s v=""/>
    <n v="5915.96"/>
    <s v=""/>
    <s v=""/>
    <s v=""/>
  </r>
  <r>
    <s v="SIM1006"/>
    <s v="60.615.658/0001-16"/>
    <x v="5"/>
    <x v="1"/>
    <n v="803.22"/>
    <n v="0"/>
    <n v="0"/>
    <n v="0"/>
    <n v="0"/>
    <n v="0"/>
    <n v="803.22"/>
    <s v=""/>
    <s v=""/>
    <s v=""/>
    <s v=""/>
    <s v=""/>
  </r>
  <r>
    <s v="SIM1007"/>
    <s v="26.371.768/0001-96"/>
    <x v="5"/>
    <x v="2"/>
    <n v="8123.15"/>
    <n v="0"/>
    <n v="0"/>
    <n v="0"/>
    <n v="0"/>
    <n v="0"/>
    <n v="8123.15"/>
    <s v=""/>
    <s v=""/>
    <s v=""/>
    <s v=""/>
    <s v=""/>
  </r>
  <r>
    <s v="SIM1008"/>
    <s v="78.710.930/0001-84"/>
    <x v="1"/>
    <x v="5"/>
    <n v="7739.03"/>
    <n v="0"/>
    <n v="0"/>
    <n v="0"/>
    <n v="0"/>
    <n v="0"/>
    <s v=""/>
    <s v=""/>
    <n v="7739.03"/>
    <s v=""/>
    <s v=""/>
    <s v=""/>
  </r>
  <r>
    <s v="SIM1009"/>
    <s v="56.796.346/0001-24"/>
    <x v="3"/>
    <x v="6"/>
    <n v="4192.07"/>
    <n v="0"/>
    <n v="0"/>
    <n v="0"/>
    <n v="0"/>
    <n v="0"/>
    <s v=""/>
    <n v="4192.07"/>
    <s v=""/>
    <s v=""/>
    <s v=""/>
    <s v=""/>
  </r>
  <r>
    <s v="SIM1010"/>
    <s v="91.731.495/0001-69"/>
    <x v="5"/>
    <x v="6"/>
    <n v="18368.48"/>
    <n v="0"/>
    <n v="0"/>
    <n v="0"/>
    <n v="0"/>
    <n v="0"/>
    <n v="18368.48"/>
    <s v=""/>
    <s v=""/>
    <s v=""/>
    <s v=""/>
    <s v=""/>
  </r>
  <r>
    <s v="SIM1011"/>
    <s v="45.524.449/0001-61"/>
    <x v="0"/>
    <x v="7"/>
    <n v="3750.3399999999997"/>
    <n v="3119.72"/>
    <n v="0"/>
    <n v="630.62"/>
    <n v="0"/>
    <n v="0"/>
    <s v=""/>
    <s v=""/>
    <s v=""/>
    <s v=""/>
    <s v=""/>
    <n v="3750.3399999999997"/>
  </r>
  <r>
    <s v="SIM1012"/>
    <s v="94.223.139/0001-85"/>
    <x v="5"/>
    <x v="1"/>
    <n v="14766.06"/>
    <n v="0"/>
    <n v="0"/>
    <n v="0"/>
    <n v="0"/>
    <n v="0"/>
    <n v="14766.06"/>
    <s v=""/>
    <s v=""/>
    <s v=""/>
    <s v=""/>
    <s v=""/>
  </r>
  <r>
    <s v="SIM1013"/>
    <s v="41.735.344/0001-18"/>
    <x v="0"/>
    <x v="6"/>
    <n v="17042.060000000001"/>
    <n v="0"/>
    <n v="0"/>
    <n v="0"/>
    <n v="2687.11"/>
    <n v="14354.95"/>
    <s v=""/>
    <s v=""/>
    <s v=""/>
    <s v=""/>
    <s v=""/>
    <n v="17042.060000000001"/>
  </r>
  <r>
    <s v="SIM1014"/>
    <s v="18.815.966/0001-67"/>
    <x v="5"/>
    <x v="5"/>
    <n v="9154.0300000000007"/>
    <n v="0"/>
    <n v="0"/>
    <n v="0"/>
    <n v="0"/>
    <n v="0"/>
    <n v="9154.0300000000007"/>
    <s v=""/>
    <s v=""/>
    <s v=""/>
    <s v=""/>
    <s v=""/>
  </r>
  <r>
    <s v="SIM1015"/>
    <s v="88.578.852/0001-58"/>
    <x v="0"/>
    <x v="4"/>
    <n v="18592.080000000002"/>
    <n v="0"/>
    <n v="1915.78"/>
    <n v="2181.81"/>
    <n v="0"/>
    <n v="14494.49"/>
    <s v=""/>
    <s v=""/>
    <s v=""/>
    <s v=""/>
    <s v=""/>
    <n v="18592.080000000002"/>
  </r>
  <r>
    <s v="SIM1016"/>
    <s v="81.299.580/0001-23"/>
    <x v="1"/>
    <x v="5"/>
    <n v="2363.2600000000002"/>
    <n v="0"/>
    <n v="0"/>
    <n v="0"/>
    <n v="0"/>
    <n v="0"/>
    <s v=""/>
    <s v=""/>
    <n v="2363.2600000000002"/>
    <s v=""/>
    <s v=""/>
    <s v=""/>
  </r>
  <r>
    <s v="SIM1017"/>
    <s v="70.870.828/0001-46"/>
    <x v="4"/>
    <x v="0"/>
    <n v="10875.240000000002"/>
    <n v="0"/>
    <n v="0"/>
    <n v="0"/>
    <n v="0"/>
    <n v="0"/>
    <s v=""/>
    <s v=""/>
    <s v=""/>
    <s v=""/>
    <n v="10875.240000000002"/>
    <s v=""/>
  </r>
  <r>
    <s v="SIM1018"/>
    <s v="33.151.617/0001-29"/>
    <x v="2"/>
    <x v="5"/>
    <n v="13814.119999999999"/>
    <n v="0"/>
    <n v="0"/>
    <n v="0"/>
    <n v="0"/>
    <n v="0"/>
    <s v=""/>
    <s v=""/>
    <s v=""/>
    <n v="13814.119999999999"/>
    <s v=""/>
    <s v=""/>
  </r>
  <r>
    <s v="SIM1019"/>
    <s v="81.718.489/0001-40"/>
    <x v="0"/>
    <x v="4"/>
    <n v="23284.949999999997"/>
    <n v="3784.09"/>
    <n v="0"/>
    <n v="907.16"/>
    <n v="10231.459999999999"/>
    <n v="8362.24"/>
    <s v=""/>
    <s v=""/>
    <s v=""/>
    <s v=""/>
    <s v=""/>
    <n v="23284.949999999997"/>
  </r>
  <r>
    <s v="SIM1020"/>
    <s v="13.609.669/0001-30"/>
    <x v="1"/>
    <x v="7"/>
    <n v="18653.96"/>
    <n v="0"/>
    <n v="0"/>
    <n v="0"/>
    <n v="0"/>
    <n v="0"/>
    <s v=""/>
    <s v=""/>
    <n v="18653.96"/>
    <s v=""/>
    <s v=""/>
    <s v=""/>
  </r>
  <r>
    <s v="SIM1021"/>
    <s v="85.809.510/0001-97"/>
    <x v="3"/>
    <x v="8"/>
    <n v="18301.5"/>
    <n v="0"/>
    <n v="0"/>
    <n v="0"/>
    <n v="0"/>
    <n v="0"/>
    <s v=""/>
    <n v="18301.5"/>
    <s v=""/>
    <s v=""/>
    <s v=""/>
    <s v=""/>
  </r>
  <r>
    <s v="SIM1022"/>
    <s v="14.933.860/0001-12"/>
    <x v="2"/>
    <x v="5"/>
    <n v="6071.3799999999992"/>
    <n v="0"/>
    <n v="0"/>
    <n v="0"/>
    <n v="0"/>
    <n v="0"/>
    <s v=""/>
    <s v=""/>
    <s v=""/>
    <n v="6071.3799999999992"/>
    <s v=""/>
    <s v=""/>
  </r>
  <r>
    <s v="SIM1023"/>
    <s v="71.694.950/0001-26"/>
    <x v="1"/>
    <x v="9"/>
    <n v="14860.32"/>
    <n v="0"/>
    <n v="0"/>
    <n v="0"/>
    <n v="0"/>
    <n v="0"/>
    <s v=""/>
    <s v=""/>
    <n v="14860.32"/>
    <s v=""/>
    <s v=""/>
    <s v=""/>
  </r>
  <r>
    <s v="SIM1024"/>
    <s v="59.866.586/0001-25"/>
    <x v="5"/>
    <x v="9"/>
    <n v="4553.58"/>
    <n v="0"/>
    <n v="0"/>
    <n v="0"/>
    <n v="0"/>
    <n v="0"/>
    <n v="4553.58"/>
    <s v=""/>
    <s v=""/>
    <s v=""/>
    <s v=""/>
    <s v=""/>
  </r>
  <r>
    <s v="SIM1025"/>
    <s v="76.211.972/0001-77"/>
    <x v="1"/>
    <x v="10"/>
    <n v="13568.74"/>
    <n v="0"/>
    <n v="0"/>
    <n v="0"/>
    <n v="0"/>
    <n v="0"/>
    <s v=""/>
    <s v=""/>
    <n v="13568.74"/>
    <s v=""/>
    <s v=""/>
    <s v=""/>
  </r>
  <r>
    <s v="SIM1026"/>
    <s v="74.465.554/0001-44"/>
    <x v="4"/>
    <x v="8"/>
    <n v="4763.6000000000004"/>
    <n v="0"/>
    <n v="0"/>
    <n v="0"/>
    <n v="0"/>
    <n v="0"/>
    <s v=""/>
    <s v=""/>
    <s v=""/>
    <s v=""/>
    <n v="4763.6000000000004"/>
    <s v=""/>
  </r>
  <r>
    <s v="SIM1027"/>
    <s v="23.692.893/0001-79"/>
    <x v="1"/>
    <x v="10"/>
    <n v="5180.3099999999995"/>
    <n v="0"/>
    <n v="0"/>
    <n v="0"/>
    <n v="0"/>
    <n v="0"/>
    <s v=""/>
    <s v=""/>
    <n v="5180.3099999999995"/>
    <s v=""/>
    <s v=""/>
    <s v=""/>
  </r>
  <r>
    <s v="SIM1028"/>
    <s v="11.357.163/0001-99"/>
    <x v="3"/>
    <x v="7"/>
    <n v="17275.04"/>
    <n v="0"/>
    <n v="0"/>
    <n v="0"/>
    <n v="0"/>
    <n v="0"/>
    <s v=""/>
    <n v="17275.04"/>
    <s v=""/>
    <s v=""/>
    <s v=""/>
    <s v=""/>
  </r>
  <r>
    <s v="SIM1029"/>
    <s v="36.517.295/0001-75"/>
    <x v="4"/>
    <x v="11"/>
    <n v="11913.8"/>
    <n v="0"/>
    <n v="0"/>
    <n v="0"/>
    <n v="0"/>
    <n v="0"/>
    <s v=""/>
    <s v=""/>
    <s v=""/>
    <s v=""/>
    <n v="11913.8"/>
    <s v=""/>
  </r>
  <r>
    <s v="SIM1030"/>
    <s v="58.339.119/0001-19"/>
    <x v="1"/>
    <x v="6"/>
    <n v="4423.62"/>
    <n v="0"/>
    <n v="0"/>
    <n v="0"/>
    <n v="0"/>
    <n v="0"/>
    <s v=""/>
    <s v=""/>
    <n v="4423.62"/>
    <s v=""/>
    <s v=""/>
    <s v=""/>
  </r>
  <r>
    <s v="SIM1031"/>
    <s v="83.192.759/0001-79"/>
    <x v="3"/>
    <x v="9"/>
    <n v="16317.51"/>
    <n v="0"/>
    <n v="0"/>
    <n v="0"/>
    <n v="0"/>
    <n v="0"/>
    <s v=""/>
    <n v="16317.51"/>
    <s v=""/>
    <s v=""/>
    <s v=""/>
    <s v=""/>
  </r>
  <r>
    <s v="SIM1032"/>
    <s v="12.213.196/0001-70"/>
    <x v="0"/>
    <x v="8"/>
    <n v="2823.84"/>
    <n v="0"/>
    <n v="0"/>
    <n v="2823.84"/>
    <n v="0"/>
    <n v="0"/>
    <s v=""/>
    <s v=""/>
    <s v=""/>
    <s v=""/>
    <s v=""/>
    <n v="2823.84"/>
  </r>
  <r>
    <s v="SIM1033"/>
    <s v="22.638.675/0001-58"/>
    <x v="5"/>
    <x v="6"/>
    <n v="2445.63"/>
    <n v="0"/>
    <n v="0"/>
    <n v="0"/>
    <n v="0"/>
    <n v="0"/>
    <n v="2445.63"/>
    <s v=""/>
    <s v=""/>
    <s v=""/>
    <s v=""/>
    <s v=""/>
  </r>
  <r>
    <s v="SIM1034"/>
    <s v="95.904.722/0001-73"/>
    <x v="3"/>
    <x v="5"/>
    <n v="767.08"/>
    <n v="0"/>
    <n v="0"/>
    <n v="0"/>
    <n v="0"/>
    <n v="0"/>
    <s v=""/>
    <n v="767.08"/>
    <s v=""/>
    <s v=""/>
    <s v=""/>
    <s v=""/>
  </r>
  <r>
    <s v="SIM1035"/>
    <s v="87.591.829/0001-54"/>
    <x v="1"/>
    <x v="3"/>
    <n v="2463.62"/>
    <n v="0"/>
    <n v="0"/>
    <n v="0"/>
    <n v="0"/>
    <n v="0"/>
    <s v=""/>
    <s v=""/>
    <n v="2463.62"/>
    <s v=""/>
    <s v=""/>
    <s v=""/>
  </r>
  <r>
    <s v="SIM1036"/>
    <s v="68.683.962/0001-90"/>
    <x v="1"/>
    <x v="2"/>
    <n v="8687.7000000000007"/>
    <n v="0"/>
    <n v="0"/>
    <n v="0"/>
    <n v="0"/>
    <n v="0"/>
    <s v=""/>
    <s v=""/>
    <n v="8687.7000000000007"/>
    <s v=""/>
    <s v=""/>
    <s v=""/>
  </r>
  <r>
    <s v="SIM1037"/>
    <s v="77.700.705/0001-43"/>
    <x v="3"/>
    <x v="10"/>
    <n v="4214.6499999999996"/>
    <n v="0"/>
    <n v="0"/>
    <n v="0"/>
    <n v="0"/>
    <n v="0"/>
    <s v=""/>
    <n v="4214.6499999999996"/>
    <s v=""/>
    <s v=""/>
    <s v=""/>
    <s v=""/>
  </r>
  <r>
    <s v="SIM1038"/>
    <s v="68.186.111/0001-21"/>
    <x v="4"/>
    <x v="3"/>
    <n v="12511.29"/>
    <n v="0"/>
    <n v="0"/>
    <n v="0"/>
    <n v="0"/>
    <n v="0"/>
    <s v=""/>
    <s v=""/>
    <s v=""/>
    <s v=""/>
    <n v="12511.29"/>
    <s v=""/>
  </r>
  <r>
    <s v="SIM1039"/>
    <s v="23.747.771/0001-77"/>
    <x v="3"/>
    <x v="11"/>
    <n v="12208.41"/>
    <n v="0"/>
    <n v="0"/>
    <n v="0"/>
    <n v="0"/>
    <n v="0"/>
    <s v=""/>
    <n v="12208.41"/>
    <s v=""/>
    <s v=""/>
    <s v=""/>
    <s v=""/>
  </r>
  <r>
    <s v="SIM1040"/>
    <s v="34.330.504/0001-96"/>
    <x v="2"/>
    <x v="1"/>
    <n v="9141.91"/>
    <n v="0"/>
    <n v="0"/>
    <n v="0"/>
    <n v="0"/>
    <n v="0"/>
    <s v=""/>
    <s v=""/>
    <s v=""/>
    <n v="9141.91"/>
    <s v=""/>
    <s v=""/>
  </r>
  <r>
    <s v="SIM1041"/>
    <s v="31.257.428/0001-42"/>
    <x v="1"/>
    <x v="4"/>
    <n v="12259.4"/>
    <n v="0"/>
    <n v="0"/>
    <n v="0"/>
    <n v="0"/>
    <n v="0"/>
    <s v=""/>
    <s v=""/>
    <n v="12259.4"/>
    <s v=""/>
    <s v=""/>
    <s v=""/>
  </r>
  <r>
    <s v="SIM1042"/>
    <s v="11.805.592/0001-58"/>
    <x v="3"/>
    <x v="0"/>
    <n v="2501.94"/>
    <n v="0"/>
    <n v="0"/>
    <n v="0"/>
    <n v="0"/>
    <n v="0"/>
    <s v=""/>
    <n v="2501.94"/>
    <s v=""/>
    <s v=""/>
    <s v=""/>
    <s v=""/>
  </r>
  <r>
    <s v="SIM1043"/>
    <s v="43.570.866/0001-88"/>
    <x v="1"/>
    <x v="8"/>
    <n v="4798.01"/>
    <n v="0"/>
    <n v="0"/>
    <n v="0"/>
    <n v="0"/>
    <n v="0"/>
    <s v=""/>
    <s v=""/>
    <n v="4798.01"/>
    <s v=""/>
    <s v=""/>
    <s v=""/>
  </r>
  <r>
    <s v="SIM1044"/>
    <s v="68.887.805/0001-40"/>
    <x v="5"/>
    <x v="11"/>
    <n v="5380.8899999999994"/>
    <n v="0"/>
    <n v="0"/>
    <n v="0"/>
    <n v="0"/>
    <n v="0"/>
    <n v="5380.8899999999994"/>
    <s v=""/>
    <s v=""/>
    <s v=""/>
    <s v=""/>
    <s v=""/>
  </r>
  <r>
    <s v="SIM1045"/>
    <s v="52.450.339/0001-34"/>
    <x v="0"/>
    <x v="7"/>
    <n v="1861.97"/>
    <n v="0"/>
    <n v="0"/>
    <n v="1861.97"/>
    <n v="0"/>
    <n v="0"/>
    <s v=""/>
    <s v=""/>
    <s v=""/>
    <s v=""/>
    <s v=""/>
    <n v="1861.97"/>
  </r>
  <r>
    <s v="SIM1046"/>
    <s v="63.312.223/0001-80"/>
    <x v="3"/>
    <x v="7"/>
    <n v="16418.95"/>
    <n v="0"/>
    <n v="0"/>
    <n v="0"/>
    <n v="0"/>
    <n v="0"/>
    <s v=""/>
    <n v="16418.95"/>
    <s v=""/>
    <s v=""/>
    <s v=""/>
    <s v=""/>
  </r>
  <r>
    <s v="SIM1047"/>
    <s v="88.376.135/0001-58"/>
    <x v="4"/>
    <x v="8"/>
    <n v="10698.029999999999"/>
    <n v="0"/>
    <n v="0"/>
    <n v="0"/>
    <n v="0"/>
    <n v="0"/>
    <s v=""/>
    <s v=""/>
    <s v=""/>
    <s v=""/>
    <n v="10698.029999999999"/>
    <s v=""/>
  </r>
  <r>
    <s v="SIM1048"/>
    <s v="17.362.996/0001-57"/>
    <x v="5"/>
    <x v="7"/>
    <n v="7039.7699999999995"/>
    <n v="0"/>
    <n v="0"/>
    <n v="0"/>
    <n v="0"/>
    <n v="0"/>
    <n v="7039.7699999999995"/>
    <s v=""/>
    <s v=""/>
    <s v=""/>
    <s v=""/>
    <s v=""/>
  </r>
  <r>
    <s v="SIM1049"/>
    <s v="23.823.345/0001-23"/>
    <x v="3"/>
    <x v="3"/>
    <n v="5734.31"/>
    <n v="0"/>
    <n v="0"/>
    <n v="0"/>
    <n v="0"/>
    <n v="0"/>
    <s v=""/>
    <n v="5734.31"/>
    <s v=""/>
    <s v=""/>
    <s v=""/>
    <s v=""/>
  </r>
  <r>
    <s v="SIM1050"/>
    <s v="41.926.720/0001-83"/>
    <x v="5"/>
    <x v="4"/>
    <n v="19257.68"/>
    <n v="0"/>
    <n v="0"/>
    <n v="0"/>
    <n v="0"/>
    <n v="0"/>
    <n v="19257.68"/>
    <s v=""/>
    <s v=""/>
    <s v=""/>
    <s v=""/>
    <s v=""/>
  </r>
  <r>
    <s v="SIM1051"/>
    <s v="44.609.287/0001-27"/>
    <x v="2"/>
    <x v="6"/>
    <n v="10855.74"/>
    <n v="0"/>
    <n v="0"/>
    <n v="0"/>
    <n v="0"/>
    <n v="0"/>
    <s v=""/>
    <s v=""/>
    <s v=""/>
    <n v="10855.74"/>
    <s v=""/>
    <s v=""/>
  </r>
  <r>
    <s v="SIM1052"/>
    <s v="47.499.842/0001-90"/>
    <x v="0"/>
    <x v="2"/>
    <n v="25877.73"/>
    <n v="0"/>
    <n v="2091.5100000000002"/>
    <n v="1266.08"/>
    <n v="10109.07"/>
    <n v="12411.07"/>
    <s v=""/>
    <s v=""/>
    <s v=""/>
    <s v=""/>
    <s v=""/>
    <n v="25877.73"/>
  </r>
  <r>
    <s v="SIM1053"/>
    <s v="59.597.421/0001-34"/>
    <x v="2"/>
    <x v="7"/>
    <n v="2005.78"/>
    <n v="0"/>
    <n v="0"/>
    <n v="0"/>
    <n v="0"/>
    <n v="0"/>
    <s v=""/>
    <s v=""/>
    <s v=""/>
    <n v="2005.78"/>
    <s v=""/>
    <s v=""/>
  </r>
  <r>
    <s v="SIM1054"/>
    <s v="93.208.128/0001-74"/>
    <x v="5"/>
    <x v="0"/>
    <n v="19811.34"/>
    <n v="0"/>
    <n v="0"/>
    <n v="0"/>
    <n v="0"/>
    <n v="0"/>
    <n v="19811.34"/>
    <s v=""/>
    <s v=""/>
    <s v=""/>
    <s v=""/>
    <s v=""/>
  </r>
  <r>
    <s v="SIM1055"/>
    <s v="64.280.864/0001-87"/>
    <x v="0"/>
    <x v="5"/>
    <n v="17885.810000000001"/>
    <n v="7734.27"/>
    <n v="779.87"/>
    <n v="0"/>
    <n v="9371.67"/>
    <n v="0"/>
    <s v=""/>
    <s v=""/>
    <s v=""/>
    <s v=""/>
    <s v=""/>
    <n v="17885.810000000001"/>
  </r>
  <r>
    <s v="SIM1056"/>
    <s v="66.657.500/0001-66"/>
    <x v="0"/>
    <x v="11"/>
    <n v="7276.32"/>
    <n v="0"/>
    <n v="2022.2"/>
    <n v="0"/>
    <n v="0"/>
    <n v="5254.12"/>
    <s v=""/>
    <s v=""/>
    <s v=""/>
    <s v=""/>
    <s v=""/>
    <n v="7276.32"/>
  </r>
  <r>
    <s v="SIM1057"/>
    <s v="14.535.992/0001-20"/>
    <x v="3"/>
    <x v="10"/>
    <n v="376.29"/>
    <n v="0"/>
    <n v="0"/>
    <n v="0"/>
    <n v="0"/>
    <n v="0"/>
    <s v=""/>
    <n v="376.29"/>
    <s v=""/>
    <s v=""/>
    <s v=""/>
    <s v=""/>
  </r>
  <r>
    <s v="SIM1058"/>
    <s v="61.914.506/0001-72"/>
    <x v="3"/>
    <x v="4"/>
    <n v="6077.7"/>
    <n v="0"/>
    <n v="0"/>
    <n v="0"/>
    <n v="0"/>
    <n v="0"/>
    <s v=""/>
    <n v="6077.7"/>
    <s v=""/>
    <s v=""/>
    <s v=""/>
    <s v=""/>
  </r>
  <r>
    <s v="SIM1059"/>
    <s v="98.951.254/0001-50"/>
    <x v="1"/>
    <x v="0"/>
    <n v="4739.87"/>
    <n v="0"/>
    <n v="0"/>
    <n v="0"/>
    <n v="0"/>
    <n v="0"/>
    <s v=""/>
    <s v=""/>
    <n v="4739.87"/>
    <s v=""/>
    <s v=""/>
    <s v=""/>
  </r>
  <r>
    <s v="SIM1060"/>
    <s v="61.400.252/0001-76"/>
    <x v="4"/>
    <x v="6"/>
    <n v="16660.61"/>
    <n v="0"/>
    <n v="0"/>
    <n v="0"/>
    <n v="0"/>
    <n v="0"/>
    <s v=""/>
    <s v=""/>
    <s v=""/>
    <s v=""/>
    <n v="16660.61"/>
    <s v=""/>
  </r>
  <r>
    <s v="SIM1061"/>
    <s v="13.439.261/0001-97"/>
    <x v="3"/>
    <x v="11"/>
    <n v="14624.25"/>
    <n v="0"/>
    <n v="0"/>
    <n v="0"/>
    <n v="0"/>
    <n v="0"/>
    <s v=""/>
    <n v="14624.25"/>
    <s v=""/>
    <s v=""/>
    <s v=""/>
    <s v=""/>
  </r>
  <r>
    <s v="SIM1062"/>
    <s v="50.838.351/0001-27"/>
    <x v="4"/>
    <x v="4"/>
    <n v="17402.71"/>
    <n v="0"/>
    <n v="0"/>
    <n v="0"/>
    <n v="0"/>
    <n v="0"/>
    <s v=""/>
    <s v=""/>
    <s v=""/>
    <s v=""/>
    <n v="17402.71"/>
    <s v=""/>
  </r>
  <r>
    <s v="SIM1063"/>
    <s v="19.701.865/0001-43"/>
    <x v="0"/>
    <x v="4"/>
    <n v="619.12"/>
    <n v="0"/>
    <n v="0"/>
    <n v="0"/>
    <n v="619.12"/>
    <n v="0"/>
    <s v=""/>
    <s v=""/>
    <s v=""/>
    <s v=""/>
    <s v=""/>
    <n v="619.12"/>
  </r>
  <r>
    <s v="SIM1064"/>
    <s v="64.599.917/0001-98"/>
    <x v="5"/>
    <x v="6"/>
    <n v="2958.4300000000003"/>
    <n v="0"/>
    <n v="0"/>
    <n v="0"/>
    <n v="0"/>
    <n v="0"/>
    <n v="2958.4300000000003"/>
    <s v=""/>
    <s v=""/>
    <s v=""/>
    <s v=""/>
    <s v=""/>
  </r>
  <r>
    <s v="SIM1065"/>
    <s v="88.285.994/0001-24"/>
    <x v="1"/>
    <x v="8"/>
    <n v="9048.369999999999"/>
    <n v="0"/>
    <n v="0"/>
    <n v="0"/>
    <n v="0"/>
    <n v="0"/>
    <s v=""/>
    <s v=""/>
    <n v="9048.369999999999"/>
    <s v=""/>
    <s v=""/>
    <s v=""/>
  </r>
  <r>
    <s v="SIM1066"/>
    <s v="80.596.321/0001-87"/>
    <x v="1"/>
    <x v="7"/>
    <n v="5627.88"/>
    <n v="0"/>
    <n v="0"/>
    <n v="0"/>
    <n v="0"/>
    <n v="0"/>
    <s v=""/>
    <s v=""/>
    <n v="5627.88"/>
    <s v=""/>
    <s v=""/>
    <s v=""/>
  </r>
  <r>
    <s v="SIM1067"/>
    <s v="38.414.406/0001-90"/>
    <x v="1"/>
    <x v="1"/>
    <n v="11202.179999999998"/>
    <n v="0"/>
    <n v="0"/>
    <n v="0"/>
    <n v="0"/>
    <n v="0"/>
    <s v=""/>
    <s v=""/>
    <n v="11202.179999999998"/>
    <s v=""/>
    <s v=""/>
    <s v=""/>
  </r>
  <r>
    <s v="SIM1068"/>
    <s v="61.168.550/0001-35"/>
    <x v="0"/>
    <x v="9"/>
    <n v="13874.44"/>
    <n v="6552.77"/>
    <n v="0"/>
    <n v="0"/>
    <n v="7321.67"/>
    <n v="0"/>
    <s v=""/>
    <s v=""/>
    <s v=""/>
    <s v=""/>
    <s v=""/>
    <n v="13874.44"/>
  </r>
  <r>
    <s v="SIM1069"/>
    <s v="14.117.774/0001-57"/>
    <x v="3"/>
    <x v="4"/>
    <n v="25808.91"/>
    <n v="0"/>
    <n v="0"/>
    <n v="0"/>
    <n v="0"/>
    <n v="0"/>
    <s v=""/>
    <n v="25808.91"/>
    <s v=""/>
    <s v=""/>
    <s v=""/>
    <s v=""/>
  </r>
  <r>
    <s v="SIM1070"/>
    <s v="70.839.549/0001-81"/>
    <x v="5"/>
    <x v="5"/>
    <n v="310.94"/>
    <n v="0"/>
    <n v="0"/>
    <n v="0"/>
    <n v="0"/>
    <n v="0"/>
    <n v="310.94"/>
    <s v=""/>
    <s v=""/>
    <s v=""/>
    <s v=""/>
    <s v=""/>
  </r>
  <r>
    <s v="SIM1071"/>
    <s v="36.713.824/0001-44"/>
    <x v="3"/>
    <x v="0"/>
    <n v="18197.78"/>
    <n v="0"/>
    <n v="0"/>
    <n v="0"/>
    <n v="0"/>
    <n v="0"/>
    <s v=""/>
    <n v="18197.78"/>
    <s v=""/>
    <s v=""/>
    <s v=""/>
    <s v=""/>
  </r>
  <r>
    <s v="SIM1072"/>
    <s v="33.141.183/0001-33"/>
    <x v="4"/>
    <x v="6"/>
    <n v="11158.35"/>
    <n v="0"/>
    <n v="0"/>
    <n v="0"/>
    <n v="0"/>
    <n v="0"/>
    <s v=""/>
    <s v=""/>
    <s v=""/>
    <s v=""/>
    <n v="11158.35"/>
    <s v=""/>
  </r>
  <r>
    <s v="SIM1073"/>
    <s v="66.327.291/0001-32"/>
    <x v="0"/>
    <x v="8"/>
    <n v="13832.18"/>
    <n v="5890.4"/>
    <n v="0"/>
    <n v="1094.3800000000001"/>
    <n v="0"/>
    <n v="6847.4"/>
    <s v=""/>
    <s v=""/>
    <s v=""/>
    <s v=""/>
    <s v=""/>
    <n v="13832.18"/>
  </r>
  <r>
    <s v="SIM1074"/>
    <s v="43.302.419/0001-64"/>
    <x v="3"/>
    <x v="2"/>
    <n v="5261.13"/>
    <n v="0"/>
    <n v="0"/>
    <n v="0"/>
    <n v="0"/>
    <n v="0"/>
    <s v=""/>
    <n v="5261.13"/>
    <s v=""/>
    <s v=""/>
    <s v=""/>
    <s v=""/>
  </r>
  <r>
    <s v="SIM1075"/>
    <s v="90.446.789/0001-99"/>
    <x v="3"/>
    <x v="4"/>
    <n v="16821.68"/>
    <n v="0"/>
    <n v="0"/>
    <n v="0"/>
    <n v="0"/>
    <n v="0"/>
    <s v=""/>
    <n v="16821.68"/>
    <s v=""/>
    <s v=""/>
    <s v=""/>
    <s v=""/>
  </r>
  <r>
    <s v="SIM1076"/>
    <s v="53.568.803/0001-53"/>
    <x v="1"/>
    <x v="3"/>
    <n v="10222.4"/>
    <n v="0"/>
    <n v="0"/>
    <n v="0"/>
    <n v="0"/>
    <n v="0"/>
    <s v=""/>
    <s v=""/>
    <n v="10222.4"/>
    <s v=""/>
    <s v=""/>
    <s v=""/>
  </r>
  <r>
    <s v="SIM1077"/>
    <s v="60.958.902/0001-38"/>
    <x v="2"/>
    <x v="6"/>
    <n v="10302.86"/>
    <n v="0"/>
    <n v="0"/>
    <n v="0"/>
    <n v="0"/>
    <n v="0"/>
    <s v=""/>
    <s v=""/>
    <s v=""/>
    <n v="10302.86"/>
    <s v=""/>
    <s v=""/>
  </r>
  <r>
    <s v="SIM1078"/>
    <s v="79.431.990/0001-66"/>
    <x v="5"/>
    <x v="5"/>
    <n v="10256.68"/>
    <n v="0"/>
    <n v="0"/>
    <n v="0"/>
    <n v="0"/>
    <n v="0"/>
    <n v="10256.68"/>
    <s v=""/>
    <s v=""/>
    <s v=""/>
    <s v=""/>
    <s v=""/>
  </r>
  <r>
    <s v="SIM1079"/>
    <s v="25.935.949/0001-25"/>
    <x v="1"/>
    <x v="0"/>
    <n v="14555.48"/>
    <n v="0"/>
    <n v="0"/>
    <n v="0"/>
    <n v="0"/>
    <n v="0"/>
    <s v=""/>
    <s v=""/>
    <n v="14555.48"/>
    <s v=""/>
    <s v=""/>
    <s v=""/>
  </r>
  <r>
    <s v="SIM1080"/>
    <s v="71.590.654/0001-97"/>
    <x v="4"/>
    <x v="2"/>
    <n v="8921.0499999999993"/>
    <n v="0"/>
    <n v="0"/>
    <n v="0"/>
    <n v="0"/>
    <n v="0"/>
    <s v=""/>
    <s v=""/>
    <s v=""/>
    <s v=""/>
    <n v="8921.0499999999993"/>
    <s v=""/>
  </r>
  <r>
    <s v="SIM1081"/>
    <s v="40.392.461/0001-84"/>
    <x v="4"/>
    <x v="0"/>
    <n v="5561.1399999999994"/>
    <n v="0"/>
    <n v="0"/>
    <n v="0"/>
    <n v="0"/>
    <n v="0"/>
    <s v=""/>
    <s v=""/>
    <s v=""/>
    <s v=""/>
    <n v="5561.1399999999994"/>
    <s v=""/>
  </r>
  <r>
    <s v="SIM1082"/>
    <s v="53.252.920/0001-63"/>
    <x v="4"/>
    <x v="4"/>
    <n v="13835.73"/>
    <n v="0"/>
    <n v="0"/>
    <n v="0"/>
    <n v="0"/>
    <n v="0"/>
    <s v=""/>
    <s v=""/>
    <s v=""/>
    <s v=""/>
    <n v="13835.73"/>
    <s v=""/>
  </r>
  <r>
    <s v="SIM1083"/>
    <s v="69.668.516/0001-17"/>
    <x v="1"/>
    <x v="10"/>
    <n v="18773.79"/>
    <n v="0"/>
    <n v="0"/>
    <n v="0"/>
    <n v="0"/>
    <n v="0"/>
    <s v=""/>
    <s v=""/>
    <n v="18773.79"/>
    <s v=""/>
    <s v=""/>
    <s v=""/>
  </r>
  <r>
    <s v="SIM1084"/>
    <s v="83.809.679/0001-29"/>
    <x v="1"/>
    <x v="1"/>
    <n v="16751.46"/>
    <n v="0"/>
    <n v="0"/>
    <n v="0"/>
    <n v="0"/>
    <n v="0"/>
    <s v=""/>
    <s v=""/>
    <n v="16751.46"/>
    <s v=""/>
    <s v=""/>
    <s v=""/>
  </r>
  <r>
    <s v="SIM1085"/>
    <s v="12.174.572/0001-71"/>
    <x v="2"/>
    <x v="3"/>
    <n v="4612.88"/>
    <n v="0"/>
    <n v="0"/>
    <n v="0"/>
    <n v="0"/>
    <n v="0"/>
    <s v=""/>
    <s v=""/>
    <s v=""/>
    <n v="4612.88"/>
    <s v=""/>
    <s v=""/>
  </r>
  <r>
    <s v="SIM1086"/>
    <s v="39.400.131/0001-48"/>
    <x v="4"/>
    <x v="4"/>
    <n v="6311.79"/>
    <n v="0"/>
    <n v="0"/>
    <n v="0"/>
    <n v="0"/>
    <n v="0"/>
    <s v=""/>
    <s v=""/>
    <s v=""/>
    <s v=""/>
    <n v="6311.79"/>
    <s v=""/>
  </r>
  <r>
    <s v="SIM1087"/>
    <s v="17.653.334/0001-98"/>
    <x v="0"/>
    <x v="11"/>
    <n v="16231.8"/>
    <n v="0"/>
    <n v="3535.29"/>
    <n v="624.95000000000005"/>
    <n v="0"/>
    <n v="12071.56"/>
    <s v=""/>
    <s v=""/>
    <s v=""/>
    <s v=""/>
    <s v=""/>
    <n v="16231.8"/>
  </r>
  <r>
    <s v="SIM1088"/>
    <s v="42.156.726/0001-86"/>
    <x v="2"/>
    <x v="8"/>
    <n v="4789.29"/>
    <n v="0"/>
    <n v="0"/>
    <n v="0"/>
    <n v="0"/>
    <n v="0"/>
    <s v=""/>
    <s v=""/>
    <s v=""/>
    <n v="4789.29"/>
    <s v=""/>
    <s v=""/>
  </r>
  <r>
    <s v="SIM1089"/>
    <s v="69.490.543/0001-49"/>
    <x v="4"/>
    <x v="4"/>
    <n v="8344.5300000000007"/>
    <n v="0"/>
    <n v="0"/>
    <n v="0"/>
    <n v="0"/>
    <n v="0"/>
    <s v=""/>
    <s v=""/>
    <s v=""/>
    <s v=""/>
    <n v="8344.5300000000007"/>
    <s v=""/>
  </r>
  <r>
    <s v="SIM1090"/>
    <s v="21.866.513/0001-92"/>
    <x v="1"/>
    <x v="1"/>
    <n v="13546.36"/>
    <n v="0"/>
    <n v="0"/>
    <n v="0"/>
    <n v="0"/>
    <n v="0"/>
    <s v=""/>
    <s v=""/>
    <n v="13546.36"/>
    <s v=""/>
    <s v=""/>
    <s v=""/>
  </r>
  <r>
    <s v="SIM1091"/>
    <s v="82.335.437/0001-39"/>
    <x v="1"/>
    <x v="11"/>
    <n v="888.23"/>
    <n v="0"/>
    <n v="0"/>
    <n v="0"/>
    <n v="0"/>
    <n v="0"/>
    <s v=""/>
    <s v=""/>
    <n v="888.23"/>
    <s v=""/>
    <s v=""/>
    <s v=""/>
  </r>
  <r>
    <s v="SIM1092"/>
    <s v="92.788.117/0001-85"/>
    <x v="4"/>
    <x v="8"/>
    <n v="13046.5"/>
    <n v="0"/>
    <n v="0"/>
    <n v="0"/>
    <n v="0"/>
    <n v="0"/>
    <s v=""/>
    <s v=""/>
    <s v=""/>
    <s v=""/>
    <n v="13046.5"/>
    <s v=""/>
  </r>
  <r>
    <s v="SIM1093"/>
    <s v="50.782.595/0001-60"/>
    <x v="1"/>
    <x v="8"/>
    <n v="15768.09"/>
    <n v="0"/>
    <n v="0"/>
    <n v="0"/>
    <n v="0"/>
    <n v="0"/>
    <s v=""/>
    <s v=""/>
    <n v="15768.09"/>
    <s v=""/>
    <s v=""/>
    <s v=""/>
  </r>
  <r>
    <s v="SIM1094"/>
    <s v="60.366.559/0001-26"/>
    <x v="1"/>
    <x v="5"/>
    <n v="4058.21"/>
    <n v="0"/>
    <n v="0"/>
    <n v="0"/>
    <n v="0"/>
    <n v="0"/>
    <s v=""/>
    <s v=""/>
    <n v="4058.21"/>
    <s v=""/>
    <s v=""/>
    <s v=""/>
  </r>
  <r>
    <s v="SIM1095"/>
    <s v="86.923.152/0001-15"/>
    <x v="5"/>
    <x v="10"/>
    <n v="6863.76"/>
    <n v="0"/>
    <n v="0"/>
    <n v="0"/>
    <n v="0"/>
    <n v="0"/>
    <n v="6863.76"/>
    <s v=""/>
    <s v=""/>
    <s v=""/>
    <s v=""/>
    <s v=""/>
  </r>
  <r>
    <s v="SIM1096"/>
    <s v="11.735.996/0001-13"/>
    <x v="4"/>
    <x v="11"/>
    <n v="4705.57"/>
    <n v="0"/>
    <n v="0"/>
    <n v="0"/>
    <n v="0"/>
    <n v="0"/>
    <s v=""/>
    <s v=""/>
    <s v=""/>
    <s v=""/>
    <n v="4705.57"/>
    <s v=""/>
  </r>
  <r>
    <s v="SIM1097"/>
    <s v="48.446.615/0001-63"/>
    <x v="2"/>
    <x v="7"/>
    <n v="4541.7"/>
    <n v="0"/>
    <n v="0"/>
    <n v="0"/>
    <n v="0"/>
    <n v="0"/>
    <s v=""/>
    <s v=""/>
    <s v=""/>
    <n v="4541.7"/>
    <s v=""/>
    <s v=""/>
  </r>
  <r>
    <s v="SIM1098"/>
    <s v="95.269.319/0001-46"/>
    <x v="1"/>
    <x v="0"/>
    <n v="24332.370000000003"/>
    <n v="0"/>
    <n v="0"/>
    <n v="0"/>
    <n v="0"/>
    <n v="0"/>
    <s v=""/>
    <s v=""/>
    <n v="24332.370000000003"/>
    <s v=""/>
    <s v=""/>
    <s v=""/>
  </r>
  <r>
    <s v="SIM1099"/>
    <s v="11.356.777/0001-29"/>
    <x v="0"/>
    <x v="4"/>
    <n v="14907.36"/>
    <n v="6334.02"/>
    <n v="0"/>
    <n v="2155.7399999999998"/>
    <n v="6417.6"/>
    <n v="0"/>
    <s v=""/>
    <s v=""/>
    <s v=""/>
    <s v=""/>
    <s v=""/>
    <n v="14907.36"/>
  </r>
  <r>
    <s v="SIM1100"/>
    <s v="35.665.987/0001-38"/>
    <x v="3"/>
    <x v="9"/>
    <n v="3441.4700000000003"/>
    <n v="0"/>
    <n v="0"/>
    <n v="0"/>
    <n v="0"/>
    <n v="0"/>
    <s v=""/>
    <n v="3441.4700000000003"/>
    <s v=""/>
    <s v=""/>
    <s v=""/>
    <s v=""/>
  </r>
  <r>
    <s v="SIM1101"/>
    <s v="43.104.452/0001-79"/>
    <x v="5"/>
    <x v="2"/>
    <n v="6869.54"/>
    <n v="0"/>
    <n v="0"/>
    <n v="0"/>
    <n v="0"/>
    <n v="0"/>
    <n v="6869.54"/>
    <s v=""/>
    <s v=""/>
    <s v=""/>
    <s v=""/>
    <s v=""/>
  </r>
  <r>
    <s v="SIM1102"/>
    <s v="66.381.248/0001-73"/>
    <x v="5"/>
    <x v="6"/>
    <n v="11404.42"/>
    <n v="0"/>
    <n v="0"/>
    <n v="0"/>
    <n v="0"/>
    <n v="0"/>
    <n v="11404.42"/>
    <s v=""/>
    <s v=""/>
    <s v=""/>
    <s v=""/>
    <s v=""/>
  </r>
  <r>
    <s v="SIM1103"/>
    <s v="11.263.520/0001-88"/>
    <x v="3"/>
    <x v="0"/>
    <n v="1300.74"/>
    <n v="0"/>
    <n v="0"/>
    <n v="0"/>
    <n v="0"/>
    <n v="0"/>
    <s v=""/>
    <n v="1300.74"/>
    <s v=""/>
    <s v=""/>
    <s v=""/>
    <s v=""/>
  </r>
  <r>
    <s v="SIM1104"/>
    <s v="65.168.770/0001-79"/>
    <x v="2"/>
    <x v="6"/>
    <n v="18411.53"/>
    <n v="0"/>
    <n v="0"/>
    <n v="0"/>
    <n v="0"/>
    <n v="0"/>
    <s v=""/>
    <s v=""/>
    <s v=""/>
    <n v="18411.53"/>
    <s v=""/>
    <s v=""/>
  </r>
  <r>
    <s v="SIM1105"/>
    <s v="56.233.889/0001-91"/>
    <x v="4"/>
    <x v="0"/>
    <n v="700.38"/>
    <n v="0"/>
    <n v="0"/>
    <n v="0"/>
    <n v="0"/>
    <n v="0"/>
    <s v=""/>
    <s v=""/>
    <s v=""/>
    <s v=""/>
    <n v="700.38"/>
    <s v=""/>
  </r>
  <r>
    <s v="SIM1106"/>
    <s v="44.967.582/0001-20"/>
    <x v="2"/>
    <x v="1"/>
    <n v="6179.29"/>
    <n v="0"/>
    <n v="0"/>
    <n v="0"/>
    <n v="0"/>
    <n v="0"/>
    <s v=""/>
    <s v=""/>
    <s v=""/>
    <n v="6179.29"/>
    <s v=""/>
    <s v=""/>
  </r>
  <r>
    <s v="SIM1107"/>
    <s v="30.909.793/0001-75"/>
    <x v="4"/>
    <x v="9"/>
    <n v="5803.53"/>
    <n v="0"/>
    <n v="0"/>
    <n v="0"/>
    <n v="0"/>
    <n v="0"/>
    <s v=""/>
    <s v=""/>
    <s v=""/>
    <s v=""/>
    <n v="5803.53"/>
    <s v=""/>
  </r>
  <r>
    <s v="SIM1108"/>
    <s v="59.264.707/0001-71"/>
    <x v="4"/>
    <x v="3"/>
    <n v="9315.4500000000007"/>
    <n v="0"/>
    <n v="0"/>
    <n v="0"/>
    <n v="0"/>
    <n v="0"/>
    <s v=""/>
    <s v=""/>
    <s v=""/>
    <s v=""/>
    <n v="9315.4500000000007"/>
    <s v=""/>
  </r>
  <r>
    <s v="SIM1109"/>
    <s v="69.642.104/0001-85"/>
    <x v="1"/>
    <x v="5"/>
    <n v="141.96"/>
    <n v="0"/>
    <n v="0"/>
    <n v="0"/>
    <n v="0"/>
    <n v="0"/>
    <s v=""/>
    <s v=""/>
    <n v="141.96"/>
    <s v=""/>
    <s v=""/>
    <s v=""/>
  </r>
  <r>
    <s v="SIM1110"/>
    <s v="89.879.972/0001-98"/>
    <x v="4"/>
    <x v="0"/>
    <n v="9618.91"/>
    <n v="0"/>
    <n v="0"/>
    <n v="0"/>
    <n v="0"/>
    <n v="0"/>
    <s v=""/>
    <s v=""/>
    <s v=""/>
    <s v=""/>
    <n v="9618.91"/>
    <s v=""/>
  </r>
  <r>
    <s v="SIM1111"/>
    <s v="26.826.114/0001-85"/>
    <x v="0"/>
    <x v="3"/>
    <n v="1106.3399999999999"/>
    <n v="0"/>
    <n v="0"/>
    <n v="0"/>
    <n v="0"/>
    <n v="1106.3399999999999"/>
    <s v=""/>
    <s v=""/>
    <s v=""/>
    <s v=""/>
    <s v=""/>
    <n v="1106.3399999999999"/>
  </r>
  <r>
    <s v="SIM1112"/>
    <s v="87.239.960/0001-84"/>
    <x v="1"/>
    <x v="4"/>
    <n v="7836.75"/>
    <n v="0"/>
    <n v="0"/>
    <n v="0"/>
    <n v="0"/>
    <n v="0"/>
    <s v=""/>
    <s v=""/>
    <n v="7836.75"/>
    <s v=""/>
    <s v=""/>
    <s v=""/>
  </r>
  <r>
    <s v="SIM1113"/>
    <s v="22.958.375/0001-98"/>
    <x v="2"/>
    <x v="9"/>
    <n v="5536.65"/>
    <n v="0"/>
    <n v="0"/>
    <n v="0"/>
    <n v="0"/>
    <n v="0"/>
    <s v=""/>
    <s v=""/>
    <s v=""/>
    <n v="5536.65"/>
    <s v=""/>
    <s v=""/>
  </r>
  <r>
    <s v="SIM1114"/>
    <s v="33.103.496/0001-43"/>
    <x v="3"/>
    <x v="0"/>
    <n v="6604.55"/>
    <n v="0"/>
    <n v="0"/>
    <n v="0"/>
    <n v="0"/>
    <n v="0"/>
    <s v=""/>
    <n v="6604.55"/>
    <s v=""/>
    <s v=""/>
    <s v=""/>
    <s v=""/>
  </r>
  <r>
    <s v="SIM1115"/>
    <s v="14.663.901/0001-65"/>
    <x v="1"/>
    <x v="6"/>
    <n v="14032.460000000001"/>
    <n v="0"/>
    <n v="0"/>
    <n v="0"/>
    <n v="0"/>
    <n v="0"/>
    <s v=""/>
    <s v=""/>
    <n v="14032.460000000001"/>
    <s v=""/>
    <s v=""/>
    <s v=""/>
  </r>
  <r>
    <s v="SIM1116"/>
    <s v="46.511.204/0001-28"/>
    <x v="2"/>
    <x v="8"/>
    <n v="18557.79"/>
    <n v="0"/>
    <n v="0"/>
    <n v="0"/>
    <n v="0"/>
    <n v="0"/>
    <s v=""/>
    <s v=""/>
    <s v=""/>
    <n v="18557.79"/>
    <s v=""/>
    <s v=""/>
  </r>
  <r>
    <s v="SIM1117"/>
    <s v="48.718.288/0001-38"/>
    <x v="2"/>
    <x v="6"/>
    <n v="10628.130000000001"/>
    <n v="0"/>
    <n v="0"/>
    <n v="0"/>
    <n v="0"/>
    <n v="0"/>
    <s v=""/>
    <s v=""/>
    <s v=""/>
    <n v="10628.130000000001"/>
    <s v=""/>
    <s v=""/>
  </r>
  <r>
    <s v="SIM1118"/>
    <s v="38.674.294/0001-58"/>
    <x v="1"/>
    <x v="5"/>
    <n v="14801.58"/>
    <n v="0"/>
    <n v="0"/>
    <n v="0"/>
    <n v="0"/>
    <n v="0"/>
    <s v=""/>
    <s v=""/>
    <n v="14801.58"/>
    <s v=""/>
    <s v=""/>
    <s v=""/>
  </r>
  <r>
    <s v="SIM1119"/>
    <s v="68.603.836/0001-47"/>
    <x v="3"/>
    <x v="10"/>
    <n v="3767.88"/>
    <n v="0"/>
    <n v="0"/>
    <n v="0"/>
    <n v="0"/>
    <n v="0"/>
    <s v=""/>
    <n v="3767.88"/>
    <s v=""/>
    <s v=""/>
    <s v=""/>
    <s v=""/>
  </r>
  <r>
    <s v="SIM1120"/>
    <s v="24.901.471/0001-49"/>
    <x v="1"/>
    <x v="10"/>
    <n v="5582.8"/>
    <n v="0"/>
    <n v="0"/>
    <n v="0"/>
    <n v="0"/>
    <n v="0"/>
    <s v=""/>
    <s v=""/>
    <n v="5582.8"/>
    <s v=""/>
    <s v=""/>
    <s v=""/>
  </r>
  <r>
    <s v="SIM1121"/>
    <s v="52.166.348/0001-25"/>
    <x v="5"/>
    <x v="2"/>
    <n v="13083.08"/>
    <n v="0"/>
    <n v="0"/>
    <n v="0"/>
    <n v="0"/>
    <n v="0"/>
    <n v="13083.08"/>
    <s v=""/>
    <s v=""/>
    <s v=""/>
    <s v=""/>
    <s v=""/>
  </r>
  <r>
    <s v="SIM1122"/>
    <s v="28.737.183/0001-56"/>
    <x v="4"/>
    <x v="2"/>
    <n v="12828.080000000002"/>
    <n v="0"/>
    <n v="0"/>
    <n v="0"/>
    <n v="0"/>
    <n v="0"/>
    <s v=""/>
    <s v=""/>
    <s v=""/>
    <s v=""/>
    <n v="12828.080000000002"/>
    <s v=""/>
  </r>
  <r>
    <s v="SIM1123"/>
    <s v="31.491.242/0001-37"/>
    <x v="1"/>
    <x v="3"/>
    <n v="7177.04"/>
    <n v="0"/>
    <n v="0"/>
    <n v="0"/>
    <n v="0"/>
    <n v="0"/>
    <s v=""/>
    <s v=""/>
    <n v="7177.04"/>
    <s v=""/>
    <s v=""/>
    <s v=""/>
  </r>
  <r>
    <s v="SIM1124"/>
    <s v="86.548.606/0001-76"/>
    <x v="5"/>
    <x v="6"/>
    <n v="12079.529999999999"/>
    <n v="0"/>
    <n v="0"/>
    <n v="0"/>
    <n v="0"/>
    <n v="0"/>
    <n v="12079.529999999999"/>
    <s v=""/>
    <s v=""/>
    <s v=""/>
    <s v=""/>
    <s v=""/>
  </r>
  <r>
    <s v="SIM1125"/>
    <s v="51.716.851/0001-70"/>
    <x v="5"/>
    <x v="7"/>
    <n v="2947.1"/>
    <n v="0"/>
    <n v="0"/>
    <n v="0"/>
    <n v="0"/>
    <n v="0"/>
    <n v="2947.1"/>
    <s v=""/>
    <s v=""/>
    <s v=""/>
    <s v=""/>
    <s v=""/>
  </r>
  <r>
    <s v="SIM1126"/>
    <s v="63.603.841/0001-83"/>
    <x v="3"/>
    <x v="4"/>
    <n v="11582.41"/>
    <n v="0"/>
    <n v="0"/>
    <n v="0"/>
    <n v="0"/>
    <n v="0"/>
    <s v=""/>
    <n v="11582.41"/>
    <s v=""/>
    <s v=""/>
    <s v=""/>
    <s v=""/>
  </r>
  <r>
    <s v="SIM1127"/>
    <s v="29.321.935/0001-48"/>
    <x v="2"/>
    <x v="11"/>
    <n v="4541.6400000000003"/>
    <n v="0"/>
    <n v="0"/>
    <n v="0"/>
    <n v="0"/>
    <n v="0"/>
    <s v=""/>
    <s v=""/>
    <s v=""/>
    <n v="4541.6400000000003"/>
    <s v=""/>
    <s v=""/>
  </r>
  <r>
    <s v="SIM1128"/>
    <s v="64.178.170/0001-91"/>
    <x v="2"/>
    <x v="6"/>
    <n v="2708.19"/>
    <n v="0"/>
    <n v="0"/>
    <n v="0"/>
    <n v="0"/>
    <n v="0"/>
    <s v=""/>
    <s v=""/>
    <s v=""/>
    <n v="2708.19"/>
    <s v=""/>
    <s v=""/>
  </r>
  <r>
    <s v="SIM1129"/>
    <s v="65.259.157/0001-31"/>
    <x v="4"/>
    <x v="3"/>
    <n v="11658.95"/>
    <n v="0"/>
    <n v="0"/>
    <n v="0"/>
    <n v="0"/>
    <n v="0"/>
    <s v=""/>
    <s v=""/>
    <s v=""/>
    <s v=""/>
    <n v="11658.95"/>
    <s v=""/>
  </r>
  <r>
    <s v="SIM1130"/>
    <s v="93.714.635/0001-74"/>
    <x v="2"/>
    <x v="3"/>
    <n v="11366.88"/>
    <n v="0"/>
    <n v="0"/>
    <n v="0"/>
    <n v="0"/>
    <n v="0"/>
    <s v=""/>
    <s v=""/>
    <s v=""/>
    <n v="11366.88"/>
    <s v=""/>
    <s v=""/>
  </r>
  <r>
    <s v="SIM1131"/>
    <s v="38.335.299/0001-79"/>
    <x v="0"/>
    <x v="6"/>
    <n v="3382.79"/>
    <n v="0"/>
    <n v="0"/>
    <n v="0"/>
    <n v="3382.79"/>
    <n v="0"/>
    <s v=""/>
    <s v=""/>
    <s v=""/>
    <s v=""/>
    <s v=""/>
    <n v="3382.79"/>
  </r>
  <r>
    <s v="SIM1132"/>
    <s v="41.756.849/0001-53"/>
    <x v="3"/>
    <x v="11"/>
    <n v="6411.18"/>
    <n v="0"/>
    <n v="0"/>
    <n v="0"/>
    <n v="0"/>
    <n v="0"/>
    <s v=""/>
    <n v="6411.18"/>
    <s v=""/>
    <s v=""/>
    <s v=""/>
    <s v=""/>
  </r>
  <r>
    <s v="SIM1133"/>
    <s v="12.849.959/0001-47"/>
    <x v="4"/>
    <x v="1"/>
    <n v="339.07"/>
    <n v="0"/>
    <n v="0"/>
    <n v="0"/>
    <n v="0"/>
    <n v="0"/>
    <s v=""/>
    <s v=""/>
    <s v=""/>
    <s v=""/>
    <n v="339.07"/>
    <s v=""/>
  </r>
  <r>
    <s v="SIM1134"/>
    <s v="66.866.328/0001-10"/>
    <x v="1"/>
    <x v="8"/>
    <n v="5382.5"/>
    <n v="0"/>
    <n v="0"/>
    <n v="0"/>
    <n v="0"/>
    <n v="0"/>
    <s v=""/>
    <s v=""/>
    <n v="5382.5"/>
    <s v=""/>
    <s v=""/>
    <s v=""/>
  </r>
  <r>
    <s v="SIM1135"/>
    <s v="81.501.851/0001-91"/>
    <x v="0"/>
    <x v="8"/>
    <n v="2807.9700000000003"/>
    <n v="0"/>
    <n v="1286.26"/>
    <n v="0"/>
    <n v="1521.71"/>
    <n v="0"/>
    <s v=""/>
    <s v=""/>
    <s v=""/>
    <s v=""/>
    <s v=""/>
    <n v="2807.9700000000003"/>
  </r>
  <r>
    <s v="SIM1136"/>
    <s v="16.899.654/0001-48"/>
    <x v="2"/>
    <x v="0"/>
    <n v="10318.5"/>
    <n v="0"/>
    <n v="0"/>
    <n v="0"/>
    <n v="0"/>
    <n v="0"/>
    <s v=""/>
    <s v=""/>
    <s v=""/>
    <n v="10318.5"/>
    <s v=""/>
    <s v=""/>
  </r>
  <r>
    <s v="SIM1137"/>
    <s v="93.732.745/0001-37"/>
    <x v="5"/>
    <x v="4"/>
    <n v="20686.900000000001"/>
    <n v="0"/>
    <n v="0"/>
    <n v="0"/>
    <n v="0"/>
    <n v="0"/>
    <n v="20686.900000000001"/>
    <s v=""/>
    <s v=""/>
    <s v=""/>
    <s v=""/>
    <s v=""/>
  </r>
  <r>
    <s v="SIM1138"/>
    <s v="32.785.891/0001-26"/>
    <x v="5"/>
    <x v="0"/>
    <n v="10409.239999999998"/>
    <n v="0"/>
    <n v="0"/>
    <n v="0"/>
    <n v="0"/>
    <n v="0"/>
    <n v="10409.239999999998"/>
    <s v=""/>
    <s v=""/>
    <s v=""/>
    <s v=""/>
    <s v=""/>
  </r>
  <r>
    <s v="SIM1139"/>
    <s v="23.920.909/0001-85"/>
    <x v="0"/>
    <x v="2"/>
    <n v="3604"/>
    <n v="0"/>
    <n v="0"/>
    <n v="3604"/>
    <n v="0"/>
    <n v="0"/>
    <s v=""/>
    <s v=""/>
    <s v=""/>
    <s v=""/>
    <s v=""/>
    <n v="3604"/>
  </r>
  <r>
    <s v="SIM1140"/>
    <s v="97.926.530/0001-55"/>
    <x v="4"/>
    <x v="2"/>
    <n v="1534.2"/>
    <n v="0"/>
    <n v="0"/>
    <n v="0"/>
    <n v="0"/>
    <n v="0"/>
    <s v=""/>
    <s v=""/>
    <s v=""/>
    <s v=""/>
    <n v="1534.2"/>
    <s v=""/>
  </r>
  <r>
    <s v="SIM1141"/>
    <s v="61.103.485/0001-13"/>
    <x v="3"/>
    <x v="7"/>
    <n v="20040.309999999998"/>
    <n v="0"/>
    <n v="0"/>
    <n v="0"/>
    <n v="0"/>
    <n v="0"/>
    <s v=""/>
    <n v="20040.309999999998"/>
    <s v=""/>
    <s v=""/>
    <s v=""/>
    <s v=""/>
  </r>
  <r>
    <s v="SIM1142"/>
    <s v="93.358.433/0001-39"/>
    <x v="1"/>
    <x v="5"/>
    <n v="12828"/>
    <n v="0"/>
    <n v="0"/>
    <n v="0"/>
    <n v="0"/>
    <n v="0"/>
    <s v=""/>
    <s v=""/>
    <n v="12828"/>
    <s v=""/>
    <s v=""/>
    <s v=""/>
  </r>
  <r>
    <s v="SIM1143"/>
    <s v="31.212.565/0001-62"/>
    <x v="5"/>
    <x v="0"/>
    <n v="12457.48"/>
    <n v="0"/>
    <n v="0"/>
    <n v="0"/>
    <n v="0"/>
    <n v="0"/>
    <n v="12457.48"/>
    <s v=""/>
    <s v=""/>
    <s v=""/>
    <s v=""/>
    <s v=""/>
  </r>
  <r>
    <s v="SIM1144"/>
    <s v="65.725.203/0001-31"/>
    <x v="0"/>
    <x v="0"/>
    <n v="15172.5"/>
    <n v="1401.63"/>
    <n v="2875.09"/>
    <n v="678.59"/>
    <n v="10217.19"/>
    <n v="0"/>
    <s v=""/>
    <s v=""/>
    <s v=""/>
    <s v=""/>
    <s v=""/>
    <n v="15172.5"/>
  </r>
  <r>
    <s v="SIM1145"/>
    <s v="97.122.606/0001-18"/>
    <x v="1"/>
    <x v="7"/>
    <n v="14567.77"/>
    <n v="0"/>
    <n v="0"/>
    <n v="0"/>
    <n v="0"/>
    <n v="0"/>
    <s v=""/>
    <s v=""/>
    <n v="14567.77"/>
    <s v=""/>
    <s v=""/>
    <s v=""/>
  </r>
  <r>
    <s v="SIM1146"/>
    <s v="97.602.378/0001-38"/>
    <x v="1"/>
    <x v="1"/>
    <n v="6890.1100000000006"/>
    <n v="0"/>
    <n v="0"/>
    <n v="0"/>
    <n v="0"/>
    <n v="0"/>
    <s v=""/>
    <s v=""/>
    <n v="6890.1100000000006"/>
    <s v=""/>
    <s v=""/>
    <s v=""/>
  </r>
  <r>
    <s v="SIM1147"/>
    <s v="31.368.235/0001-94"/>
    <x v="2"/>
    <x v="2"/>
    <n v="12695.320000000002"/>
    <n v="0"/>
    <n v="0"/>
    <n v="0"/>
    <n v="0"/>
    <n v="0"/>
    <s v=""/>
    <s v=""/>
    <s v=""/>
    <n v="12695.320000000002"/>
    <s v=""/>
    <s v=""/>
  </r>
  <r>
    <s v="SIM1148"/>
    <s v="60.441.271/0001-47"/>
    <x v="0"/>
    <x v="4"/>
    <n v="1393.07"/>
    <n v="0"/>
    <n v="0"/>
    <n v="1393.07"/>
    <n v="0"/>
    <n v="0"/>
    <s v=""/>
    <s v=""/>
    <s v=""/>
    <s v=""/>
    <s v=""/>
    <n v="1393.07"/>
  </r>
  <r>
    <s v="SIM1149"/>
    <s v="91.878.189/0001-76"/>
    <x v="0"/>
    <x v="6"/>
    <n v="3307.6600000000003"/>
    <n v="2460.0300000000002"/>
    <n v="847.63"/>
    <n v="0"/>
    <n v="0"/>
    <n v="0"/>
    <s v=""/>
    <s v=""/>
    <s v=""/>
    <s v=""/>
    <s v=""/>
    <n v="3307.6600000000003"/>
  </r>
  <r>
    <s v="SIM1150"/>
    <s v="72.652.675/0001-56"/>
    <x v="3"/>
    <x v="1"/>
    <n v="4821.38"/>
    <n v="0"/>
    <n v="0"/>
    <n v="0"/>
    <n v="0"/>
    <n v="0"/>
    <s v=""/>
    <n v="4821.38"/>
    <s v=""/>
    <s v=""/>
    <s v=""/>
    <s v=""/>
  </r>
  <r>
    <s v="SIM1151"/>
    <s v="96.476.540/0001-24"/>
    <x v="0"/>
    <x v="1"/>
    <n v="11225.59"/>
    <n v="0"/>
    <n v="0"/>
    <n v="2629.95"/>
    <n v="0"/>
    <n v="8595.64"/>
    <s v=""/>
    <s v=""/>
    <s v=""/>
    <s v=""/>
    <s v=""/>
    <n v="11225.59"/>
  </r>
  <r>
    <s v="SIM1152"/>
    <s v="43.638.606/0001-20"/>
    <x v="0"/>
    <x v="3"/>
    <n v="11831.8"/>
    <n v="0"/>
    <n v="0"/>
    <n v="707.07"/>
    <n v="3253.53"/>
    <n v="7871.2"/>
    <s v=""/>
    <s v=""/>
    <s v=""/>
    <s v=""/>
    <s v=""/>
    <n v="11831.8"/>
  </r>
  <r>
    <s v="SIM1153"/>
    <s v="67.649.204/0001-41"/>
    <x v="2"/>
    <x v="9"/>
    <n v="11339.15"/>
    <n v="0"/>
    <n v="0"/>
    <n v="0"/>
    <n v="0"/>
    <n v="0"/>
    <s v=""/>
    <s v=""/>
    <s v=""/>
    <n v="11339.15"/>
    <s v=""/>
    <s v=""/>
  </r>
  <r>
    <s v="SIM1154"/>
    <s v="11.172.856/0001-25"/>
    <x v="1"/>
    <x v="3"/>
    <n v="15007.57"/>
    <n v="0"/>
    <n v="0"/>
    <n v="0"/>
    <n v="0"/>
    <n v="0"/>
    <s v=""/>
    <s v=""/>
    <n v="15007.57"/>
    <s v=""/>
    <s v=""/>
    <s v=""/>
  </r>
  <r>
    <s v="SIM1155"/>
    <s v="98.790.341/0001-61"/>
    <x v="0"/>
    <x v="3"/>
    <n v="20732.839999999997"/>
    <n v="0"/>
    <n v="0"/>
    <n v="1213.55"/>
    <n v="7067.4"/>
    <n v="12451.89"/>
    <s v=""/>
    <s v=""/>
    <s v=""/>
    <s v=""/>
    <s v=""/>
    <n v="20732.839999999997"/>
  </r>
  <r>
    <s v="SIM1156"/>
    <s v="24.586.753/0001-20"/>
    <x v="0"/>
    <x v="1"/>
    <n v="11711.240000000002"/>
    <n v="0"/>
    <n v="567.12"/>
    <n v="0"/>
    <n v="11144.12"/>
    <n v="0"/>
    <s v=""/>
    <s v=""/>
    <s v=""/>
    <s v=""/>
    <s v=""/>
    <n v="11711.240000000002"/>
  </r>
  <r>
    <s v="SIM1157"/>
    <s v="40.559.258/0001-44"/>
    <x v="3"/>
    <x v="4"/>
    <n v="13065.970000000001"/>
    <n v="0"/>
    <n v="0"/>
    <n v="0"/>
    <n v="0"/>
    <n v="0"/>
    <s v=""/>
    <n v="13065.970000000001"/>
    <s v=""/>
    <s v=""/>
    <s v=""/>
    <s v=""/>
  </r>
  <r>
    <s v="SIM1158"/>
    <s v="89.512.781/0001-86"/>
    <x v="1"/>
    <x v="6"/>
    <n v="20573.489999999998"/>
    <n v="0"/>
    <n v="0"/>
    <n v="0"/>
    <n v="0"/>
    <n v="0"/>
    <s v=""/>
    <s v=""/>
    <n v="20573.489999999998"/>
    <s v=""/>
    <s v=""/>
    <s v=""/>
  </r>
  <r>
    <s v="SIM1159"/>
    <s v="26.770.986/0001-23"/>
    <x v="5"/>
    <x v="9"/>
    <n v="11737.199999999999"/>
    <n v="0"/>
    <n v="0"/>
    <n v="0"/>
    <n v="0"/>
    <n v="0"/>
    <n v="11737.199999999999"/>
    <s v=""/>
    <s v=""/>
    <s v=""/>
    <s v=""/>
    <s v=""/>
  </r>
  <r>
    <s v="SIM1160"/>
    <s v="95.709.954/0001-34"/>
    <x v="4"/>
    <x v="9"/>
    <n v="7725.57"/>
    <n v="0"/>
    <n v="0"/>
    <n v="0"/>
    <n v="0"/>
    <n v="0"/>
    <s v=""/>
    <s v=""/>
    <s v=""/>
    <s v=""/>
    <n v="7725.57"/>
    <s v=""/>
  </r>
  <r>
    <s v="SIM1161"/>
    <s v="37.955.553/0001-98"/>
    <x v="5"/>
    <x v="3"/>
    <n v="20968.91"/>
    <n v="0"/>
    <n v="0"/>
    <n v="0"/>
    <n v="0"/>
    <n v="0"/>
    <n v="20968.91"/>
    <s v=""/>
    <s v=""/>
    <s v=""/>
    <s v=""/>
    <s v=""/>
  </r>
  <r>
    <s v="SIM1162"/>
    <s v="96.148.951/0001-68"/>
    <x v="5"/>
    <x v="7"/>
    <n v="5641.96"/>
    <n v="0"/>
    <n v="0"/>
    <n v="0"/>
    <n v="0"/>
    <n v="0"/>
    <n v="5641.96"/>
    <s v=""/>
    <s v=""/>
    <s v=""/>
    <s v=""/>
    <s v=""/>
  </r>
  <r>
    <s v="SIM1163"/>
    <s v="97.256.824/0001-44"/>
    <x v="3"/>
    <x v="8"/>
    <n v="18876.93"/>
    <n v="0"/>
    <n v="0"/>
    <n v="0"/>
    <n v="0"/>
    <n v="0"/>
    <s v=""/>
    <n v="18876.93"/>
    <s v=""/>
    <s v=""/>
    <s v=""/>
    <s v=""/>
  </r>
  <r>
    <s v="SIM1164"/>
    <s v="29.332.735/0001-76"/>
    <x v="1"/>
    <x v="4"/>
    <n v="2792.82"/>
    <n v="0"/>
    <n v="0"/>
    <n v="0"/>
    <n v="0"/>
    <n v="0"/>
    <s v=""/>
    <s v=""/>
    <n v="2792.82"/>
    <s v=""/>
    <s v=""/>
    <s v=""/>
  </r>
  <r>
    <s v="SIM1165"/>
    <s v="99.108.301/0001-88"/>
    <x v="2"/>
    <x v="8"/>
    <n v="8613.61"/>
    <n v="0"/>
    <n v="0"/>
    <n v="0"/>
    <n v="0"/>
    <n v="0"/>
    <s v=""/>
    <s v=""/>
    <s v=""/>
    <n v="8613.61"/>
    <s v=""/>
    <s v=""/>
  </r>
  <r>
    <s v="SIM1166"/>
    <s v="74.442.190/0001-81"/>
    <x v="5"/>
    <x v="11"/>
    <n v="10042.59"/>
    <n v="0"/>
    <n v="0"/>
    <n v="0"/>
    <n v="0"/>
    <n v="0"/>
    <n v="10042.59"/>
    <s v=""/>
    <s v=""/>
    <s v=""/>
    <s v=""/>
    <s v=""/>
  </r>
  <r>
    <s v="SIM1167"/>
    <s v="60.121.793/0001-14"/>
    <x v="5"/>
    <x v="4"/>
    <n v="8099.93"/>
    <n v="0"/>
    <n v="0"/>
    <n v="0"/>
    <n v="0"/>
    <n v="0"/>
    <n v="8099.93"/>
    <s v=""/>
    <s v=""/>
    <s v=""/>
    <s v=""/>
    <s v=""/>
  </r>
  <r>
    <s v="SIM1168"/>
    <s v="87.944.694/0001-87"/>
    <x v="4"/>
    <x v="10"/>
    <n v="10669.619999999999"/>
    <n v="0"/>
    <n v="0"/>
    <n v="0"/>
    <n v="0"/>
    <n v="0"/>
    <s v=""/>
    <s v=""/>
    <s v=""/>
    <s v=""/>
    <n v="10669.619999999999"/>
    <s v=""/>
  </r>
  <r>
    <s v="SIM1169"/>
    <s v="29.872.599/0001-59"/>
    <x v="1"/>
    <x v="11"/>
    <n v="12295.970000000001"/>
    <n v="0"/>
    <n v="0"/>
    <n v="0"/>
    <n v="0"/>
    <n v="0"/>
    <s v=""/>
    <s v=""/>
    <n v="12295.970000000001"/>
    <s v=""/>
    <s v=""/>
    <s v=""/>
  </r>
  <r>
    <s v="SIM1170"/>
    <s v="81.517.620/0001-79"/>
    <x v="4"/>
    <x v="8"/>
    <n v="1372.43"/>
    <n v="0"/>
    <n v="0"/>
    <n v="0"/>
    <n v="0"/>
    <n v="0"/>
    <s v=""/>
    <s v=""/>
    <s v=""/>
    <s v=""/>
    <n v="1372.43"/>
    <s v=""/>
  </r>
  <r>
    <s v="SIM1171"/>
    <s v="30.366.796/0001-42"/>
    <x v="0"/>
    <x v="2"/>
    <n v="22012.22"/>
    <n v="7340.12"/>
    <n v="2156.34"/>
    <n v="1963.78"/>
    <n v="0"/>
    <n v="10551.98"/>
    <s v=""/>
    <s v=""/>
    <s v=""/>
    <s v=""/>
    <s v=""/>
    <n v="22012.22"/>
  </r>
  <r>
    <s v="SIM1172"/>
    <s v="43.502.879/0001-52"/>
    <x v="0"/>
    <x v="7"/>
    <n v="3668.3499999999995"/>
    <n v="1385.36"/>
    <n v="2282.9899999999998"/>
    <n v="0"/>
    <n v="0"/>
    <n v="0"/>
    <s v=""/>
    <s v=""/>
    <s v=""/>
    <s v=""/>
    <s v=""/>
    <n v="3668.3499999999995"/>
  </r>
  <r>
    <s v="SIM1173"/>
    <s v="79.602.490/0001-61"/>
    <x v="2"/>
    <x v="3"/>
    <n v="2529.19"/>
    <n v="0"/>
    <n v="0"/>
    <n v="0"/>
    <n v="0"/>
    <n v="0"/>
    <s v=""/>
    <s v=""/>
    <s v=""/>
    <n v="2529.19"/>
    <s v=""/>
    <s v=""/>
  </r>
  <r>
    <s v="SIM1174"/>
    <s v="10.310.440/0001-27"/>
    <x v="4"/>
    <x v="0"/>
    <n v="4425.76"/>
    <n v="0"/>
    <n v="0"/>
    <n v="0"/>
    <n v="0"/>
    <n v="0"/>
    <s v=""/>
    <s v=""/>
    <s v=""/>
    <s v=""/>
    <n v="4425.76"/>
    <s v=""/>
  </r>
  <r>
    <s v="SIM1175"/>
    <s v="50.782.644/0001-65"/>
    <x v="5"/>
    <x v="10"/>
    <n v="6883.1100000000006"/>
    <n v="0"/>
    <n v="0"/>
    <n v="0"/>
    <n v="0"/>
    <n v="0"/>
    <n v="6883.1100000000006"/>
    <s v=""/>
    <s v=""/>
    <s v=""/>
    <s v=""/>
    <s v=""/>
  </r>
  <r>
    <s v="SIM1176"/>
    <s v="15.788.853/0001-22"/>
    <x v="5"/>
    <x v="6"/>
    <n v="16402.68"/>
    <n v="0"/>
    <n v="0"/>
    <n v="0"/>
    <n v="0"/>
    <n v="0"/>
    <n v="16402.68"/>
    <s v=""/>
    <s v=""/>
    <s v=""/>
    <s v=""/>
    <s v=""/>
  </r>
  <r>
    <s v="SIM1177"/>
    <s v="30.343.194/0001-67"/>
    <x v="0"/>
    <x v="0"/>
    <n v="8345.1299999999992"/>
    <n v="2301.15"/>
    <n v="568.19000000000005"/>
    <n v="428.18"/>
    <n v="0"/>
    <n v="5047.6099999999997"/>
    <s v=""/>
    <s v=""/>
    <s v=""/>
    <s v=""/>
    <s v=""/>
    <n v="8345.1299999999992"/>
  </r>
  <r>
    <s v="SIM1178"/>
    <s v="68.352.843/0001-99"/>
    <x v="5"/>
    <x v="9"/>
    <n v="7527.08"/>
    <n v="0"/>
    <n v="0"/>
    <n v="0"/>
    <n v="0"/>
    <n v="0"/>
    <n v="7527.08"/>
    <s v=""/>
    <s v=""/>
    <s v=""/>
    <s v=""/>
    <s v=""/>
  </r>
  <r>
    <s v="SIM1179"/>
    <s v="79.323.421/0001-42"/>
    <x v="4"/>
    <x v="1"/>
    <n v="7026"/>
    <n v="0"/>
    <n v="0"/>
    <n v="0"/>
    <n v="0"/>
    <n v="0"/>
    <s v=""/>
    <s v=""/>
    <s v=""/>
    <s v=""/>
    <n v="7026"/>
    <s v=""/>
  </r>
  <r>
    <s v="SIM1180"/>
    <s v="78.855.844/0001-23"/>
    <x v="2"/>
    <x v="8"/>
    <n v="7240.9400000000005"/>
    <n v="0"/>
    <n v="0"/>
    <n v="0"/>
    <n v="0"/>
    <n v="0"/>
    <s v=""/>
    <s v=""/>
    <s v=""/>
    <n v="7240.9400000000005"/>
    <s v=""/>
    <s v=""/>
  </r>
  <r>
    <s v="SIM1181"/>
    <s v="91.330.395/0001-87"/>
    <x v="4"/>
    <x v="9"/>
    <n v="11297.900000000001"/>
    <n v="0"/>
    <n v="0"/>
    <n v="0"/>
    <n v="0"/>
    <n v="0"/>
    <s v=""/>
    <s v=""/>
    <s v=""/>
    <s v=""/>
    <n v="11297.900000000001"/>
    <s v=""/>
  </r>
  <r>
    <s v="SIM1182"/>
    <s v="32.641.898/0001-73"/>
    <x v="3"/>
    <x v="6"/>
    <n v="1858.55"/>
    <n v="0"/>
    <n v="0"/>
    <n v="0"/>
    <n v="0"/>
    <n v="0"/>
    <s v=""/>
    <n v="1858.55"/>
    <s v=""/>
    <s v=""/>
    <s v=""/>
    <s v=""/>
  </r>
  <r>
    <s v="SIM1183"/>
    <s v="62.554.566/0001-43"/>
    <x v="4"/>
    <x v="4"/>
    <n v="5937.6500000000005"/>
    <n v="0"/>
    <n v="0"/>
    <n v="0"/>
    <n v="0"/>
    <n v="0"/>
    <s v=""/>
    <s v=""/>
    <s v=""/>
    <s v=""/>
    <n v="5937.6500000000005"/>
    <s v=""/>
  </r>
  <r>
    <s v="SIM1184"/>
    <s v="57.360.248/0001-39"/>
    <x v="3"/>
    <x v="4"/>
    <n v="3253.76"/>
    <n v="0"/>
    <n v="0"/>
    <n v="0"/>
    <n v="0"/>
    <n v="0"/>
    <s v=""/>
    <n v="3253.76"/>
    <s v=""/>
    <s v=""/>
    <s v=""/>
    <s v=""/>
  </r>
  <r>
    <s v="SIM1185"/>
    <s v="71.194.122/0001-35"/>
    <x v="0"/>
    <x v="3"/>
    <n v="10920.58"/>
    <n v="0"/>
    <n v="3743.88"/>
    <n v="970.16"/>
    <n v="0"/>
    <n v="6206.54"/>
    <s v=""/>
    <s v=""/>
    <s v=""/>
    <s v=""/>
    <s v=""/>
    <n v="10920.58"/>
  </r>
  <r>
    <s v="SIM1186"/>
    <s v="11.904.611/0001-68"/>
    <x v="4"/>
    <x v="4"/>
    <n v="13784.46"/>
    <n v="0"/>
    <n v="0"/>
    <n v="0"/>
    <n v="0"/>
    <n v="0"/>
    <s v=""/>
    <s v=""/>
    <s v=""/>
    <s v=""/>
    <n v="13784.46"/>
    <s v=""/>
  </r>
  <r>
    <s v="SIM1187"/>
    <s v="20.686.562/0001-90"/>
    <x v="3"/>
    <x v="0"/>
    <n v="22035.79"/>
    <n v="0"/>
    <n v="0"/>
    <n v="0"/>
    <n v="0"/>
    <n v="0"/>
    <s v=""/>
    <n v="22035.79"/>
    <s v=""/>
    <s v=""/>
    <s v=""/>
    <s v=""/>
  </r>
  <r>
    <s v="SIM1188"/>
    <s v="31.620.871/0001-11"/>
    <x v="4"/>
    <x v="0"/>
    <n v="16945.46"/>
    <n v="0"/>
    <n v="0"/>
    <n v="0"/>
    <n v="0"/>
    <n v="0"/>
    <s v=""/>
    <s v=""/>
    <s v=""/>
    <s v=""/>
    <n v="16945.46"/>
    <s v=""/>
  </r>
  <r>
    <s v="SIM1189"/>
    <s v="12.680.482/0001-52"/>
    <x v="0"/>
    <x v="8"/>
    <n v="9018.9500000000007"/>
    <n v="1162.75"/>
    <n v="0"/>
    <n v="1916.56"/>
    <n v="512.83000000000004"/>
    <n v="5426.81"/>
    <s v=""/>
    <s v=""/>
    <s v=""/>
    <s v=""/>
    <s v=""/>
    <n v="9018.9500000000007"/>
  </r>
  <r>
    <s v="SIM1190"/>
    <s v="54.237.363/0001-39"/>
    <x v="1"/>
    <x v="9"/>
    <n v="17830.420000000002"/>
    <n v="0"/>
    <n v="0"/>
    <n v="0"/>
    <n v="0"/>
    <n v="0"/>
    <s v=""/>
    <s v=""/>
    <n v="17830.420000000002"/>
    <s v=""/>
    <s v=""/>
    <s v=""/>
  </r>
  <r>
    <s v="SIM1191"/>
    <s v="82.647.451/0001-28"/>
    <x v="0"/>
    <x v="10"/>
    <n v="13579.489999999998"/>
    <n v="7335.48"/>
    <n v="3548.39"/>
    <n v="0"/>
    <n v="0"/>
    <n v="2695.62"/>
    <s v=""/>
    <s v=""/>
    <s v=""/>
    <s v=""/>
    <s v=""/>
    <n v="13579.489999999998"/>
  </r>
  <r>
    <s v="SIM1192"/>
    <s v="95.289.714/0001-98"/>
    <x v="0"/>
    <x v="0"/>
    <n v="25936.590000000004"/>
    <n v="6705.72"/>
    <n v="0"/>
    <n v="2384.21"/>
    <n v="9327.3700000000008"/>
    <n v="7519.29"/>
    <s v=""/>
    <s v=""/>
    <s v=""/>
    <s v=""/>
    <s v=""/>
    <n v="25936.590000000004"/>
  </r>
  <r>
    <s v="SIM1193"/>
    <s v="28.448.231/0001-44"/>
    <x v="1"/>
    <x v="6"/>
    <n v="2038.18"/>
    <n v="0"/>
    <n v="0"/>
    <n v="0"/>
    <n v="0"/>
    <n v="0"/>
    <s v=""/>
    <s v=""/>
    <n v="2038.18"/>
    <s v=""/>
    <s v=""/>
    <s v=""/>
  </r>
  <r>
    <s v="SIM1194"/>
    <s v="34.290.981/0001-17"/>
    <x v="5"/>
    <x v="1"/>
    <n v="11111.37"/>
    <n v="0"/>
    <n v="0"/>
    <n v="0"/>
    <n v="0"/>
    <n v="0"/>
    <n v="11111.37"/>
    <s v=""/>
    <s v=""/>
    <s v=""/>
    <s v=""/>
    <s v=""/>
  </r>
  <r>
    <s v="SIM1195"/>
    <s v="94.316.897/0001-40"/>
    <x v="0"/>
    <x v="9"/>
    <n v="1868.66"/>
    <n v="0"/>
    <n v="0"/>
    <n v="1868.66"/>
    <n v="0"/>
    <n v="0"/>
    <s v=""/>
    <s v=""/>
    <s v=""/>
    <s v=""/>
    <s v=""/>
    <n v="1868.66"/>
  </r>
  <r>
    <s v="SIM1196"/>
    <s v="67.445.422/0001-38"/>
    <x v="1"/>
    <x v="8"/>
    <n v="8568.18"/>
    <n v="0"/>
    <n v="0"/>
    <n v="0"/>
    <n v="0"/>
    <n v="0"/>
    <s v=""/>
    <s v=""/>
    <n v="8568.18"/>
    <s v=""/>
    <s v=""/>
    <s v=""/>
  </r>
  <r>
    <s v="SIM1197"/>
    <s v="38.347.560/0001-82"/>
    <x v="5"/>
    <x v="10"/>
    <n v="2205.56"/>
    <n v="0"/>
    <n v="0"/>
    <n v="0"/>
    <n v="0"/>
    <n v="0"/>
    <n v="2205.56"/>
    <s v=""/>
    <s v=""/>
    <s v=""/>
    <s v=""/>
    <s v=""/>
  </r>
  <r>
    <s v="SIM1198"/>
    <s v="97.805.202/0001-25"/>
    <x v="3"/>
    <x v="0"/>
    <n v="9788.2900000000009"/>
    <n v="0"/>
    <n v="0"/>
    <n v="0"/>
    <n v="0"/>
    <n v="0"/>
    <s v=""/>
    <n v="9788.2900000000009"/>
    <s v=""/>
    <s v=""/>
    <s v=""/>
    <s v=""/>
  </r>
  <r>
    <s v="SIM1199"/>
    <s v="32.496.682/0001-18"/>
    <x v="0"/>
    <x v="8"/>
    <n v="20629.13"/>
    <n v="5975.42"/>
    <n v="675.59"/>
    <n v="2449.44"/>
    <n v="11528.68"/>
    <n v="0"/>
    <s v=""/>
    <s v=""/>
    <s v=""/>
    <s v=""/>
    <s v=""/>
    <n v="20629.13"/>
  </r>
  <r>
    <s v="SIM1200"/>
    <s v="51.233.373/0001-12"/>
    <x v="1"/>
    <x v="1"/>
    <n v="18250.86"/>
    <n v="0"/>
    <n v="0"/>
    <n v="0"/>
    <n v="0"/>
    <n v="0"/>
    <s v=""/>
    <s v=""/>
    <n v="18250.86"/>
    <s v=""/>
    <s v=""/>
    <s v=""/>
  </r>
  <r>
    <s v="SIM1201"/>
    <s v="20.448.638/0001-92"/>
    <x v="0"/>
    <x v="5"/>
    <n v="2245.3200000000002"/>
    <n v="2245.3200000000002"/>
    <n v="0"/>
    <n v="0"/>
    <n v="0"/>
    <n v="0"/>
    <s v=""/>
    <s v=""/>
    <s v=""/>
    <s v=""/>
    <s v=""/>
    <n v="2245.3200000000002"/>
  </r>
  <r>
    <s v="SIM1202"/>
    <s v="89.558.892/0001-32"/>
    <x v="1"/>
    <x v="5"/>
    <n v="1140.21"/>
    <n v="0"/>
    <n v="0"/>
    <n v="0"/>
    <n v="0"/>
    <n v="0"/>
    <s v=""/>
    <s v=""/>
    <n v="1140.21"/>
    <s v=""/>
    <s v=""/>
    <s v=""/>
  </r>
  <r>
    <s v="SIM1203"/>
    <s v="22.417.628/0001-55"/>
    <x v="4"/>
    <x v="2"/>
    <n v="15545.640000000001"/>
    <n v="0"/>
    <n v="0"/>
    <n v="0"/>
    <n v="0"/>
    <n v="0"/>
    <s v=""/>
    <s v=""/>
    <s v=""/>
    <s v=""/>
    <n v="15545.640000000001"/>
    <s v=""/>
  </r>
  <r>
    <s v="SIM1204"/>
    <s v="47.489.462/0001-30"/>
    <x v="3"/>
    <x v="7"/>
    <n v="9326.4500000000007"/>
    <n v="0"/>
    <n v="0"/>
    <n v="0"/>
    <n v="0"/>
    <n v="0"/>
    <s v=""/>
    <n v="9326.4500000000007"/>
    <s v=""/>
    <s v=""/>
    <s v=""/>
    <s v=""/>
  </r>
  <r>
    <s v="SIM1205"/>
    <s v="61.844.583/0001-37"/>
    <x v="4"/>
    <x v="6"/>
    <n v="5833.22"/>
    <n v="0"/>
    <n v="0"/>
    <n v="0"/>
    <n v="0"/>
    <n v="0"/>
    <s v=""/>
    <s v=""/>
    <s v=""/>
    <s v=""/>
    <n v="5833.22"/>
    <s v=""/>
  </r>
  <r>
    <s v="SIM1206"/>
    <s v="21.463.523/0001-27"/>
    <x v="2"/>
    <x v="4"/>
    <n v="17201.13"/>
    <n v="0"/>
    <n v="0"/>
    <n v="0"/>
    <n v="0"/>
    <n v="0"/>
    <s v=""/>
    <s v=""/>
    <s v=""/>
    <n v="17201.13"/>
    <s v=""/>
    <s v=""/>
  </r>
  <r>
    <s v="SIM1207"/>
    <s v="23.232.120/0001-89"/>
    <x v="4"/>
    <x v="11"/>
    <n v="11298.03"/>
    <n v="0"/>
    <n v="0"/>
    <n v="0"/>
    <n v="0"/>
    <n v="0"/>
    <s v=""/>
    <s v=""/>
    <s v=""/>
    <s v=""/>
    <n v="11298.03"/>
    <s v=""/>
  </r>
  <r>
    <s v="SIM1208"/>
    <s v="43.670.588/0001-64"/>
    <x v="5"/>
    <x v="9"/>
    <n v="7059.3099999999995"/>
    <n v="0"/>
    <n v="0"/>
    <n v="0"/>
    <n v="0"/>
    <n v="0"/>
    <n v="7059.3099999999995"/>
    <s v=""/>
    <s v=""/>
    <s v=""/>
    <s v=""/>
    <s v=""/>
  </r>
  <r>
    <s v="SIM1209"/>
    <s v="87.189.551/0001-59"/>
    <x v="0"/>
    <x v="0"/>
    <n v="29704.03"/>
    <n v="3818.84"/>
    <n v="405.42"/>
    <n v="736.93"/>
    <n v="9765.4500000000007"/>
    <n v="14977.39"/>
    <s v=""/>
    <s v=""/>
    <s v=""/>
    <s v=""/>
    <s v=""/>
    <n v="29704.03"/>
  </r>
  <r>
    <s v="SIM1210"/>
    <s v="78.736.467/0001-93"/>
    <x v="3"/>
    <x v="1"/>
    <n v="11678.580000000002"/>
    <n v="0"/>
    <n v="0"/>
    <n v="0"/>
    <n v="0"/>
    <n v="0"/>
    <s v=""/>
    <n v="11678.580000000002"/>
    <s v=""/>
    <s v=""/>
    <s v=""/>
    <s v=""/>
  </r>
  <r>
    <s v="SIM1211"/>
    <s v="19.959.582/0001-28"/>
    <x v="5"/>
    <x v="6"/>
    <n v="16563.21"/>
    <n v="0"/>
    <n v="0"/>
    <n v="0"/>
    <n v="0"/>
    <n v="0"/>
    <n v="16563.21"/>
    <s v=""/>
    <s v=""/>
    <s v=""/>
    <s v=""/>
    <s v=""/>
  </r>
  <r>
    <s v="SIM1212"/>
    <s v="31.558.354/0001-27"/>
    <x v="0"/>
    <x v="8"/>
    <n v="4509.51"/>
    <n v="467.74"/>
    <n v="4041.77"/>
    <n v="0"/>
    <n v="0"/>
    <n v="0"/>
    <s v=""/>
    <s v=""/>
    <s v=""/>
    <s v=""/>
    <s v=""/>
    <n v="4509.51"/>
  </r>
  <r>
    <s v="SIM1213"/>
    <s v="26.215.974/0001-58"/>
    <x v="0"/>
    <x v="3"/>
    <n v="9016.14"/>
    <n v="7654.93"/>
    <n v="0"/>
    <n v="1361.21"/>
    <n v="0"/>
    <n v="0"/>
    <s v=""/>
    <s v=""/>
    <s v=""/>
    <s v=""/>
    <s v=""/>
    <n v="9016.14"/>
  </r>
  <r>
    <s v="SIM1214"/>
    <s v="42.886.795/0001-20"/>
    <x v="4"/>
    <x v="0"/>
    <n v="9799.2900000000009"/>
    <n v="0"/>
    <n v="0"/>
    <n v="0"/>
    <n v="0"/>
    <n v="0"/>
    <s v=""/>
    <s v=""/>
    <s v=""/>
    <s v=""/>
    <n v="9799.2900000000009"/>
    <s v=""/>
  </r>
  <r>
    <s v="SIM1215"/>
    <s v="76.358.165/0001-12"/>
    <x v="3"/>
    <x v="8"/>
    <n v="3474.41"/>
    <n v="0"/>
    <n v="0"/>
    <n v="0"/>
    <n v="0"/>
    <n v="0"/>
    <s v=""/>
    <n v="3474.41"/>
    <s v=""/>
    <s v=""/>
    <s v=""/>
    <s v=""/>
  </r>
  <r>
    <s v="SIM1216"/>
    <s v="94.957.444/0001-23"/>
    <x v="5"/>
    <x v="11"/>
    <n v="27067.39"/>
    <n v="0"/>
    <n v="0"/>
    <n v="0"/>
    <n v="0"/>
    <n v="0"/>
    <n v="27067.39"/>
    <s v=""/>
    <s v=""/>
    <s v=""/>
    <s v=""/>
    <s v=""/>
  </r>
  <r>
    <s v="SIM1217"/>
    <s v="33.816.126/0001-72"/>
    <x v="2"/>
    <x v="2"/>
    <n v="10033.34"/>
    <n v="0"/>
    <n v="0"/>
    <n v="0"/>
    <n v="0"/>
    <n v="0"/>
    <s v=""/>
    <s v=""/>
    <s v=""/>
    <n v="10033.34"/>
    <s v=""/>
    <s v=""/>
  </r>
  <r>
    <s v="SIM1218"/>
    <s v="43.640.659/0001-97"/>
    <x v="4"/>
    <x v="9"/>
    <n v="13237.470000000001"/>
    <n v="0"/>
    <n v="0"/>
    <n v="0"/>
    <n v="0"/>
    <n v="0"/>
    <s v=""/>
    <s v=""/>
    <s v=""/>
    <s v=""/>
    <n v="13237.470000000001"/>
    <s v=""/>
  </r>
  <r>
    <s v="SIM1219"/>
    <s v="21.397.488/0001-90"/>
    <x v="0"/>
    <x v="3"/>
    <n v="9057.83"/>
    <n v="0"/>
    <n v="0"/>
    <n v="0"/>
    <n v="6571.84"/>
    <n v="2485.9899999999998"/>
    <s v=""/>
    <s v=""/>
    <s v=""/>
    <s v=""/>
    <s v=""/>
    <n v="9057.83"/>
  </r>
  <r>
    <s v="SIM1220"/>
    <s v="55.844.314/0001-17"/>
    <x v="1"/>
    <x v="9"/>
    <n v="4962.8599999999997"/>
    <n v="0"/>
    <n v="0"/>
    <n v="0"/>
    <n v="0"/>
    <n v="0"/>
    <s v=""/>
    <s v=""/>
    <n v="4962.8599999999997"/>
    <s v=""/>
    <s v=""/>
    <s v=""/>
  </r>
  <r>
    <s v="SIM1221"/>
    <s v="13.189.721/0001-40"/>
    <x v="2"/>
    <x v="8"/>
    <n v="14892.869999999999"/>
    <n v="0"/>
    <n v="0"/>
    <n v="0"/>
    <n v="0"/>
    <n v="0"/>
    <s v=""/>
    <s v=""/>
    <s v=""/>
    <n v="14892.869999999999"/>
    <s v=""/>
    <s v=""/>
  </r>
  <r>
    <s v="SIM1222"/>
    <s v="29.717.114/0001-15"/>
    <x v="1"/>
    <x v="5"/>
    <n v="21089.15"/>
    <n v="0"/>
    <n v="0"/>
    <n v="0"/>
    <n v="0"/>
    <n v="0"/>
    <s v=""/>
    <s v=""/>
    <n v="21089.15"/>
    <s v=""/>
    <s v=""/>
    <s v=""/>
  </r>
  <r>
    <s v="SIM1223"/>
    <s v="52.996.598/0001-18"/>
    <x v="5"/>
    <x v="9"/>
    <n v="2258.8000000000002"/>
    <n v="0"/>
    <n v="0"/>
    <n v="0"/>
    <n v="0"/>
    <n v="0"/>
    <n v="2258.8000000000002"/>
    <s v=""/>
    <s v=""/>
    <s v=""/>
    <s v=""/>
    <s v=""/>
  </r>
  <r>
    <s v="SIM1224"/>
    <s v="25.499.647/0001-15"/>
    <x v="1"/>
    <x v="0"/>
    <n v="4564.92"/>
    <n v="0"/>
    <n v="0"/>
    <n v="0"/>
    <n v="0"/>
    <n v="0"/>
    <s v=""/>
    <s v=""/>
    <n v="4564.92"/>
    <s v=""/>
    <s v=""/>
    <s v=""/>
  </r>
  <r>
    <s v="SIM1225"/>
    <s v="89.526.547/0001-26"/>
    <x v="5"/>
    <x v="0"/>
    <n v="26455.030000000002"/>
    <n v="0"/>
    <n v="0"/>
    <n v="0"/>
    <n v="0"/>
    <n v="0"/>
    <n v="26455.030000000002"/>
    <s v=""/>
    <s v=""/>
    <s v=""/>
    <s v=""/>
    <s v=""/>
  </r>
  <r>
    <s v="SIM1226"/>
    <s v="21.915.678/0001-29"/>
    <x v="4"/>
    <x v="1"/>
    <n v="2917.59"/>
    <n v="0"/>
    <n v="0"/>
    <n v="0"/>
    <n v="0"/>
    <n v="0"/>
    <s v=""/>
    <s v=""/>
    <s v=""/>
    <s v=""/>
    <n v="2917.59"/>
    <s v=""/>
  </r>
  <r>
    <s v="SIM1227"/>
    <s v="63.930.834/0001-21"/>
    <x v="4"/>
    <x v="3"/>
    <n v="17748.690000000002"/>
    <n v="0"/>
    <n v="0"/>
    <n v="0"/>
    <n v="0"/>
    <n v="0"/>
    <s v=""/>
    <s v=""/>
    <s v=""/>
    <s v=""/>
    <n v="17748.690000000002"/>
    <s v=""/>
  </r>
  <r>
    <s v="SIM1228"/>
    <s v="53.248.899/0001-47"/>
    <x v="0"/>
    <x v="1"/>
    <n v="1136.01"/>
    <n v="0"/>
    <n v="0"/>
    <n v="0"/>
    <n v="1136.01"/>
    <n v="0"/>
    <s v=""/>
    <s v=""/>
    <s v=""/>
    <s v=""/>
    <s v=""/>
    <n v="1136.01"/>
  </r>
  <r>
    <s v="SIM1229"/>
    <s v="55.538.398/0001-10"/>
    <x v="4"/>
    <x v="1"/>
    <n v="12574.67"/>
    <n v="0"/>
    <n v="0"/>
    <n v="0"/>
    <n v="0"/>
    <n v="0"/>
    <s v=""/>
    <s v=""/>
    <s v=""/>
    <s v=""/>
    <n v="12574.67"/>
    <s v=""/>
  </r>
  <r>
    <s v="SIM1230"/>
    <s v="81.332.855/0001-43"/>
    <x v="0"/>
    <x v="11"/>
    <n v="13089.84"/>
    <n v="0"/>
    <n v="0"/>
    <n v="364.38"/>
    <n v="8379.5"/>
    <n v="4345.96"/>
    <s v=""/>
    <s v=""/>
    <s v=""/>
    <s v=""/>
    <s v=""/>
    <n v="13089.84"/>
  </r>
  <r>
    <s v="SIM1231"/>
    <s v="58.296.317/0001-46"/>
    <x v="0"/>
    <x v="10"/>
    <n v="11061.86"/>
    <n v="1859.13"/>
    <n v="1250.1400000000001"/>
    <n v="2827.75"/>
    <n v="0"/>
    <n v="5124.84"/>
    <s v=""/>
    <s v=""/>
    <s v=""/>
    <s v=""/>
    <s v=""/>
    <n v="11061.86"/>
  </r>
  <r>
    <s v="SIM1232"/>
    <s v="67.179.240/0001-12"/>
    <x v="4"/>
    <x v="10"/>
    <n v="12756.289999999999"/>
    <n v="0"/>
    <n v="0"/>
    <n v="0"/>
    <n v="0"/>
    <n v="0"/>
    <s v=""/>
    <s v=""/>
    <s v=""/>
    <s v=""/>
    <n v="12756.289999999999"/>
    <s v=""/>
  </r>
  <r>
    <s v="SIM1233"/>
    <s v="22.665.718/0001-73"/>
    <x v="2"/>
    <x v="0"/>
    <n v="16290.800000000001"/>
    <n v="0"/>
    <n v="0"/>
    <n v="0"/>
    <n v="0"/>
    <n v="0"/>
    <s v=""/>
    <s v=""/>
    <s v=""/>
    <n v="16290.800000000001"/>
    <s v=""/>
    <s v=""/>
  </r>
  <r>
    <s v="SIM1234"/>
    <s v="65.432.750/0001-29"/>
    <x v="0"/>
    <x v="4"/>
    <n v="4997.7999999999993"/>
    <n v="867.66"/>
    <n v="3048.06"/>
    <n v="1082.08"/>
    <n v="0"/>
    <n v="0"/>
    <s v=""/>
    <s v=""/>
    <s v=""/>
    <s v=""/>
    <s v=""/>
    <n v="4997.7999999999993"/>
  </r>
  <r>
    <s v="SIM1235"/>
    <s v="81.103.386/0001-32"/>
    <x v="4"/>
    <x v="11"/>
    <n v="19071.009999999998"/>
    <n v="0"/>
    <n v="0"/>
    <n v="0"/>
    <n v="0"/>
    <n v="0"/>
    <s v=""/>
    <s v=""/>
    <s v=""/>
    <s v=""/>
    <n v="19071.009999999998"/>
    <s v=""/>
  </r>
  <r>
    <s v="SIM1236"/>
    <s v="31.137.694/0001-95"/>
    <x v="3"/>
    <x v="8"/>
    <n v="15505.71"/>
    <n v="0"/>
    <n v="0"/>
    <n v="0"/>
    <n v="0"/>
    <n v="0"/>
    <s v=""/>
    <n v="15505.71"/>
    <s v=""/>
    <s v=""/>
    <s v=""/>
    <s v=""/>
  </r>
  <r>
    <s v="SIM1237"/>
    <s v="57.427.733/0001-99"/>
    <x v="2"/>
    <x v="9"/>
    <n v="21553.06"/>
    <n v="0"/>
    <n v="0"/>
    <n v="0"/>
    <n v="0"/>
    <n v="0"/>
    <s v=""/>
    <s v=""/>
    <s v=""/>
    <n v="21553.06"/>
    <s v=""/>
    <s v=""/>
  </r>
  <r>
    <s v="SIM1238"/>
    <s v="66.561.670/0001-80"/>
    <x v="5"/>
    <x v="9"/>
    <n v="26455.200000000001"/>
    <n v="0"/>
    <n v="0"/>
    <n v="0"/>
    <n v="0"/>
    <n v="0"/>
    <n v="26455.200000000001"/>
    <s v=""/>
    <s v=""/>
    <s v=""/>
    <s v=""/>
    <s v=""/>
  </r>
  <r>
    <s v="SIM1239"/>
    <s v="99.369.175/0001-64"/>
    <x v="2"/>
    <x v="5"/>
    <n v="7152.49"/>
    <n v="0"/>
    <n v="0"/>
    <n v="0"/>
    <n v="0"/>
    <n v="0"/>
    <s v=""/>
    <s v=""/>
    <s v=""/>
    <n v="7152.49"/>
    <s v=""/>
    <s v=""/>
  </r>
  <r>
    <s v="SIM1240"/>
    <s v="12.737.342/0001-73"/>
    <x v="0"/>
    <x v="4"/>
    <n v="11162.76"/>
    <n v="0"/>
    <n v="0"/>
    <n v="1771.34"/>
    <n v="9391.42"/>
    <n v="0"/>
    <s v=""/>
    <s v=""/>
    <s v=""/>
    <s v=""/>
    <s v=""/>
    <n v="11162.76"/>
  </r>
  <r>
    <s v="SIM1241"/>
    <s v="80.217.465/0001-37"/>
    <x v="4"/>
    <x v="7"/>
    <n v="17472.080000000002"/>
    <n v="0"/>
    <n v="0"/>
    <n v="0"/>
    <n v="0"/>
    <n v="0"/>
    <s v=""/>
    <s v=""/>
    <s v=""/>
    <s v=""/>
    <n v="17472.080000000002"/>
    <s v=""/>
  </r>
  <r>
    <s v="SIM1242"/>
    <s v="40.699.862/0001-72"/>
    <x v="3"/>
    <x v="9"/>
    <n v="3617.35"/>
    <n v="0"/>
    <n v="0"/>
    <n v="0"/>
    <n v="0"/>
    <n v="0"/>
    <s v=""/>
    <n v="3617.35"/>
    <s v=""/>
    <s v=""/>
    <s v=""/>
    <s v=""/>
  </r>
  <r>
    <s v="SIM1243"/>
    <s v="78.609.535/0001-26"/>
    <x v="0"/>
    <x v="11"/>
    <n v="3293.01"/>
    <n v="0"/>
    <n v="3293.01"/>
    <n v="0"/>
    <n v="0"/>
    <n v="0"/>
    <s v=""/>
    <s v=""/>
    <s v=""/>
    <s v=""/>
    <s v=""/>
    <n v="3293.01"/>
  </r>
  <r>
    <s v="SIM1244"/>
    <s v="35.170.927/0001-60"/>
    <x v="3"/>
    <x v="10"/>
    <n v="23268.67"/>
    <n v="0"/>
    <n v="0"/>
    <n v="0"/>
    <n v="0"/>
    <n v="0"/>
    <s v=""/>
    <n v="23268.67"/>
    <s v=""/>
    <s v=""/>
    <s v=""/>
    <s v=""/>
  </r>
  <r>
    <s v="SIM1245"/>
    <s v="12.450.547/0001-77"/>
    <x v="2"/>
    <x v="4"/>
    <n v="18020.699999999997"/>
    <n v="0"/>
    <n v="0"/>
    <n v="0"/>
    <n v="0"/>
    <n v="0"/>
    <s v=""/>
    <s v=""/>
    <s v=""/>
    <n v="18020.699999999997"/>
    <s v=""/>
    <s v=""/>
  </r>
  <r>
    <s v="SIM1246"/>
    <s v="40.240.836/0001-27"/>
    <x v="2"/>
    <x v="8"/>
    <n v="3365.8100000000004"/>
    <n v="0"/>
    <n v="0"/>
    <n v="0"/>
    <n v="0"/>
    <n v="0"/>
    <s v=""/>
    <s v=""/>
    <s v=""/>
    <n v="3365.8100000000004"/>
    <s v=""/>
    <s v=""/>
  </r>
  <r>
    <s v="SIM1247"/>
    <s v="57.315.449/0001-34"/>
    <x v="4"/>
    <x v="6"/>
    <n v="5568.41"/>
    <n v="0"/>
    <n v="0"/>
    <n v="0"/>
    <n v="0"/>
    <n v="0"/>
    <s v=""/>
    <s v=""/>
    <s v=""/>
    <s v=""/>
    <n v="5568.41"/>
    <s v=""/>
  </r>
  <r>
    <s v="SIM1248"/>
    <s v="61.246.274/0001-20"/>
    <x v="5"/>
    <x v="4"/>
    <n v="15790"/>
    <n v="0"/>
    <n v="0"/>
    <n v="0"/>
    <n v="0"/>
    <n v="0"/>
    <n v="15790"/>
    <s v=""/>
    <s v=""/>
    <s v=""/>
    <s v=""/>
    <s v=""/>
  </r>
  <r>
    <s v="SIM1249"/>
    <s v="23.193.420/0001-80"/>
    <x v="2"/>
    <x v="2"/>
    <n v="1787.31"/>
    <n v="0"/>
    <n v="0"/>
    <n v="0"/>
    <n v="0"/>
    <n v="0"/>
    <s v=""/>
    <s v=""/>
    <s v=""/>
    <n v="1787.31"/>
    <s v=""/>
    <s v=""/>
  </r>
  <r>
    <s v="SIM1250"/>
    <s v="88.396.931/0001-58"/>
    <x v="4"/>
    <x v="0"/>
    <n v="7025.67"/>
    <n v="0"/>
    <n v="0"/>
    <n v="0"/>
    <n v="0"/>
    <n v="0"/>
    <s v=""/>
    <s v=""/>
    <s v=""/>
    <s v=""/>
    <n v="7025.67"/>
    <s v=""/>
  </r>
  <r>
    <s v="SIM1251"/>
    <s v="57.877.483/0001-35"/>
    <x v="2"/>
    <x v="8"/>
    <n v="2866.89"/>
    <n v="0"/>
    <n v="0"/>
    <n v="0"/>
    <n v="0"/>
    <n v="0"/>
    <s v=""/>
    <s v=""/>
    <s v=""/>
    <n v="2866.89"/>
    <s v=""/>
    <s v=""/>
  </r>
  <r>
    <s v="SIM1252"/>
    <s v="74.587.477/0001-16"/>
    <x v="2"/>
    <x v="10"/>
    <n v="13874.119999999999"/>
    <n v="0"/>
    <n v="0"/>
    <n v="0"/>
    <n v="0"/>
    <n v="0"/>
    <s v=""/>
    <s v=""/>
    <s v=""/>
    <n v="13874.119999999999"/>
    <s v=""/>
    <s v=""/>
  </r>
  <r>
    <s v="SIM1253"/>
    <s v="79.853.457/0001-41"/>
    <x v="5"/>
    <x v="0"/>
    <n v="5982.13"/>
    <n v="0"/>
    <n v="0"/>
    <n v="0"/>
    <n v="0"/>
    <n v="0"/>
    <n v="5982.13"/>
    <s v=""/>
    <s v=""/>
    <s v=""/>
    <s v=""/>
    <s v=""/>
  </r>
  <r>
    <s v="SIM1254"/>
    <s v="39.101.211/0001-20"/>
    <x v="2"/>
    <x v="0"/>
    <n v="211.38"/>
    <n v="0"/>
    <n v="0"/>
    <n v="0"/>
    <n v="0"/>
    <n v="0"/>
    <s v=""/>
    <s v=""/>
    <s v=""/>
    <n v="211.38"/>
    <s v=""/>
    <s v=""/>
  </r>
  <r>
    <s v="SIM1255"/>
    <s v="16.498.526/0001-89"/>
    <x v="1"/>
    <x v="8"/>
    <n v="1947.54"/>
    <n v="0"/>
    <n v="0"/>
    <n v="0"/>
    <n v="0"/>
    <n v="0"/>
    <s v=""/>
    <s v=""/>
    <n v="1947.54"/>
    <s v=""/>
    <s v=""/>
    <s v=""/>
  </r>
  <r>
    <s v="SIM1256"/>
    <s v="58.706.214/0001-92"/>
    <x v="4"/>
    <x v="7"/>
    <n v="12292.83"/>
    <n v="0"/>
    <n v="0"/>
    <n v="0"/>
    <n v="0"/>
    <n v="0"/>
    <s v=""/>
    <s v=""/>
    <s v=""/>
    <s v=""/>
    <n v="12292.83"/>
    <s v=""/>
  </r>
  <r>
    <s v="SIM1257"/>
    <s v="76.835.737/0001-23"/>
    <x v="1"/>
    <x v="10"/>
    <n v="3660.87"/>
    <n v="0"/>
    <n v="0"/>
    <n v="0"/>
    <n v="0"/>
    <n v="0"/>
    <s v=""/>
    <s v=""/>
    <n v="3660.87"/>
    <s v=""/>
    <s v=""/>
    <s v=""/>
  </r>
  <r>
    <s v="SIM1258"/>
    <s v="23.384.363/0001-35"/>
    <x v="0"/>
    <x v="5"/>
    <n v="3202.41"/>
    <n v="245.62"/>
    <n v="2956.79"/>
    <n v="0"/>
    <n v="0"/>
    <n v="0"/>
    <s v=""/>
    <s v=""/>
    <s v=""/>
    <s v=""/>
    <s v=""/>
    <n v="3202.41"/>
  </r>
  <r>
    <s v="SIM1259"/>
    <s v="19.912.650/0001-27"/>
    <x v="3"/>
    <x v="6"/>
    <n v="9667.8200000000015"/>
    <n v="0"/>
    <n v="0"/>
    <n v="0"/>
    <n v="0"/>
    <n v="0"/>
    <s v=""/>
    <n v="9667.8200000000015"/>
    <s v=""/>
    <s v=""/>
    <s v=""/>
    <s v=""/>
  </r>
  <r>
    <s v="SIM1260"/>
    <s v="95.842.539/0001-65"/>
    <x v="1"/>
    <x v="4"/>
    <n v="1761.65"/>
    <n v="0"/>
    <n v="0"/>
    <n v="0"/>
    <n v="0"/>
    <n v="0"/>
    <s v=""/>
    <s v=""/>
    <n v="1761.65"/>
    <s v=""/>
    <s v=""/>
    <s v=""/>
  </r>
  <r>
    <s v="SIM1261"/>
    <s v="80.201.950/0001-62"/>
    <x v="3"/>
    <x v="4"/>
    <n v="4263.6400000000003"/>
    <n v="0"/>
    <n v="0"/>
    <n v="0"/>
    <n v="0"/>
    <n v="0"/>
    <s v=""/>
    <n v="4263.6400000000003"/>
    <s v=""/>
    <s v=""/>
    <s v=""/>
    <s v=""/>
  </r>
  <r>
    <s v="SIM1262"/>
    <s v="69.913.810/0001-12"/>
    <x v="0"/>
    <x v="2"/>
    <n v="13902.36"/>
    <n v="7172.52"/>
    <n v="0"/>
    <n v="0"/>
    <n v="6729.84"/>
    <n v="0"/>
    <s v=""/>
    <s v=""/>
    <s v=""/>
    <s v=""/>
    <s v=""/>
    <n v="13902.36"/>
  </r>
  <r>
    <s v="SIM1263"/>
    <s v="29.791.464/0001-63"/>
    <x v="1"/>
    <x v="5"/>
    <n v="3854.86"/>
    <n v="0"/>
    <n v="0"/>
    <n v="0"/>
    <n v="0"/>
    <n v="0"/>
    <s v=""/>
    <s v=""/>
    <n v="3854.86"/>
    <s v=""/>
    <s v=""/>
    <s v=""/>
  </r>
  <r>
    <s v="SIM1264"/>
    <s v="23.161.843/0001-62"/>
    <x v="0"/>
    <x v="2"/>
    <n v="7626.34"/>
    <n v="0"/>
    <n v="0"/>
    <n v="2591.66"/>
    <n v="5034.68"/>
    <n v="0"/>
    <s v=""/>
    <s v=""/>
    <s v=""/>
    <s v=""/>
    <s v=""/>
    <n v="7626.34"/>
  </r>
  <r>
    <s v="SIM1265"/>
    <s v="32.138.673/0001-71"/>
    <x v="4"/>
    <x v="5"/>
    <n v="29051.02"/>
    <n v="0"/>
    <n v="0"/>
    <n v="0"/>
    <n v="0"/>
    <n v="0"/>
    <s v=""/>
    <s v=""/>
    <s v=""/>
    <s v=""/>
    <n v="29051.02"/>
    <s v=""/>
  </r>
  <r>
    <s v="SIM1266"/>
    <s v="10.529.674/0001-33"/>
    <x v="3"/>
    <x v="5"/>
    <n v="2106.69"/>
    <n v="0"/>
    <n v="0"/>
    <n v="0"/>
    <n v="0"/>
    <n v="0"/>
    <s v=""/>
    <n v="2106.69"/>
    <s v=""/>
    <s v=""/>
    <s v=""/>
    <s v=""/>
  </r>
  <r>
    <s v="SIM1267"/>
    <s v="83.749.897/0001-22"/>
    <x v="5"/>
    <x v="1"/>
    <n v="917.99"/>
    <n v="0"/>
    <n v="0"/>
    <n v="0"/>
    <n v="0"/>
    <n v="0"/>
    <n v="917.99"/>
    <s v=""/>
    <s v=""/>
    <s v=""/>
    <s v=""/>
    <s v=""/>
  </r>
  <r>
    <s v="SIM1268"/>
    <s v="94.953.841/0001-33"/>
    <x v="0"/>
    <x v="3"/>
    <n v="888.31"/>
    <n v="0"/>
    <n v="0"/>
    <n v="888.31"/>
    <n v="0"/>
    <n v="0"/>
    <s v=""/>
    <s v=""/>
    <s v=""/>
    <s v=""/>
    <s v=""/>
    <n v="888.31"/>
  </r>
  <r>
    <s v="SIM1269"/>
    <s v="17.503.799/0001-34"/>
    <x v="1"/>
    <x v="6"/>
    <n v="781.49"/>
    <n v="0"/>
    <n v="0"/>
    <n v="0"/>
    <n v="0"/>
    <n v="0"/>
    <s v=""/>
    <s v=""/>
    <n v="781.49"/>
    <s v=""/>
    <s v=""/>
    <s v=""/>
  </r>
  <r>
    <s v="SIM1270"/>
    <s v="69.335.162/0001-47"/>
    <x v="4"/>
    <x v="0"/>
    <n v="7121.8099999999995"/>
    <n v="0"/>
    <n v="0"/>
    <n v="0"/>
    <n v="0"/>
    <n v="0"/>
    <s v=""/>
    <s v=""/>
    <s v=""/>
    <s v=""/>
    <n v="7121.8099999999995"/>
    <s v=""/>
  </r>
  <r>
    <s v="SIM1271"/>
    <s v="83.182.987/0001-72"/>
    <x v="2"/>
    <x v="3"/>
    <n v="10588.83"/>
    <n v="0"/>
    <n v="0"/>
    <n v="0"/>
    <n v="0"/>
    <n v="0"/>
    <s v=""/>
    <s v=""/>
    <s v=""/>
    <n v="10588.83"/>
    <s v=""/>
    <s v=""/>
  </r>
  <r>
    <s v="SIM1272"/>
    <s v="47.484.685/0001-30"/>
    <x v="1"/>
    <x v="6"/>
    <n v="9687.75"/>
    <n v="0"/>
    <n v="0"/>
    <n v="0"/>
    <n v="0"/>
    <n v="0"/>
    <s v=""/>
    <s v=""/>
    <n v="9687.75"/>
    <s v=""/>
    <s v=""/>
    <s v=""/>
  </r>
  <r>
    <s v="SIM1273"/>
    <s v="96.463.636/0001-62"/>
    <x v="0"/>
    <x v="8"/>
    <n v="19666.07"/>
    <n v="0"/>
    <n v="4224.03"/>
    <n v="0"/>
    <n v="2517.12"/>
    <n v="12924.92"/>
    <s v=""/>
    <s v=""/>
    <s v=""/>
    <s v=""/>
    <s v=""/>
    <n v="19666.07"/>
  </r>
  <r>
    <s v="SIM1274"/>
    <s v="82.917.975/0001-45"/>
    <x v="2"/>
    <x v="0"/>
    <n v="235.13"/>
    <n v="0"/>
    <n v="0"/>
    <n v="0"/>
    <n v="0"/>
    <n v="0"/>
    <s v=""/>
    <s v=""/>
    <s v=""/>
    <n v="235.13"/>
    <s v=""/>
    <s v=""/>
  </r>
  <r>
    <s v="SIM1275"/>
    <s v="50.476.571/0001-70"/>
    <x v="5"/>
    <x v="11"/>
    <n v="16172.960000000001"/>
    <n v="0"/>
    <n v="0"/>
    <n v="0"/>
    <n v="0"/>
    <n v="0"/>
    <n v="16172.960000000001"/>
    <s v=""/>
    <s v=""/>
    <s v=""/>
    <s v=""/>
    <s v=""/>
  </r>
  <r>
    <s v="SIM1276"/>
    <s v="96.774.216/0001-23"/>
    <x v="5"/>
    <x v="6"/>
    <n v="4762"/>
    <n v="0"/>
    <n v="0"/>
    <n v="0"/>
    <n v="0"/>
    <n v="0"/>
    <n v="4762"/>
    <s v=""/>
    <s v=""/>
    <s v=""/>
    <s v=""/>
    <s v=""/>
  </r>
  <r>
    <s v="SIM1277"/>
    <s v="86.388.350/0001-78"/>
    <x v="2"/>
    <x v="1"/>
    <n v="5502.46"/>
    <n v="0"/>
    <n v="0"/>
    <n v="0"/>
    <n v="0"/>
    <n v="0"/>
    <s v=""/>
    <s v=""/>
    <s v=""/>
    <n v="5502.46"/>
    <s v=""/>
    <s v=""/>
  </r>
  <r>
    <s v="SIM1278"/>
    <s v="96.627.572/0001-56"/>
    <x v="4"/>
    <x v="2"/>
    <n v="11392.42"/>
    <n v="0"/>
    <n v="0"/>
    <n v="0"/>
    <n v="0"/>
    <n v="0"/>
    <s v=""/>
    <s v=""/>
    <s v=""/>
    <s v=""/>
    <n v="11392.42"/>
    <s v=""/>
  </r>
  <r>
    <s v="SIM1279"/>
    <s v="29.789.831/0001-79"/>
    <x v="2"/>
    <x v="2"/>
    <n v="11579.06"/>
    <n v="0"/>
    <n v="0"/>
    <n v="0"/>
    <n v="0"/>
    <n v="0"/>
    <s v=""/>
    <s v=""/>
    <s v=""/>
    <n v="11579.06"/>
    <s v=""/>
    <s v=""/>
  </r>
  <r>
    <s v="SIM1280"/>
    <s v="80.274.394/0001-32"/>
    <x v="3"/>
    <x v="5"/>
    <n v="3620.65"/>
    <n v="0"/>
    <n v="0"/>
    <n v="0"/>
    <n v="0"/>
    <n v="0"/>
    <s v=""/>
    <n v="3620.65"/>
    <s v=""/>
    <s v=""/>
    <s v=""/>
    <s v=""/>
  </r>
  <r>
    <s v="SIM1281"/>
    <s v="47.911.414/0001-75"/>
    <x v="0"/>
    <x v="8"/>
    <n v="16601.37"/>
    <n v="0"/>
    <n v="4544.3599999999997"/>
    <n v="704.45"/>
    <n v="11352.56"/>
    <n v="0"/>
    <s v=""/>
    <s v=""/>
    <s v=""/>
    <s v=""/>
    <s v=""/>
    <n v="16601.37"/>
  </r>
  <r>
    <s v="SIM1282"/>
    <s v="78.270.952/0001-69"/>
    <x v="5"/>
    <x v="1"/>
    <n v="12226.52"/>
    <n v="0"/>
    <n v="0"/>
    <n v="0"/>
    <n v="0"/>
    <n v="0"/>
    <n v="12226.52"/>
    <s v=""/>
    <s v=""/>
    <s v=""/>
    <s v=""/>
    <s v=""/>
  </r>
  <r>
    <s v="SIM1283"/>
    <s v="32.972.137/0001-96"/>
    <x v="2"/>
    <x v="9"/>
    <n v="3177.4"/>
    <n v="0"/>
    <n v="0"/>
    <n v="0"/>
    <n v="0"/>
    <n v="0"/>
    <s v=""/>
    <s v=""/>
    <s v=""/>
    <n v="3177.4"/>
    <s v=""/>
    <s v=""/>
  </r>
  <r>
    <s v="SIM1284"/>
    <s v="52.223.864/0001-64"/>
    <x v="4"/>
    <x v="1"/>
    <n v="4025.12"/>
    <n v="0"/>
    <n v="0"/>
    <n v="0"/>
    <n v="0"/>
    <n v="0"/>
    <s v=""/>
    <s v=""/>
    <s v=""/>
    <s v=""/>
    <n v="4025.12"/>
    <s v=""/>
  </r>
  <r>
    <s v="SIM1285"/>
    <s v="83.344.173/0001-67"/>
    <x v="3"/>
    <x v="10"/>
    <n v="10226.189999999999"/>
    <n v="0"/>
    <n v="0"/>
    <n v="0"/>
    <n v="0"/>
    <n v="0"/>
    <s v=""/>
    <n v="10226.189999999999"/>
    <s v=""/>
    <s v=""/>
    <s v=""/>
    <s v=""/>
  </r>
  <r>
    <s v="SIM1286"/>
    <s v="16.737.214/0001-49"/>
    <x v="0"/>
    <x v="7"/>
    <n v="16313.4"/>
    <n v="5010.7700000000004"/>
    <n v="0"/>
    <n v="0"/>
    <n v="11302.63"/>
    <n v="0"/>
    <s v=""/>
    <s v=""/>
    <s v=""/>
    <s v=""/>
    <s v=""/>
    <n v="16313.4"/>
  </r>
  <r>
    <s v="SIM1287"/>
    <s v="92.113.183/0001-40"/>
    <x v="2"/>
    <x v="1"/>
    <n v="1235.73"/>
    <n v="0"/>
    <n v="0"/>
    <n v="0"/>
    <n v="0"/>
    <n v="0"/>
    <s v=""/>
    <s v=""/>
    <s v=""/>
    <n v="1235.73"/>
    <s v=""/>
    <s v=""/>
  </r>
  <r>
    <s v="SIM1288"/>
    <s v="30.491.213/0001-72"/>
    <x v="4"/>
    <x v="10"/>
    <n v="2572.41"/>
    <n v="0"/>
    <n v="0"/>
    <n v="0"/>
    <n v="0"/>
    <n v="0"/>
    <s v=""/>
    <s v=""/>
    <s v=""/>
    <s v=""/>
    <n v="2572.41"/>
    <s v=""/>
  </r>
  <r>
    <s v="SIM1289"/>
    <s v="75.114.137/0001-10"/>
    <x v="2"/>
    <x v="3"/>
    <n v="12089.85"/>
    <n v="0"/>
    <n v="0"/>
    <n v="0"/>
    <n v="0"/>
    <n v="0"/>
    <s v=""/>
    <s v=""/>
    <s v=""/>
    <n v="12089.85"/>
    <s v=""/>
    <s v=""/>
  </r>
  <r>
    <s v="SIM1290"/>
    <s v="40.258.552/0001-91"/>
    <x v="0"/>
    <x v="5"/>
    <n v="4820.7300000000005"/>
    <n v="0"/>
    <n v="4237.18"/>
    <n v="0"/>
    <n v="583.54999999999995"/>
    <n v="0"/>
    <s v=""/>
    <s v=""/>
    <s v=""/>
    <s v=""/>
    <s v=""/>
    <n v="4820.7300000000005"/>
  </r>
  <r>
    <s v="SIM1291"/>
    <s v="90.158.361/0001-33"/>
    <x v="2"/>
    <x v="5"/>
    <n v="8694.8799999999992"/>
    <n v="0"/>
    <n v="0"/>
    <n v="0"/>
    <n v="0"/>
    <n v="0"/>
    <s v=""/>
    <s v=""/>
    <s v=""/>
    <n v="8694.8799999999992"/>
    <s v=""/>
    <s v=""/>
  </r>
  <r>
    <s v="SIM1292"/>
    <s v="63.882.681/0001-28"/>
    <x v="3"/>
    <x v="1"/>
    <n v="3201.65"/>
    <n v="0"/>
    <n v="0"/>
    <n v="0"/>
    <n v="0"/>
    <n v="0"/>
    <s v=""/>
    <n v="3201.65"/>
    <s v=""/>
    <s v=""/>
    <s v=""/>
    <s v=""/>
  </r>
  <r>
    <s v="SIM1293"/>
    <s v="92.408.820/0001-54"/>
    <x v="3"/>
    <x v="5"/>
    <n v="2285.0699999999997"/>
    <n v="0"/>
    <n v="0"/>
    <n v="0"/>
    <n v="0"/>
    <n v="0"/>
    <s v=""/>
    <n v="2285.0699999999997"/>
    <s v=""/>
    <s v=""/>
    <s v=""/>
    <s v=""/>
  </r>
  <r>
    <s v="SIM1294"/>
    <s v="43.622.789/0001-41"/>
    <x v="1"/>
    <x v="5"/>
    <n v="974.97"/>
    <n v="0"/>
    <n v="0"/>
    <n v="0"/>
    <n v="0"/>
    <n v="0"/>
    <s v=""/>
    <s v=""/>
    <n v="974.97"/>
    <s v=""/>
    <s v=""/>
    <s v=""/>
  </r>
  <r>
    <s v="SIM1295"/>
    <s v="31.836.986/0001-47"/>
    <x v="2"/>
    <x v="7"/>
    <n v="4460.22"/>
    <n v="0"/>
    <n v="0"/>
    <n v="0"/>
    <n v="0"/>
    <n v="0"/>
    <s v=""/>
    <s v=""/>
    <s v=""/>
    <n v="4460.22"/>
    <s v=""/>
    <s v=""/>
  </r>
  <r>
    <s v="SIM1296"/>
    <s v="54.617.343/0001-95"/>
    <x v="2"/>
    <x v="6"/>
    <n v="15522.55"/>
    <n v="0"/>
    <n v="0"/>
    <n v="0"/>
    <n v="0"/>
    <n v="0"/>
    <s v=""/>
    <s v=""/>
    <s v=""/>
    <n v="15522.55"/>
    <s v=""/>
    <s v=""/>
  </r>
  <r>
    <s v="SIM1297"/>
    <s v="48.364.480/0001-90"/>
    <x v="0"/>
    <x v="2"/>
    <n v="2715.3900000000003"/>
    <n v="2343.7800000000002"/>
    <n v="371.61"/>
    <n v="0"/>
    <n v="0"/>
    <n v="0"/>
    <s v=""/>
    <s v=""/>
    <s v=""/>
    <s v=""/>
    <s v=""/>
    <n v="2715.3900000000003"/>
  </r>
  <r>
    <s v="SIM1298"/>
    <s v="90.243.847/0001-29"/>
    <x v="5"/>
    <x v="6"/>
    <n v="13655.49"/>
    <n v="0"/>
    <n v="0"/>
    <n v="0"/>
    <n v="0"/>
    <n v="0"/>
    <n v="13655.49"/>
    <s v=""/>
    <s v=""/>
    <s v=""/>
    <s v=""/>
    <s v=""/>
  </r>
  <r>
    <s v="SIM1299"/>
    <s v="32.247.617/0001-21"/>
    <x v="5"/>
    <x v="5"/>
    <n v="6207.4000000000005"/>
    <n v="0"/>
    <n v="0"/>
    <n v="0"/>
    <n v="0"/>
    <n v="0"/>
    <n v="6207.4000000000005"/>
    <s v=""/>
    <s v=""/>
    <s v=""/>
    <s v=""/>
    <s v=""/>
  </r>
  <r>
    <s v="SIM1300"/>
    <s v="37.783.152/0001-80"/>
    <x v="2"/>
    <x v="9"/>
    <n v="2862.73"/>
    <n v="0"/>
    <n v="0"/>
    <n v="0"/>
    <n v="0"/>
    <n v="0"/>
    <s v=""/>
    <s v=""/>
    <s v=""/>
    <n v="2862.73"/>
    <s v=""/>
    <s v=""/>
  </r>
  <r>
    <s v="SIM1301"/>
    <s v="20.804.325/0001-34"/>
    <x v="3"/>
    <x v="1"/>
    <n v="6458.82"/>
    <n v="0"/>
    <n v="0"/>
    <n v="0"/>
    <n v="0"/>
    <n v="0"/>
    <s v=""/>
    <n v="6458.82"/>
    <s v=""/>
    <s v=""/>
    <s v=""/>
    <s v=""/>
  </r>
  <r>
    <s v="SIM1302"/>
    <s v="87.810.566/0001-64"/>
    <x v="1"/>
    <x v="5"/>
    <n v="8634.61"/>
    <n v="0"/>
    <n v="0"/>
    <n v="0"/>
    <n v="0"/>
    <n v="0"/>
    <s v=""/>
    <s v=""/>
    <n v="8634.61"/>
    <s v=""/>
    <s v=""/>
    <s v=""/>
  </r>
  <r>
    <s v="SIM1303"/>
    <s v="51.221.605/0001-60"/>
    <x v="4"/>
    <x v="8"/>
    <n v="690.94"/>
    <n v="0"/>
    <n v="0"/>
    <n v="0"/>
    <n v="0"/>
    <n v="0"/>
    <s v=""/>
    <s v=""/>
    <s v=""/>
    <s v=""/>
    <n v="690.94"/>
    <s v=""/>
  </r>
  <r>
    <s v="SIM1304"/>
    <s v="86.234.733/0001-79"/>
    <x v="0"/>
    <x v="4"/>
    <n v="12915.029999999999"/>
    <n v="0"/>
    <n v="4858.17"/>
    <n v="324.13"/>
    <n v="0"/>
    <n v="7732.73"/>
    <s v=""/>
    <s v=""/>
    <s v=""/>
    <s v=""/>
    <s v=""/>
    <n v="12915.029999999999"/>
  </r>
  <r>
    <s v="SIM1305"/>
    <s v="36.133.264/0001-27"/>
    <x v="0"/>
    <x v="9"/>
    <n v="7352.9000000000005"/>
    <n v="0"/>
    <n v="353.18"/>
    <n v="0"/>
    <n v="0"/>
    <n v="6999.72"/>
    <s v=""/>
    <s v=""/>
    <s v=""/>
    <s v=""/>
    <s v=""/>
    <n v="7352.9000000000005"/>
  </r>
  <r>
    <s v="SIM1306"/>
    <s v="84.632.645/0001-79"/>
    <x v="2"/>
    <x v="5"/>
    <n v="20252.760000000002"/>
    <n v="0"/>
    <n v="0"/>
    <n v="0"/>
    <n v="0"/>
    <n v="0"/>
    <s v=""/>
    <s v=""/>
    <s v=""/>
    <n v="20252.760000000002"/>
    <s v=""/>
    <s v=""/>
  </r>
  <r>
    <s v="SIM1307"/>
    <s v="48.994.447/0001-98"/>
    <x v="1"/>
    <x v="5"/>
    <n v="11871.809999999998"/>
    <n v="0"/>
    <n v="0"/>
    <n v="0"/>
    <n v="0"/>
    <n v="0"/>
    <s v=""/>
    <s v=""/>
    <n v="11871.809999999998"/>
    <s v=""/>
    <s v=""/>
    <s v=""/>
  </r>
  <r>
    <s v="SIM1308"/>
    <s v="85.588.780/0001-42"/>
    <x v="5"/>
    <x v="0"/>
    <n v="7443.9699999999993"/>
    <n v="0"/>
    <n v="0"/>
    <n v="0"/>
    <n v="0"/>
    <n v="0"/>
    <n v="7443.9699999999993"/>
    <s v=""/>
    <s v=""/>
    <s v=""/>
    <s v=""/>
    <s v=""/>
  </r>
  <r>
    <s v="SIM1309"/>
    <s v="88.236.453/0001-12"/>
    <x v="1"/>
    <x v="11"/>
    <n v="407.6"/>
    <n v="0"/>
    <n v="0"/>
    <n v="0"/>
    <n v="0"/>
    <n v="0"/>
    <s v=""/>
    <s v=""/>
    <n v="407.6"/>
    <s v=""/>
    <s v=""/>
    <s v=""/>
  </r>
  <r>
    <s v="SIM1310"/>
    <s v="10.364.211/0001-39"/>
    <x v="3"/>
    <x v="7"/>
    <n v="17779.509999999998"/>
    <n v="0"/>
    <n v="0"/>
    <n v="0"/>
    <n v="0"/>
    <n v="0"/>
    <s v=""/>
    <n v="17779.509999999998"/>
    <s v=""/>
    <s v=""/>
    <s v=""/>
    <s v=""/>
  </r>
  <r>
    <s v="SIM1311"/>
    <s v="68.524.187/0001-75"/>
    <x v="0"/>
    <x v="11"/>
    <n v="5695.15"/>
    <n v="0"/>
    <n v="0"/>
    <n v="2772.3"/>
    <n v="0"/>
    <n v="2922.85"/>
    <s v=""/>
    <s v=""/>
    <s v=""/>
    <s v=""/>
    <s v=""/>
    <n v="5695.15"/>
  </r>
  <r>
    <s v="SIM1312"/>
    <s v="86.888.822/0001-12"/>
    <x v="2"/>
    <x v="9"/>
    <n v="5534.93"/>
    <n v="0"/>
    <n v="0"/>
    <n v="0"/>
    <n v="0"/>
    <n v="0"/>
    <s v=""/>
    <s v=""/>
    <s v=""/>
    <n v="5534.93"/>
    <s v=""/>
    <s v=""/>
  </r>
  <r>
    <s v="SIM1313"/>
    <s v="19.868.196/0001-39"/>
    <x v="3"/>
    <x v="3"/>
    <n v="21200.29"/>
    <n v="0"/>
    <n v="0"/>
    <n v="0"/>
    <n v="0"/>
    <n v="0"/>
    <s v=""/>
    <n v="21200.29"/>
    <s v=""/>
    <s v=""/>
    <s v=""/>
    <s v=""/>
  </r>
  <r>
    <s v="SIM1314"/>
    <s v="66.636.849/0001-51"/>
    <x v="0"/>
    <x v="6"/>
    <n v="444.58"/>
    <n v="0"/>
    <n v="0"/>
    <n v="0"/>
    <n v="0"/>
    <n v="444.58"/>
    <s v=""/>
    <s v=""/>
    <s v=""/>
    <s v=""/>
    <s v=""/>
    <n v="444.58"/>
  </r>
  <r>
    <s v="SIM1315"/>
    <s v="32.996.345/0001-59"/>
    <x v="2"/>
    <x v="4"/>
    <n v="11630.78"/>
    <n v="0"/>
    <n v="0"/>
    <n v="0"/>
    <n v="0"/>
    <n v="0"/>
    <s v=""/>
    <s v=""/>
    <s v=""/>
    <n v="11630.78"/>
    <s v=""/>
    <s v=""/>
  </r>
  <r>
    <s v="SIM1316"/>
    <s v="70.827.603/0001-28"/>
    <x v="4"/>
    <x v="5"/>
    <n v="678.6"/>
    <n v="0"/>
    <n v="0"/>
    <n v="0"/>
    <n v="0"/>
    <n v="0"/>
    <s v=""/>
    <s v=""/>
    <s v=""/>
    <s v=""/>
    <n v="678.6"/>
    <s v=""/>
  </r>
  <r>
    <s v="SIM1317"/>
    <s v="43.962.423/0001-35"/>
    <x v="1"/>
    <x v="0"/>
    <n v="229.68"/>
    <n v="0"/>
    <n v="0"/>
    <n v="0"/>
    <n v="0"/>
    <n v="0"/>
    <s v=""/>
    <s v=""/>
    <n v="229.68"/>
    <s v=""/>
    <s v=""/>
    <s v=""/>
  </r>
  <r>
    <s v="SIM1318"/>
    <s v="57.186.318/0001-30"/>
    <x v="1"/>
    <x v="4"/>
    <n v="3235.86"/>
    <n v="0"/>
    <n v="0"/>
    <n v="0"/>
    <n v="0"/>
    <n v="0"/>
    <s v=""/>
    <s v=""/>
    <n v="3235.86"/>
    <s v=""/>
    <s v=""/>
    <s v=""/>
  </r>
  <r>
    <s v="SIM1319"/>
    <s v="67.250.720/0001-59"/>
    <x v="5"/>
    <x v="8"/>
    <n v="14227.970000000001"/>
    <n v="0"/>
    <n v="0"/>
    <n v="0"/>
    <n v="0"/>
    <n v="0"/>
    <n v="14227.970000000001"/>
    <s v=""/>
    <s v=""/>
    <s v=""/>
    <s v=""/>
    <s v=""/>
  </r>
  <r>
    <s v="SIM1320"/>
    <s v="83.191.393/0001-19"/>
    <x v="5"/>
    <x v="9"/>
    <n v="20588.2"/>
    <n v="0"/>
    <n v="0"/>
    <n v="0"/>
    <n v="0"/>
    <n v="0"/>
    <n v="20588.2"/>
    <s v=""/>
    <s v=""/>
    <s v=""/>
    <s v=""/>
    <s v=""/>
  </r>
  <r>
    <s v="SIM1321"/>
    <s v="67.626.421/0001-45"/>
    <x v="1"/>
    <x v="1"/>
    <n v="213.49"/>
    <n v="0"/>
    <n v="0"/>
    <n v="0"/>
    <n v="0"/>
    <n v="0"/>
    <s v=""/>
    <s v=""/>
    <n v="213.49"/>
    <s v=""/>
    <s v=""/>
    <s v=""/>
  </r>
  <r>
    <s v="SIM1322"/>
    <s v="56.632.121/0001-38"/>
    <x v="1"/>
    <x v="7"/>
    <n v="1712.43"/>
    <n v="0"/>
    <n v="0"/>
    <n v="0"/>
    <n v="0"/>
    <n v="0"/>
    <s v=""/>
    <s v=""/>
    <n v="1712.43"/>
    <s v=""/>
    <s v=""/>
    <s v=""/>
  </r>
  <r>
    <s v="SIM1323"/>
    <s v="99.291.443/0001-91"/>
    <x v="2"/>
    <x v="1"/>
    <n v="4010.52"/>
    <n v="0"/>
    <n v="0"/>
    <n v="0"/>
    <n v="0"/>
    <n v="0"/>
    <s v=""/>
    <s v=""/>
    <s v=""/>
    <n v="4010.52"/>
    <s v=""/>
    <s v=""/>
  </r>
  <r>
    <s v="SIM1324"/>
    <s v="58.407.205/0001-37"/>
    <x v="1"/>
    <x v="11"/>
    <n v="13295.35"/>
    <n v="0"/>
    <n v="0"/>
    <n v="0"/>
    <n v="0"/>
    <n v="0"/>
    <s v=""/>
    <s v=""/>
    <n v="13295.35"/>
    <s v=""/>
    <s v=""/>
    <s v=""/>
  </r>
  <r>
    <s v="SIM1325"/>
    <s v="94.501.735/0001-79"/>
    <x v="1"/>
    <x v="8"/>
    <n v="2008.62"/>
    <n v="0"/>
    <n v="0"/>
    <n v="0"/>
    <n v="0"/>
    <n v="0"/>
    <s v=""/>
    <s v=""/>
    <n v="2008.62"/>
    <s v=""/>
    <s v=""/>
    <s v=""/>
  </r>
  <r>
    <s v="SIM1326"/>
    <s v="76.489.810/0001-11"/>
    <x v="5"/>
    <x v="8"/>
    <n v="15992.73"/>
    <n v="0"/>
    <n v="0"/>
    <n v="0"/>
    <n v="0"/>
    <n v="0"/>
    <n v="15992.73"/>
    <s v=""/>
    <s v=""/>
    <s v=""/>
    <s v=""/>
    <s v=""/>
  </r>
  <r>
    <s v="SIM1327"/>
    <s v="14.619.860/0001-13"/>
    <x v="2"/>
    <x v="8"/>
    <n v="24556.03"/>
    <n v="0"/>
    <n v="0"/>
    <n v="0"/>
    <n v="0"/>
    <n v="0"/>
    <s v=""/>
    <s v=""/>
    <s v=""/>
    <n v="24556.03"/>
    <s v=""/>
    <s v=""/>
  </r>
  <r>
    <s v="SIM1328"/>
    <s v="25.555.979/0001-69"/>
    <x v="5"/>
    <x v="7"/>
    <n v="18008.98"/>
    <n v="0"/>
    <n v="0"/>
    <n v="0"/>
    <n v="0"/>
    <n v="0"/>
    <n v="18008.98"/>
    <s v=""/>
    <s v=""/>
    <s v=""/>
    <s v=""/>
    <s v=""/>
  </r>
  <r>
    <s v="SIM1329"/>
    <s v="90.224.797/0001-53"/>
    <x v="4"/>
    <x v="6"/>
    <n v="26510.230000000003"/>
    <n v="0"/>
    <n v="0"/>
    <n v="0"/>
    <n v="0"/>
    <n v="0"/>
    <s v=""/>
    <s v=""/>
    <s v=""/>
    <s v=""/>
    <n v="26510.230000000003"/>
    <s v=""/>
  </r>
  <r>
    <s v="SIM1330"/>
    <s v="19.395.745/0001-55"/>
    <x v="3"/>
    <x v="2"/>
    <n v="9405.7000000000007"/>
    <n v="0"/>
    <n v="0"/>
    <n v="0"/>
    <n v="0"/>
    <n v="0"/>
    <s v=""/>
    <n v="9405.7000000000007"/>
    <s v=""/>
    <s v=""/>
    <s v=""/>
    <s v=""/>
  </r>
  <r>
    <s v="SIM1331"/>
    <s v="38.624.935/0001-49"/>
    <x v="1"/>
    <x v="9"/>
    <n v="7748.97"/>
    <n v="0"/>
    <n v="0"/>
    <n v="0"/>
    <n v="0"/>
    <n v="0"/>
    <s v=""/>
    <s v=""/>
    <n v="7748.97"/>
    <s v=""/>
    <s v=""/>
    <s v=""/>
  </r>
  <r>
    <s v="SIM1332"/>
    <s v="40.420.509/0001-34"/>
    <x v="4"/>
    <x v="9"/>
    <n v="8494.89"/>
    <n v="0"/>
    <n v="0"/>
    <n v="0"/>
    <n v="0"/>
    <n v="0"/>
    <s v=""/>
    <s v=""/>
    <s v=""/>
    <s v=""/>
    <n v="8494.89"/>
    <s v=""/>
  </r>
  <r>
    <s v="SIM1333"/>
    <s v="53.103.882/0001-27"/>
    <x v="4"/>
    <x v="1"/>
    <n v="19653.330000000002"/>
    <n v="0"/>
    <n v="0"/>
    <n v="0"/>
    <n v="0"/>
    <n v="0"/>
    <s v=""/>
    <s v=""/>
    <s v=""/>
    <s v=""/>
    <n v="19653.330000000002"/>
    <s v=""/>
  </r>
  <r>
    <s v="SIM1334"/>
    <s v="60.560.653/0001-66"/>
    <x v="5"/>
    <x v="10"/>
    <n v="23721.54"/>
    <n v="0"/>
    <n v="0"/>
    <n v="0"/>
    <n v="0"/>
    <n v="0"/>
    <n v="23721.54"/>
    <s v=""/>
    <s v=""/>
    <s v=""/>
    <s v=""/>
    <s v=""/>
  </r>
  <r>
    <s v="SIM1335"/>
    <s v="29.498.981/0001-16"/>
    <x v="1"/>
    <x v="9"/>
    <n v="7984.31"/>
    <n v="0"/>
    <n v="0"/>
    <n v="0"/>
    <n v="0"/>
    <n v="0"/>
    <s v=""/>
    <s v=""/>
    <n v="7984.31"/>
    <s v=""/>
    <s v=""/>
    <s v=""/>
  </r>
  <r>
    <s v="SIM1336"/>
    <s v="41.103.285/0001-10"/>
    <x v="5"/>
    <x v="10"/>
    <n v="1941.53"/>
    <n v="0"/>
    <n v="0"/>
    <n v="0"/>
    <n v="0"/>
    <n v="0"/>
    <n v="1941.53"/>
    <s v=""/>
    <s v=""/>
    <s v=""/>
    <s v=""/>
    <s v=""/>
  </r>
  <r>
    <s v="SIM1337"/>
    <s v="50.143.456/0001-61"/>
    <x v="3"/>
    <x v="1"/>
    <n v="2912.64"/>
    <n v="0"/>
    <n v="0"/>
    <n v="0"/>
    <n v="0"/>
    <n v="0"/>
    <s v=""/>
    <n v="2912.64"/>
    <s v=""/>
    <s v=""/>
    <s v=""/>
    <s v=""/>
  </r>
  <r>
    <s v="SIM1338"/>
    <s v="55.419.947/0001-63"/>
    <x v="3"/>
    <x v="8"/>
    <n v="11582.27"/>
    <n v="0"/>
    <n v="0"/>
    <n v="0"/>
    <n v="0"/>
    <n v="0"/>
    <s v=""/>
    <n v="11582.27"/>
    <s v=""/>
    <s v=""/>
    <s v=""/>
    <s v=""/>
  </r>
  <r>
    <s v="SIM1339"/>
    <s v="31.716.963/0001-72"/>
    <x v="0"/>
    <x v="8"/>
    <n v="5534.07"/>
    <n v="0"/>
    <n v="0"/>
    <n v="0"/>
    <n v="0"/>
    <n v="5534.07"/>
    <s v=""/>
    <s v=""/>
    <s v=""/>
    <s v=""/>
    <s v=""/>
    <n v="5534.07"/>
  </r>
  <r>
    <s v="SIM1340"/>
    <s v="53.246.564/0001-45"/>
    <x v="3"/>
    <x v="10"/>
    <n v="2606.23"/>
    <n v="0"/>
    <n v="0"/>
    <n v="0"/>
    <n v="0"/>
    <n v="0"/>
    <s v=""/>
    <n v="2606.23"/>
    <s v=""/>
    <s v=""/>
    <s v=""/>
    <s v=""/>
  </r>
  <r>
    <s v="SIM1341"/>
    <s v="51.404.592/0001-19"/>
    <x v="5"/>
    <x v="3"/>
    <n v="9247.4500000000007"/>
    <n v="0"/>
    <n v="0"/>
    <n v="0"/>
    <n v="0"/>
    <n v="0"/>
    <n v="9247.4500000000007"/>
    <s v=""/>
    <s v=""/>
    <s v=""/>
    <s v=""/>
    <s v=""/>
  </r>
  <r>
    <s v="SIM1342"/>
    <s v="69.401.264/0001-22"/>
    <x v="1"/>
    <x v="4"/>
    <n v="6728.74"/>
    <n v="0"/>
    <n v="0"/>
    <n v="0"/>
    <n v="0"/>
    <n v="0"/>
    <s v=""/>
    <s v=""/>
    <n v="6728.74"/>
    <s v=""/>
    <s v=""/>
    <s v=""/>
  </r>
  <r>
    <s v="SIM1343"/>
    <s v="39.802.742/0001-87"/>
    <x v="5"/>
    <x v="3"/>
    <n v="3980.63"/>
    <n v="0"/>
    <n v="0"/>
    <n v="0"/>
    <n v="0"/>
    <n v="0"/>
    <n v="3980.63"/>
    <s v=""/>
    <s v=""/>
    <s v=""/>
    <s v=""/>
    <s v=""/>
  </r>
  <r>
    <s v="SIM1344"/>
    <s v="55.503.385/0001-74"/>
    <x v="4"/>
    <x v="6"/>
    <n v="3124.76"/>
    <n v="0"/>
    <n v="0"/>
    <n v="0"/>
    <n v="0"/>
    <n v="0"/>
    <s v=""/>
    <s v=""/>
    <s v=""/>
    <s v=""/>
    <n v="3124.76"/>
    <s v=""/>
  </r>
  <r>
    <s v="SIM1345"/>
    <s v="67.179.621/0001-71"/>
    <x v="3"/>
    <x v="10"/>
    <n v="299.22000000000003"/>
    <n v="0"/>
    <n v="0"/>
    <n v="0"/>
    <n v="0"/>
    <n v="0"/>
    <s v=""/>
    <n v="299.22000000000003"/>
    <s v=""/>
    <s v=""/>
    <s v=""/>
    <s v=""/>
  </r>
  <r>
    <s v="SIM1346"/>
    <s v="44.483.128/0001-75"/>
    <x v="0"/>
    <x v="2"/>
    <n v="11235.33"/>
    <n v="0"/>
    <n v="0"/>
    <n v="954.79"/>
    <n v="3303.33"/>
    <n v="6977.21"/>
    <s v=""/>
    <s v=""/>
    <s v=""/>
    <s v=""/>
    <s v=""/>
    <n v="11235.33"/>
  </r>
  <r>
    <s v="SIM1347"/>
    <s v="25.638.581/0001-49"/>
    <x v="2"/>
    <x v="0"/>
    <n v="7518.51"/>
    <n v="0"/>
    <n v="0"/>
    <n v="0"/>
    <n v="0"/>
    <n v="0"/>
    <s v=""/>
    <s v=""/>
    <s v=""/>
    <n v="7518.51"/>
    <s v=""/>
    <s v=""/>
  </r>
  <r>
    <s v="SIM1348"/>
    <s v="72.732.606/0001-15"/>
    <x v="0"/>
    <x v="10"/>
    <n v="8779.74"/>
    <n v="918.25"/>
    <n v="1342.64"/>
    <n v="953.67"/>
    <n v="2946.41"/>
    <n v="2618.77"/>
    <s v=""/>
    <s v=""/>
    <s v=""/>
    <s v=""/>
    <s v=""/>
    <n v="8779.74"/>
  </r>
  <r>
    <s v="SIM1349"/>
    <s v="39.804.384/0001-31"/>
    <x v="1"/>
    <x v="7"/>
    <n v="4201.57"/>
    <n v="0"/>
    <n v="0"/>
    <n v="0"/>
    <n v="0"/>
    <n v="0"/>
    <s v=""/>
    <s v=""/>
    <n v="4201.57"/>
    <s v=""/>
    <s v=""/>
    <s v=""/>
  </r>
  <r>
    <s v="SIM1350"/>
    <s v="36.210.522/0001-65"/>
    <x v="5"/>
    <x v="6"/>
    <n v="1688.93"/>
    <n v="0"/>
    <n v="0"/>
    <n v="0"/>
    <n v="0"/>
    <n v="0"/>
    <n v="1688.93"/>
    <s v=""/>
    <s v=""/>
    <s v=""/>
    <s v=""/>
    <s v=""/>
  </r>
  <r>
    <s v="SIM1351"/>
    <s v="51.411.481/0001-44"/>
    <x v="3"/>
    <x v="8"/>
    <n v="20070.800000000003"/>
    <n v="0"/>
    <n v="0"/>
    <n v="0"/>
    <n v="0"/>
    <n v="0"/>
    <s v=""/>
    <n v="20070.800000000003"/>
    <s v=""/>
    <s v=""/>
    <s v=""/>
    <s v=""/>
  </r>
  <r>
    <s v="SIM1352"/>
    <s v="20.102.776/0001-39"/>
    <x v="1"/>
    <x v="3"/>
    <n v="11416.27"/>
    <n v="0"/>
    <n v="0"/>
    <n v="0"/>
    <n v="0"/>
    <n v="0"/>
    <s v=""/>
    <s v=""/>
    <n v="11416.27"/>
    <s v=""/>
    <s v=""/>
    <s v=""/>
  </r>
  <r>
    <s v="SIM1353"/>
    <s v="93.350.674/0001-20"/>
    <x v="4"/>
    <x v="7"/>
    <n v="3667.76"/>
    <n v="0"/>
    <n v="0"/>
    <n v="0"/>
    <n v="0"/>
    <n v="0"/>
    <s v=""/>
    <s v=""/>
    <s v=""/>
    <s v=""/>
    <n v="3667.76"/>
    <s v=""/>
  </r>
  <r>
    <s v="SIM1354"/>
    <s v="22.423.988/0001-88"/>
    <x v="2"/>
    <x v="1"/>
    <n v="10992.07"/>
    <n v="0"/>
    <n v="0"/>
    <n v="0"/>
    <n v="0"/>
    <n v="0"/>
    <s v=""/>
    <s v=""/>
    <s v=""/>
    <n v="10992.07"/>
    <s v=""/>
    <s v=""/>
  </r>
  <r>
    <s v="SIM1355"/>
    <s v="13.646.269/0001-48"/>
    <x v="3"/>
    <x v="7"/>
    <n v="16527.13"/>
    <n v="0"/>
    <n v="0"/>
    <n v="0"/>
    <n v="0"/>
    <n v="0"/>
    <s v=""/>
    <n v="16527.13"/>
    <s v=""/>
    <s v=""/>
    <s v=""/>
    <s v=""/>
  </r>
  <r>
    <s v="SIM1356"/>
    <s v="52.206.755/0001-36"/>
    <x v="3"/>
    <x v="0"/>
    <n v="18382.37"/>
    <n v="0"/>
    <n v="0"/>
    <n v="0"/>
    <n v="0"/>
    <n v="0"/>
    <s v=""/>
    <n v="18382.37"/>
    <s v=""/>
    <s v=""/>
    <s v=""/>
    <s v=""/>
  </r>
  <r>
    <s v="SIM1357"/>
    <s v="50.272.172/0001-89"/>
    <x v="4"/>
    <x v="0"/>
    <n v="611.34"/>
    <n v="0"/>
    <n v="0"/>
    <n v="0"/>
    <n v="0"/>
    <n v="0"/>
    <s v=""/>
    <s v=""/>
    <s v=""/>
    <s v=""/>
    <n v="611.34"/>
    <s v=""/>
  </r>
  <r>
    <s v="SIM1358"/>
    <s v="42.380.757/0001-73"/>
    <x v="3"/>
    <x v="3"/>
    <n v="9743.8799999999992"/>
    <n v="0"/>
    <n v="0"/>
    <n v="0"/>
    <n v="0"/>
    <n v="0"/>
    <s v=""/>
    <n v="9743.8799999999992"/>
    <s v=""/>
    <s v=""/>
    <s v=""/>
    <s v=""/>
  </r>
  <r>
    <s v="SIM1359"/>
    <s v="44.177.514/0001-90"/>
    <x v="3"/>
    <x v="10"/>
    <n v="15582.83"/>
    <n v="0"/>
    <n v="0"/>
    <n v="0"/>
    <n v="0"/>
    <n v="0"/>
    <s v=""/>
    <n v="15582.83"/>
    <s v=""/>
    <s v=""/>
    <s v=""/>
    <s v=""/>
  </r>
  <r>
    <s v="SIM1360"/>
    <s v="94.978.855/0001-44"/>
    <x v="1"/>
    <x v="11"/>
    <n v="7547.63"/>
    <n v="0"/>
    <n v="0"/>
    <n v="0"/>
    <n v="0"/>
    <n v="0"/>
    <s v=""/>
    <s v=""/>
    <n v="7547.63"/>
    <s v=""/>
    <s v=""/>
    <s v=""/>
  </r>
  <r>
    <s v="SIM1361"/>
    <s v="27.332.811/0001-53"/>
    <x v="1"/>
    <x v="9"/>
    <n v="7269.3899999999994"/>
    <n v="0"/>
    <n v="0"/>
    <n v="0"/>
    <n v="0"/>
    <n v="0"/>
    <s v=""/>
    <s v=""/>
    <n v="7269.3899999999994"/>
    <s v=""/>
    <s v=""/>
    <s v=""/>
  </r>
  <r>
    <s v="SIM1362"/>
    <s v="84.996.965/0001-10"/>
    <x v="0"/>
    <x v="6"/>
    <n v="25222.57"/>
    <n v="0"/>
    <n v="4087.13"/>
    <n v="0"/>
    <n v="11728.98"/>
    <n v="9406.4599999999991"/>
    <s v=""/>
    <s v=""/>
    <s v=""/>
    <s v=""/>
    <s v=""/>
    <n v="25222.57"/>
  </r>
  <r>
    <s v="SIM1363"/>
    <s v="97.386.724/0001-82"/>
    <x v="2"/>
    <x v="3"/>
    <n v="15503.9"/>
    <n v="0"/>
    <n v="0"/>
    <n v="0"/>
    <n v="0"/>
    <n v="0"/>
    <s v=""/>
    <s v=""/>
    <s v=""/>
    <n v="15503.9"/>
    <s v=""/>
    <s v=""/>
  </r>
  <r>
    <s v="SIM1364"/>
    <s v="32.463.652/0001-85"/>
    <x v="4"/>
    <x v="8"/>
    <n v="3292.88"/>
    <n v="0"/>
    <n v="0"/>
    <n v="0"/>
    <n v="0"/>
    <n v="0"/>
    <s v=""/>
    <s v=""/>
    <s v=""/>
    <s v=""/>
    <n v="3292.88"/>
    <s v=""/>
  </r>
  <r>
    <s v="SIM1365"/>
    <s v="47.521.117/0001-36"/>
    <x v="4"/>
    <x v="2"/>
    <n v="13234.41"/>
    <n v="0"/>
    <n v="0"/>
    <n v="0"/>
    <n v="0"/>
    <n v="0"/>
    <s v=""/>
    <s v=""/>
    <s v=""/>
    <s v=""/>
    <n v="13234.41"/>
    <s v=""/>
  </r>
  <r>
    <s v="SIM1366"/>
    <s v="73.617.549/0001-44"/>
    <x v="3"/>
    <x v="11"/>
    <n v="17869.330000000002"/>
    <n v="0"/>
    <n v="0"/>
    <n v="0"/>
    <n v="0"/>
    <n v="0"/>
    <s v=""/>
    <n v="17869.330000000002"/>
    <s v=""/>
    <s v=""/>
    <s v=""/>
    <s v=""/>
  </r>
  <r>
    <s v="SIM1367"/>
    <s v="89.294.397/0001-52"/>
    <x v="5"/>
    <x v="0"/>
    <n v="24978.62"/>
    <n v="0"/>
    <n v="0"/>
    <n v="0"/>
    <n v="0"/>
    <n v="0"/>
    <n v="24978.62"/>
    <s v=""/>
    <s v=""/>
    <s v=""/>
    <s v=""/>
    <s v=""/>
  </r>
  <r>
    <s v="SIM1368"/>
    <s v="27.225.348/0001-91"/>
    <x v="4"/>
    <x v="1"/>
    <n v="9184.9700000000012"/>
    <n v="0"/>
    <n v="0"/>
    <n v="0"/>
    <n v="0"/>
    <n v="0"/>
    <s v=""/>
    <s v=""/>
    <s v=""/>
    <s v=""/>
    <n v="9184.9700000000012"/>
    <s v=""/>
  </r>
  <r>
    <s v="SIM1369"/>
    <s v="91.121.857/0001-79"/>
    <x v="1"/>
    <x v="5"/>
    <n v="21445.84"/>
    <n v="0"/>
    <n v="0"/>
    <n v="0"/>
    <n v="0"/>
    <n v="0"/>
    <s v=""/>
    <s v=""/>
    <n v="21445.84"/>
    <s v=""/>
    <s v=""/>
    <s v=""/>
  </r>
  <r>
    <s v="SIM1370"/>
    <s v="65.659.758/0001-99"/>
    <x v="2"/>
    <x v="2"/>
    <n v="19131.300000000003"/>
    <n v="0"/>
    <n v="0"/>
    <n v="0"/>
    <n v="0"/>
    <n v="0"/>
    <s v=""/>
    <s v=""/>
    <s v=""/>
    <n v="19131.300000000003"/>
    <s v=""/>
    <s v=""/>
  </r>
  <r>
    <s v="SIM1371"/>
    <s v="68.797.862/0001-20"/>
    <x v="1"/>
    <x v="9"/>
    <n v="16351.949999999999"/>
    <n v="0"/>
    <n v="0"/>
    <n v="0"/>
    <n v="0"/>
    <n v="0"/>
    <s v=""/>
    <s v=""/>
    <n v="16351.949999999999"/>
    <s v=""/>
    <s v=""/>
    <s v=""/>
  </r>
  <r>
    <s v="SIM1372"/>
    <s v="21.715.321/0001-85"/>
    <x v="0"/>
    <x v="7"/>
    <n v="5669.08"/>
    <n v="878.45"/>
    <n v="4228.5200000000004"/>
    <n v="562.11"/>
    <n v="0"/>
    <n v="0"/>
    <s v=""/>
    <s v=""/>
    <s v=""/>
    <s v=""/>
    <s v=""/>
    <n v="5669.08"/>
  </r>
  <r>
    <s v="SIM1373"/>
    <s v="72.193.216/0001-63"/>
    <x v="3"/>
    <x v="8"/>
    <n v="3250.89"/>
    <n v="0"/>
    <n v="0"/>
    <n v="0"/>
    <n v="0"/>
    <n v="0"/>
    <s v=""/>
    <n v="3250.89"/>
    <s v=""/>
    <s v=""/>
    <s v=""/>
    <s v=""/>
  </r>
  <r>
    <s v="SIM1374"/>
    <s v="66.471.959/0001-20"/>
    <x v="0"/>
    <x v="4"/>
    <n v="5344.12"/>
    <n v="2541.2399999999998"/>
    <n v="0"/>
    <n v="0"/>
    <n v="2802.88"/>
    <n v="0"/>
    <s v=""/>
    <s v=""/>
    <s v=""/>
    <s v=""/>
    <s v=""/>
    <n v="5344.12"/>
  </r>
  <r>
    <s v="SIM1375"/>
    <s v="34.656.206/0001-49"/>
    <x v="4"/>
    <x v="3"/>
    <n v="986.44"/>
    <n v="0"/>
    <n v="0"/>
    <n v="0"/>
    <n v="0"/>
    <n v="0"/>
    <s v=""/>
    <s v=""/>
    <s v=""/>
    <s v=""/>
    <n v="986.44"/>
    <s v=""/>
  </r>
  <r>
    <s v="SIM1376"/>
    <s v="54.605.182/0001-56"/>
    <x v="1"/>
    <x v="4"/>
    <n v="4775.37"/>
    <n v="0"/>
    <n v="0"/>
    <n v="0"/>
    <n v="0"/>
    <n v="0"/>
    <s v=""/>
    <s v=""/>
    <n v="4775.37"/>
    <s v=""/>
    <s v=""/>
    <s v=""/>
  </r>
  <r>
    <s v="SIM1377"/>
    <s v="22.769.353/0001-36"/>
    <x v="5"/>
    <x v="4"/>
    <n v="16944.919999999998"/>
    <n v="0"/>
    <n v="0"/>
    <n v="0"/>
    <n v="0"/>
    <n v="0"/>
    <n v="16944.919999999998"/>
    <s v=""/>
    <s v=""/>
    <s v=""/>
    <s v=""/>
    <s v=""/>
  </r>
  <r>
    <s v="SIM1378"/>
    <s v="73.700.611/0001-23"/>
    <x v="3"/>
    <x v="11"/>
    <n v="1219.04"/>
    <n v="0"/>
    <n v="0"/>
    <n v="0"/>
    <n v="0"/>
    <n v="0"/>
    <s v=""/>
    <n v="1219.04"/>
    <s v=""/>
    <s v=""/>
    <s v=""/>
    <s v=""/>
  </r>
  <r>
    <s v="SIM1379"/>
    <s v="85.384.506/0001-36"/>
    <x v="5"/>
    <x v="5"/>
    <n v="19289.96"/>
    <n v="0"/>
    <n v="0"/>
    <n v="0"/>
    <n v="0"/>
    <n v="0"/>
    <n v="19289.96"/>
    <s v=""/>
    <s v=""/>
    <s v=""/>
    <s v=""/>
    <s v=""/>
  </r>
  <r>
    <s v="SIM1380"/>
    <s v="81.413.639/0001-22"/>
    <x v="4"/>
    <x v="4"/>
    <n v="10886.46"/>
    <n v="0"/>
    <n v="0"/>
    <n v="0"/>
    <n v="0"/>
    <n v="0"/>
    <s v=""/>
    <s v=""/>
    <s v=""/>
    <s v=""/>
    <n v="10886.46"/>
    <s v=""/>
  </r>
  <r>
    <s v="SIM1381"/>
    <s v="97.128.692/0001-46"/>
    <x v="2"/>
    <x v="8"/>
    <n v="4362.6000000000004"/>
    <n v="0"/>
    <n v="0"/>
    <n v="0"/>
    <n v="0"/>
    <n v="0"/>
    <s v=""/>
    <s v=""/>
    <s v=""/>
    <n v="4362.6000000000004"/>
    <s v=""/>
    <s v=""/>
  </r>
  <r>
    <s v="SIM1382"/>
    <s v="25.447.814/0001-61"/>
    <x v="4"/>
    <x v="5"/>
    <n v="12298.18"/>
    <n v="0"/>
    <n v="0"/>
    <n v="0"/>
    <n v="0"/>
    <n v="0"/>
    <s v=""/>
    <s v=""/>
    <s v=""/>
    <s v=""/>
    <n v="12298.18"/>
    <s v=""/>
  </r>
  <r>
    <s v="SIM1383"/>
    <s v="53.715.200/0001-68"/>
    <x v="0"/>
    <x v="5"/>
    <n v="9139.3100000000013"/>
    <n v="2600.17"/>
    <n v="0"/>
    <n v="0"/>
    <n v="0"/>
    <n v="6539.14"/>
    <s v=""/>
    <s v=""/>
    <s v=""/>
    <s v=""/>
    <s v=""/>
    <n v="9139.3100000000013"/>
  </r>
  <r>
    <s v="SIM1384"/>
    <s v="75.148.161/0001-30"/>
    <x v="4"/>
    <x v="2"/>
    <n v="4541.0300000000007"/>
    <n v="0"/>
    <n v="0"/>
    <n v="0"/>
    <n v="0"/>
    <n v="0"/>
    <s v=""/>
    <s v=""/>
    <s v=""/>
    <s v=""/>
    <n v="4541.0300000000007"/>
    <s v=""/>
  </r>
  <r>
    <s v="SIM1385"/>
    <s v="78.863.987/0001-73"/>
    <x v="1"/>
    <x v="3"/>
    <n v="11554.55"/>
    <n v="0"/>
    <n v="0"/>
    <n v="0"/>
    <n v="0"/>
    <n v="0"/>
    <s v=""/>
    <s v=""/>
    <n v="11554.55"/>
    <s v=""/>
    <s v=""/>
    <s v=""/>
  </r>
  <r>
    <s v="SIM1386"/>
    <s v="91.760.753/0001-86"/>
    <x v="1"/>
    <x v="2"/>
    <n v="13272.25"/>
    <n v="0"/>
    <n v="0"/>
    <n v="0"/>
    <n v="0"/>
    <n v="0"/>
    <s v=""/>
    <s v=""/>
    <n v="13272.25"/>
    <s v=""/>
    <s v=""/>
    <s v=""/>
  </r>
  <r>
    <s v="SIM1387"/>
    <s v="19.615.387/0001-10"/>
    <x v="4"/>
    <x v="0"/>
    <n v="7926.7100000000009"/>
    <n v="0"/>
    <n v="0"/>
    <n v="0"/>
    <n v="0"/>
    <n v="0"/>
    <s v=""/>
    <s v=""/>
    <s v=""/>
    <s v=""/>
    <n v="7926.7100000000009"/>
    <s v=""/>
  </r>
  <r>
    <s v="SIM1388"/>
    <s v="74.668.358/0001-50"/>
    <x v="0"/>
    <x v="11"/>
    <n v="6710.9299999999994"/>
    <n v="0"/>
    <n v="1808.78"/>
    <n v="0"/>
    <n v="3865.83"/>
    <n v="1036.32"/>
    <s v=""/>
    <s v=""/>
    <s v=""/>
    <s v=""/>
    <s v=""/>
    <n v="6710.9299999999994"/>
  </r>
  <r>
    <s v="SIM1389"/>
    <s v="96.237.477/0001-21"/>
    <x v="2"/>
    <x v="10"/>
    <n v="11793.56"/>
    <n v="0"/>
    <n v="0"/>
    <n v="0"/>
    <n v="0"/>
    <n v="0"/>
    <s v=""/>
    <s v=""/>
    <s v=""/>
    <n v="11793.56"/>
    <s v=""/>
    <s v=""/>
  </r>
  <r>
    <s v="SIM1390"/>
    <s v="86.271.908/0001-33"/>
    <x v="2"/>
    <x v="7"/>
    <n v="19006.47"/>
    <n v="0"/>
    <n v="0"/>
    <n v="0"/>
    <n v="0"/>
    <n v="0"/>
    <s v=""/>
    <s v=""/>
    <s v=""/>
    <n v="19006.47"/>
    <s v=""/>
    <s v=""/>
  </r>
  <r>
    <s v="SIM1391"/>
    <s v="92.211.511/0001-45"/>
    <x v="2"/>
    <x v="1"/>
    <n v="3359.98"/>
    <n v="0"/>
    <n v="0"/>
    <n v="0"/>
    <n v="0"/>
    <n v="0"/>
    <s v=""/>
    <s v=""/>
    <s v=""/>
    <n v="3359.98"/>
    <s v=""/>
    <s v=""/>
  </r>
  <r>
    <s v="SIM1392"/>
    <s v="46.127.325/0001-64"/>
    <x v="5"/>
    <x v="8"/>
    <n v="5007.17"/>
    <n v="0"/>
    <n v="0"/>
    <n v="0"/>
    <n v="0"/>
    <n v="0"/>
    <n v="5007.17"/>
    <s v=""/>
    <s v=""/>
    <s v=""/>
    <s v=""/>
    <s v=""/>
  </r>
  <r>
    <s v="SIM1393"/>
    <s v="54.756.342/0001-38"/>
    <x v="3"/>
    <x v="1"/>
    <n v="9406.52"/>
    <n v="0"/>
    <n v="0"/>
    <n v="0"/>
    <n v="0"/>
    <n v="0"/>
    <s v=""/>
    <n v="9406.52"/>
    <s v=""/>
    <s v=""/>
    <s v=""/>
    <s v=""/>
  </r>
  <r>
    <s v="SIM1394"/>
    <s v="54.539.331/0001-30"/>
    <x v="4"/>
    <x v="2"/>
    <n v="2238.35"/>
    <n v="0"/>
    <n v="0"/>
    <n v="0"/>
    <n v="0"/>
    <n v="0"/>
    <s v=""/>
    <s v=""/>
    <s v=""/>
    <s v=""/>
    <n v="2238.35"/>
    <s v=""/>
  </r>
  <r>
    <s v="SIM1395"/>
    <s v="65.916.271/0001-35"/>
    <x v="3"/>
    <x v="1"/>
    <n v="925.77"/>
    <n v="0"/>
    <n v="0"/>
    <n v="0"/>
    <n v="0"/>
    <n v="0"/>
    <s v=""/>
    <n v="925.77"/>
    <s v=""/>
    <s v=""/>
    <s v=""/>
    <s v=""/>
  </r>
  <r>
    <s v="SIM1396"/>
    <s v="52.639.441/0001-67"/>
    <x v="1"/>
    <x v="1"/>
    <n v="8242.82"/>
    <n v="0"/>
    <n v="0"/>
    <n v="0"/>
    <n v="0"/>
    <n v="0"/>
    <s v=""/>
    <s v=""/>
    <n v="8242.82"/>
    <s v=""/>
    <s v=""/>
    <s v=""/>
  </r>
  <r>
    <s v="SIM1397"/>
    <s v="67.437.250/0001-33"/>
    <x v="3"/>
    <x v="6"/>
    <n v="5899.27"/>
    <n v="0"/>
    <n v="0"/>
    <n v="0"/>
    <n v="0"/>
    <n v="0"/>
    <s v=""/>
    <n v="5899.27"/>
    <s v=""/>
    <s v=""/>
    <s v=""/>
    <s v=""/>
  </r>
  <r>
    <s v="SIM1398"/>
    <s v="76.232.133/0001-99"/>
    <x v="5"/>
    <x v="4"/>
    <n v="15481.6"/>
    <n v="0"/>
    <n v="0"/>
    <n v="0"/>
    <n v="0"/>
    <n v="0"/>
    <n v="15481.6"/>
    <s v=""/>
    <s v=""/>
    <s v=""/>
    <s v=""/>
    <s v=""/>
  </r>
  <r>
    <s v="SIM1399"/>
    <s v="10.689.238/0001-63"/>
    <x v="2"/>
    <x v="0"/>
    <n v="874.85"/>
    <n v="0"/>
    <n v="0"/>
    <n v="0"/>
    <n v="0"/>
    <n v="0"/>
    <s v=""/>
    <s v=""/>
    <s v=""/>
    <n v="874.85"/>
    <s v=""/>
    <s v=""/>
  </r>
  <r>
    <s v="SIM1400"/>
    <s v="76.805.811/0001-49"/>
    <x v="2"/>
    <x v="9"/>
    <n v="6693.68"/>
    <n v="0"/>
    <n v="0"/>
    <n v="0"/>
    <n v="0"/>
    <n v="0"/>
    <s v=""/>
    <s v=""/>
    <s v=""/>
    <n v="6693.68"/>
    <s v=""/>
    <s v=""/>
  </r>
  <r>
    <s v="SIM1401"/>
    <s v="28.713.734/0001-22"/>
    <x v="0"/>
    <x v="6"/>
    <n v="8296.77"/>
    <n v="0"/>
    <n v="0"/>
    <n v="453.92"/>
    <n v="7842.85"/>
    <n v="0"/>
    <s v=""/>
    <s v=""/>
    <s v=""/>
    <s v=""/>
    <s v=""/>
    <n v="8296.77"/>
  </r>
  <r>
    <s v="SIM1402"/>
    <s v="29.489.467/0001-55"/>
    <x v="3"/>
    <x v="1"/>
    <n v="3891.26"/>
    <n v="0"/>
    <n v="0"/>
    <n v="0"/>
    <n v="0"/>
    <n v="0"/>
    <s v=""/>
    <n v="3891.26"/>
    <s v=""/>
    <s v=""/>
    <s v=""/>
    <s v=""/>
  </r>
  <r>
    <s v="SIM1403"/>
    <s v="83.386.410/0001-97"/>
    <x v="1"/>
    <x v="5"/>
    <n v="22480.91"/>
    <n v="0"/>
    <n v="0"/>
    <n v="0"/>
    <n v="0"/>
    <n v="0"/>
    <s v=""/>
    <s v=""/>
    <n v="22480.91"/>
    <s v=""/>
    <s v=""/>
    <s v=""/>
  </r>
  <r>
    <s v="SIM1404"/>
    <s v="51.501.623/0001-68"/>
    <x v="0"/>
    <x v="10"/>
    <n v="23600.410000000003"/>
    <n v="0"/>
    <n v="0"/>
    <n v="1261.3599999999999"/>
    <n v="10732.61"/>
    <n v="11606.44"/>
    <s v=""/>
    <s v=""/>
    <s v=""/>
    <s v=""/>
    <s v=""/>
    <n v="23600.410000000003"/>
  </r>
  <r>
    <s v="SIM1405"/>
    <s v="83.617.807/0001-29"/>
    <x v="3"/>
    <x v="6"/>
    <n v="20990.34"/>
    <n v="0"/>
    <n v="0"/>
    <n v="0"/>
    <n v="0"/>
    <n v="0"/>
    <s v=""/>
    <n v="20990.34"/>
    <s v=""/>
    <s v=""/>
    <s v=""/>
    <s v=""/>
  </r>
  <r>
    <s v="SIM1406"/>
    <s v="18.530.507/0001-62"/>
    <x v="4"/>
    <x v="9"/>
    <n v="6712.3600000000006"/>
    <n v="0"/>
    <n v="0"/>
    <n v="0"/>
    <n v="0"/>
    <n v="0"/>
    <s v=""/>
    <s v=""/>
    <s v=""/>
    <s v=""/>
    <n v="6712.3600000000006"/>
    <s v=""/>
  </r>
  <r>
    <s v="SIM1407"/>
    <s v="85.845.592/0001-61"/>
    <x v="5"/>
    <x v="5"/>
    <n v="18567.25"/>
    <n v="0"/>
    <n v="0"/>
    <n v="0"/>
    <n v="0"/>
    <n v="0"/>
    <n v="18567.25"/>
    <s v=""/>
    <s v=""/>
    <s v=""/>
    <s v=""/>
    <s v=""/>
  </r>
  <r>
    <s v="SIM1408"/>
    <s v="33.920.373/0001-94"/>
    <x v="0"/>
    <x v="2"/>
    <n v="29052.27"/>
    <n v="7509.43"/>
    <n v="0"/>
    <n v="0"/>
    <n v="10247.36"/>
    <n v="11295.48"/>
    <s v=""/>
    <s v=""/>
    <s v=""/>
    <s v=""/>
    <s v=""/>
    <n v="29052.27"/>
  </r>
  <r>
    <s v="SIM1409"/>
    <s v="66.234.276/0001-94"/>
    <x v="1"/>
    <x v="9"/>
    <n v="11430.3"/>
    <n v="0"/>
    <n v="0"/>
    <n v="0"/>
    <n v="0"/>
    <n v="0"/>
    <s v=""/>
    <s v=""/>
    <n v="11430.3"/>
    <s v=""/>
    <s v=""/>
    <s v=""/>
  </r>
  <r>
    <s v="SIM1410"/>
    <s v="12.730.224/0001-63"/>
    <x v="0"/>
    <x v="11"/>
    <n v="1995.06"/>
    <n v="0"/>
    <n v="0"/>
    <n v="1995.06"/>
    <n v="0"/>
    <n v="0"/>
    <s v=""/>
    <s v=""/>
    <s v=""/>
    <s v=""/>
    <s v=""/>
    <n v="1995.06"/>
  </r>
  <r>
    <s v="SIM1411"/>
    <s v="46.786.422/0001-37"/>
    <x v="1"/>
    <x v="10"/>
    <n v="25830.93"/>
    <n v="0"/>
    <n v="0"/>
    <n v="0"/>
    <n v="0"/>
    <n v="0"/>
    <s v=""/>
    <s v=""/>
    <n v="25830.93"/>
    <s v=""/>
    <s v=""/>
    <s v=""/>
  </r>
  <r>
    <s v="SIM1412"/>
    <s v="64.714.748/0001-19"/>
    <x v="3"/>
    <x v="3"/>
    <n v="4955.57"/>
    <n v="0"/>
    <n v="0"/>
    <n v="0"/>
    <n v="0"/>
    <n v="0"/>
    <s v=""/>
    <n v="4955.57"/>
    <s v=""/>
    <s v=""/>
    <s v=""/>
    <s v=""/>
  </r>
  <r>
    <s v="SIM1413"/>
    <s v="44.502.282/0001-97"/>
    <x v="0"/>
    <x v="9"/>
    <n v="1126.97"/>
    <n v="0"/>
    <n v="0"/>
    <n v="1126.97"/>
    <n v="0"/>
    <n v="0"/>
    <s v=""/>
    <s v=""/>
    <s v=""/>
    <s v=""/>
    <s v=""/>
    <n v="1126.97"/>
  </r>
  <r>
    <s v="SIM1414"/>
    <s v="60.718.401/0001-91"/>
    <x v="4"/>
    <x v="5"/>
    <n v="3652.67"/>
    <n v="0"/>
    <n v="0"/>
    <n v="0"/>
    <n v="0"/>
    <n v="0"/>
    <s v=""/>
    <s v=""/>
    <s v=""/>
    <s v=""/>
    <n v="3652.67"/>
    <s v=""/>
  </r>
  <r>
    <s v="SIM1415"/>
    <s v="22.854.689/0001-83"/>
    <x v="3"/>
    <x v="10"/>
    <n v="13109.679999999998"/>
    <n v="0"/>
    <n v="0"/>
    <n v="0"/>
    <n v="0"/>
    <n v="0"/>
    <s v=""/>
    <n v="13109.679999999998"/>
    <s v=""/>
    <s v=""/>
    <s v=""/>
    <s v=""/>
  </r>
  <r>
    <s v="SIM1416"/>
    <s v="12.971.657/0001-92"/>
    <x v="2"/>
    <x v="4"/>
    <n v="4610.26"/>
    <n v="0"/>
    <n v="0"/>
    <n v="0"/>
    <n v="0"/>
    <n v="0"/>
    <s v=""/>
    <s v=""/>
    <s v=""/>
    <n v="4610.26"/>
    <s v=""/>
    <s v=""/>
  </r>
  <r>
    <s v="SIM1417"/>
    <s v="23.582.342/0001-34"/>
    <x v="3"/>
    <x v="9"/>
    <n v="12454"/>
    <n v="0"/>
    <n v="0"/>
    <n v="0"/>
    <n v="0"/>
    <n v="0"/>
    <s v=""/>
    <n v="12454"/>
    <s v=""/>
    <s v=""/>
    <s v=""/>
    <s v=""/>
  </r>
  <r>
    <s v="SIM1418"/>
    <s v="58.729.702/0001-99"/>
    <x v="5"/>
    <x v="4"/>
    <n v="2744.68"/>
    <n v="0"/>
    <n v="0"/>
    <n v="0"/>
    <n v="0"/>
    <n v="0"/>
    <n v="2744.68"/>
    <s v=""/>
    <s v=""/>
    <s v=""/>
    <s v=""/>
    <s v=""/>
  </r>
  <r>
    <s v="SIM1419"/>
    <s v="61.173.271/0001-22"/>
    <x v="1"/>
    <x v="4"/>
    <n v="8942.2799999999988"/>
    <n v="0"/>
    <n v="0"/>
    <n v="0"/>
    <n v="0"/>
    <n v="0"/>
    <s v=""/>
    <s v=""/>
    <n v="8942.2799999999988"/>
    <s v=""/>
    <s v=""/>
    <s v=""/>
  </r>
  <r>
    <s v="SIM1420"/>
    <s v="49.560.377/0001-90"/>
    <x v="3"/>
    <x v="9"/>
    <n v="20715.59"/>
    <n v="0"/>
    <n v="0"/>
    <n v="0"/>
    <n v="0"/>
    <n v="0"/>
    <s v=""/>
    <n v="20715.59"/>
    <s v=""/>
    <s v=""/>
    <s v=""/>
    <s v=""/>
  </r>
  <r>
    <s v="SIM1421"/>
    <s v="32.363.437/0001-93"/>
    <x v="4"/>
    <x v="3"/>
    <n v="2146.3000000000002"/>
    <n v="0"/>
    <n v="0"/>
    <n v="0"/>
    <n v="0"/>
    <n v="0"/>
    <s v=""/>
    <s v=""/>
    <s v=""/>
    <s v=""/>
    <n v="2146.3000000000002"/>
    <s v=""/>
  </r>
  <r>
    <s v="SIM1422"/>
    <s v="49.127.328/0001-53"/>
    <x v="0"/>
    <x v="3"/>
    <n v="14773.57"/>
    <n v="0"/>
    <n v="0"/>
    <n v="0"/>
    <n v="0"/>
    <n v="14773.57"/>
    <s v=""/>
    <s v=""/>
    <s v=""/>
    <s v=""/>
    <s v=""/>
    <n v="14773.57"/>
  </r>
  <r>
    <s v="SIM1423"/>
    <s v="49.255.295/0001-62"/>
    <x v="0"/>
    <x v="8"/>
    <n v="20739.099999999999"/>
    <n v="6686.36"/>
    <n v="0"/>
    <n v="0"/>
    <n v="0"/>
    <n v="14052.74"/>
    <s v=""/>
    <s v=""/>
    <s v=""/>
    <s v=""/>
    <s v=""/>
    <n v="20739.099999999999"/>
  </r>
  <r>
    <s v="SIM1424"/>
    <s v="24.971.313/0001-38"/>
    <x v="2"/>
    <x v="6"/>
    <n v="6897.2699999999995"/>
    <n v="0"/>
    <n v="0"/>
    <n v="0"/>
    <n v="0"/>
    <n v="0"/>
    <s v=""/>
    <s v=""/>
    <s v=""/>
    <n v="6897.2699999999995"/>
    <s v=""/>
    <s v=""/>
  </r>
  <r>
    <s v="SIM1425"/>
    <s v="52.880.230/0001-18"/>
    <x v="2"/>
    <x v="10"/>
    <n v="6054.57"/>
    <n v="0"/>
    <n v="0"/>
    <n v="0"/>
    <n v="0"/>
    <n v="0"/>
    <s v=""/>
    <s v=""/>
    <s v=""/>
    <n v="6054.57"/>
    <s v=""/>
    <s v=""/>
  </r>
  <r>
    <s v="SIM1426"/>
    <s v="76.126.597/0001-84"/>
    <x v="3"/>
    <x v="5"/>
    <n v="15549.36"/>
    <n v="0"/>
    <n v="0"/>
    <n v="0"/>
    <n v="0"/>
    <n v="0"/>
    <s v=""/>
    <n v="15549.36"/>
    <s v=""/>
    <s v=""/>
    <s v=""/>
    <s v=""/>
  </r>
  <r>
    <s v="SIM1427"/>
    <s v="89.259.402/0001-96"/>
    <x v="4"/>
    <x v="8"/>
    <n v="12665.55"/>
    <n v="0"/>
    <n v="0"/>
    <n v="0"/>
    <n v="0"/>
    <n v="0"/>
    <s v=""/>
    <s v=""/>
    <s v=""/>
    <s v=""/>
    <n v="12665.55"/>
    <s v=""/>
  </r>
  <r>
    <s v="SIM1428"/>
    <s v="13.691.130/0001-25"/>
    <x v="3"/>
    <x v="6"/>
    <n v="11198.66"/>
    <n v="0"/>
    <n v="0"/>
    <n v="0"/>
    <n v="0"/>
    <n v="0"/>
    <s v=""/>
    <n v="11198.66"/>
    <s v=""/>
    <s v=""/>
    <s v=""/>
    <s v=""/>
  </r>
  <r>
    <s v="SIM1429"/>
    <s v="43.760.667/0001-43"/>
    <x v="3"/>
    <x v="11"/>
    <n v="3564.58"/>
    <n v="0"/>
    <n v="0"/>
    <n v="0"/>
    <n v="0"/>
    <n v="0"/>
    <s v=""/>
    <n v="3564.58"/>
    <s v=""/>
    <s v=""/>
    <s v=""/>
    <s v=""/>
  </r>
  <r>
    <s v="SIM1430"/>
    <s v="67.641.408/0001-29"/>
    <x v="1"/>
    <x v="5"/>
    <n v="5347.14"/>
    <n v="0"/>
    <n v="0"/>
    <n v="0"/>
    <n v="0"/>
    <n v="0"/>
    <s v=""/>
    <s v=""/>
    <n v="5347.14"/>
    <s v=""/>
    <s v=""/>
    <s v=""/>
  </r>
  <r>
    <s v="SIM1431"/>
    <s v="93.892.987/0001-91"/>
    <x v="1"/>
    <x v="1"/>
    <n v="3613.42"/>
    <n v="0"/>
    <n v="0"/>
    <n v="0"/>
    <n v="0"/>
    <n v="0"/>
    <s v=""/>
    <s v=""/>
    <n v="3613.42"/>
    <s v=""/>
    <s v=""/>
    <s v=""/>
  </r>
  <r>
    <s v="SIM1432"/>
    <s v="10.675.333/0001-28"/>
    <x v="3"/>
    <x v="5"/>
    <n v="1925.17"/>
    <n v="0"/>
    <n v="0"/>
    <n v="0"/>
    <n v="0"/>
    <n v="0"/>
    <s v=""/>
    <n v="1925.17"/>
    <s v=""/>
    <s v=""/>
    <s v=""/>
    <s v=""/>
  </r>
  <r>
    <s v="SIM1433"/>
    <s v="53.849.199/0001-94"/>
    <x v="5"/>
    <x v="10"/>
    <n v="1003.36"/>
    <n v="0"/>
    <n v="0"/>
    <n v="0"/>
    <n v="0"/>
    <n v="0"/>
    <n v="1003.36"/>
    <s v=""/>
    <s v=""/>
    <s v=""/>
    <s v=""/>
    <s v=""/>
  </r>
  <r>
    <s v="SIM1434"/>
    <s v="19.313.293/0001-27"/>
    <x v="2"/>
    <x v="0"/>
    <n v="14426.27"/>
    <n v="0"/>
    <n v="0"/>
    <n v="0"/>
    <n v="0"/>
    <n v="0"/>
    <s v=""/>
    <s v=""/>
    <s v=""/>
    <n v="14426.27"/>
    <s v=""/>
    <s v=""/>
  </r>
  <r>
    <s v="SIM1435"/>
    <s v="73.957.514/0001-43"/>
    <x v="0"/>
    <x v="2"/>
    <n v="2337.0500000000002"/>
    <n v="2337.0500000000002"/>
    <n v="0"/>
    <n v="0"/>
    <n v="0"/>
    <n v="0"/>
    <s v=""/>
    <s v=""/>
    <s v=""/>
    <s v=""/>
    <s v=""/>
    <n v="2337.0500000000002"/>
  </r>
  <r>
    <s v="SIM1436"/>
    <s v="56.600.840/0001-10"/>
    <x v="0"/>
    <x v="4"/>
    <n v="11702.93"/>
    <n v="0"/>
    <n v="4065.32"/>
    <n v="0"/>
    <n v="6149.32"/>
    <n v="1488.29"/>
    <s v=""/>
    <s v=""/>
    <s v=""/>
    <s v=""/>
    <s v=""/>
    <n v="11702.93"/>
  </r>
  <r>
    <s v="SIM1437"/>
    <s v="44.677.395/0001-55"/>
    <x v="4"/>
    <x v="7"/>
    <n v="1685.2"/>
    <n v="0"/>
    <n v="0"/>
    <n v="0"/>
    <n v="0"/>
    <n v="0"/>
    <s v=""/>
    <s v=""/>
    <s v=""/>
    <s v=""/>
    <n v="1685.2"/>
    <s v=""/>
  </r>
  <r>
    <s v="SIM1438"/>
    <s v="27.854.606/0001-15"/>
    <x v="5"/>
    <x v="8"/>
    <n v="16340.039999999999"/>
    <n v="0"/>
    <n v="0"/>
    <n v="0"/>
    <n v="0"/>
    <n v="0"/>
    <n v="16340.039999999999"/>
    <s v=""/>
    <s v=""/>
    <s v=""/>
    <s v=""/>
    <s v=""/>
  </r>
  <r>
    <s v="SIM1439"/>
    <s v="12.177.607/0001-94"/>
    <x v="4"/>
    <x v="3"/>
    <n v="19702.09"/>
    <n v="0"/>
    <n v="0"/>
    <n v="0"/>
    <n v="0"/>
    <n v="0"/>
    <s v=""/>
    <s v=""/>
    <s v=""/>
    <s v=""/>
    <n v="19702.09"/>
    <s v=""/>
  </r>
  <r>
    <s v="SIM1440"/>
    <s v="17.551.900/0001-54"/>
    <x v="1"/>
    <x v="8"/>
    <n v="10732.77"/>
    <n v="0"/>
    <n v="0"/>
    <n v="0"/>
    <n v="0"/>
    <n v="0"/>
    <s v=""/>
    <s v=""/>
    <n v="10732.77"/>
    <s v=""/>
    <s v=""/>
    <s v=""/>
  </r>
  <r>
    <s v="SIM1441"/>
    <s v="53.763.775/0001-70"/>
    <x v="1"/>
    <x v="8"/>
    <n v="14920.16"/>
    <n v="0"/>
    <n v="0"/>
    <n v="0"/>
    <n v="0"/>
    <n v="0"/>
    <s v=""/>
    <s v=""/>
    <n v="14920.16"/>
    <s v=""/>
    <s v=""/>
    <s v=""/>
  </r>
  <r>
    <s v="SIM1442"/>
    <s v="38.711.258/0001-71"/>
    <x v="3"/>
    <x v="10"/>
    <n v="13542.21"/>
    <n v="0"/>
    <n v="0"/>
    <n v="0"/>
    <n v="0"/>
    <n v="0"/>
    <s v=""/>
    <n v="13542.21"/>
    <s v=""/>
    <s v=""/>
    <s v=""/>
    <s v=""/>
  </r>
  <r>
    <s v="SIM1443"/>
    <s v="91.860.726/0001-98"/>
    <x v="3"/>
    <x v="1"/>
    <n v="10637.660000000002"/>
    <n v="0"/>
    <n v="0"/>
    <n v="0"/>
    <n v="0"/>
    <n v="0"/>
    <s v=""/>
    <n v="10637.660000000002"/>
    <s v=""/>
    <s v=""/>
    <s v=""/>
    <s v=""/>
  </r>
  <r>
    <s v="SIM1444"/>
    <s v="63.250.375/0001-94"/>
    <x v="0"/>
    <x v="0"/>
    <n v="3666.1"/>
    <n v="121.97"/>
    <n v="0"/>
    <n v="0"/>
    <n v="3544.13"/>
    <n v="0"/>
    <s v=""/>
    <s v=""/>
    <s v=""/>
    <s v=""/>
    <s v=""/>
    <n v="3666.1"/>
  </r>
  <r>
    <s v="SIM1445"/>
    <s v="22.317.267/0001-55"/>
    <x v="5"/>
    <x v="3"/>
    <n v="12706.24"/>
    <n v="0"/>
    <n v="0"/>
    <n v="0"/>
    <n v="0"/>
    <n v="0"/>
    <n v="12706.24"/>
    <s v=""/>
    <s v=""/>
    <s v=""/>
    <s v=""/>
    <s v=""/>
  </r>
  <r>
    <s v="SIM1446"/>
    <s v="84.992.967/0001-63"/>
    <x v="3"/>
    <x v="3"/>
    <n v="22053.1"/>
    <n v="0"/>
    <n v="0"/>
    <n v="0"/>
    <n v="0"/>
    <n v="0"/>
    <s v=""/>
    <n v="22053.1"/>
    <s v=""/>
    <s v=""/>
    <s v=""/>
    <s v=""/>
  </r>
  <r>
    <s v="SIM1447"/>
    <s v="20.967.988/0001-27"/>
    <x v="4"/>
    <x v="1"/>
    <n v="3769.2"/>
    <n v="0"/>
    <n v="0"/>
    <n v="0"/>
    <n v="0"/>
    <n v="0"/>
    <s v=""/>
    <s v=""/>
    <s v=""/>
    <s v=""/>
    <n v="3769.2"/>
    <s v=""/>
  </r>
  <r>
    <s v="SIM1448"/>
    <s v="82.719.275/0001-62"/>
    <x v="5"/>
    <x v="4"/>
    <n v="13614.56"/>
    <n v="0"/>
    <n v="0"/>
    <n v="0"/>
    <n v="0"/>
    <n v="0"/>
    <n v="13614.56"/>
    <s v=""/>
    <s v=""/>
    <s v=""/>
    <s v=""/>
    <s v=""/>
  </r>
  <r>
    <s v="SIM1449"/>
    <s v="29.907.326/0001-11"/>
    <x v="3"/>
    <x v="1"/>
    <n v="7678.73"/>
    <n v="0"/>
    <n v="0"/>
    <n v="0"/>
    <n v="0"/>
    <n v="0"/>
    <s v=""/>
    <n v="7678.73"/>
    <s v=""/>
    <s v=""/>
    <s v=""/>
    <s v=""/>
  </r>
  <r>
    <s v="SIM1450"/>
    <s v="78.190.381/0001-67"/>
    <x v="3"/>
    <x v="2"/>
    <n v="1843.66"/>
    <n v="0"/>
    <n v="0"/>
    <n v="0"/>
    <n v="0"/>
    <n v="0"/>
    <s v=""/>
    <n v="1843.66"/>
    <s v=""/>
    <s v=""/>
    <s v=""/>
    <s v=""/>
  </r>
  <r>
    <s v="SIM1451"/>
    <s v="81.817.436/0001-39"/>
    <x v="3"/>
    <x v="7"/>
    <n v="33501.89"/>
    <n v="0"/>
    <n v="0"/>
    <n v="0"/>
    <n v="0"/>
    <n v="0"/>
    <s v=""/>
    <n v="33501.89"/>
    <s v=""/>
    <s v=""/>
    <s v=""/>
    <s v=""/>
  </r>
  <r>
    <s v="SIM1452"/>
    <s v="36.661.836/0001-80"/>
    <x v="4"/>
    <x v="5"/>
    <n v="10410.439999999999"/>
    <n v="0"/>
    <n v="0"/>
    <n v="0"/>
    <n v="0"/>
    <n v="0"/>
    <s v=""/>
    <s v=""/>
    <s v=""/>
    <s v=""/>
    <n v="10410.439999999999"/>
    <s v=""/>
  </r>
  <r>
    <s v="SIM1453"/>
    <s v="49.957.248/0001-19"/>
    <x v="1"/>
    <x v="2"/>
    <n v="10794.990000000002"/>
    <n v="0"/>
    <n v="0"/>
    <n v="0"/>
    <n v="0"/>
    <n v="0"/>
    <s v=""/>
    <s v=""/>
    <n v="10794.990000000002"/>
    <s v=""/>
    <s v=""/>
    <s v=""/>
  </r>
  <r>
    <s v="SIM1454"/>
    <s v="52.872.593/0001-28"/>
    <x v="2"/>
    <x v="9"/>
    <n v="5497.37"/>
    <n v="0"/>
    <n v="0"/>
    <n v="0"/>
    <n v="0"/>
    <n v="0"/>
    <s v=""/>
    <s v=""/>
    <s v=""/>
    <n v="5497.37"/>
    <s v=""/>
    <s v=""/>
  </r>
  <r>
    <s v="SIM1455"/>
    <s v="75.882.470/0001-81"/>
    <x v="1"/>
    <x v="8"/>
    <n v="21920"/>
    <n v="0"/>
    <n v="0"/>
    <n v="0"/>
    <n v="0"/>
    <n v="0"/>
    <s v=""/>
    <s v=""/>
    <n v="21920"/>
    <s v=""/>
    <s v=""/>
    <s v=""/>
  </r>
  <r>
    <s v="SIM1456"/>
    <s v="77.755.541/0001-55"/>
    <x v="5"/>
    <x v="1"/>
    <n v="15392.39"/>
    <n v="0"/>
    <n v="0"/>
    <n v="0"/>
    <n v="0"/>
    <n v="0"/>
    <n v="15392.39"/>
    <s v=""/>
    <s v=""/>
    <s v=""/>
    <s v=""/>
    <s v=""/>
  </r>
  <r>
    <s v="SIM1457"/>
    <s v="36.412.757/0001-32"/>
    <x v="3"/>
    <x v="8"/>
    <n v="7814.2500000000009"/>
    <n v="0"/>
    <n v="0"/>
    <n v="0"/>
    <n v="0"/>
    <n v="0"/>
    <s v=""/>
    <n v="7814.2500000000009"/>
    <s v=""/>
    <s v=""/>
    <s v=""/>
    <s v=""/>
  </r>
  <r>
    <s v="SIM1458"/>
    <s v="69.481.218/0001-54"/>
    <x v="2"/>
    <x v="8"/>
    <n v="4437.5600000000004"/>
    <n v="0"/>
    <n v="0"/>
    <n v="0"/>
    <n v="0"/>
    <n v="0"/>
    <s v=""/>
    <s v=""/>
    <s v=""/>
    <n v="4437.5600000000004"/>
    <s v=""/>
    <s v=""/>
  </r>
  <r>
    <s v="SIM1459"/>
    <s v="40.891.312/0001-46"/>
    <x v="3"/>
    <x v="2"/>
    <n v="19961.5"/>
    <n v="0"/>
    <n v="0"/>
    <n v="0"/>
    <n v="0"/>
    <n v="0"/>
    <s v=""/>
    <n v="19961.5"/>
    <s v=""/>
    <s v=""/>
    <s v=""/>
    <s v=""/>
  </r>
  <r>
    <s v="SIM1460"/>
    <s v="69.730.349/0001-74"/>
    <x v="0"/>
    <x v="10"/>
    <n v="12021.220000000001"/>
    <n v="4609.17"/>
    <n v="4924.8900000000003"/>
    <n v="2487.16"/>
    <n v="0"/>
    <n v="0"/>
    <s v=""/>
    <s v=""/>
    <s v=""/>
    <s v=""/>
    <s v=""/>
    <n v="12021.220000000001"/>
  </r>
  <r>
    <s v="SIM1461"/>
    <s v="94.442.259/0001-75"/>
    <x v="4"/>
    <x v="7"/>
    <n v="7295.82"/>
    <n v="0"/>
    <n v="0"/>
    <n v="0"/>
    <n v="0"/>
    <n v="0"/>
    <s v=""/>
    <s v=""/>
    <s v=""/>
    <s v=""/>
    <n v="7295.82"/>
    <s v=""/>
  </r>
  <r>
    <s v="SIM1462"/>
    <s v="53.921.826/0001-80"/>
    <x v="3"/>
    <x v="8"/>
    <n v="11141.89"/>
    <n v="0"/>
    <n v="0"/>
    <n v="0"/>
    <n v="0"/>
    <n v="0"/>
    <s v=""/>
    <n v="11141.89"/>
    <s v=""/>
    <s v=""/>
    <s v=""/>
    <s v=""/>
  </r>
  <r>
    <s v="SIM1463"/>
    <s v="71.233.850/0001-85"/>
    <x v="4"/>
    <x v="7"/>
    <n v="22392.75"/>
    <n v="0"/>
    <n v="0"/>
    <n v="0"/>
    <n v="0"/>
    <n v="0"/>
    <s v=""/>
    <s v=""/>
    <s v=""/>
    <s v=""/>
    <n v="22392.75"/>
    <s v=""/>
  </r>
  <r>
    <s v="SIM1464"/>
    <s v="70.259.402/0001-60"/>
    <x v="1"/>
    <x v="8"/>
    <n v="17517.650000000001"/>
    <n v="0"/>
    <n v="0"/>
    <n v="0"/>
    <n v="0"/>
    <n v="0"/>
    <s v=""/>
    <s v=""/>
    <n v="17517.650000000001"/>
    <s v=""/>
    <s v=""/>
    <s v=""/>
  </r>
  <r>
    <s v="SIM1465"/>
    <s v="57.371.794/0001-39"/>
    <x v="1"/>
    <x v="5"/>
    <n v="3601.56"/>
    <n v="0"/>
    <n v="0"/>
    <n v="0"/>
    <n v="0"/>
    <n v="0"/>
    <s v=""/>
    <s v=""/>
    <n v="3601.56"/>
    <s v=""/>
    <s v=""/>
    <s v=""/>
  </r>
  <r>
    <s v="SIM1466"/>
    <s v="45.613.251/0001-86"/>
    <x v="0"/>
    <x v="0"/>
    <n v="5068.91"/>
    <n v="5068.91"/>
    <n v="0"/>
    <n v="0"/>
    <n v="0"/>
    <n v="0"/>
    <s v=""/>
    <s v=""/>
    <s v=""/>
    <s v=""/>
    <s v=""/>
    <n v="5068.91"/>
  </r>
  <r>
    <s v="SIM1467"/>
    <s v="81.458.569/0001-47"/>
    <x v="5"/>
    <x v="8"/>
    <n v="15145.550000000001"/>
    <n v="0"/>
    <n v="0"/>
    <n v="0"/>
    <n v="0"/>
    <n v="0"/>
    <n v="15145.550000000001"/>
    <s v=""/>
    <s v=""/>
    <s v=""/>
    <s v=""/>
    <s v=""/>
  </r>
  <r>
    <s v="SIM1468"/>
    <s v="56.224.912/0001-26"/>
    <x v="4"/>
    <x v="3"/>
    <n v="10651.04"/>
    <n v="0"/>
    <n v="0"/>
    <n v="0"/>
    <n v="0"/>
    <n v="0"/>
    <s v=""/>
    <s v=""/>
    <s v=""/>
    <s v=""/>
    <n v="10651.04"/>
    <s v=""/>
  </r>
  <r>
    <s v="SIM1469"/>
    <s v="26.271.558/0001-99"/>
    <x v="5"/>
    <x v="7"/>
    <n v="955.87"/>
    <n v="0"/>
    <n v="0"/>
    <n v="0"/>
    <n v="0"/>
    <n v="0"/>
    <n v="955.87"/>
    <s v=""/>
    <s v=""/>
    <s v=""/>
    <s v=""/>
    <s v=""/>
  </r>
  <r>
    <s v="SIM1470"/>
    <s v="71.972.190/0001-54"/>
    <x v="4"/>
    <x v="4"/>
    <n v="20615.310000000001"/>
    <n v="0"/>
    <n v="0"/>
    <n v="0"/>
    <n v="0"/>
    <n v="0"/>
    <s v=""/>
    <s v=""/>
    <s v=""/>
    <s v=""/>
    <n v="20615.310000000001"/>
    <s v=""/>
  </r>
  <r>
    <s v="SIM1471"/>
    <s v="42.978.539/0001-73"/>
    <x v="2"/>
    <x v="8"/>
    <n v="7929.17"/>
    <n v="0"/>
    <n v="0"/>
    <n v="0"/>
    <n v="0"/>
    <n v="0"/>
    <s v=""/>
    <s v=""/>
    <s v=""/>
    <n v="7929.17"/>
    <s v=""/>
    <s v=""/>
  </r>
  <r>
    <s v="SIM1472"/>
    <s v="24.614.777/0001-90"/>
    <x v="1"/>
    <x v="0"/>
    <n v="4121.3100000000004"/>
    <n v="0"/>
    <n v="0"/>
    <n v="0"/>
    <n v="0"/>
    <n v="0"/>
    <s v=""/>
    <s v=""/>
    <n v="4121.3100000000004"/>
    <s v=""/>
    <s v=""/>
    <s v=""/>
  </r>
  <r>
    <s v="SIM1473"/>
    <s v="80.942.197/0001-64"/>
    <x v="4"/>
    <x v="1"/>
    <n v="15739.58"/>
    <n v="0"/>
    <n v="0"/>
    <n v="0"/>
    <n v="0"/>
    <n v="0"/>
    <s v=""/>
    <s v=""/>
    <s v=""/>
    <s v=""/>
    <n v="15739.58"/>
    <s v=""/>
  </r>
  <r>
    <s v="SIM1474"/>
    <s v="97.799.317/0001-53"/>
    <x v="1"/>
    <x v="9"/>
    <n v="17342.75"/>
    <n v="0"/>
    <n v="0"/>
    <n v="0"/>
    <n v="0"/>
    <n v="0"/>
    <s v=""/>
    <s v=""/>
    <n v="17342.75"/>
    <s v=""/>
    <s v=""/>
    <s v=""/>
  </r>
  <r>
    <s v="SIM1475"/>
    <s v="25.133.483/0001-62"/>
    <x v="3"/>
    <x v="8"/>
    <n v="9452.7999999999993"/>
    <n v="0"/>
    <n v="0"/>
    <n v="0"/>
    <n v="0"/>
    <n v="0"/>
    <s v=""/>
    <n v="9452.7999999999993"/>
    <s v=""/>
    <s v=""/>
    <s v=""/>
    <s v=""/>
  </r>
  <r>
    <s v="SIM1476"/>
    <s v="73.363.831/0001-60"/>
    <x v="4"/>
    <x v="9"/>
    <n v="11659.060000000001"/>
    <n v="0"/>
    <n v="0"/>
    <n v="0"/>
    <n v="0"/>
    <n v="0"/>
    <s v=""/>
    <s v=""/>
    <s v=""/>
    <s v=""/>
    <n v="11659.060000000001"/>
    <s v=""/>
  </r>
  <r>
    <s v="SIM1477"/>
    <s v="25.659.623/0001-56"/>
    <x v="0"/>
    <x v="4"/>
    <n v="2972.38"/>
    <n v="0"/>
    <n v="0"/>
    <n v="0"/>
    <n v="2972.38"/>
    <n v="0"/>
    <s v=""/>
    <s v=""/>
    <s v=""/>
    <s v=""/>
    <s v=""/>
    <n v="2972.38"/>
  </r>
  <r>
    <s v="SIM1478"/>
    <s v="37.895.403/0001-86"/>
    <x v="5"/>
    <x v="10"/>
    <n v="16146.04"/>
    <n v="0"/>
    <n v="0"/>
    <n v="0"/>
    <n v="0"/>
    <n v="0"/>
    <n v="16146.04"/>
    <s v=""/>
    <s v=""/>
    <s v=""/>
    <s v=""/>
    <s v=""/>
  </r>
  <r>
    <s v="SIM1479"/>
    <s v="16.923.212/0001-47"/>
    <x v="1"/>
    <x v="3"/>
    <n v="1757.82"/>
    <n v="0"/>
    <n v="0"/>
    <n v="0"/>
    <n v="0"/>
    <n v="0"/>
    <s v=""/>
    <s v=""/>
    <n v="1757.82"/>
    <s v=""/>
    <s v=""/>
    <s v=""/>
  </r>
  <r>
    <s v="SIM1480"/>
    <s v="70.247.485/0001-45"/>
    <x v="0"/>
    <x v="6"/>
    <n v="27245.22"/>
    <n v="2984.02"/>
    <n v="0"/>
    <n v="0"/>
    <n v="10125.51"/>
    <n v="14135.69"/>
    <s v=""/>
    <s v=""/>
    <s v=""/>
    <s v=""/>
    <s v=""/>
    <n v="27245.22"/>
  </r>
  <r>
    <s v="SIM1481"/>
    <s v="97.179.698/0001-31"/>
    <x v="0"/>
    <x v="1"/>
    <n v="10130.44"/>
    <n v="0"/>
    <n v="0"/>
    <n v="2166.9299999999998"/>
    <n v="0"/>
    <n v="7963.51"/>
    <s v=""/>
    <s v=""/>
    <s v=""/>
    <s v=""/>
    <s v=""/>
    <n v="10130.44"/>
  </r>
  <r>
    <s v="SIM1482"/>
    <s v="42.963.506/0001-37"/>
    <x v="3"/>
    <x v="9"/>
    <n v="6996.16"/>
    <n v="0"/>
    <n v="0"/>
    <n v="0"/>
    <n v="0"/>
    <n v="0"/>
    <s v=""/>
    <n v="6996.16"/>
    <s v=""/>
    <s v=""/>
    <s v=""/>
    <s v=""/>
  </r>
  <r>
    <s v="SIM1483"/>
    <s v="77.796.763/0001-89"/>
    <x v="2"/>
    <x v="7"/>
    <n v="13925.380000000001"/>
    <n v="0"/>
    <n v="0"/>
    <n v="0"/>
    <n v="0"/>
    <n v="0"/>
    <s v=""/>
    <s v=""/>
    <s v=""/>
    <n v="13925.380000000001"/>
    <s v=""/>
    <s v=""/>
  </r>
  <r>
    <s v="SIM1484"/>
    <s v="95.770.507/0001-12"/>
    <x v="0"/>
    <x v="4"/>
    <n v="10826.13"/>
    <n v="0"/>
    <n v="0"/>
    <n v="0"/>
    <n v="10826.13"/>
    <n v="0"/>
    <s v=""/>
    <s v=""/>
    <s v=""/>
    <s v=""/>
    <s v=""/>
    <n v="10826.13"/>
  </r>
  <r>
    <s v="SIM1485"/>
    <s v="69.297.599/0001-11"/>
    <x v="1"/>
    <x v="11"/>
    <n v="6209.73"/>
    <n v="0"/>
    <n v="0"/>
    <n v="0"/>
    <n v="0"/>
    <n v="0"/>
    <s v=""/>
    <s v=""/>
    <n v="6209.73"/>
    <s v=""/>
    <s v=""/>
    <s v=""/>
  </r>
  <r>
    <s v="SIM1486"/>
    <s v="32.358.725/0001-17"/>
    <x v="4"/>
    <x v="2"/>
    <n v="6273.3899999999994"/>
    <n v="0"/>
    <n v="0"/>
    <n v="0"/>
    <n v="0"/>
    <n v="0"/>
    <s v=""/>
    <s v=""/>
    <s v=""/>
    <s v=""/>
    <n v="6273.3899999999994"/>
    <s v=""/>
  </r>
  <r>
    <s v="SIM1487"/>
    <s v="90.185.134/0001-82"/>
    <x v="1"/>
    <x v="4"/>
    <n v="16251.05"/>
    <n v="0"/>
    <n v="0"/>
    <n v="0"/>
    <n v="0"/>
    <n v="0"/>
    <s v=""/>
    <s v=""/>
    <n v="16251.05"/>
    <s v=""/>
    <s v=""/>
    <s v=""/>
  </r>
  <r>
    <s v="SIM1488"/>
    <s v="12.621.173/0001-62"/>
    <x v="3"/>
    <x v="9"/>
    <n v="9375.9699999999993"/>
    <n v="0"/>
    <n v="0"/>
    <n v="0"/>
    <n v="0"/>
    <n v="0"/>
    <s v=""/>
    <n v="9375.9699999999993"/>
    <s v=""/>
    <s v=""/>
    <s v=""/>
    <s v=""/>
  </r>
  <r>
    <s v="SIM1489"/>
    <s v="25.355.486/0001-49"/>
    <x v="4"/>
    <x v="6"/>
    <n v="8176.91"/>
    <n v="0"/>
    <n v="0"/>
    <n v="0"/>
    <n v="0"/>
    <n v="0"/>
    <s v=""/>
    <s v=""/>
    <s v=""/>
    <s v=""/>
    <n v="8176.91"/>
    <s v=""/>
  </r>
  <r>
    <s v="SIM1490"/>
    <s v="96.109.393/0001-64"/>
    <x v="5"/>
    <x v="9"/>
    <n v="2284.2600000000002"/>
    <n v="0"/>
    <n v="0"/>
    <n v="0"/>
    <n v="0"/>
    <n v="0"/>
    <n v="2284.2600000000002"/>
    <s v=""/>
    <s v=""/>
    <s v=""/>
    <s v=""/>
    <s v=""/>
  </r>
  <r>
    <s v="SIM1491"/>
    <s v="39.762.557/0001-62"/>
    <x v="0"/>
    <x v="6"/>
    <n v="4830.5"/>
    <n v="0"/>
    <n v="0"/>
    <n v="0"/>
    <n v="4830.5"/>
    <n v="0"/>
    <s v=""/>
    <s v=""/>
    <s v=""/>
    <s v=""/>
    <s v=""/>
    <n v="4830.5"/>
  </r>
  <r>
    <s v="SIM1492"/>
    <s v="21.995.806/0001-16"/>
    <x v="3"/>
    <x v="7"/>
    <n v="10557.720000000001"/>
    <n v="0"/>
    <n v="0"/>
    <n v="0"/>
    <n v="0"/>
    <n v="0"/>
    <s v=""/>
    <n v="10557.720000000001"/>
    <s v=""/>
    <s v=""/>
    <s v=""/>
    <s v=""/>
  </r>
  <r>
    <s v="SIM1493"/>
    <s v="80.381.762/0001-57"/>
    <x v="1"/>
    <x v="10"/>
    <n v="7526.44"/>
    <n v="0"/>
    <n v="0"/>
    <n v="0"/>
    <n v="0"/>
    <n v="0"/>
    <s v=""/>
    <s v=""/>
    <n v="7526.44"/>
    <s v=""/>
    <s v=""/>
    <s v=""/>
  </r>
  <r>
    <s v="SIM1494"/>
    <s v="73.253.810/0001-88"/>
    <x v="4"/>
    <x v="0"/>
    <n v="11277.26"/>
    <n v="0"/>
    <n v="0"/>
    <n v="0"/>
    <n v="0"/>
    <n v="0"/>
    <s v=""/>
    <s v=""/>
    <s v=""/>
    <s v=""/>
    <n v="11277.26"/>
    <s v=""/>
  </r>
  <r>
    <s v="SIM1495"/>
    <s v="82.662.829/0001-48"/>
    <x v="3"/>
    <x v="5"/>
    <n v="835.44"/>
    <n v="0"/>
    <n v="0"/>
    <n v="0"/>
    <n v="0"/>
    <n v="0"/>
    <s v=""/>
    <n v="835.44"/>
    <s v=""/>
    <s v=""/>
    <s v=""/>
    <s v=""/>
  </r>
  <r>
    <s v="SIM1496"/>
    <s v="68.990.692/0001-76"/>
    <x v="5"/>
    <x v="4"/>
    <n v="5383.41"/>
    <n v="0"/>
    <n v="0"/>
    <n v="0"/>
    <n v="0"/>
    <n v="0"/>
    <n v="5383.41"/>
    <s v=""/>
    <s v=""/>
    <s v=""/>
    <s v=""/>
    <s v=""/>
  </r>
  <r>
    <s v="SIM1497"/>
    <s v="15.999.773/0001-17"/>
    <x v="3"/>
    <x v="1"/>
    <n v="7106.08"/>
    <n v="0"/>
    <n v="0"/>
    <n v="0"/>
    <n v="0"/>
    <n v="0"/>
    <s v=""/>
    <n v="7106.08"/>
    <s v=""/>
    <s v=""/>
    <s v=""/>
    <s v=""/>
  </r>
  <r>
    <s v="SIM1498"/>
    <s v="38.619.883/0001-39"/>
    <x v="3"/>
    <x v="9"/>
    <n v="17899.86"/>
    <n v="0"/>
    <n v="0"/>
    <n v="0"/>
    <n v="0"/>
    <n v="0"/>
    <s v=""/>
    <n v="17899.86"/>
    <s v=""/>
    <s v=""/>
    <s v=""/>
    <s v=""/>
  </r>
  <r>
    <s v="SIM1499"/>
    <s v="48.218.313/0001-64"/>
    <x v="4"/>
    <x v="10"/>
    <n v="12177.42"/>
    <n v="0"/>
    <n v="0"/>
    <n v="0"/>
    <n v="0"/>
    <n v="0"/>
    <s v=""/>
    <s v=""/>
    <s v=""/>
    <s v=""/>
    <n v="12177.42"/>
    <s v=""/>
  </r>
  <r>
    <s v="SIM1500"/>
    <s v="35.322.867/0001-46"/>
    <x v="0"/>
    <x v="4"/>
    <n v="15911.38"/>
    <n v="7925.98"/>
    <n v="0"/>
    <n v="0"/>
    <n v="7985.4"/>
    <n v="0"/>
    <s v=""/>
    <s v=""/>
    <s v=""/>
    <s v=""/>
    <s v=""/>
    <n v="15911.38"/>
  </r>
  <r>
    <s v="SIM1501"/>
    <s v="77.982.652/0001-48"/>
    <x v="5"/>
    <x v="11"/>
    <n v="21822.86"/>
    <n v="0"/>
    <n v="0"/>
    <n v="0"/>
    <n v="0"/>
    <n v="0"/>
    <n v="21822.86"/>
    <s v=""/>
    <s v=""/>
    <s v=""/>
    <s v=""/>
    <s v=""/>
  </r>
  <r>
    <s v="SIM1502"/>
    <s v="71.752.914/0001-57"/>
    <x v="4"/>
    <x v="11"/>
    <n v="8177.8000000000011"/>
    <n v="0"/>
    <n v="0"/>
    <n v="0"/>
    <n v="0"/>
    <n v="0"/>
    <s v=""/>
    <s v=""/>
    <s v=""/>
    <s v=""/>
    <n v="8177.8000000000011"/>
    <s v=""/>
  </r>
  <r>
    <s v="SIM1503"/>
    <s v="65.575.291/0001-92"/>
    <x v="5"/>
    <x v="7"/>
    <n v="11549.42"/>
    <n v="0"/>
    <n v="0"/>
    <n v="0"/>
    <n v="0"/>
    <n v="0"/>
    <n v="11549.42"/>
    <s v=""/>
    <s v=""/>
    <s v=""/>
    <s v=""/>
    <s v=""/>
  </r>
  <r>
    <s v="SIM1504"/>
    <s v="10.729.637/0001-73"/>
    <x v="0"/>
    <x v="3"/>
    <n v="5713.7599999999993"/>
    <n v="5378.36"/>
    <n v="0"/>
    <n v="335.4"/>
    <n v="0"/>
    <n v="0"/>
    <s v=""/>
    <s v=""/>
    <s v=""/>
    <s v=""/>
    <s v=""/>
    <n v="5713.7599999999993"/>
  </r>
  <r>
    <s v="SIM1505"/>
    <s v="45.973.953/0001-93"/>
    <x v="1"/>
    <x v="3"/>
    <n v="17994.560000000001"/>
    <n v="0"/>
    <n v="0"/>
    <n v="0"/>
    <n v="0"/>
    <n v="0"/>
    <s v=""/>
    <s v=""/>
    <n v="17994.560000000001"/>
    <s v=""/>
    <s v=""/>
    <s v=""/>
  </r>
  <r>
    <s v="SIM1506"/>
    <s v="82.345.519/0001-61"/>
    <x v="2"/>
    <x v="9"/>
    <n v="11318.3"/>
    <n v="0"/>
    <n v="0"/>
    <n v="0"/>
    <n v="0"/>
    <n v="0"/>
    <s v=""/>
    <s v=""/>
    <s v=""/>
    <n v="11318.3"/>
    <s v=""/>
    <s v=""/>
  </r>
  <r>
    <s v="SIM1507"/>
    <s v="33.561.653/0001-74"/>
    <x v="1"/>
    <x v="11"/>
    <n v="7874.07"/>
    <n v="0"/>
    <n v="0"/>
    <n v="0"/>
    <n v="0"/>
    <n v="0"/>
    <s v=""/>
    <s v=""/>
    <n v="7874.07"/>
    <s v=""/>
    <s v=""/>
    <s v=""/>
  </r>
  <r>
    <s v="SIM1508"/>
    <s v="99.795.768/0001-41"/>
    <x v="1"/>
    <x v="1"/>
    <n v="16543.160000000003"/>
    <n v="0"/>
    <n v="0"/>
    <n v="0"/>
    <n v="0"/>
    <n v="0"/>
    <s v=""/>
    <s v=""/>
    <n v="16543.160000000003"/>
    <s v=""/>
    <s v=""/>
    <s v=""/>
  </r>
  <r>
    <s v="SIM1509"/>
    <s v="20.974.999/0001-11"/>
    <x v="4"/>
    <x v="4"/>
    <n v="29332.73"/>
    <n v="0"/>
    <n v="0"/>
    <n v="0"/>
    <n v="0"/>
    <n v="0"/>
    <s v=""/>
    <s v=""/>
    <s v=""/>
    <s v=""/>
    <n v="29332.73"/>
    <s v=""/>
  </r>
  <r>
    <s v="SIM1510"/>
    <s v="66.140.695/0001-59"/>
    <x v="4"/>
    <x v="10"/>
    <n v="16197.27"/>
    <n v="0"/>
    <n v="0"/>
    <n v="0"/>
    <n v="0"/>
    <n v="0"/>
    <s v=""/>
    <s v=""/>
    <s v=""/>
    <s v=""/>
    <n v="16197.27"/>
    <s v=""/>
  </r>
  <r>
    <s v="SIM1511"/>
    <s v="26.689.596/0001-20"/>
    <x v="2"/>
    <x v="3"/>
    <n v="17073.12"/>
    <n v="0"/>
    <n v="0"/>
    <n v="0"/>
    <n v="0"/>
    <n v="0"/>
    <s v=""/>
    <s v=""/>
    <s v=""/>
    <n v="17073.12"/>
    <s v=""/>
    <s v=""/>
  </r>
  <r>
    <s v="SIM1512"/>
    <s v="56.932.189/0001-72"/>
    <x v="1"/>
    <x v="7"/>
    <n v="5184.8200000000006"/>
    <n v="0"/>
    <n v="0"/>
    <n v="0"/>
    <n v="0"/>
    <n v="0"/>
    <s v=""/>
    <s v=""/>
    <n v="5184.8200000000006"/>
    <s v=""/>
    <s v=""/>
    <s v=""/>
  </r>
  <r>
    <s v="SIM1513"/>
    <s v="24.688.375/0001-90"/>
    <x v="5"/>
    <x v="11"/>
    <n v="2063.2199999999998"/>
    <n v="0"/>
    <n v="0"/>
    <n v="0"/>
    <n v="0"/>
    <n v="0"/>
    <n v="2063.2199999999998"/>
    <s v=""/>
    <s v=""/>
    <s v=""/>
    <s v=""/>
    <s v=""/>
  </r>
  <r>
    <s v="SIM1514"/>
    <s v="57.503.406/0001-75"/>
    <x v="5"/>
    <x v="0"/>
    <n v="2282.94"/>
    <n v="0"/>
    <n v="0"/>
    <n v="0"/>
    <n v="0"/>
    <n v="0"/>
    <n v="2282.94"/>
    <s v=""/>
    <s v=""/>
    <s v=""/>
    <s v=""/>
    <s v=""/>
  </r>
  <r>
    <s v="SIM1515"/>
    <s v="24.935.508/0001-54"/>
    <x v="5"/>
    <x v="7"/>
    <n v="11778.02"/>
    <n v="0"/>
    <n v="0"/>
    <n v="0"/>
    <n v="0"/>
    <n v="0"/>
    <n v="11778.02"/>
    <s v=""/>
    <s v=""/>
    <s v=""/>
    <s v=""/>
    <s v=""/>
  </r>
  <r>
    <s v="SIM1516"/>
    <s v="75.613.914/0001-58"/>
    <x v="5"/>
    <x v="7"/>
    <n v="6190.15"/>
    <n v="0"/>
    <n v="0"/>
    <n v="0"/>
    <n v="0"/>
    <n v="0"/>
    <n v="6190.15"/>
    <s v=""/>
    <s v=""/>
    <s v=""/>
    <s v=""/>
    <s v=""/>
  </r>
  <r>
    <s v="SIM1517"/>
    <s v="37.513.146/0001-31"/>
    <x v="2"/>
    <x v="3"/>
    <n v="4912.5200000000004"/>
    <n v="0"/>
    <n v="0"/>
    <n v="0"/>
    <n v="0"/>
    <n v="0"/>
    <s v=""/>
    <s v=""/>
    <s v=""/>
    <n v="4912.5200000000004"/>
    <s v=""/>
    <s v=""/>
  </r>
  <r>
    <s v="SIM1518"/>
    <s v="70.580.403/0001-72"/>
    <x v="0"/>
    <x v="2"/>
    <n v="13881.630000000001"/>
    <n v="0"/>
    <n v="0"/>
    <n v="0"/>
    <n v="10943.7"/>
    <n v="2937.93"/>
    <s v=""/>
    <s v=""/>
    <s v=""/>
    <s v=""/>
    <s v=""/>
    <n v="13881.630000000001"/>
  </r>
  <r>
    <s v="SIM1519"/>
    <s v="64.912.259/0001-49"/>
    <x v="5"/>
    <x v="1"/>
    <n v="10765.24"/>
    <n v="0"/>
    <n v="0"/>
    <n v="0"/>
    <n v="0"/>
    <n v="0"/>
    <n v="10765.24"/>
    <s v=""/>
    <s v=""/>
    <s v=""/>
    <s v=""/>
    <s v=""/>
  </r>
  <r>
    <s v="SIM1520"/>
    <s v="88.735.267/0001-78"/>
    <x v="4"/>
    <x v="6"/>
    <n v="6506.78"/>
    <n v="0"/>
    <n v="0"/>
    <n v="0"/>
    <n v="0"/>
    <n v="0"/>
    <s v=""/>
    <s v=""/>
    <s v=""/>
    <s v=""/>
    <n v="6506.78"/>
    <s v=""/>
  </r>
  <r>
    <s v="SIM1521"/>
    <s v="51.685.309/0001-50"/>
    <x v="2"/>
    <x v="1"/>
    <n v="18669.53"/>
    <n v="0"/>
    <n v="0"/>
    <n v="0"/>
    <n v="0"/>
    <n v="0"/>
    <s v=""/>
    <s v=""/>
    <s v=""/>
    <n v="18669.53"/>
    <s v=""/>
    <s v=""/>
  </r>
  <r>
    <s v="SIM1522"/>
    <s v="46.221.571/0001-89"/>
    <x v="3"/>
    <x v="10"/>
    <n v="21296.809999999998"/>
    <n v="0"/>
    <n v="0"/>
    <n v="0"/>
    <n v="0"/>
    <n v="0"/>
    <s v=""/>
    <n v="21296.809999999998"/>
    <s v=""/>
    <s v=""/>
    <s v=""/>
    <s v=""/>
  </r>
  <r>
    <s v="SIM1523"/>
    <s v="13.372.961/0001-15"/>
    <x v="3"/>
    <x v="4"/>
    <n v="5116.5700000000006"/>
    <n v="0"/>
    <n v="0"/>
    <n v="0"/>
    <n v="0"/>
    <n v="0"/>
    <s v=""/>
    <n v="5116.5700000000006"/>
    <s v=""/>
    <s v=""/>
    <s v=""/>
    <s v=""/>
  </r>
  <r>
    <s v="SIM1524"/>
    <s v="45.138.220/0001-71"/>
    <x v="2"/>
    <x v="9"/>
    <n v="7280.58"/>
    <n v="0"/>
    <n v="0"/>
    <n v="0"/>
    <n v="0"/>
    <n v="0"/>
    <s v=""/>
    <s v=""/>
    <s v=""/>
    <n v="7280.58"/>
    <s v=""/>
    <s v=""/>
  </r>
  <r>
    <s v="SIM1525"/>
    <s v="86.756.997/0001-70"/>
    <x v="0"/>
    <x v="1"/>
    <n v="10711.52"/>
    <n v="112.58"/>
    <n v="0"/>
    <n v="656.2"/>
    <n v="8095.31"/>
    <n v="1847.43"/>
    <s v=""/>
    <s v=""/>
    <s v=""/>
    <s v=""/>
    <s v=""/>
    <n v="10711.52"/>
  </r>
  <r>
    <s v="SIM1526"/>
    <s v="85.882.894/0001-63"/>
    <x v="0"/>
    <x v="4"/>
    <n v="18624.96"/>
    <n v="0"/>
    <n v="0"/>
    <n v="0"/>
    <n v="4856.72"/>
    <n v="13768.24"/>
    <s v=""/>
    <s v=""/>
    <s v=""/>
    <s v=""/>
    <s v=""/>
    <n v="18624.96"/>
  </r>
  <r>
    <s v="SIM1527"/>
    <s v="59.766.525/0001-51"/>
    <x v="2"/>
    <x v="3"/>
    <n v="8455.01"/>
    <n v="0"/>
    <n v="0"/>
    <n v="0"/>
    <n v="0"/>
    <n v="0"/>
    <s v=""/>
    <s v=""/>
    <s v=""/>
    <n v="8455.01"/>
    <s v=""/>
    <s v=""/>
  </r>
  <r>
    <s v="SIM1528"/>
    <s v="60.908.450/0001-41"/>
    <x v="2"/>
    <x v="3"/>
    <n v="10173.61"/>
    <n v="0"/>
    <n v="0"/>
    <n v="0"/>
    <n v="0"/>
    <n v="0"/>
    <s v=""/>
    <s v=""/>
    <s v=""/>
    <n v="10173.61"/>
    <s v=""/>
    <s v=""/>
  </r>
  <r>
    <s v="SIM1529"/>
    <s v="62.948.941/0001-88"/>
    <x v="1"/>
    <x v="4"/>
    <n v="1641.46"/>
    <n v="0"/>
    <n v="0"/>
    <n v="0"/>
    <n v="0"/>
    <n v="0"/>
    <s v=""/>
    <s v=""/>
    <n v="1641.46"/>
    <s v=""/>
    <s v=""/>
    <s v=""/>
  </r>
  <r>
    <s v="SIM1530"/>
    <s v="96.893.511/0001-81"/>
    <x v="2"/>
    <x v="4"/>
    <n v="569.4"/>
    <n v="0"/>
    <n v="0"/>
    <n v="0"/>
    <n v="0"/>
    <n v="0"/>
    <s v=""/>
    <s v=""/>
    <s v=""/>
    <n v="569.4"/>
    <s v=""/>
    <s v=""/>
  </r>
  <r>
    <s v="SIM1531"/>
    <s v="55.410.650/0001-49"/>
    <x v="3"/>
    <x v="7"/>
    <n v="4300.63"/>
    <n v="0"/>
    <n v="0"/>
    <n v="0"/>
    <n v="0"/>
    <n v="0"/>
    <s v=""/>
    <n v="4300.63"/>
    <s v=""/>
    <s v=""/>
    <s v=""/>
    <s v=""/>
  </r>
  <r>
    <s v="SIM1532"/>
    <s v="66.162.337/0001-20"/>
    <x v="4"/>
    <x v="5"/>
    <n v="980.63"/>
    <n v="0"/>
    <n v="0"/>
    <n v="0"/>
    <n v="0"/>
    <n v="0"/>
    <s v=""/>
    <s v=""/>
    <s v=""/>
    <s v=""/>
    <n v="980.63"/>
    <s v=""/>
  </r>
  <r>
    <s v="SIM1533"/>
    <s v="97.757.938/0001-92"/>
    <x v="4"/>
    <x v="3"/>
    <n v="2195.1999999999998"/>
    <n v="0"/>
    <n v="0"/>
    <n v="0"/>
    <n v="0"/>
    <n v="0"/>
    <s v=""/>
    <s v=""/>
    <s v=""/>
    <s v=""/>
    <n v="2195.1999999999998"/>
    <s v=""/>
  </r>
  <r>
    <s v="SIM1534"/>
    <s v="60.896.583/0001-90"/>
    <x v="4"/>
    <x v="6"/>
    <n v="1434.14"/>
    <n v="0"/>
    <n v="0"/>
    <n v="0"/>
    <n v="0"/>
    <n v="0"/>
    <s v=""/>
    <s v=""/>
    <s v=""/>
    <s v=""/>
    <n v="1434.14"/>
    <s v=""/>
  </r>
  <r>
    <s v="SIM1535"/>
    <s v="37.628.405/0001-17"/>
    <x v="4"/>
    <x v="4"/>
    <n v="8282.31"/>
    <n v="0"/>
    <n v="0"/>
    <n v="0"/>
    <n v="0"/>
    <n v="0"/>
    <s v=""/>
    <s v=""/>
    <s v=""/>
    <s v=""/>
    <n v="8282.31"/>
    <s v=""/>
  </r>
  <r>
    <s v="SIM1536"/>
    <s v="98.800.395/0001-38"/>
    <x v="4"/>
    <x v="7"/>
    <n v="1950.87"/>
    <n v="0"/>
    <n v="0"/>
    <n v="0"/>
    <n v="0"/>
    <n v="0"/>
    <s v=""/>
    <s v=""/>
    <s v=""/>
    <s v=""/>
    <n v="1950.87"/>
    <s v=""/>
  </r>
  <r>
    <s v="SIM1537"/>
    <s v="47.557.359/0001-27"/>
    <x v="0"/>
    <x v="0"/>
    <n v="504.54"/>
    <n v="0"/>
    <n v="0"/>
    <n v="228.61"/>
    <n v="0"/>
    <n v="275.93"/>
    <s v=""/>
    <s v=""/>
    <s v=""/>
    <s v=""/>
    <s v=""/>
    <n v="504.54"/>
  </r>
  <r>
    <s v="SIM1538"/>
    <s v="85.127.731/0001-68"/>
    <x v="0"/>
    <x v="3"/>
    <n v="26812.82"/>
    <n v="1269.52"/>
    <n v="0"/>
    <n v="0"/>
    <n v="11435.23"/>
    <n v="14108.07"/>
    <s v=""/>
    <s v=""/>
    <s v=""/>
    <s v=""/>
    <s v=""/>
    <n v="26812.82"/>
  </r>
  <r>
    <s v="SIM1539"/>
    <s v="23.111.733/0001-84"/>
    <x v="0"/>
    <x v="7"/>
    <n v="27196.489999999998"/>
    <n v="0"/>
    <n v="0"/>
    <n v="1975.28"/>
    <n v="11761.63"/>
    <n v="13459.58"/>
    <s v=""/>
    <s v=""/>
    <s v=""/>
    <s v=""/>
    <s v=""/>
    <n v="27196.489999999998"/>
  </r>
  <r>
    <s v="SIM1540"/>
    <s v="86.201.551/0001-27"/>
    <x v="2"/>
    <x v="4"/>
    <n v="872.58"/>
    <n v="0"/>
    <n v="0"/>
    <n v="0"/>
    <n v="0"/>
    <n v="0"/>
    <s v=""/>
    <s v=""/>
    <s v=""/>
    <n v="872.58"/>
    <s v=""/>
    <s v=""/>
  </r>
  <r>
    <s v="SIM1541"/>
    <s v="16.907.905/0001-57"/>
    <x v="1"/>
    <x v="7"/>
    <n v="21250.25"/>
    <n v="0"/>
    <n v="0"/>
    <n v="0"/>
    <n v="0"/>
    <n v="0"/>
    <s v=""/>
    <s v=""/>
    <n v="21250.25"/>
    <s v=""/>
    <s v=""/>
    <s v=""/>
  </r>
  <r>
    <s v="SIM1542"/>
    <s v="27.426.604/0001-12"/>
    <x v="2"/>
    <x v="3"/>
    <n v="13472.2"/>
    <n v="0"/>
    <n v="0"/>
    <n v="0"/>
    <n v="0"/>
    <n v="0"/>
    <s v=""/>
    <s v=""/>
    <s v=""/>
    <n v="13472.2"/>
    <s v=""/>
    <s v=""/>
  </r>
  <r>
    <s v="SIM1543"/>
    <s v="29.717.919/0001-98"/>
    <x v="4"/>
    <x v="1"/>
    <n v="32424.53"/>
    <n v="0"/>
    <n v="0"/>
    <n v="0"/>
    <n v="0"/>
    <n v="0"/>
    <s v=""/>
    <s v=""/>
    <s v=""/>
    <s v=""/>
    <n v="32424.53"/>
    <s v=""/>
  </r>
  <r>
    <s v="SIM1544"/>
    <s v="36.205.286/0001-74"/>
    <x v="3"/>
    <x v="3"/>
    <n v="8013.31"/>
    <n v="0"/>
    <n v="0"/>
    <n v="0"/>
    <n v="0"/>
    <n v="0"/>
    <s v=""/>
    <n v="8013.31"/>
    <s v=""/>
    <s v=""/>
    <s v=""/>
    <s v=""/>
  </r>
  <r>
    <s v="SIM1545"/>
    <s v="73.670.962/0001-30"/>
    <x v="5"/>
    <x v="10"/>
    <n v="14136.34"/>
    <n v="0"/>
    <n v="0"/>
    <n v="0"/>
    <n v="0"/>
    <n v="0"/>
    <n v="14136.34"/>
    <s v=""/>
    <s v=""/>
    <s v=""/>
    <s v=""/>
    <s v=""/>
  </r>
  <r>
    <s v="SIM1546"/>
    <s v="43.320.240/0001-91"/>
    <x v="1"/>
    <x v="10"/>
    <n v="4013.84"/>
    <n v="0"/>
    <n v="0"/>
    <n v="0"/>
    <n v="0"/>
    <n v="0"/>
    <s v=""/>
    <s v=""/>
    <n v="4013.84"/>
    <s v=""/>
    <s v=""/>
    <s v=""/>
  </r>
  <r>
    <s v="SIM1547"/>
    <s v="39.791.452/0001-63"/>
    <x v="1"/>
    <x v="6"/>
    <n v="10217.439999999999"/>
    <n v="0"/>
    <n v="0"/>
    <n v="0"/>
    <n v="0"/>
    <n v="0"/>
    <s v=""/>
    <s v=""/>
    <n v="10217.439999999999"/>
    <s v=""/>
    <s v=""/>
    <s v=""/>
  </r>
  <r>
    <s v="SIM1548"/>
    <s v="93.999.225/0001-25"/>
    <x v="5"/>
    <x v="4"/>
    <n v="8852.33"/>
    <n v="0"/>
    <n v="0"/>
    <n v="0"/>
    <n v="0"/>
    <n v="0"/>
    <n v="8852.33"/>
    <s v=""/>
    <s v=""/>
    <s v=""/>
    <s v=""/>
    <s v=""/>
  </r>
  <r>
    <s v="SIM1549"/>
    <s v="31.151.295/0001-28"/>
    <x v="4"/>
    <x v="11"/>
    <n v="16286.029999999999"/>
    <n v="0"/>
    <n v="0"/>
    <n v="0"/>
    <n v="0"/>
    <n v="0"/>
    <s v=""/>
    <s v=""/>
    <s v=""/>
    <s v=""/>
    <n v="16286.029999999999"/>
    <s v=""/>
  </r>
  <r>
    <s v="SIM1550"/>
    <s v="28.794.119/0001-63"/>
    <x v="2"/>
    <x v="5"/>
    <n v="2314.12"/>
    <n v="0"/>
    <n v="0"/>
    <n v="0"/>
    <n v="0"/>
    <n v="0"/>
    <s v=""/>
    <s v=""/>
    <s v=""/>
    <n v="2314.12"/>
    <s v=""/>
    <s v=""/>
  </r>
  <r>
    <s v="SIM1551"/>
    <s v="63.306.576/0001-51"/>
    <x v="0"/>
    <x v="6"/>
    <n v="25496.54"/>
    <n v="5448.44"/>
    <n v="0"/>
    <n v="0"/>
    <n v="10461.59"/>
    <n v="9586.51"/>
    <s v=""/>
    <s v=""/>
    <s v=""/>
    <s v=""/>
    <s v=""/>
    <n v="25496.54"/>
  </r>
  <r>
    <s v="SIM1552"/>
    <s v="50.107.424/0001-41"/>
    <x v="2"/>
    <x v="6"/>
    <n v="6181.33"/>
    <n v="0"/>
    <n v="0"/>
    <n v="0"/>
    <n v="0"/>
    <n v="0"/>
    <s v=""/>
    <s v=""/>
    <s v=""/>
    <n v="6181.33"/>
    <s v=""/>
    <s v=""/>
  </r>
  <r>
    <s v="SIM1553"/>
    <s v="30.779.969/0001-56"/>
    <x v="2"/>
    <x v="8"/>
    <n v="5139.21"/>
    <n v="0"/>
    <n v="0"/>
    <n v="0"/>
    <n v="0"/>
    <n v="0"/>
    <s v=""/>
    <s v=""/>
    <s v=""/>
    <n v="5139.21"/>
    <s v=""/>
    <s v=""/>
  </r>
  <r>
    <s v="SIM1554"/>
    <s v="38.122.349/0001-53"/>
    <x v="5"/>
    <x v="11"/>
    <n v="28301.760000000002"/>
    <n v="0"/>
    <n v="0"/>
    <n v="0"/>
    <n v="0"/>
    <n v="0"/>
    <n v="28301.760000000002"/>
    <s v=""/>
    <s v=""/>
    <s v=""/>
    <s v=""/>
    <s v=""/>
  </r>
  <r>
    <s v="SIM1555"/>
    <s v="61.296.332/0001-81"/>
    <x v="5"/>
    <x v="11"/>
    <n v="2869.3199999999997"/>
    <n v="0"/>
    <n v="0"/>
    <n v="0"/>
    <n v="0"/>
    <n v="0"/>
    <n v="2869.3199999999997"/>
    <s v=""/>
    <s v=""/>
    <s v=""/>
    <s v=""/>
    <s v=""/>
  </r>
  <r>
    <s v="SIM1556"/>
    <s v="70.100.559/0001-89"/>
    <x v="1"/>
    <x v="1"/>
    <n v="5041.7700000000004"/>
    <n v="0"/>
    <n v="0"/>
    <n v="0"/>
    <n v="0"/>
    <n v="0"/>
    <s v=""/>
    <s v=""/>
    <n v="5041.7700000000004"/>
    <s v=""/>
    <s v=""/>
    <s v=""/>
  </r>
  <r>
    <s v="SIM1557"/>
    <s v="67.939.737/0001-27"/>
    <x v="2"/>
    <x v="7"/>
    <n v="12209.59"/>
    <n v="0"/>
    <n v="0"/>
    <n v="0"/>
    <n v="0"/>
    <n v="0"/>
    <s v=""/>
    <s v=""/>
    <s v=""/>
    <n v="12209.59"/>
    <s v=""/>
    <s v=""/>
  </r>
  <r>
    <s v="SIM1558"/>
    <s v="36.513.139/0001-55"/>
    <x v="3"/>
    <x v="3"/>
    <n v="13467.970000000001"/>
    <n v="0"/>
    <n v="0"/>
    <n v="0"/>
    <n v="0"/>
    <n v="0"/>
    <s v=""/>
    <n v="13467.970000000001"/>
    <s v=""/>
    <s v=""/>
    <s v=""/>
    <s v=""/>
  </r>
  <r>
    <s v="SIM1559"/>
    <s v="56.255.368/0001-64"/>
    <x v="4"/>
    <x v="10"/>
    <n v="6339.74"/>
    <n v="0"/>
    <n v="0"/>
    <n v="0"/>
    <n v="0"/>
    <n v="0"/>
    <s v=""/>
    <s v=""/>
    <s v=""/>
    <s v=""/>
    <n v="6339.74"/>
    <s v=""/>
  </r>
  <r>
    <s v="SIM1560"/>
    <s v="70.339.381/0001-96"/>
    <x v="4"/>
    <x v="0"/>
    <n v="18990.29"/>
    <n v="0"/>
    <n v="0"/>
    <n v="0"/>
    <n v="0"/>
    <n v="0"/>
    <s v=""/>
    <s v=""/>
    <s v=""/>
    <s v=""/>
    <n v="18990.29"/>
    <s v=""/>
  </r>
  <r>
    <s v="SIM1561"/>
    <s v="63.990.849/0001-37"/>
    <x v="0"/>
    <x v="9"/>
    <n v="9282.31"/>
    <n v="4978.6499999999996"/>
    <n v="4096.0200000000004"/>
    <n v="0"/>
    <n v="207.64"/>
    <n v="0"/>
    <s v=""/>
    <s v=""/>
    <s v=""/>
    <s v=""/>
    <s v=""/>
    <n v="9282.31"/>
  </r>
  <r>
    <s v="SIM1562"/>
    <s v="50.147.170/0001-32"/>
    <x v="5"/>
    <x v="4"/>
    <n v="9997.51"/>
    <n v="0"/>
    <n v="0"/>
    <n v="0"/>
    <n v="0"/>
    <n v="0"/>
    <n v="9997.51"/>
    <s v=""/>
    <s v=""/>
    <s v=""/>
    <s v=""/>
    <s v=""/>
  </r>
  <r>
    <s v="SIM1563"/>
    <s v="71.778.466/0001-46"/>
    <x v="4"/>
    <x v="8"/>
    <n v="5690.73"/>
    <n v="0"/>
    <n v="0"/>
    <n v="0"/>
    <n v="0"/>
    <n v="0"/>
    <s v=""/>
    <s v=""/>
    <s v=""/>
    <s v=""/>
    <n v="5690.73"/>
    <s v=""/>
  </r>
  <r>
    <s v="SIM1564"/>
    <s v="31.293.179/0001-41"/>
    <x v="2"/>
    <x v="0"/>
    <n v="19272.84"/>
    <n v="0"/>
    <n v="0"/>
    <n v="0"/>
    <n v="0"/>
    <n v="0"/>
    <s v=""/>
    <s v=""/>
    <s v=""/>
    <n v="19272.84"/>
    <s v=""/>
    <s v=""/>
  </r>
  <r>
    <s v="SIM1565"/>
    <s v="88.758.991/0001-17"/>
    <x v="0"/>
    <x v="2"/>
    <n v="2850.74"/>
    <n v="0"/>
    <n v="0"/>
    <n v="0"/>
    <n v="0"/>
    <n v="2850.74"/>
    <s v=""/>
    <s v=""/>
    <s v=""/>
    <s v=""/>
    <s v=""/>
    <n v="2850.74"/>
  </r>
  <r>
    <s v="SIM1566"/>
    <s v="51.594.812/0001-99"/>
    <x v="2"/>
    <x v="3"/>
    <n v="15146.140000000001"/>
    <n v="0"/>
    <n v="0"/>
    <n v="0"/>
    <n v="0"/>
    <n v="0"/>
    <s v=""/>
    <s v=""/>
    <s v=""/>
    <n v="15146.140000000001"/>
    <s v=""/>
    <s v=""/>
  </r>
  <r>
    <s v="SIM1567"/>
    <s v="68.348.789/0001-32"/>
    <x v="3"/>
    <x v="7"/>
    <n v="7408.85"/>
    <n v="0"/>
    <n v="0"/>
    <n v="0"/>
    <n v="0"/>
    <n v="0"/>
    <s v=""/>
    <n v="7408.85"/>
    <s v=""/>
    <s v=""/>
    <s v=""/>
    <s v=""/>
  </r>
  <r>
    <s v="SIM1568"/>
    <s v="20.976.754/0001-46"/>
    <x v="2"/>
    <x v="11"/>
    <n v="7712.31"/>
    <n v="0"/>
    <n v="0"/>
    <n v="0"/>
    <n v="0"/>
    <n v="0"/>
    <s v=""/>
    <s v=""/>
    <s v=""/>
    <n v="7712.31"/>
    <s v=""/>
    <s v=""/>
  </r>
  <r>
    <s v="SIM1569"/>
    <s v="33.934.193/0001-23"/>
    <x v="0"/>
    <x v="5"/>
    <n v="15918.89"/>
    <n v="473.65"/>
    <n v="4367.66"/>
    <n v="0"/>
    <n v="0"/>
    <n v="11077.58"/>
    <s v=""/>
    <s v=""/>
    <s v=""/>
    <s v=""/>
    <s v=""/>
    <n v="15918.89"/>
  </r>
  <r>
    <s v="SIM1570"/>
    <s v="40.912.319/0001-75"/>
    <x v="1"/>
    <x v="5"/>
    <n v="15178.58"/>
    <n v="0"/>
    <n v="0"/>
    <n v="0"/>
    <n v="0"/>
    <n v="0"/>
    <s v=""/>
    <s v=""/>
    <n v="15178.58"/>
    <s v=""/>
    <s v=""/>
    <s v=""/>
  </r>
  <r>
    <s v="SIM1571"/>
    <s v="76.492.443/0001-28"/>
    <x v="0"/>
    <x v="0"/>
    <n v="7035.86"/>
    <n v="0"/>
    <n v="0"/>
    <n v="2555.37"/>
    <n v="4480.49"/>
    <n v="0"/>
    <s v=""/>
    <s v=""/>
    <s v=""/>
    <s v=""/>
    <s v=""/>
    <n v="7035.86"/>
  </r>
  <r>
    <s v="SIM1572"/>
    <s v="21.281.830/0001-59"/>
    <x v="3"/>
    <x v="8"/>
    <n v="3209.0899999999997"/>
    <n v="0"/>
    <n v="0"/>
    <n v="0"/>
    <n v="0"/>
    <n v="0"/>
    <s v=""/>
    <n v="3209.0899999999997"/>
    <s v=""/>
    <s v=""/>
    <s v=""/>
    <s v=""/>
  </r>
  <r>
    <s v="SIM1573"/>
    <s v="56.760.391/0001-52"/>
    <x v="3"/>
    <x v="0"/>
    <n v="5070.33"/>
    <n v="0"/>
    <n v="0"/>
    <n v="0"/>
    <n v="0"/>
    <n v="0"/>
    <s v=""/>
    <n v="5070.33"/>
    <s v=""/>
    <s v=""/>
    <s v=""/>
    <s v=""/>
  </r>
  <r>
    <s v="SIM1574"/>
    <s v="83.565.863/0001-52"/>
    <x v="5"/>
    <x v="6"/>
    <n v="4571.43"/>
    <n v="0"/>
    <n v="0"/>
    <n v="0"/>
    <n v="0"/>
    <n v="0"/>
    <n v="4571.43"/>
    <s v=""/>
    <s v=""/>
    <s v=""/>
    <s v=""/>
    <s v=""/>
  </r>
  <r>
    <s v="SIM1575"/>
    <s v="57.164.687/0001-34"/>
    <x v="2"/>
    <x v="10"/>
    <n v="24480.959999999999"/>
    <n v="0"/>
    <n v="0"/>
    <n v="0"/>
    <n v="0"/>
    <n v="0"/>
    <s v=""/>
    <s v=""/>
    <s v=""/>
    <n v="24480.959999999999"/>
    <s v=""/>
    <s v=""/>
  </r>
  <r>
    <s v="SIM1576"/>
    <s v="69.440.529/0001-71"/>
    <x v="3"/>
    <x v="9"/>
    <n v="13467.85"/>
    <n v="0"/>
    <n v="0"/>
    <n v="0"/>
    <n v="0"/>
    <n v="0"/>
    <s v=""/>
    <n v="13467.85"/>
    <s v=""/>
    <s v=""/>
    <s v=""/>
    <s v=""/>
  </r>
  <r>
    <s v="SIM1577"/>
    <s v="79.872.969/0001-80"/>
    <x v="0"/>
    <x v="6"/>
    <n v="10104.960000000001"/>
    <n v="0"/>
    <n v="4562.6400000000003"/>
    <n v="0"/>
    <n v="3213"/>
    <n v="2329.3200000000002"/>
    <s v=""/>
    <s v=""/>
    <s v=""/>
    <s v=""/>
    <s v=""/>
    <n v="10104.960000000001"/>
  </r>
  <r>
    <s v="SIM1578"/>
    <s v="84.891.886/0001-59"/>
    <x v="5"/>
    <x v="10"/>
    <n v="3803.25"/>
    <n v="0"/>
    <n v="0"/>
    <n v="0"/>
    <n v="0"/>
    <n v="0"/>
    <n v="3803.25"/>
    <s v=""/>
    <s v=""/>
    <s v=""/>
    <s v=""/>
    <s v=""/>
  </r>
  <r>
    <s v="SIM1579"/>
    <s v="45.929.129/0001-49"/>
    <x v="5"/>
    <x v="0"/>
    <n v="13893.7"/>
    <n v="0"/>
    <n v="0"/>
    <n v="0"/>
    <n v="0"/>
    <n v="0"/>
    <n v="13893.7"/>
    <s v=""/>
    <s v=""/>
    <s v=""/>
    <s v=""/>
    <s v=""/>
  </r>
  <r>
    <s v="SIM1580"/>
    <s v="16.439.155/0001-65"/>
    <x v="0"/>
    <x v="7"/>
    <n v="5645.21"/>
    <n v="0"/>
    <n v="149.21"/>
    <n v="0"/>
    <n v="5496"/>
    <n v="0"/>
    <s v=""/>
    <s v=""/>
    <s v=""/>
    <s v=""/>
    <s v=""/>
    <n v="5645.21"/>
  </r>
  <r>
    <s v="SIM1581"/>
    <s v="18.151.808/0001-40"/>
    <x v="1"/>
    <x v="9"/>
    <n v="29980.089999999997"/>
    <n v="0"/>
    <n v="0"/>
    <n v="0"/>
    <n v="0"/>
    <n v="0"/>
    <s v=""/>
    <s v=""/>
    <n v="29980.089999999997"/>
    <s v=""/>
    <s v=""/>
    <s v=""/>
  </r>
  <r>
    <s v="SIM1582"/>
    <s v="86.103.254/0001-28"/>
    <x v="4"/>
    <x v="6"/>
    <n v="4848.08"/>
    <n v="0"/>
    <n v="0"/>
    <n v="0"/>
    <n v="0"/>
    <n v="0"/>
    <s v=""/>
    <s v=""/>
    <s v=""/>
    <s v=""/>
    <n v="4848.08"/>
    <s v=""/>
  </r>
  <r>
    <s v="SIM1583"/>
    <s v="69.462.850/0001-64"/>
    <x v="0"/>
    <x v="0"/>
    <n v="7137.56"/>
    <n v="1270.3699999999999"/>
    <n v="4009.39"/>
    <n v="0"/>
    <n v="1857.8"/>
    <n v="0"/>
    <s v=""/>
    <s v=""/>
    <s v=""/>
    <s v=""/>
    <s v=""/>
    <n v="7137.56"/>
  </r>
  <r>
    <s v="SIM1584"/>
    <s v="95.275.602/0001-96"/>
    <x v="1"/>
    <x v="1"/>
    <n v="12507.27"/>
    <n v="0"/>
    <n v="0"/>
    <n v="0"/>
    <n v="0"/>
    <n v="0"/>
    <s v=""/>
    <s v=""/>
    <n v="12507.27"/>
    <s v=""/>
    <s v=""/>
    <s v=""/>
  </r>
  <r>
    <s v="SIM1585"/>
    <s v="31.772.599/0001-50"/>
    <x v="0"/>
    <x v="0"/>
    <n v="9471.5500000000011"/>
    <n v="6437.56"/>
    <n v="761.25"/>
    <n v="650.13"/>
    <n v="1622.61"/>
    <n v="0"/>
    <s v=""/>
    <s v=""/>
    <s v=""/>
    <s v=""/>
    <s v=""/>
    <n v="9471.5500000000011"/>
  </r>
  <r>
    <s v="SIM1586"/>
    <s v="92.706.307/0001-83"/>
    <x v="3"/>
    <x v="5"/>
    <n v="19681.34"/>
    <n v="0"/>
    <n v="0"/>
    <n v="0"/>
    <n v="0"/>
    <n v="0"/>
    <s v=""/>
    <n v="19681.34"/>
    <s v=""/>
    <s v=""/>
    <s v=""/>
    <s v=""/>
  </r>
  <r>
    <s v="SIM1587"/>
    <s v="40.179.597/0001-16"/>
    <x v="1"/>
    <x v="4"/>
    <n v="23539.279999999999"/>
    <n v="0"/>
    <n v="0"/>
    <n v="0"/>
    <n v="0"/>
    <n v="0"/>
    <s v=""/>
    <s v=""/>
    <n v="23539.279999999999"/>
    <s v=""/>
    <s v=""/>
    <s v=""/>
  </r>
  <r>
    <s v="SIM1588"/>
    <s v="55.209.160/0001-90"/>
    <x v="1"/>
    <x v="5"/>
    <n v="14960.65"/>
    <n v="0"/>
    <n v="0"/>
    <n v="0"/>
    <n v="0"/>
    <n v="0"/>
    <s v=""/>
    <s v=""/>
    <n v="14960.65"/>
    <s v=""/>
    <s v=""/>
    <s v=""/>
  </r>
  <r>
    <s v="SIM1589"/>
    <s v="14.714.302/0001-88"/>
    <x v="0"/>
    <x v="6"/>
    <n v="6233.67"/>
    <n v="0"/>
    <n v="4224.41"/>
    <n v="2009.26"/>
    <n v="0"/>
    <n v="0"/>
    <s v=""/>
    <s v=""/>
    <s v=""/>
    <s v=""/>
    <s v=""/>
    <n v="6233.67"/>
  </r>
  <r>
    <s v="SIM1590"/>
    <s v="18.279.904/0001-90"/>
    <x v="5"/>
    <x v="4"/>
    <n v="10216.02"/>
    <n v="0"/>
    <n v="0"/>
    <n v="0"/>
    <n v="0"/>
    <n v="0"/>
    <n v="10216.02"/>
    <s v=""/>
    <s v=""/>
    <s v=""/>
    <s v=""/>
    <s v=""/>
  </r>
  <r>
    <s v="SIM1591"/>
    <s v="63.528.832/0001-27"/>
    <x v="3"/>
    <x v="4"/>
    <n v="21685.9"/>
    <n v="0"/>
    <n v="0"/>
    <n v="0"/>
    <n v="0"/>
    <n v="0"/>
    <s v=""/>
    <n v="21685.9"/>
    <s v=""/>
    <s v=""/>
    <s v=""/>
    <s v=""/>
  </r>
  <r>
    <s v="SIM1592"/>
    <s v="75.567.686/0001-35"/>
    <x v="0"/>
    <x v="10"/>
    <n v="2809.89"/>
    <n v="0"/>
    <n v="0"/>
    <n v="2809.89"/>
    <n v="0"/>
    <n v="0"/>
    <s v=""/>
    <s v=""/>
    <s v=""/>
    <s v=""/>
    <s v=""/>
    <n v="2809.89"/>
  </r>
  <r>
    <s v="SIM1593"/>
    <s v="53.685.843/0001-99"/>
    <x v="0"/>
    <x v="3"/>
    <n v="3650.89"/>
    <n v="3650.89"/>
    <n v="0"/>
    <n v="0"/>
    <n v="0"/>
    <n v="0"/>
    <s v=""/>
    <s v=""/>
    <s v=""/>
    <s v=""/>
    <s v=""/>
    <n v="3650.89"/>
  </r>
  <r>
    <s v="SIM1594"/>
    <s v="70.285.484/0001-11"/>
    <x v="1"/>
    <x v="0"/>
    <n v="5849.49"/>
    <n v="0"/>
    <n v="0"/>
    <n v="0"/>
    <n v="0"/>
    <n v="0"/>
    <s v=""/>
    <s v=""/>
    <n v="5849.49"/>
    <s v=""/>
    <s v=""/>
    <s v=""/>
  </r>
  <r>
    <s v="SIM1595"/>
    <s v="39.619.988/0001-98"/>
    <x v="1"/>
    <x v="0"/>
    <n v="13141.01"/>
    <n v="0"/>
    <n v="0"/>
    <n v="0"/>
    <n v="0"/>
    <n v="0"/>
    <s v=""/>
    <s v=""/>
    <n v="13141.01"/>
    <s v=""/>
    <s v=""/>
    <s v=""/>
  </r>
  <r>
    <s v="SIM1596"/>
    <s v="55.320.828/0001-32"/>
    <x v="0"/>
    <x v="0"/>
    <n v="2791.52"/>
    <n v="0"/>
    <n v="0"/>
    <n v="2791.52"/>
    <n v="0"/>
    <n v="0"/>
    <s v=""/>
    <s v=""/>
    <s v=""/>
    <s v=""/>
    <s v=""/>
    <n v="2791.52"/>
  </r>
  <r>
    <s v="SIM1597"/>
    <s v="19.638.485/0001-55"/>
    <x v="0"/>
    <x v="11"/>
    <n v="7505.66"/>
    <n v="0"/>
    <n v="4678.41"/>
    <n v="2827.25"/>
    <n v="0"/>
    <n v="0"/>
    <s v=""/>
    <s v=""/>
    <s v=""/>
    <s v=""/>
    <s v=""/>
    <n v="7505.66"/>
  </r>
  <r>
    <s v="SIM1598"/>
    <s v="59.880.119/0001-36"/>
    <x v="1"/>
    <x v="0"/>
    <n v="671.68"/>
    <n v="0"/>
    <n v="0"/>
    <n v="0"/>
    <n v="0"/>
    <n v="0"/>
    <s v=""/>
    <s v=""/>
    <n v="671.68"/>
    <s v=""/>
    <s v=""/>
    <s v=""/>
  </r>
  <r>
    <s v="SIM1599"/>
    <s v="35.126.917/0001-87"/>
    <x v="4"/>
    <x v="10"/>
    <n v="6785.68"/>
    <n v="0"/>
    <n v="0"/>
    <n v="0"/>
    <n v="0"/>
    <n v="0"/>
    <s v=""/>
    <s v=""/>
    <s v=""/>
    <s v=""/>
    <n v="6785.68"/>
    <s v=""/>
  </r>
  <r>
    <s v="SIM1600"/>
    <s v="36.360.714/0001-70"/>
    <x v="5"/>
    <x v="10"/>
    <n v="8150.13"/>
    <n v="0"/>
    <n v="0"/>
    <n v="0"/>
    <n v="0"/>
    <n v="0"/>
    <n v="8150.13"/>
    <s v=""/>
    <s v=""/>
    <s v=""/>
    <s v=""/>
    <s v=""/>
  </r>
  <r>
    <s v="SIM1601"/>
    <s v="65.981.521/0001-94"/>
    <x v="5"/>
    <x v="7"/>
    <n v="1416.87"/>
    <n v="0"/>
    <n v="0"/>
    <n v="0"/>
    <n v="0"/>
    <n v="0"/>
    <n v="1416.87"/>
    <s v=""/>
    <s v=""/>
    <s v=""/>
    <s v=""/>
    <s v=""/>
  </r>
  <r>
    <s v="SIM1602"/>
    <s v="63.856.886/0001-94"/>
    <x v="1"/>
    <x v="7"/>
    <n v="2900.35"/>
    <n v="0"/>
    <n v="0"/>
    <n v="0"/>
    <n v="0"/>
    <n v="0"/>
    <s v=""/>
    <s v=""/>
    <n v="2900.35"/>
    <s v=""/>
    <s v=""/>
    <s v=""/>
  </r>
  <r>
    <s v="SIM1603"/>
    <s v="61.532.596/0001-60"/>
    <x v="5"/>
    <x v="3"/>
    <n v="8188.73"/>
    <n v="0"/>
    <n v="0"/>
    <n v="0"/>
    <n v="0"/>
    <n v="0"/>
    <n v="8188.73"/>
    <s v=""/>
    <s v=""/>
    <s v=""/>
    <s v=""/>
    <s v=""/>
  </r>
  <r>
    <s v="SIM1604"/>
    <s v="99.351.630/0001-92"/>
    <x v="0"/>
    <x v="10"/>
    <n v="1368.73"/>
    <n v="0"/>
    <n v="0"/>
    <n v="1368.73"/>
    <n v="0"/>
    <n v="0"/>
    <s v=""/>
    <s v=""/>
    <s v=""/>
    <s v=""/>
    <s v=""/>
    <n v="1368.73"/>
  </r>
  <r>
    <s v="SIM1605"/>
    <s v="32.988.874/0001-56"/>
    <x v="2"/>
    <x v="10"/>
    <n v="11120.03"/>
    <n v="0"/>
    <n v="0"/>
    <n v="0"/>
    <n v="0"/>
    <n v="0"/>
    <s v=""/>
    <s v=""/>
    <s v=""/>
    <n v="11120.03"/>
    <s v=""/>
    <s v=""/>
  </r>
  <r>
    <s v="SIM1606"/>
    <s v="55.891.173/0001-37"/>
    <x v="4"/>
    <x v="6"/>
    <n v="3584.65"/>
    <n v="0"/>
    <n v="0"/>
    <n v="0"/>
    <n v="0"/>
    <n v="0"/>
    <s v=""/>
    <s v=""/>
    <s v=""/>
    <s v=""/>
    <n v="3584.65"/>
    <s v=""/>
  </r>
  <r>
    <s v="SIM1607"/>
    <s v="42.800.541/0001-71"/>
    <x v="3"/>
    <x v="4"/>
    <n v="3920.07"/>
    <n v="0"/>
    <n v="0"/>
    <n v="0"/>
    <n v="0"/>
    <n v="0"/>
    <s v=""/>
    <n v="3920.07"/>
    <s v=""/>
    <s v=""/>
    <s v=""/>
    <s v=""/>
  </r>
  <r>
    <s v="SIM1608"/>
    <s v="98.680.790/0001-26"/>
    <x v="5"/>
    <x v="9"/>
    <n v="9377.4699999999993"/>
    <n v="0"/>
    <n v="0"/>
    <n v="0"/>
    <n v="0"/>
    <n v="0"/>
    <n v="9377.4699999999993"/>
    <s v=""/>
    <s v=""/>
    <s v=""/>
    <s v=""/>
    <s v=""/>
  </r>
  <r>
    <s v="SIM1609"/>
    <s v="56.953.838/0001-64"/>
    <x v="3"/>
    <x v="2"/>
    <n v="1066.01"/>
    <n v="0"/>
    <n v="0"/>
    <n v="0"/>
    <n v="0"/>
    <n v="0"/>
    <s v=""/>
    <n v="1066.01"/>
    <s v=""/>
    <s v=""/>
    <s v=""/>
    <s v=""/>
  </r>
  <r>
    <s v="SIM1610"/>
    <s v="19.645.813/0001-81"/>
    <x v="3"/>
    <x v="2"/>
    <n v="1412.82"/>
    <n v="0"/>
    <n v="0"/>
    <n v="0"/>
    <n v="0"/>
    <n v="0"/>
    <s v=""/>
    <n v="1412.82"/>
    <s v=""/>
    <s v=""/>
    <s v=""/>
    <s v=""/>
  </r>
  <r>
    <s v="SIM1611"/>
    <s v="75.938.984/0001-68"/>
    <x v="1"/>
    <x v="8"/>
    <n v="2613.23"/>
    <n v="0"/>
    <n v="0"/>
    <n v="0"/>
    <n v="0"/>
    <n v="0"/>
    <s v=""/>
    <s v=""/>
    <n v="2613.23"/>
    <s v=""/>
    <s v=""/>
    <s v=""/>
  </r>
  <r>
    <s v="SIM1612"/>
    <s v="67.708.128/0001-73"/>
    <x v="1"/>
    <x v="5"/>
    <n v="16109.08"/>
    <n v="0"/>
    <n v="0"/>
    <n v="0"/>
    <n v="0"/>
    <n v="0"/>
    <s v=""/>
    <s v=""/>
    <n v="16109.08"/>
    <s v=""/>
    <s v=""/>
    <s v=""/>
  </r>
  <r>
    <s v="SIM1613"/>
    <s v="97.230.187/0001-34"/>
    <x v="0"/>
    <x v="5"/>
    <n v="1245.3699999999999"/>
    <n v="0"/>
    <n v="0"/>
    <n v="1245.3699999999999"/>
    <n v="0"/>
    <n v="0"/>
    <s v=""/>
    <s v=""/>
    <s v=""/>
    <s v=""/>
    <s v=""/>
    <n v="1245.3699999999999"/>
  </r>
  <r>
    <s v="SIM1614"/>
    <s v="57.415.617/0001-79"/>
    <x v="1"/>
    <x v="11"/>
    <n v="19504.98"/>
    <n v="0"/>
    <n v="0"/>
    <n v="0"/>
    <n v="0"/>
    <n v="0"/>
    <s v=""/>
    <s v=""/>
    <n v="19504.98"/>
    <s v=""/>
    <s v=""/>
    <s v=""/>
  </r>
  <r>
    <s v="SIM1615"/>
    <s v="92.551.810/0001-98"/>
    <x v="3"/>
    <x v="0"/>
    <n v="5455.02"/>
    <n v="0"/>
    <n v="0"/>
    <n v="0"/>
    <n v="0"/>
    <n v="0"/>
    <s v=""/>
    <n v="5455.02"/>
    <s v=""/>
    <s v=""/>
    <s v=""/>
    <s v=""/>
  </r>
  <r>
    <s v="SIM1616"/>
    <s v="81.192.615/0001-85"/>
    <x v="5"/>
    <x v="7"/>
    <n v="16119.23"/>
    <n v="0"/>
    <n v="0"/>
    <n v="0"/>
    <n v="0"/>
    <n v="0"/>
    <n v="16119.23"/>
    <s v=""/>
    <s v=""/>
    <s v=""/>
    <s v=""/>
    <s v=""/>
  </r>
  <r>
    <s v="SIM1617"/>
    <s v="20.145.987/0001-47"/>
    <x v="5"/>
    <x v="3"/>
    <n v="12243.67"/>
    <n v="0"/>
    <n v="0"/>
    <n v="0"/>
    <n v="0"/>
    <n v="0"/>
    <n v="12243.67"/>
    <s v=""/>
    <s v=""/>
    <s v=""/>
    <s v=""/>
    <s v=""/>
  </r>
  <r>
    <s v="SIM1618"/>
    <s v="79.572.138/0001-34"/>
    <x v="3"/>
    <x v="4"/>
    <n v="6364.8899999999994"/>
    <n v="0"/>
    <n v="0"/>
    <n v="0"/>
    <n v="0"/>
    <n v="0"/>
    <s v=""/>
    <n v="6364.8899999999994"/>
    <s v=""/>
    <s v=""/>
    <s v=""/>
    <s v=""/>
  </r>
  <r>
    <s v="SIM1619"/>
    <s v="35.949.146/0001-34"/>
    <x v="2"/>
    <x v="9"/>
    <n v="13392.64"/>
    <n v="0"/>
    <n v="0"/>
    <n v="0"/>
    <n v="0"/>
    <n v="0"/>
    <s v=""/>
    <s v=""/>
    <s v=""/>
    <n v="13392.64"/>
    <s v=""/>
    <s v=""/>
  </r>
  <r>
    <s v="SIM1620"/>
    <s v="46.446.340/0001-18"/>
    <x v="0"/>
    <x v="4"/>
    <n v="7987.8700000000008"/>
    <n v="4460.5600000000004"/>
    <n v="0"/>
    <n v="2769.76"/>
    <n v="0"/>
    <n v="757.55"/>
    <s v=""/>
    <s v=""/>
    <s v=""/>
    <s v=""/>
    <s v=""/>
    <n v="7987.8700000000008"/>
  </r>
  <r>
    <s v="SIM1621"/>
    <s v="55.185.961/0001-81"/>
    <x v="4"/>
    <x v="11"/>
    <n v="6270.8"/>
    <n v="0"/>
    <n v="0"/>
    <n v="0"/>
    <n v="0"/>
    <n v="0"/>
    <s v=""/>
    <s v=""/>
    <s v=""/>
    <s v=""/>
    <n v="6270.8"/>
    <s v=""/>
  </r>
  <r>
    <s v="SIM1622"/>
    <s v="74.637.792/0001-73"/>
    <x v="3"/>
    <x v="11"/>
    <n v="22909.690000000002"/>
    <n v="0"/>
    <n v="0"/>
    <n v="0"/>
    <n v="0"/>
    <n v="0"/>
    <s v=""/>
    <n v="22909.690000000002"/>
    <s v=""/>
    <s v=""/>
    <s v=""/>
    <s v=""/>
  </r>
  <r>
    <s v="SIM1623"/>
    <s v="18.776.872/0001-13"/>
    <x v="2"/>
    <x v="10"/>
    <n v="10473.75"/>
    <n v="0"/>
    <n v="0"/>
    <n v="0"/>
    <n v="0"/>
    <n v="0"/>
    <s v=""/>
    <s v=""/>
    <s v=""/>
    <n v="10473.75"/>
    <s v=""/>
    <s v=""/>
  </r>
  <r>
    <s v="SIM1624"/>
    <s v="81.668.377/0001-15"/>
    <x v="5"/>
    <x v="4"/>
    <n v="7275.12"/>
    <n v="0"/>
    <n v="0"/>
    <n v="0"/>
    <n v="0"/>
    <n v="0"/>
    <n v="7275.12"/>
    <s v=""/>
    <s v=""/>
    <s v=""/>
    <s v=""/>
    <s v=""/>
  </r>
  <r>
    <s v="SIM1625"/>
    <s v="66.395.762/0001-77"/>
    <x v="4"/>
    <x v="8"/>
    <n v="15083.83"/>
    <n v="0"/>
    <n v="0"/>
    <n v="0"/>
    <n v="0"/>
    <n v="0"/>
    <s v=""/>
    <s v=""/>
    <s v=""/>
    <s v=""/>
    <n v="15083.83"/>
    <s v=""/>
  </r>
  <r>
    <s v="SIM1626"/>
    <s v="13.171.378/0001-47"/>
    <x v="3"/>
    <x v="6"/>
    <n v="7552.67"/>
    <n v="0"/>
    <n v="0"/>
    <n v="0"/>
    <n v="0"/>
    <n v="0"/>
    <s v=""/>
    <n v="7552.67"/>
    <s v=""/>
    <s v=""/>
    <s v=""/>
    <s v=""/>
  </r>
  <r>
    <s v="SIM1627"/>
    <s v="59.673.286/0001-44"/>
    <x v="4"/>
    <x v="6"/>
    <n v="2626.75"/>
    <n v="0"/>
    <n v="0"/>
    <n v="0"/>
    <n v="0"/>
    <n v="0"/>
    <s v=""/>
    <s v=""/>
    <s v=""/>
    <s v=""/>
    <n v="2626.75"/>
    <s v=""/>
  </r>
  <r>
    <s v="SIM1628"/>
    <s v="36.109.521/0001-94"/>
    <x v="4"/>
    <x v="0"/>
    <n v="16594.03"/>
    <n v="0"/>
    <n v="0"/>
    <n v="0"/>
    <n v="0"/>
    <n v="0"/>
    <s v=""/>
    <s v=""/>
    <s v=""/>
    <s v=""/>
    <n v="16594.03"/>
    <s v=""/>
  </r>
  <r>
    <s v="SIM1629"/>
    <s v="38.933.735/0001-66"/>
    <x v="0"/>
    <x v="1"/>
    <n v="16678.98"/>
    <n v="0"/>
    <n v="0"/>
    <n v="0"/>
    <n v="10847.25"/>
    <n v="5831.73"/>
    <s v=""/>
    <s v=""/>
    <s v=""/>
    <s v=""/>
    <s v=""/>
    <n v="16678.98"/>
  </r>
  <r>
    <s v="SIM1630"/>
    <s v="60.996.509/0001-38"/>
    <x v="3"/>
    <x v="3"/>
    <n v="10840.05"/>
    <n v="0"/>
    <n v="0"/>
    <n v="0"/>
    <n v="0"/>
    <n v="0"/>
    <s v=""/>
    <n v="10840.05"/>
    <s v=""/>
    <s v=""/>
    <s v=""/>
    <s v=""/>
  </r>
  <r>
    <s v="SIM1631"/>
    <s v="71.959.811/0001-43"/>
    <x v="0"/>
    <x v="7"/>
    <n v="15125.08"/>
    <n v="3257.45"/>
    <n v="4641.21"/>
    <n v="0"/>
    <n v="0"/>
    <n v="7226.42"/>
    <s v=""/>
    <s v=""/>
    <s v=""/>
    <s v=""/>
    <s v=""/>
    <n v="15125.08"/>
  </r>
  <r>
    <s v="SIM1632"/>
    <s v="64.858.392/0001-45"/>
    <x v="1"/>
    <x v="11"/>
    <n v="6036.8799999999992"/>
    <n v="0"/>
    <n v="0"/>
    <n v="0"/>
    <n v="0"/>
    <n v="0"/>
    <s v=""/>
    <s v=""/>
    <n v="6036.8799999999992"/>
    <s v=""/>
    <s v=""/>
    <s v=""/>
  </r>
  <r>
    <s v="SIM1633"/>
    <s v="79.830.102/0001-14"/>
    <x v="5"/>
    <x v="0"/>
    <n v="17392.599999999999"/>
    <n v="0"/>
    <n v="0"/>
    <n v="0"/>
    <n v="0"/>
    <n v="0"/>
    <n v="17392.599999999999"/>
    <s v=""/>
    <s v=""/>
    <s v=""/>
    <s v=""/>
    <s v=""/>
  </r>
  <r>
    <s v="SIM1634"/>
    <s v="19.246.853/0001-12"/>
    <x v="1"/>
    <x v="1"/>
    <n v="12168.22"/>
    <n v="0"/>
    <n v="0"/>
    <n v="0"/>
    <n v="0"/>
    <n v="0"/>
    <s v=""/>
    <s v=""/>
    <n v="12168.22"/>
    <s v=""/>
    <s v=""/>
    <s v=""/>
  </r>
  <r>
    <s v="SIM1635"/>
    <s v="70.786.200/0001-37"/>
    <x v="5"/>
    <x v="10"/>
    <n v="3882.0699999999997"/>
    <n v="0"/>
    <n v="0"/>
    <n v="0"/>
    <n v="0"/>
    <n v="0"/>
    <n v="3882.0699999999997"/>
    <s v=""/>
    <s v=""/>
    <s v=""/>
    <s v=""/>
    <s v=""/>
  </r>
  <r>
    <s v="SIM1636"/>
    <s v="52.521.487/0001-89"/>
    <x v="5"/>
    <x v="1"/>
    <n v="8091.8000000000011"/>
    <n v="0"/>
    <n v="0"/>
    <n v="0"/>
    <n v="0"/>
    <n v="0"/>
    <n v="8091.8000000000011"/>
    <s v=""/>
    <s v=""/>
    <s v=""/>
    <s v=""/>
    <s v=""/>
  </r>
  <r>
    <s v="SIM1637"/>
    <s v="26.503.405/0001-33"/>
    <x v="1"/>
    <x v="8"/>
    <n v="3750.75"/>
    <n v="0"/>
    <n v="0"/>
    <n v="0"/>
    <n v="0"/>
    <n v="0"/>
    <s v=""/>
    <s v=""/>
    <n v="3750.75"/>
    <s v=""/>
    <s v=""/>
    <s v=""/>
  </r>
  <r>
    <s v="SIM1638"/>
    <s v="78.201.530/0001-96"/>
    <x v="0"/>
    <x v="6"/>
    <n v="4406.5200000000004"/>
    <n v="2071.56"/>
    <n v="2334.96"/>
    <n v="0"/>
    <n v="0"/>
    <n v="0"/>
    <s v=""/>
    <s v=""/>
    <s v=""/>
    <s v=""/>
    <s v=""/>
    <n v="4406.5200000000004"/>
  </r>
  <r>
    <s v="SIM1639"/>
    <s v="52.632.877/0001-94"/>
    <x v="5"/>
    <x v="1"/>
    <n v="8289.74"/>
    <n v="0"/>
    <n v="0"/>
    <n v="0"/>
    <n v="0"/>
    <n v="0"/>
    <n v="8289.74"/>
    <s v=""/>
    <s v=""/>
    <s v=""/>
    <s v=""/>
    <s v=""/>
  </r>
  <r>
    <s v="SIM1640"/>
    <s v="36.271.786/0001-47"/>
    <x v="0"/>
    <x v="2"/>
    <n v="978.45"/>
    <n v="978.45"/>
    <n v="0"/>
    <n v="0"/>
    <n v="0"/>
    <n v="0"/>
    <s v=""/>
    <s v=""/>
    <s v=""/>
    <s v=""/>
    <s v=""/>
    <n v="978.45"/>
  </r>
  <r>
    <s v="SIM1641"/>
    <s v="35.910.913/0001-50"/>
    <x v="3"/>
    <x v="2"/>
    <n v="5919.27"/>
    <n v="0"/>
    <n v="0"/>
    <n v="0"/>
    <n v="0"/>
    <n v="0"/>
    <s v=""/>
    <n v="5919.27"/>
    <s v=""/>
    <s v=""/>
    <s v=""/>
    <s v=""/>
  </r>
  <r>
    <s v="SIM1642"/>
    <s v="41.395.640/0001-33"/>
    <x v="0"/>
    <x v="4"/>
    <n v="1319.55"/>
    <n v="0"/>
    <n v="0"/>
    <n v="1319.55"/>
    <n v="0"/>
    <n v="0"/>
    <s v=""/>
    <s v=""/>
    <s v=""/>
    <s v=""/>
    <s v=""/>
    <n v="1319.55"/>
  </r>
  <r>
    <s v="SIM1643"/>
    <s v="12.401.953/0001-77"/>
    <x v="0"/>
    <x v="11"/>
    <n v="5950.28"/>
    <n v="5950.28"/>
    <n v="0"/>
    <n v="0"/>
    <n v="0"/>
    <n v="0"/>
    <s v=""/>
    <s v=""/>
    <s v=""/>
    <s v=""/>
    <s v=""/>
    <n v="5950.28"/>
  </r>
  <r>
    <s v="SIM1644"/>
    <s v="77.320.132/0001-53"/>
    <x v="2"/>
    <x v="0"/>
    <n v="15335.2"/>
    <n v="0"/>
    <n v="0"/>
    <n v="0"/>
    <n v="0"/>
    <n v="0"/>
    <s v=""/>
    <s v=""/>
    <s v=""/>
    <n v="15335.2"/>
    <s v=""/>
    <s v=""/>
  </r>
  <r>
    <s v="SIM1645"/>
    <s v="68.481.591/0001-52"/>
    <x v="2"/>
    <x v="8"/>
    <n v="10253"/>
    <n v="0"/>
    <n v="0"/>
    <n v="0"/>
    <n v="0"/>
    <n v="0"/>
    <s v=""/>
    <s v=""/>
    <s v=""/>
    <n v="10253"/>
    <s v=""/>
    <s v=""/>
  </r>
  <r>
    <s v="SIM1646"/>
    <s v="71.393.571/0001-37"/>
    <x v="5"/>
    <x v="7"/>
    <n v="1715.82"/>
    <n v="0"/>
    <n v="0"/>
    <n v="0"/>
    <n v="0"/>
    <n v="0"/>
    <n v="1715.82"/>
    <s v=""/>
    <s v=""/>
    <s v=""/>
    <s v=""/>
    <s v=""/>
  </r>
  <r>
    <s v="SIM1647"/>
    <s v="57.908.287/0001-59"/>
    <x v="3"/>
    <x v="0"/>
    <n v="6577.6399999999994"/>
    <n v="0"/>
    <n v="0"/>
    <n v="0"/>
    <n v="0"/>
    <n v="0"/>
    <s v=""/>
    <n v="6577.6399999999994"/>
    <s v=""/>
    <s v=""/>
    <s v=""/>
    <s v=""/>
  </r>
  <r>
    <s v="SIM1648"/>
    <s v="12.295.211/0001-58"/>
    <x v="2"/>
    <x v="5"/>
    <n v="13337.36"/>
    <n v="0"/>
    <n v="0"/>
    <n v="0"/>
    <n v="0"/>
    <n v="0"/>
    <s v=""/>
    <s v=""/>
    <s v=""/>
    <n v="13337.36"/>
    <s v=""/>
    <s v=""/>
  </r>
  <r>
    <s v="SIM1649"/>
    <s v="22.886.747/0001-80"/>
    <x v="0"/>
    <x v="2"/>
    <n v="5165.9399999999996"/>
    <n v="0"/>
    <n v="4402.62"/>
    <n v="763.32"/>
    <n v="0"/>
    <n v="0"/>
    <s v=""/>
    <s v=""/>
    <s v=""/>
    <s v=""/>
    <s v=""/>
    <n v="5165.9399999999996"/>
  </r>
  <r>
    <s v="SIM1650"/>
    <s v="28.218.268/0001-71"/>
    <x v="3"/>
    <x v="9"/>
    <n v="507.69"/>
    <n v="0"/>
    <n v="0"/>
    <n v="0"/>
    <n v="0"/>
    <n v="0"/>
    <s v=""/>
    <n v="507.69"/>
    <s v=""/>
    <s v=""/>
    <s v=""/>
    <s v=""/>
  </r>
  <r>
    <s v="SIM1651"/>
    <s v="62.543.468/0001-14"/>
    <x v="4"/>
    <x v="11"/>
    <n v="4683.2"/>
    <n v="0"/>
    <n v="0"/>
    <n v="0"/>
    <n v="0"/>
    <n v="0"/>
    <s v=""/>
    <s v=""/>
    <s v=""/>
    <s v=""/>
    <n v="4683.2"/>
    <s v=""/>
  </r>
  <r>
    <s v="SIM1652"/>
    <s v="80.653.881/0001-26"/>
    <x v="0"/>
    <x v="8"/>
    <n v="5041.01"/>
    <n v="0"/>
    <n v="2102.92"/>
    <n v="1516.08"/>
    <n v="0"/>
    <n v="1422.01"/>
    <s v=""/>
    <s v=""/>
    <s v=""/>
    <s v=""/>
    <s v=""/>
    <n v="5041.01"/>
  </r>
  <r>
    <s v="SIM1653"/>
    <s v="93.375.401/0001-16"/>
    <x v="5"/>
    <x v="2"/>
    <n v="1964.44"/>
    <n v="0"/>
    <n v="0"/>
    <n v="0"/>
    <n v="0"/>
    <n v="0"/>
    <n v="1964.44"/>
    <s v=""/>
    <s v=""/>
    <s v=""/>
    <s v=""/>
    <s v=""/>
  </r>
  <r>
    <s v="SIM1654"/>
    <s v="44.858.419/0001-10"/>
    <x v="1"/>
    <x v="7"/>
    <n v="12437.99"/>
    <n v="0"/>
    <n v="0"/>
    <n v="0"/>
    <n v="0"/>
    <n v="0"/>
    <s v=""/>
    <s v=""/>
    <n v="12437.99"/>
    <s v=""/>
    <s v=""/>
    <s v=""/>
  </r>
  <r>
    <s v="SIM1655"/>
    <s v="42.928.163/0001-20"/>
    <x v="5"/>
    <x v="5"/>
    <n v="15097.66"/>
    <n v="0"/>
    <n v="0"/>
    <n v="0"/>
    <n v="0"/>
    <n v="0"/>
    <n v="15097.66"/>
    <s v=""/>
    <s v=""/>
    <s v=""/>
    <s v=""/>
    <s v=""/>
  </r>
  <r>
    <s v="SIM1656"/>
    <s v="98.146.462/0001-29"/>
    <x v="0"/>
    <x v="5"/>
    <n v="2621.13"/>
    <n v="0"/>
    <n v="0"/>
    <n v="2621.13"/>
    <n v="0"/>
    <n v="0"/>
    <s v=""/>
    <s v=""/>
    <s v=""/>
    <s v=""/>
    <s v=""/>
    <n v="2621.13"/>
  </r>
  <r>
    <s v="SIM1657"/>
    <s v="81.336.356/0001-65"/>
    <x v="5"/>
    <x v="11"/>
    <n v="14944.68"/>
    <n v="0"/>
    <n v="0"/>
    <n v="0"/>
    <n v="0"/>
    <n v="0"/>
    <n v="14944.68"/>
    <s v=""/>
    <s v=""/>
    <s v=""/>
    <s v=""/>
    <s v=""/>
  </r>
  <r>
    <s v="SIM1658"/>
    <s v="26.383.136/0001-65"/>
    <x v="4"/>
    <x v="0"/>
    <n v="16933.84"/>
    <n v="0"/>
    <n v="0"/>
    <n v="0"/>
    <n v="0"/>
    <n v="0"/>
    <s v=""/>
    <s v=""/>
    <s v=""/>
    <s v=""/>
    <n v="16933.84"/>
    <s v=""/>
  </r>
  <r>
    <s v="SIM1659"/>
    <s v="42.859.829/0001-99"/>
    <x v="0"/>
    <x v="5"/>
    <n v="31646.090000000004"/>
    <n v="7471.15"/>
    <n v="2497.96"/>
    <n v="0"/>
    <n v="8925.2199999999993"/>
    <n v="12751.76"/>
    <s v=""/>
    <s v=""/>
    <s v=""/>
    <s v=""/>
    <s v=""/>
    <n v="31646.090000000004"/>
  </r>
  <r>
    <s v="SIM1660"/>
    <s v="48.262.553/0001-17"/>
    <x v="3"/>
    <x v="4"/>
    <n v="7427.24"/>
    <n v="0"/>
    <n v="0"/>
    <n v="0"/>
    <n v="0"/>
    <n v="0"/>
    <s v=""/>
    <n v="7427.24"/>
    <s v=""/>
    <s v=""/>
    <s v=""/>
    <s v=""/>
  </r>
  <r>
    <s v="SIM1661"/>
    <s v="12.979.624/0001-24"/>
    <x v="3"/>
    <x v="10"/>
    <n v="11886.33"/>
    <n v="0"/>
    <n v="0"/>
    <n v="0"/>
    <n v="0"/>
    <n v="0"/>
    <s v=""/>
    <n v="11886.33"/>
    <s v=""/>
    <s v=""/>
    <s v=""/>
    <s v=""/>
  </r>
  <r>
    <s v="SIM1662"/>
    <s v="68.526.376/0001-33"/>
    <x v="5"/>
    <x v="8"/>
    <n v="1659.8200000000002"/>
    <n v="0"/>
    <n v="0"/>
    <n v="0"/>
    <n v="0"/>
    <n v="0"/>
    <n v="1659.8200000000002"/>
    <s v=""/>
    <s v=""/>
    <s v=""/>
    <s v=""/>
    <s v=""/>
  </r>
  <r>
    <s v="SIM1663"/>
    <s v="55.115.138/0001-19"/>
    <x v="5"/>
    <x v="5"/>
    <n v="9654.34"/>
    <n v="0"/>
    <n v="0"/>
    <n v="0"/>
    <n v="0"/>
    <n v="0"/>
    <n v="9654.34"/>
    <s v=""/>
    <s v=""/>
    <s v=""/>
    <s v=""/>
    <s v=""/>
  </r>
  <r>
    <s v="SIM1664"/>
    <s v="57.843.951/0001-21"/>
    <x v="1"/>
    <x v="0"/>
    <n v="7675.16"/>
    <n v="0"/>
    <n v="0"/>
    <n v="0"/>
    <n v="0"/>
    <n v="0"/>
    <s v=""/>
    <s v=""/>
    <n v="7675.16"/>
    <s v=""/>
    <s v=""/>
    <s v=""/>
  </r>
  <r>
    <s v="SIM1665"/>
    <s v="33.805.802/0001-15"/>
    <x v="2"/>
    <x v="3"/>
    <n v="3528.6"/>
    <n v="0"/>
    <n v="0"/>
    <n v="0"/>
    <n v="0"/>
    <n v="0"/>
    <s v=""/>
    <s v=""/>
    <s v=""/>
    <n v="3528.6"/>
    <s v=""/>
    <s v=""/>
  </r>
  <r>
    <s v="SIM1666"/>
    <s v="50.717.678/0001-45"/>
    <x v="1"/>
    <x v="2"/>
    <n v="27258.42"/>
    <n v="0"/>
    <n v="0"/>
    <n v="0"/>
    <n v="0"/>
    <n v="0"/>
    <s v=""/>
    <s v=""/>
    <n v="27258.42"/>
    <s v=""/>
    <s v=""/>
    <s v=""/>
  </r>
  <r>
    <s v="SIM1667"/>
    <s v="23.756.256/0001-62"/>
    <x v="2"/>
    <x v="8"/>
    <n v="19797.7"/>
    <n v="0"/>
    <n v="0"/>
    <n v="0"/>
    <n v="0"/>
    <n v="0"/>
    <s v=""/>
    <s v=""/>
    <s v=""/>
    <n v="19797.7"/>
    <s v=""/>
    <s v=""/>
  </r>
  <r>
    <s v="SIM1668"/>
    <s v="14.967.525/0001-82"/>
    <x v="3"/>
    <x v="4"/>
    <n v="18005.46"/>
    <n v="0"/>
    <n v="0"/>
    <n v="0"/>
    <n v="0"/>
    <n v="0"/>
    <s v=""/>
    <n v="18005.46"/>
    <s v=""/>
    <s v=""/>
    <s v=""/>
    <s v=""/>
  </r>
  <r>
    <s v="SIM1669"/>
    <s v="65.154.184/0001-48"/>
    <x v="0"/>
    <x v="9"/>
    <n v="8576.5399999999991"/>
    <n v="7257.4"/>
    <n v="1319.14"/>
    <n v="0"/>
    <n v="0"/>
    <n v="0"/>
    <s v=""/>
    <s v=""/>
    <s v=""/>
    <s v=""/>
    <s v=""/>
    <n v="8576.5399999999991"/>
  </r>
  <r>
    <s v="SIM1670"/>
    <s v="73.334.637/0001-89"/>
    <x v="2"/>
    <x v="3"/>
    <n v="6713.91"/>
    <n v="0"/>
    <n v="0"/>
    <n v="0"/>
    <n v="0"/>
    <n v="0"/>
    <s v=""/>
    <s v=""/>
    <s v=""/>
    <n v="6713.91"/>
    <s v=""/>
    <s v=""/>
  </r>
  <r>
    <s v="SIM1671"/>
    <s v="54.211.795/0001-42"/>
    <x v="0"/>
    <x v="2"/>
    <n v="12300.35"/>
    <n v="5474.87"/>
    <n v="0"/>
    <n v="639.76"/>
    <n v="4147.95"/>
    <n v="2037.77"/>
    <s v=""/>
    <s v=""/>
    <s v=""/>
    <s v=""/>
    <s v=""/>
    <n v="12300.35"/>
  </r>
  <r>
    <s v="SIM1672"/>
    <s v="22.153.713/0001-61"/>
    <x v="0"/>
    <x v="1"/>
    <n v="4683.25"/>
    <n v="1750.12"/>
    <n v="1699.68"/>
    <n v="0"/>
    <n v="1233.45"/>
    <n v="0"/>
    <s v=""/>
    <s v=""/>
    <s v=""/>
    <s v=""/>
    <s v=""/>
    <n v="4683.25"/>
  </r>
  <r>
    <s v="SIM1673"/>
    <s v="80.420.477/0001-23"/>
    <x v="3"/>
    <x v="7"/>
    <n v="3993.8199999999997"/>
    <n v="0"/>
    <n v="0"/>
    <n v="0"/>
    <n v="0"/>
    <n v="0"/>
    <s v=""/>
    <n v="3993.8199999999997"/>
    <s v=""/>
    <s v=""/>
    <s v=""/>
    <s v=""/>
  </r>
  <r>
    <s v="SIM1674"/>
    <s v="78.983.303/0001-28"/>
    <x v="5"/>
    <x v="4"/>
    <n v="1321.72"/>
    <n v="0"/>
    <n v="0"/>
    <n v="0"/>
    <n v="0"/>
    <n v="0"/>
    <n v="1321.72"/>
    <s v=""/>
    <s v=""/>
    <s v=""/>
    <s v=""/>
    <s v=""/>
  </r>
  <r>
    <s v="SIM1675"/>
    <s v="94.958.291/0001-30"/>
    <x v="4"/>
    <x v="9"/>
    <n v="15836.06"/>
    <n v="0"/>
    <n v="0"/>
    <n v="0"/>
    <n v="0"/>
    <n v="0"/>
    <s v=""/>
    <s v=""/>
    <s v=""/>
    <s v=""/>
    <n v="15836.06"/>
    <s v=""/>
  </r>
  <r>
    <s v="SIM1676"/>
    <s v="95.475.906/0001-68"/>
    <x v="0"/>
    <x v="11"/>
    <n v="18600.41"/>
    <n v="4474.46"/>
    <n v="0"/>
    <n v="0"/>
    <n v="0"/>
    <n v="14125.95"/>
    <s v=""/>
    <s v=""/>
    <s v=""/>
    <s v=""/>
    <s v=""/>
    <n v="18600.41"/>
  </r>
  <r>
    <s v="SIM1677"/>
    <s v="16.584.692/0001-31"/>
    <x v="4"/>
    <x v="0"/>
    <n v="10217.1"/>
    <n v="0"/>
    <n v="0"/>
    <n v="0"/>
    <n v="0"/>
    <n v="0"/>
    <s v=""/>
    <s v=""/>
    <s v=""/>
    <s v=""/>
    <n v="10217.1"/>
    <s v=""/>
  </r>
  <r>
    <s v="SIM1678"/>
    <s v="48.169.498/0001-98"/>
    <x v="0"/>
    <x v="3"/>
    <n v="4341.18"/>
    <n v="0"/>
    <n v="0"/>
    <n v="563.95000000000005"/>
    <n v="0"/>
    <n v="3777.23"/>
    <s v=""/>
    <s v=""/>
    <s v=""/>
    <s v=""/>
    <s v=""/>
    <n v="4341.18"/>
  </r>
  <r>
    <s v="SIM1679"/>
    <s v="20.927.279/0001-10"/>
    <x v="4"/>
    <x v="6"/>
    <n v="16391.509999999998"/>
    <n v="0"/>
    <n v="0"/>
    <n v="0"/>
    <n v="0"/>
    <n v="0"/>
    <s v=""/>
    <s v=""/>
    <s v=""/>
    <s v=""/>
    <n v="16391.509999999998"/>
    <s v=""/>
  </r>
  <r>
    <s v="SIM1680"/>
    <s v="94.280.255/0001-15"/>
    <x v="2"/>
    <x v="11"/>
    <n v="20046.830000000002"/>
    <n v="0"/>
    <n v="0"/>
    <n v="0"/>
    <n v="0"/>
    <n v="0"/>
    <s v=""/>
    <s v=""/>
    <s v=""/>
    <n v="20046.830000000002"/>
    <s v=""/>
    <s v=""/>
  </r>
  <r>
    <s v="SIM1681"/>
    <s v="53.911.443/0001-32"/>
    <x v="0"/>
    <x v="0"/>
    <n v="6642.34"/>
    <n v="1896.01"/>
    <n v="4746.33"/>
    <n v="0"/>
    <n v="0"/>
    <n v="0"/>
    <s v=""/>
    <s v=""/>
    <s v=""/>
    <s v=""/>
    <s v=""/>
    <n v="6642.34"/>
  </r>
  <r>
    <s v="SIM1682"/>
    <s v="45.314.113/0001-43"/>
    <x v="1"/>
    <x v="1"/>
    <n v="18079"/>
    <n v="0"/>
    <n v="0"/>
    <n v="0"/>
    <n v="0"/>
    <n v="0"/>
    <s v=""/>
    <s v=""/>
    <n v="18079"/>
    <s v=""/>
    <s v=""/>
    <s v=""/>
  </r>
  <r>
    <s v="SIM1683"/>
    <s v="33.383.495/0001-88"/>
    <x v="2"/>
    <x v="10"/>
    <n v="7725.8"/>
    <n v="0"/>
    <n v="0"/>
    <n v="0"/>
    <n v="0"/>
    <n v="0"/>
    <s v=""/>
    <s v=""/>
    <s v=""/>
    <n v="7725.8"/>
    <s v=""/>
    <s v=""/>
  </r>
  <r>
    <s v="SIM1684"/>
    <s v="89.889.492/0001-51"/>
    <x v="3"/>
    <x v="7"/>
    <n v="9333.8799999999992"/>
    <n v="0"/>
    <n v="0"/>
    <n v="0"/>
    <n v="0"/>
    <n v="0"/>
    <s v=""/>
    <n v="9333.8799999999992"/>
    <s v=""/>
    <s v=""/>
    <s v=""/>
    <s v=""/>
  </r>
  <r>
    <s v="SIM1685"/>
    <s v="21.904.600/0001-71"/>
    <x v="0"/>
    <x v="5"/>
    <n v="13852.84"/>
    <n v="0"/>
    <n v="0"/>
    <n v="1811.1"/>
    <n v="7402.34"/>
    <n v="4639.3999999999996"/>
    <s v=""/>
    <s v=""/>
    <s v=""/>
    <s v=""/>
    <s v=""/>
    <n v="13852.84"/>
  </r>
  <r>
    <s v="SIM1686"/>
    <s v="39.751.967/0001-39"/>
    <x v="3"/>
    <x v="7"/>
    <n v="17049.739999999998"/>
    <n v="0"/>
    <n v="0"/>
    <n v="0"/>
    <n v="0"/>
    <n v="0"/>
    <s v=""/>
    <n v="17049.739999999998"/>
    <s v=""/>
    <s v=""/>
    <s v=""/>
    <s v=""/>
  </r>
  <r>
    <s v="SIM1687"/>
    <s v="48.985.571/0001-80"/>
    <x v="2"/>
    <x v="9"/>
    <n v="12906.15"/>
    <n v="0"/>
    <n v="0"/>
    <n v="0"/>
    <n v="0"/>
    <n v="0"/>
    <s v=""/>
    <s v=""/>
    <s v=""/>
    <n v="12906.15"/>
    <s v=""/>
    <s v=""/>
  </r>
  <r>
    <s v="SIM1688"/>
    <s v="51.439.238/0001-48"/>
    <x v="0"/>
    <x v="2"/>
    <n v="18207.38"/>
    <n v="3457.9"/>
    <n v="2874.15"/>
    <n v="0"/>
    <n v="11587.22"/>
    <n v="288.11"/>
    <s v=""/>
    <s v=""/>
    <s v=""/>
    <s v=""/>
    <s v=""/>
    <n v="18207.38"/>
  </r>
  <r>
    <s v="SIM1689"/>
    <s v="24.534.341/0001-96"/>
    <x v="1"/>
    <x v="5"/>
    <n v="9868.7999999999993"/>
    <n v="0"/>
    <n v="0"/>
    <n v="0"/>
    <n v="0"/>
    <n v="0"/>
    <s v=""/>
    <s v=""/>
    <n v="9868.7999999999993"/>
    <s v=""/>
    <s v=""/>
    <s v=""/>
  </r>
  <r>
    <s v="SIM1690"/>
    <s v="36.867.180/0001-43"/>
    <x v="2"/>
    <x v="6"/>
    <n v="14097.45"/>
    <n v="0"/>
    <n v="0"/>
    <n v="0"/>
    <n v="0"/>
    <n v="0"/>
    <s v=""/>
    <s v=""/>
    <s v=""/>
    <n v="14097.45"/>
    <s v=""/>
    <s v=""/>
  </r>
  <r>
    <s v="SIM1691"/>
    <s v="88.416.769/0001-45"/>
    <x v="4"/>
    <x v="8"/>
    <n v="9580.5099999999984"/>
    <n v="0"/>
    <n v="0"/>
    <n v="0"/>
    <n v="0"/>
    <n v="0"/>
    <s v=""/>
    <s v=""/>
    <s v=""/>
    <s v=""/>
    <n v="9580.5099999999984"/>
    <s v=""/>
  </r>
  <r>
    <s v="SIM1692"/>
    <s v="62.334.500/0001-38"/>
    <x v="3"/>
    <x v="2"/>
    <n v="12739.02"/>
    <n v="0"/>
    <n v="0"/>
    <n v="0"/>
    <n v="0"/>
    <n v="0"/>
    <s v=""/>
    <n v="12739.02"/>
    <s v=""/>
    <s v=""/>
    <s v=""/>
    <s v=""/>
  </r>
  <r>
    <s v="SIM1693"/>
    <s v="41.165.916/0001-90"/>
    <x v="3"/>
    <x v="2"/>
    <n v="15184.670000000002"/>
    <n v="0"/>
    <n v="0"/>
    <n v="0"/>
    <n v="0"/>
    <n v="0"/>
    <s v=""/>
    <n v="15184.670000000002"/>
    <s v=""/>
    <s v=""/>
    <s v=""/>
    <s v=""/>
  </r>
  <r>
    <s v="SIM1694"/>
    <s v="29.508.509/0001-48"/>
    <x v="1"/>
    <x v="5"/>
    <n v="7792.32"/>
    <n v="0"/>
    <n v="0"/>
    <n v="0"/>
    <n v="0"/>
    <n v="0"/>
    <s v=""/>
    <s v=""/>
    <n v="7792.32"/>
    <s v=""/>
    <s v=""/>
    <s v=""/>
  </r>
  <r>
    <s v="SIM1695"/>
    <s v="51.509.753/0001-88"/>
    <x v="5"/>
    <x v="9"/>
    <n v="13406.13"/>
    <n v="0"/>
    <n v="0"/>
    <n v="0"/>
    <n v="0"/>
    <n v="0"/>
    <n v="13406.13"/>
    <s v=""/>
    <s v=""/>
    <s v=""/>
    <s v=""/>
    <s v=""/>
  </r>
  <r>
    <s v="SIM1696"/>
    <s v="65.534.705/0001-36"/>
    <x v="5"/>
    <x v="4"/>
    <n v="846.91"/>
    <n v="0"/>
    <n v="0"/>
    <n v="0"/>
    <n v="0"/>
    <n v="0"/>
    <n v="846.91"/>
    <s v=""/>
    <s v=""/>
    <s v=""/>
    <s v=""/>
    <s v=""/>
  </r>
  <r>
    <s v="SIM1697"/>
    <s v="47.196.770/0001-80"/>
    <x v="5"/>
    <x v="5"/>
    <n v="19035.939999999999"/>
    <n v="0"/>
    <n v="0"/>
    <n v="0"/>
    <n v="0"/>
    <n v="0"/>
    <n v="19035.939999999999"/>
    <s v=""/>
    <s v=""/>
    <s v=""/>
    <s v=""/>
    <s v=""/>
  </r>
  <r>
    <s v="SIM1698"/>
    <s v="89.750.867/0001-24"/>
    <x v="2"/>
    <x v="8"/>
    <n v="9720.2000000000007"/>
    <n v="0"/>
    <n v="0"/>
    <n v="0"/>
    <n v="0"/>
    <n v="0"/>
    <s v=""/>
    <s v=""/>
    <s v=""/>
    <n v="9720.2000000000007"/>
    <s v=""/>
    <s v=""/>
  </r>
  <r>
    <s v="SIM1699"/>
    <s v="24.559.860/0001-18"/>
    <x v="3"/>
    <x v="0"/>
    <n v="15227.86"/>
    <n v="0"/>
    <n v="0"/>
    <n v="0"/>
    <n v="0"/>
    <n v="0"/>
    <s v=""/>
    <n v="15227.86"/>
    <s v=""/>
    <s v=""/>
    <s v=""/>
    <s v=""/>
  </r>
  <r>
    <s v="SIM1700"/>
    <s v="61.337.896/0001-98"/>
    <x v="3"/>
    <x v="3"/>
    <n v="2851.84"/>
    <n v="0"/>
    <n v="0"/>
    <n v="0"/>
    <n v="0"/>
    <n v="0"/>
    <s v=""/>
    <n v="2851.84"/>
    <s v=""/>
    <s v=""/>
    <s v=""/>
    <s v=""/>
  </r>
  <r>
    <s v="SIM1701"/>
    <s v="93.558.501/0001-79"/>
    <x v="1"/>
    <x v="1"/>
    <n v="1414.9"/>
    <n v="0"/>
    <n v="0"/>
    <n v="0"/>
    <n v="0"/>
    <n v="0"/>
    <s v=""/>
    <s v=""/>
    <n v="1414.9"/>
    <s v=""/>
    <s v=""/>
    <s v=""/>
  </r>
  <r>
    <s v="SIM1702"/>
    <s v="78.407.701/0001-70"/>
    <x v="5"/>
    <x v="0"/>
    <n v="9755.0600000000013"/>
    <n v="0"/>
    <n v="0"/>
    <n v="0"/>
    <n v="0"/>
    <n v="0"/>
    <n v="9755.0600000000013"/>
    <s v=""/>
    <s v=""/>
    <s v=""/>
    <s v=""/>
    <s v=""/>
  </r>
  <r>
    <s v="SIM1703"/>
    <s v="38.502.417/0001-60"/>
    <x v="1"/>
    <x v="2"/>
    <n v="8379.07"/>
    <n v="0"/>
    <n v="0"/>
    <n v="0"/>
    <n v="0"/>
    <n v="0"/>
    <s v=""/>
    <s v=""/>
    <n v="8379.07"/>
    <s v=""/>
    <s v=""/>
    <s v=""/>
  </r>
  <r>
    <s v="SIM1704"/>
    <s v="52.818.640/0001-96"/>
    <x v="3"/>
    <x v="11"/>
    <n v="6025.64"/>
    <n v="0"/>
    <n v="0"/>
    <n v="0"/>
    <n v="0"/>
    <n v="0"/>
    <s v=""/>
    <n v="6025.64"/>
    <s v=""/>
    <s v=""/>
    <s v=""/>
    <s v=""/>
  </r>
  <r>
    <s v="SIM1705"/>
    <s v="34.744.329/0001-61"/>
    <x v="5"/>
    <x v="3"/>
    <n v="12611.78"/>
    <n v="0"/>
    <n v="0"/>
    <n v="0"/>
    <n v="0"/>
    <n v="0"/>
    <n v="12611.78"/>
    <s v=""/>
    <s v=""/>
    <s v=""/>
    <s v=""/>
    <s v=""/>
  </r>
  <r>
    <s v="SIM1706"/>
    <s v="40.807.238/0001-16"/>
    <x v="2"/>
    <x v="0"/>
    <n v="16868.8"/>
    <n v="0"/>
    <n v="0"/>
    <n v="0"/>
    <n v="0"/>
    <n v="0"/>
    <s v=""/>
    <s v=""/>
    <s v=""/>
    <n v="16868.8"/>
    <s v=""/>
    <s v=""/>
  </r>
  <r>
    <s v="SIM1707"/>
    <s v="86.664.464/0001-89"/>
    <x v="2"/>
    <x v="11"/>
    <n v="7737.65"/>
    <n v="0"/>
    <n v="0"/>
    <n v="0"/>
    <n v="0"/>
    <n v="0"/>
    <s v=""/>
    <s v=""/>
    <s v=""/>
    <n v="7737.65"/>
    <s v=""/>
    <s v=""/>
  </r>
  <r>
    <s v="SIM1708"/>
    <s v="49.692.869/0001-69"/>
    <x v="2"/>
    <x v="3"/>
    <n v="9831.93"/>
    <n v="0"/>
    <n v="0"/>
    <n v="0"/>
    <n v="0"/>
    <n v="0"/>
    <s v=""/>
    <s v=""/>
    <s v=""/>
    <n v="9831.93"/>
    <s v=""/>
    <s v=""/>
  </r>
  <r>
    <s v="SIM1709"/>
    <s v="78.134.292/0001-98"/>
    <x v="4"/>
    <x v="11"/>
    <n v="7345.9500000000007"/>
    <n v="0"/>
    <n v="0"/>
    <n v="0"/>
    <n v="0"/>
    <n v="0"/>
    <s v=""/>
    <s v=""/>
    <s v=""/>
    <s v=""/>
    <n v="7345.9500000000007"/>
    <s v=""/>
  </r>
  <r>
    <s v="SIM1710"/>
    <s v="56.810.472/0001-21"/>
    <x v="1"/>
    <x v="7"/>
    <n v="1221.44"/>
    <n v="0"/>
    <n v="0"/>
    <n v="0"/>
    <n v="0"/>
    <n v="0"/>
    <s v=""/>
    <s v=""/>
    <n v="1221.44"/>
    <s v=""/>
    <s v=""/>
    <s v=""/>
  </r>
  <r>
    <s v="SIM1711"/>
    <s v="61.134.317/0001-56"/>
    <x v="5"/>
    <x v="0"/>
    <n v="4833.12"/>
    <n v="0"/>
    <n v="0"/>
    <n v="0"/>
    <n v="0"/>
    <n v="0"/>
    <n v="4833.12"/>
    <s v=""/>
    <s v=""/>
    <s v=""/>
    <s v=""/>
    <s v=""/>
  </r>
  <r>
    <s v="SIM1712"/>
    <s v="14.859.700/0001-74"/>
    <x v="1"/>
    <x v="5"/>
    <n v="20476.93"/>
    <n v="0"/>
    <n v="0"/>
    <n v="0"/>
    <n v="0"/>
    <n v="0"/>
    <s v=""/>
    <s v=""/>
    <n v="20476.93"/>
    <s v=""/>
    <s v=""/>
    <s v=""/>
  </r>
  <r>
    <s v="SIM1713"/>
    <s v="96.258.506/0001-51"/>
    <x v="5"/>
    <x v="3"/>
    <n v="11228.98"/>
    <n v="0"/>
    <n v="0"/>
    <n v="0"/>
    <n v="0"/>
    <n v="0"/>
    <n v="11228.98"/>
    <s v=""/>
    <s v=""/>
    <s v=""/>
    <s v=""/>
    <s v=""/>
  </r>
  <r>
    <s v="SIM1714"/>
    <s v="92.846.699/0001-47"/>
    <x v="5"/>
    <x v="10"/>
    <n v="1871.77"/>
    <n v="0"/>
    <n v="0"/>
    <n v="0"/>
    <n v="0"/>
    <n v="0"/>
    <n v="1871.77"/>
    <s v=""/>
    <s v=""/>
    <s v=""/>
    <s v=""/>
    <s v=""/>
  </r>
  <r>
    <s v="SIM1715"/>
    <s v="70.479.599/0001-66"/>
    <x v="0"/>
    <x v="10"/>
    <n v="9949.24"/>
    <n v="0"/>
    <n v="0"/>
    <n v="0"/>
    <n v="9949.24"/>
    <n v="0"/>
    <s v=""/>
    <s v=""/>
    <s v=""/>
    <s v=""/>
    <s v=""/>
    <n v="9949.24"/>
  </r>
  <r>
    <s v="SIM1716"/>
    <s v="76.919.408/0001-36"/>
    <x v="2"/>
    <x v="5"/>
    <n v="11970.619999999999"/>
    <n v="0"/>
    <n v="0"/>
    <n v="0"/>
    <n v="0"/>
    <n v="0"/>
    <s v=""/>
    <s v=""/>
    <s v=""/>
    <n v="11970.619999999999"/>
    <s v=""/>
    <s v=""/>
  </r>
  <r>
    <s v="SIM1717"/>
    <s v="39.630.552/0001-16"/>
    <x v="2"/>
    <x v="3"/>
    <n v="7136.2199999999993"/>
    <n v="0"/>
    <n v="0"/>
    <n v="0"/>
    <n v="0"/>
    <n v="0"/>
    <s v=""/>
    <s v=""/>
    <s v=""/>
    <n v="7136.2199999999993"/>
    <s v=""/>
    <s v=""/>
  </r>
  <r>
    <s v="SIM1718"/>
    <s v="77.788.544/0001-41"/>
    <x v="0"/>
    <x v="11"/>
    <n v="4090.68"/>
    <n v="0"/>
    <n v="0"/>
    <n v="4090.68"/>
    <n v="0"/>
    <n v="0"/>
    <s v=""/>
    <s v=""/>
    <s v=""/>
    <s v=""/>
    <s v=""/>
    <n v="4090.68"/>
  </r>
  <r>
    <s v="SIM1719"/>
    <s v="83.104.890/0001-89"/>
    <x v="1"/>
    <x v="9"/>
    <n v="7340.06"/>
    <n v="0"/>
    <n v="0"/>
    <n v="0"/>
    <n v="0"/>
    <n v="0"/>
    <s v=""/>
    <s v=""/>
    <n v="7340.06"/>
    <s v=""/>
    <s v=""/>
    <s v=""/>
  </r>
  <r>
    <s v="SIM1720"/>
    <s v="25.845.547/0001-12"/>
    <x v="5"/>
    <x v="3"/>
    <n v="7726.45"/>
    <n v="0"/>
    <n v="0"/>
    <n v="0"/>
    <n v="0"/>
    <n v="0"/>
    <n v="7726.45"/>
    <s v=""/>
    <s v=""/>
    <s v=""/>
    <s v=""/>
    <s v=""/>
  </r>
  <r>
    <s v="SIM1721"/>
    <s v="29.120.773/0001-89"/>
    <x v="2"/>
    <x v="1"/>
    <n v="3306.03"/>
    <n v="0"/>
    <n v="0"/>
    <n v="0"/>
    <n v="0"/>
    <n v="0"/>
    <s v=""/>
    <s v=""/>
    <s v=""/>
    <n v="3306.03"/>
    <s v=""/>
    <s v=""/>
  </r>
  <r>
    <s v="SIM1722"/>
    <s v="99.318.390/0001-15"/>
    <x v="0"/>
    <x v="5"/>
    <n v="4924.82"/>
    <n v="0"/>
    <n v="562.19000000000005"/>
    <n v="0"/>
    <n v="0"/>
    <n v="4362.63"/>
    <s v=""/>
    <s v=""/>
    <s v=""/>
    <s v=""/>
    <s v=""/>
    <n v="4924.82"/>
  </r>
  <r>
    <s v="SIM1723"/>
    <s v="47.626.382/0001-95"/>
    <x v="0"/>
    <x v="6"/>
    <n v="13378.079999999998"/>
    <n v="2150"/>
    <n v="4028.15"/>
    <n v="2315.04"/>
    <n v="0"/>
    <n v="4884.8900000000003"/>
    <s v=""/>
    <s v=""/>
    <s v=""/>
    <s v=""/>
    <s v=""/>
    <n v="13378.079999999998"/>
  </r>
  <r>
    <s v="SIM1724"/>
    <s v="94.180.923/0001-99"/>
    <x v="4"/>
    <x v="6"/>
    <n v="13778.150000000001"/>
    <n v="0"/>
    <n v="0"/>
    <n v="0"/>
    <n v="0"/>
    <n v="0"/>
    <s v=""/>
    <s v=""/>
    <s v=""/>
    <s v=""/>
    <n v="13778.150000000001"/>
    <s v=""/>
  </r>
  <r>
    <s v="SIM1725"/>
    <s v="46.614.784/0001-30"/>
    <x v="3"/>
    <x v="3"/>
    <n v="6789.380000000001"/>
    <n v="0"/>
    <n v="0"/>
    <n v="0"/>
    <n v="0"/>
    <n v="0"/>
    <s v=""/>
    <n v="6789.380000000001"/>
    <s v=""/>
    <s v=""/>
    <s v=""/>
    <s v=""/>
  </r>
  <r>
    <s v="SIM1726"/>
    <s v="65.825.508/0001-48"/>
    <x v="4"/>
    <x v="3"/>
    <n v="4553"/>
    <n v="0"/>
    <n v="0"/>
    <n v="0"/>
    <n v="0"/>
    <n v="0"/>
    <s v=""/>
    <s v=""/>
    <s v=""/>
    <s v=""/>
    <n v="4553"/>
    <s v=""/>
  </r>
  <r>
    <s v="SIM1727"/>
    <s v="57.842.730/0001-43"/>
    <x v="3"/>
    <x v="10"/>
    <n v="18909.96"/>
    <n v="0"/>
    <n v="0"/>
    <n v="0"/>
    <n v="0"/>
    <n v="0"/>
    <s v=""/>
    <n v="18909.96"/>
    <s v=""/>
    <s v=""/>
    <s v=""/>
    <s v=""/>
  </r>
  <r>
    <s v="SIM1728"/>
    <s v="90.445.258/0001-59"/>
    <x v="5"/>
    <x v="1"/>
    <n v="5414.31"/>
    <n v="0"/>
    <n v="0"/>
    <n v="0"/>
    <n v="0"/>
    <n v="0"/>
    <n v="5414.31"/>
    <s v=""/>
    <s v=""/>
    <s v=""/>
    <s v=""/>
    <s v=""/>
  </r>
  <r>
    <s v="SIM1729"/>
    <s v="66.303.632/0001-15"/>
    <x v="4"/>
    <x v="0"/>
    <n v="3851.76"/>
    <n v="0"/>
    <n v="0"/>
    <n v="0"/>
    <n v="0"/>
    <n v="0"/>
    <s v=""/>
    <s v=""/>
    <s v=""/>
    <s v=""/>
    <n v="3851.76"/>
    <s v=""/>
  </r>
  <r>
    <s v="SIM1730"/>
    <s v="96.193.784/0001-42"/>
    <x v="4"/>
    <x v="11"/>
    <n v="8762.6299999999992"/>
    <n v="0"/>
    <n v="0"/>
    <n v="0"/>
    <n v="0"/>
    <n v="0"/>
    <s v=""/>
    <s v=""/>
    <s v=""/>
    <s v=""/>
    <n v="8762.6299999999992"/>
    <s v=""/>
  </r>
  <r>
    <s v="SIM1731"/>
    <s v="93.493.709/0001-94"/>
    <x v="0"/>
    <x v="10"/>
    <n v="3392.02"/>
    <n v="3392.02"/>
    <n v="0"/>
    <n v="0"/>
    <n v="0"/>
    <n v="0"/>
    <s v=""/>
    <s v=""/>
    <s v=""/>
    <s v=""/>
    <s v=""/>
    <n v="3392.02"/>
  </r>
  <r>
    <s v="SIM1732"/>
    <s v="49.440.484/0001-97"/>
    <x v="3"/>
    <x v="1"/>
    <n v="4320.92"/>
    <n v="0"/>
    <n v="0"/>
    <n v="0"/>
    <n v="0"/>
    <n v="0"/>
    <s v=""/>
    <n v="4320.92"/>
    <s v=""/>
    <s v=""/>
    <s v=""/>
    <s v=""/>
  </r>
  <r>
    <s v="SIM1733"/>
    <s v="24.939.208/0001-59"/>
    <x v="3"/>
    <x v="0"/>
    <n v="6724.0099999999993"/>
    <n v="0"/>
    <n v="0"/>
    <n v="0"/>
    <n v="0"/>
    <n v="0"/>
    <s v=""/>
    <n v="6724.0099999999993"/>
    <s v=""/>
    <s v=""/>
    <s v=""/>
    <s v=""/>
  </r>
  <r>
    <s v="SIM1734"/>
    <s v="91.959.215/0001-50"/>
    <x v="5"/>
    <x v="6"/>
    <n v="1694.18"/>
    <n v="0"/>
    <n v="0"/>
    <n v="0"/>
    <n v="0"/>
    <n v="0"/>
    <n v="1694.18"/>
    <s v=""/>
    <s v=""/>
    <s v=""/>
    <s v=""/>
    <s v=""/>
  </r>
  <r>
    <s v="SIM1735"/>
    <s v="21.296.675/0001-16"/>
    <x v="5"/>
    <x v="7"/>
    <n v="13906.39"/>
    <n v="0"/>
    <n v="0"/>
    <n v="0"/>
    <n v="0"/>
    <n v="0"/>
    <n v="13906.39"/>
    <s v=""/>
    <s v=""/>
    <s v=""/>
    <s v=""/>
    <s v=""/>
  </r>
  <r>
    <s v="SIM1736"/>
    <s v="78.743.128/0001-45"/>
    <x v="3"/>
    <x v="2"/>
    <n v="11556.14"/>
    <n v="0"/>
    <n v="0"/>
    <n v="0"/>
    <n v="0"/>
    <n v="0"/>
    <s v=""/>
    <n v="11556.14"/>
    <s v=""/>
    <s v=""/>
    <s v=""/>
    <s v=""/>
  </r>
  <r>
    <s v="SIM1737"/>
    <s v="75.936.252/0001-96"/>
    <x v="2"/>
    <x v="3"/>
    <n v="14061.58"/>
    <n v="0"/>
    <n v="0"/>
    <n v="0"/>
    <n v="0"/>
    <n v="0"/>
    <s v=""/>
    <s v=""/>
    <s v=""/>
    <n v="14061.58"/>
    <s v=""/>
    <s v=""/>
  </r>
  <r>
    <s v="SIM1738"/>
    <s v="35.770.842/0001-50"/>
    <x v="4"/>
    <x v="10"/>
    <n v="13459.78"/>
    <n v="0"/>
    <n v="0"/>
    <n v="0"/>
    <n v="0"/>
    <n v="0"/>
    <s v=""/>
    <s v=""/>
    <s v=""/>
    <s v=""/>
    <n v="13459.78"/>
    <s v=""/>
  </r>
  <r>
    <s v="SIM1739"/>
    <s v="48.401.285/0001-94"/>
    <x v="2"/>
    <x v="2"/>
    <n v="481.97"/>
    <n v="0"/>
    <n v="0"/>
    <n v="0"/>
    <n v="0"/>
    <n v="0"/>
    <s v=""/>
    <s v=""/>
    <s v=""/>
    <n v="481.97"/>
    <s v=""/>
    <s v=""/>
  </r>
  <r>
    <s v="SIM1740"/>
    <s v="10.385.568/0001-86"/>
    <x v="1"/>
    <x v="1"/>
    <n v="4126.22"/>
    <n v="0"/>
    <n v="0"/>
    <n v="0"/>
    <n v="0"/>
    <n v="0"/>
    <s v=""/>
    <s v=""/>
    <n v="4126.22"/>
    <s v=""/>
    <s v=""/>
    <s v=""/>
  </r>
  <r>
    <s v="SIM1741"/>
    <s v="21.908.458/0001-95"/>
    <x v="0"/>
    <x v="3"/>
    <n v="23779.559999999998"/>
    <n v="5489.89"/>
    <n v="0"/>
    <n v="0"/>
    <n v="10874.57"/>
    <n v="7415.1"/>
    <s v=""/>
    <s v=""/>
    <s v=""/>
    <s v=""/>
    <s v=""/>
    <n v="23779.559999999998"/>
  </r>
  <r>
    <s v="SIM1742"/>
    <s v="53.268.146/0001-69"/>
    <x v="3"/>
    <x v="6"/>
    <n v="11111.810000000001"/>
    <n v="0"/>
    <n v="0"/>
    <n v="0"/>
    <n v="0"/>
    <n v="0"/>
    <s v=""/>
    <n v="11111.810000000001"/>
    <s v=""/>
    <s v=""/>
    <s v=""/>
    <s v=""/>
  </r>
  <r>
    <s v="SIM1743"/>
    <s v="97.385.212/0001-56"/>
    <x v="0"/>
    <x v="8"/>
    <n v="13353.169999999998"/>
    <n v="3732.33"/>
    <n v="2380.2399999999998"/>
    <n v="0"/>
    <n v="1923.57"/>
    <n v="5317.03"/>
    <s v=""/>
    <s v=""/>
    <s v=""/>
    <s v=""/>
    <s v=""/>
    <n v="13353.169999999998"/>
  </r>
  <r>
    <s v="SIM1744"/>
    <s v="41.280.756/0001-18"/>
    <x v="0"/>
    <x v="7"/>
    <n v="4581.24"/>
    <n v="0"/>
    <n v="3600.84"/>
    <n v="980.4"/>
    <n v="0"/>
    <n v="0"/>
    <s v=""/>
    <s v=""/>
    <s v=""/>
    <s v=""/>
    <s v=""/>
    <n v="4581.24"/>
  </r>
  <r>
    <s v="SIM1745"/>
    <s v="76.649.190/0001-73"/>
    <x v="1"/>
    <x v="3"/>
    <n v="18958.93"/>
    <n v="0"/>
    <n v="0"/>
    <n v="0"/>
    <n v="0"/>
    <n v="0"/>
    <s v=""/>
    <s v=""/>
    <n v="18958.93"/>
    <s v=""/>
    <s v=""/>
    <s v=""/>
  </r>
  <r>
    <s v="SIM1746"/>
    <s v="25.135.535/0001-64"/>
    <x v="0"/>
    <x v="1"/>
    <n v="7380.77"/>
    <n v="7380.77"/>
    <n v="0"/>
    <n v="0"/>
    <n v="0"/>
    <n v="0"/>
    <s v=""/>
    <s v=""/>
    <s v=""/>
    <s v=""/>
    <s v=""/>
    <n v="7380.77"/>
  </r>
  <r>
    <s v="SIM1747"/>
    <s v="53.615.495/0001-46"/>
    <x v="4"/>
    <x v="1"/>
    <n v="3554.94"/>
    <n v="0"/>
    <n v="0"/>
    <n v="0"/>
    <n v="0"/>
    <n v="0"/>
    <s v=""/>
    <s v=""/>
    <s v=""/>
    <s v=""/>
    <n v="3554.94"/>
    <s v=""/>
  </r>
  <r>
    <s v="SIM1748"/>
    <s v="99.996.435/0001-92"/>
    <x v="1"/>
    <x v="9"/>
    <n v="7028.49"/>
    <n v="0"/>
    <n v="0"/>
    <n v="0"/>
    <n v="0"/>
    <n v="0"/>
    <s v=""/>
    <s v=""/>
    <n v="7028.49"/>
    <s v=""/>
    <s v=""/>
    <s v=""/>
  </r>
  <r>
    <s v="SIM1749"/>
    <s v="65.910.480/0001-90"/>
    <x v="4"/>
    <x v="1"/>
    <n v="12533.65"/>
    <n v="0"/>
    <n v="0"/>
    <n v="0"/>
    <n v="0"/>
    <n v="0"/>
    <s v=""/>
    <s v=""/>
    <s v=""/>
    <s v=""/>
    <n v="12533.65"/>
    <s v=""/>
  </r>
  <r>
    <s v="SIM1750"/>
    <s v="62.517.992/0001-92"/>
    <x v="5"/>
    <x v="4"/>
    <n v="500.84"/>
    <n v="0"/>
    <n v="0"/>
    <n v="0"/>
    <n v="0"/>
    <n v="0"/>
    <n v="500.84"/>
    <s v=""/>
    <s v=""/>
    <s v=""/>
    <s v=""/>
    <s v=""/>
  </r>
  <r>
    <s v="SIM1751"/>
    <s v="32.104.619/0001-36"/>
    <x v="2"/>
    <x v="3"/>
    <n v="18761.23"/>
    <n v="0"/>
    <n v="0"/>
    <n v="0"/>
    <n v="0"/>
    <n v="0"/>
    <s v=""/>
    <s v=""/>
    <s v=""/>
    <n v="18761.23"/>
    <s v=""/>
    <s v=""/>
  </r>
  <r>
    <s v="SIM1752"/>
    <s v="52.855.417/0001-27"/>
    <x v="4"/>
    <x v="6"/>
    <n v="30060.21"/>
    <n v="0"/>
    <n v="0"/>
    <n v="0"/>
    <n v="0"/>
    <n v="0"/>
    <s v=""/>
    <s v=""/>
    <s v=""/>
    <s v=""/>
    <n v="30060.21"/>
    <s v=""/>
  </r>
  <r>
    <s v="SIM1753"/>
    <s v="58.465.864/0001-57"/>
    <x v="5"/>
    <x v="1"/>
    <n v="21644.500000000004"/>
    <n v="0"/>
    <n v="0"/>
    <n v="0"/>
    <n v="0"/>
    <n v="0"/>
    <n v="21644.500000000004"/>
    <s v=""/>
    <s v=""/>
    <s v=""/>
    <s v=""/>
    <s v=""/>
  </r>
  <r>
    <s v="SIM1754"/>
    <s v="55.640.136/0001-28"/>
    <x v="0"/>
    <x v="0"/>
    <n v="12231.349999999999"/>
    <n v="3016.74"/>
    <n v="1254.58"/>
    <n v="822.55"/>
    <n v="0"/>
    <n v="7137.48"/>
    <s v=""/>
    <s v=""/>
    <s v=""/>
    <s v=""/>
    <s v=""/>
    <n v="12231.349999999999"/>
  </r>
  <r>
    <s v="SIM1755"/>
    <s v="53.924.630/0001-12"/>
    <x v="5"/>
    <x v="9"/>
    <n v="18735.759999999998"/>
    <n v="0"/>
    <n v="0"/>
    <n v="0"/>
    <n v="0"/>
    <n v="0"/>
    <n v="18735.759999999998"/>
    <s v=""/>
    <s v=""/>
    <s v=""/>
    <s v=""/>
    <s v=""/>
  </r>
  <r>
    <s v="SIM1756"/>
    <s v="40.257.147/0001-63"/>
    <x v="4"/>
    <x v="6"/>
    <n v="13957.92"/>
    <n v="0"/>
    <n v="0"/>
    <n v="0"/>
    <n v="0"/>
    <n v="0"/>
    <s v=""/>
    <s v=""/>
    <s v=""/>
    <s v=""/>
    <n v="13957.92"/>
    <s v=""/>
  </r>
  <r>
    <s v="SIM1757"/>
    <s v="83.213.797/0001-11"/>
    <x v="4"/>
    <x v="0"/>
    <n v="14895.49"/>
    <n v="0"/>
    <n v="0"/>
    <n v="0"/>
    <n v="0"/>
    <n v="0"/>
    <s v=""/>
    <s v=""/>
    <s v=""/>
    <s v=""/>
    <n v="14895.49"/>
    <s v=""/>
  </r>
  <r>
    <s v="SIM1758"/>
    <s v="84.578.131/0001-93"/>
    <x v="0"/>
    <x v="6"/>
    <n v="9602.2999999999993"/>
    <n v="7475.65"/>
    <n v="0"/>
    <n v="1359.77"/>
    <n v="766.88"/>
    <n v="0"/>
    <s v=""/>
    <s v=""/>
    <s v=""/>
    <s v=""/>
    <s v=""/>
    <n v="9602.2999999999993"/>
  </r>
  <r>
    <s v="SIM1759"/>
    <s v="16.775.401/0001-84"/>
    <x v="5"/>
    <x v="2"/>
    <n v="10437.460000000001"/>
    <n v="0"/>
    <n v="0"/>
    <n v="0"/>
    <n v="0"/>
    <n v="0"/>
    <n v="10437.460000000001"/>
    <s v=""/>
    <s v=""/>
    <s v=""/>
    <s v=""/>
    <s v=""/>
  </r>
  <r>
    <s v="SIM1760"/>
    <s v="45.634.606/0001-38"/>
    <x v="4"/>
    <x v="4"/>
    <n v="4630.1000000000004"/>
    <n v="0"/>
    <n v="0"/>
    <n v="0"/>
    <n v="0"/>
    <n v="0"/>
    <s v=""/>
    <s v=""/>
    <s v=""/>
    <s v=""/>
    <n v="4630.1000000000004"/>
    <s v=""/>
  </r>
  <r>
    <s v="SIM1761"/>
    <s v="67.817.206/0001-98"/>
    <x v="5"/>
    <x v="3"/>
    <n v="14112.640000000001"/>
    <n v="0"/>
    <n v="0"/>
    <n v="0"/>
    <n v="0"/>
    <n v="0"/>
    <n v="14112.640000000001"/>
    <s v=""/>
    <s v=""/>
    <s v=""/>
    <s v=""/>
    <s v=""/>
  </r>
  <r>
    <s v="SIM1762"/>
    <s v="49.351.632/0001-48"/>
    <x v="4"/>
    <x v="8"/>
    <n v="12071.99"/>
    <n v="0"/>
    <n v="0"/>
    <n v="0"/>
    <n v="0"/>
    <n v="0"/>
    <s v=""/>
    <s v=""/>
    <s v=""/>
    <s v=""/>
    <n v="12071.99"/>
    <s v=""/>
  </r>
  <r>
    <s v="SIM1763"/>
    <s v="60.919.164/0001-38"/>
    <x v="4"/>
    <x v="8"/>
    <n v="2915.04"/>
    <n v="0"/>
    <n v="0"/>
    <n v="0"/>
    <n v="0"/>
    <n v="0"/>
    <s v=""/>
    <s v=""/>
    <s v=""/>
    <s v=""/>
    <n v="2915.04"/>
    <s v=""/>
  </r>
  <r>
    <s v="SIM1764"/>
    <s v="66.767.176/0001-81"/>
    <x v="4"/>
    <x v="7"/>
    <n v="11385.41"/>
    <n v="0"/>
    <n v="0"/>
    <n v="0"/>
    <n v="0"/>
    <n v="0"/>
    <s v=""/>
    <s v=""/>
    <s v=""/>
    <s v=""/>
    <n v="11385.41"/>
    <s v=""/>
  </r>
  <r>
    <s v="SIM1765"/>
    <s v="59.770.607/0001-75"/>
    <x v="2"/>
    <x v="9"/>
    <n v="4533.79"/>
    <n v="0"/>
    <n v="0"/>
    <n v="0"/>
    <n v="0"/>
    <n v="0"/>
    <s v=""/>
    <s v=""/>
    <s v=""/>
    <n v="4533.79"/>
    <s v=""/>
    <s v=""/>
  </r>
  <r>
    <s v="SIM1766"/>
    <s v="49.420.249/0001-33"/>
    <x v="2"/>
    <x v="10"/>
    <n v="13306.57"/>
    <n v="0"/>
    <n v="0"/>
    <n v="0"/>
    <n v="0"/>
    <n v="0"/>
    <s v=""/>
    <s v=""/>
    <s v=""/>
    <n v="13306.57"/>
    <s v=""/>
    <s v=""/>
  </r>
  <r>
    <s v="SIM1767"/>
    <s v="99.946.415/0001-18"/>
    <x v="5"/>
    <x v="4"/>
    <n v="18153.89"/>
    <n v="0"/>
    <n v="0"/>
    <n v="0"/>
    <n v="0"/>
    <n v="0"/>
    <n v="18153.89"/>
    <s v=""/>
    <s v=""/>
    <s v=""/>
    <s v=""/>
    <s v=""/>
  </r>
  <r>
    <s v="SIM1768"/>
    <s v="34.726.281/0001-84"/>
    <x v="3"/>
    <x v="10"/>
    <n v="14394.95"/>
    <n v="0"/>
    <n v="0"/>
    <n v="0"/>
    <n v="0"/>
    <n v="0"/>
    <s v=""/>
    <n v="14394.95"/>
    <s v=""/>
    <s v=""/>
    <s v=""/>
    <s v=""/>
  </r>
  <r>
    <s v="SIM1769"/>
    <s v="68.133.777/0001-31"/>
    <x v="4"/>
    <x v="2"/>
    <n v="17033.849999999999"/>
    <n v="0"/>
    <n v="0"/>
    <n v="0"/>
    <n v="0"/>
    <n v="0"/>
    <s v=""/>
    <s v=""/>
    <s v=""/>
    <s v=""/>
    <n v="17033.849999999999"/>
    <s v=""/>
  </r>
  <r>
    <s v="SIM1770"/>
    <s v="47.427.816/0001-56"/>
    <x v="4"/>
    <x v="7"/>
    <n v="16087.05"/>
    <n v="0"/>
    <n v="0"/>
    <n v="0"/>
    <n v="0"/>
    <n v="0"/>
    <s v=""/>
    <s v=""/>
    <s v=""/>
    <s v=""/>
    <n v="16087.05"/>
    <s v=""/>
  </r>
  <r>
    <s v="SIM1771"/>
    <s v="86.878.628/0001-21"/>
    <x v="3"/>
    <x v="10"/>
    <n v="7574.13"/>
    <n v="0"/>
    <n v="0"/>
    <n v="0"/>
    <n v="0"/>
    <n v="0"/>
    <s v=""/>
    <n v="7574.13"/>
    <s v=""/>
    <s v=""/>
    <s v=""/>
    <s v=""/>
  </r>
  <r>
    <s v="SIM1772"/>
    <s v="52.849.470/0001-45"/>
    <x v="2"/>
    <x v="6"/>
    <n v="9561.9699999999993"/>
    <n v="0"/>
    <n v="0"/>
    <n v="0"/>
    <n v="0"/>
    <n v="0"/>
    <s v=""/>
    <s v=""/>
    <s v=""/>
    <n v="9561.9699999999993"/>
    <s v=""/>
    <s v=""/>
  </r>
  <r>
    <s v="SIM1773"/>
    <s v="70.208.774/0001-50"/>
    <x v="4"/>
    <x v="7"/>
    <n v="15070.939999999999"/>
    <n v="0"/>
    <n v="0"/>
    <n v="0"/>
    <n v="0"/>
    <n v="0"/>
    <s v=""/>
    <s v=""/>
    <s v=""/>
    <s v=""/>
    <n v="15070.939999999999"/>
    <s v=""/>
  </r>
  <r>
    <s v="SIM1774"/>
    <s v="52.691.416/0001-87"/>
    <x v="0"/>
    <x v="9"/>
    <n v="8893.7000000000007"/>
    <n v="3729.19"/>
    <n v="193.77"/>
    <n v="0"/>
    <n v="0"/>
    <n v="4970.74"/>
    <s v=""/>
    <s v=""/>
    <s v=""/>
    <s v=""/>
    <s v=""/>
    <n v="8893.7000000000007"/>
  </r>
  <r>
    <s v="SIM1775"/>
    <s v="37.736.234/0001-94"/>
    <x v="3"/>
    <x v="11"/>
    <n v="10469.81"/>
    <n v="0"/>
    <n v="0"/>
    <n v="0"/>
    <n v="0"/>
    <n v="0"/>
    <s v=""/>
    <n v="10469.81"/>
    <s v=""/>
    <s v=""/>
    <s v=""/>
    <s v=""/>
  </r>
  <r>
    <s v="SIM1776"/>
    <s v="48.233.203/0001-56"/>
    <x v="1"/>
    <x v="5"/>
    <n v="9443.08"/>
    <n v="0"/>
    <n v="0"/>
    <n v="0"/>
    <n v="0"/>
    <n v="0"/>
    <s v=""/>
    <s v=""/>
    <n v="9443.08"/>
    <s v=""/>
    <s v=""/>
    <s v=""/>
  </r>
  <r>
    <s v="SIM1777"/>
    <s v="51.320.615/0001-95"/>
    <x v="0"/>
    <x v="1"/>
    <n v="15558.31"/>
    <n v="7533.66"/>
    <n v="1581.42"/>
    <n v="1622.98"/>
    <n v="4820.25"/>
    <n v="0"/>
    <s v=""/>
    <s v=""/>
    <s v=""/>
    <s v=""/>
    <s v=""/>
    <n v="15558.31"/>
  </r>
  <r>
    <s v="SIM1778"/>
    <s v="57.986.755/0001-99"/>
    <x v="1"/>
    <x v="10"/>
    <n v="7667.52"/>
    <n v="0"/>
    <n v="0"/>
    <n v="0"/>
    <n v="0"/>
    <n v="0"/>
    <s v=""/>
    <s v=""/>
    <n v="7667.52"/>
    <s v=""/>
    <s v=""/>
    <s v=""/>
  </r>
  <r>
    <s v="SIM1779"/>
    <s v="36.227.335/0001-19"/>
    <x v="4"/>
    <x v="10"/>
    <n v="11910.509999999998"/>
    <n v="0"/>
    <n v="0"/>
    <n v="0"/>
    <n v="0"/>
    <n v="0"/>
    <s v=""/>
    <s v=""/>
    <s v=""/>
    <s v=""/>
    <n v="11910.509999999998"/>
    <s v=""/>
  </r>
  <r>
    <s v="SIM1780"/>
    <s v="18.895.522/0001-82"/>
    <x v="4"/>
    <x v="7"/>
    <n v="8916.32"/>
    <n v="0"/>
    <n v="0"/>
    <n v="0"/>
    <n v="0"/>
    <n v="0"/>
    <s v=""/>
    <s v=""/>
    <s v=""/>
    <s v=""/>
    <n v="8916.32"/>
    <s v=""/>
  </r>
  <r>
    <s v="SIM1781"/>
    <s v="12.727.498/0001-64"/>
    <x v="0"/>
    <x v="7"/>
    <n v="12917.04"/>
    <n v="0"/>
    <n v="2664.67"/>
    <n v="0"/>
    <n v="10252.370000000001"/>
    <n v="0"/>
    <s v=""/>
    <s v=""/>
    <s v=""/>
    <s v=""/>
    <s v=""/>
    <n v="12917.04"/>
  </r>
  <r>
    <s v="SIM1782"/>
    <s v="91.336.304/0001-61"/>
    <x v="1"/>
    <x v="3"/>
    <n v="17253.91"/>
    <n v="0"/>
    <n v="0"/>
    <n v="0"/>
    <n v="0"/>
    <n v="0"/>
    <s v=""/>
    <s v=""/>
    <n v="17253.91"/>
    <s v=""/>
    <s v=""/>
    <s v=""/>
  </r>
  <r>
    <s v="SIM1783"/>
    <s v="57.145.735/0001-96"/>
    <x v="1"/>
    <x v="11"/>
    <n v="19021.43"/>
    <n v="0"/>
    <n v="0"/>
    <n v="0"/>
    <n v="0"/>
    <n v="0"/>
    <s v=""/>
    <s v=""/>
    <n v="19021.43"/>
    <s v=""/>
    <s v=""/>
    <s v=""/>
  </r>
  <r>
    <s v="SIM1784"/>
    <s v="39.345.544/0001-23"/>
    <x v="1"/>
    <x v="10"/>
    <n v="6270.12"/>
    <n v="0"/>
    <n v="0"/>
    <n v="0"/>
    <n v="0"/>
    <n v="0"/>
    <s v=""/>
    <s v=""/>
    <n v="6270.12"/>
    <s v=""/>
    <s v=""/>
    <s v=""/>
  </r>
  <r>
    <s v="SIM1785"/>
    <s v="64.777.175/0001-36"/>
    <x v="0"/>
    <x v="8"/>
    <n v="13170.32"/>
    <n v="0"/>
    <n v="0"/>
    <n v="2057.48"/>
    <n v="5571.19"/>
    <n v="5541.65"/>
    <s v=""/>
    <s v=""/>
    <s v=""/>
    <s v=""/>
    <s v=""/>
    <n v="13170.32"/>
  </r>
  <r>
    <s v="SIM1786"/>
    <s v="94.465.824/0001-85"/>
    <x v="4"/>
    <x v="5"/>
    <n v="4563.88"/>
    <n v="0"/>
    <n v="0"/>
    <n v="0"/>
    <n v="0"/>
    <n v="0"/>
    <s v=""/>
    <s v=""/>
    <s v=""/>
    <s v=""/>
    <n v="4563.88"/>
    <s v=""/>
  </r>
  <r>
    <s v="SIM1787"/>
    <s v="43.108.303/0001-12"/>
    <x v="1"/>
    <x v="5"/>
    <n v="5221.88"/>
    <n v="0"/>
    <n v="0"/>
    <n v="0"/>
    <n v="0"/>
    <n v="0"/>
    <s v=""/>
    <s v=""/>
    <n v="5221.88"/>
    <s v=""/>
    <s v=""/>
    <s v=""/>
  </r>
  <r>
    <s v="SIM1788"/>
    <s v="26.369.625/0001-52"/>
    <x v="5"/>
    <x v="4"/>
    <n v="19330.809999999998"/>
    <n v="0"/>
    <n v="0"/>
    <n v="0"/>
    <n v="0"/>
    <n v="0"/>
    <n v="19330.809999999998"/>
    <s v=""/>
    <s v=""/>
    <s v=""/>
    <s v=""/>
    <s v=""/>
  </r>
  <r>
    <s v="SIM1789"/>
    <s v="38.922.811/0001-88"/>
    <x v="2"/>
    <x v="4"/>
    <n v="623.88"/>
    <n v="0"/>
    <n v="0"/>
    <n v="0"/>
    <n v="0"/>
    <n v="0"/>
    <s v=""/>
    <s v=""/>
    <s v=""/>
    <n v="623.88"/>
    <s v=""/>
    <s v=""/>
  </r>
  <r>
    <s v="SIM1790"/>
    <s v="12.287.552/0001-16"/>
    <x v="0"/>
    <x v="0"/>
    <n v="7918.57"/>
    <n v="0"/>
    <n v="0"/>
    <n v="2618.7199999999998"/>
    <n v="0"/>
    <n v="5299.85"/>
    <s v=""/>
    <s v=""/>
    <s v=""/>
    <s v=""/>
    <s v=""/>
    <n v="7918.57"/>
  </r>
  <r>
    <s v="SIM1791"/>
    <s v="52.966.157/0001-22"/>
    <x v="0"/>
    <x v="8"/>
    <n v="4369.1399999999994"/>
    <n v="3470.72"/>
    <n v="0"/>
    <n v="898.42"/>
    <n v="0"/>
    <n v="0"/>
    <s v=""/>
    <s v=""/>
    <s v=""/>
    <s v=""/>
    <s v=""/>
    <n v="4369.1399999999994"/>
  </r>
  <r>
    <s v="SIM1792"/>
    <s v="40.150.779/0001-25"/>
    <x v="5"/>
    <x v="4"/>
    <n v="13483.14"/>
    <n v="0"/>
    <n v="0"/>
    <n v="0"/>
    <n v="0"/>
    <n v="0"/>
    <n v="13483.14"/>
    <s v=""/>
    <s v=""/>
    <s v=""/>
    <s v=""/>
    <s v=""/>
  </r>
  <r>
    <s v="SIM1793"/>
    <s v="79.473.109/0001-69"/>
    <x v="1"/>
    <x v="3"/>
    <n v="9954.98"/>
    <n v="0"/>
    <n v="0"/>
    <n v="0"/>
    <n v="0"/>
    <n v="0"/>
    <s v=""/>
    <s v=""/>
    <n v="9954.98"/>
    <s v=""/>
    <s v=""/>
    <s v=""/>
  </r>
  <r>
    <s v="SIM1794"/>
    <s v="68.586.972/0001-79"/>
    <x v="4"/>
    <x v="9"/>
    <n v="3320.0699999999997"/>
    <n v="0"/>
    <n v="0"/>
    <n v="0"/>
    <n v="0"/>
    <n v="0"/>
    <s v=""/>
    <s v=""/>
    <s v=""/>
    <s v=""/>
    <n v="3320.0699999999997"/>
    <s v=""/>
  </r>
  <r>
    <s v="SIM1795"/>
    <s v="32.826.393/0001-82"/>
    <x v="4"/>
    <x v="7"/>
    <n v="5869.71"/>
    <n v="0"/>
    <n v="0"/>
    <n v="0"/>
    <n v="0"/>
    <n v="0"/>
    <s v=""/>
    <s v=""/>
    <s v=""/>
    <s v=""/>
    <n v="5869.71"/>
    <s v=""/>
  </r>
  <r>
    <s v="SIM1796"/>
    <s v="54.140.964/0001-47"/>
    <x v="2"/>
    <x v="0"/>
    <n v="11621.24"/>
    <n v="0"/>
    <n v="0"/>
    <n v="0"/>
    <n v="0"/>
    <n v="0"/>
    <s v=""/>
    <s v=""/>
    <s v=""/>
    <n v="11621.24"/>
    <s v=""/>
    <s v=""/>
  </r>
  <r>
    <s v="SIM1797"/>
    <s v="50.746.175/0001-58"/>
    <x v="5"/>
    <x v="11"/>
    <n v="9258.73"/>
    <n v="0"/>
    <n v="0"/>
    <n v="0"/>
    <n v="0"/>
    <n v="0"/>
    <n v="9258.73"/>
    <s v=""/>
    <s v=""/>
    <s v=""/>
    <s v=""/>
    <s v=""/>
  </r>
  <r>
    <s v="SIM1798"/>
    <s v="42.782.140/0001-49"/>
    <x v="4"/>
    <x v="1"/>
    <n v="3764.52"/>
    <n v="0"/>
    <n v="0"/>
    <n v="0"/>
    <n v="0"/>
    <n v="0"/>
    <s v=""/>
    <s v=""/>
    <s v=""/>
    <s v=""/>
    <n v="3764.52"/>
    <s v=""/>
  </r>
  <r>
    <s v="SIM1799"/>
    <s v="55.216.581/0001-17"/>
    <x v="0"/>
    <x v="8"/>
    <n v="3646.51"/>
    <n v="0"/>
    <n v="0"/>
    <n v="0"/>
    <n v="3646.51"/>
    <n v="0"/>
    <s v=""/>
    <s v=""/>
    <s v=""/>
    <s v=""/>
    <s v=""/>
    <n v="3646.51"/>
  </r>
  <r>
    <s v="SIM1800"/>
    <s v="81.284.591/0001-29"/>
    <x v="0"/>
    <x v="6"/>
    <n v="11482.72"/>
    <n v="0"/>
    <n v="0"/>
    <n v="0"/>
    <n v="11482.72"/>
    <n v="0"/>
    <s v=""/>
    <s v=""/>
    <s v=""/>
    <s v=""/>
    <s v=""/>
    <n v="11482.72"/>
  </r>
  <r>
    <s v="SIM1801"/>
    <s v="96.610.500/0001-41"/>
    <x v="2"/>
    <x v="11"/>
    <n v="4096.4399999999996"/>
    <n v="0"/>
    <n v="0"/>
    <n v="0"/>
    <n v="0"/>
    <n v="0"/>
    <s v=""/>
    <s v=""/>
    <s v=""/>
    <n v="4096.4399999999996"/>
    <s v=""/>
    <s v=""/>
  </r>
  <r>
    <s v="SIM1802"/>
    <s v="69.801.865/0001-71"/>
    <x v="2"/>
    <x v="0"/>
    <n v="16340.369999999999"/>
    <n v="0"/>
    <n v="0"/>
    <n v="0"/>
    <n v="0"/>
    <n v="0"/>
    <s v=""/>
    <s v=""/>
    <s v=""/>
    <n v="16340.369999999999"/>
    <s v=""/>
    <s v=""/>
  </r>
  <r>
    <s v="SIM1803"/>
    <s v="34.122.683/0001-95"/>
    <x v="3"/>
    <x v="8"/>
    <n v="4666.0600000000004"/>
    <n v="0"/>
    <n v="0"/>
    <n v="0"/>
    <n v="0"/>
    <n v="0"/>
    <s v=""/>
    <n v="4666.0600000000004"/>
    <s v=""/>
    <s v=""/>
    <s v=""/>
    <s v=""/>
  </r>
  <r>
    <s v="SIM1804"/>
    <s v="33.678.523/0001-26"/>
    <x v="5"/>
    <x v="10"/>
    <n v="3474.74"/>
    <n v="0"/>
    <n v="0"/>
    <n v="0"/>
    <n v="0"/>
    <n v="0"/>
    <n v="3474.74"/>
    <s v=""/>
    <s v=""/>
    <s v=""/>
    <s v=""/>
    <s v=""/>
  </r>
  <r>
    <s v="SIM1805"/>
    <s v="18.412.531/0001-23"/>
    <x v="1"/>
    <x v="5"/>
    <n v="14076.380000000001"/>
    <n v="0"/>
    <n v="0"/>
    <n v="0"/>
    <n v="0"/>
    <n v="0"/>
    <s v=""/>
    <s v=""/>
    <n v="14076.380000000001"/>
    <s v=""/>
    <s v=""/>
    <s v=""/>
  </r>
  <r>
    <s v="SIM1806"/>
    <s v="93.117.894/0001-70"/>
    <x v="1"/>
    <x v="8"/>
    <n v="6745.7499999999991"/>
    <n v="0"/>
    <n v="0"/>
    <n v="0"/>
    <n v="0"/>
    <n v="0"/>
    <s v=""/>
    <s v=""/>
    <n v="6745.7499999999991"/>
    <s v=""/>
    <s v=""/>
    <s v=""/>
  </r>
  <r>
    <s v="SIM1807"/>
    <s v="26.211.821/0001-70"/>
    <x v="0"/>
    <x v="9"/>
    <n v="11202.380000000001"/>
    <n v="6318.52"/>
    <n v="0"/>
    <n v="383.73"/>
    <n v="0"/>
    <n v="4500.13"/>
    <s v=""/>
    <s v=""/>
    <s v=""/>
    <s v=""/>
    <s v=""/>
    <n v="11202.380000000001"/>
  </r>
  <r>
    <s v="SIM1808"/>
    <s v="49.121.240/0001-54"/>
    <x v="1"/>
    <x v="9"/>
    <n v="17316.830000000002"/>
    <n v="0"/>
    <n v="0"/>
    <n v="0"/>
    <n v="0"/>
    <n v="0"/>
    <s v=""/>
    <s v=""/>
    <n v="17316.830000000002"/>
    <s v=""/>
    <s v=""/>
    <s v=""/>
  </r>
  <r>
    <s v="SIM1809"/>
    <s v="41.593.574/0001-36"/>
    <x v="2"/>
    <x v="4"/>
    <n v="4966.1099999999997"/>
    <n v="0"/>
    <n v="0"/>
    <n v="0"/>
    <n v="0"/>
    <n v="0"/>
    <s v=""/>
    <s v=""/>
    <s v=""/>
    <n v="4966.1099999999997"/>
    <s v=""/>
    <s v=""/>
  </r>
  <r>
    <s v="SIM1810"/>
    <s v="76.917.614/0001-48"/>
    <x v="0"/>
    <x v="11"/>
    <n v="11029.8"/>
    <n v="0"/>
    <n v="263.33999999999997"/>
    <n v="0"/>
    <n v="10766.46"/>
    <n v="0"/>
    <s v=""/>
    <s v=""/>
    <s v=""/>
    <s v=""/>
    <s v=""/>
    <n v="11029.8"/>
  </r>
  <r>
    <s v="SIM1811"/>
    <s v="14.854.243/0001-48"/>
    <x v="2"/>
    <x v="10"/>
    <n v="2481.96"/>
    <n v="0"/>
    <n v="0"/>
    <n v="0"/>
    <n v="0"/>
    <n v="0"/>
    <s v=""/>
    <s v=""/>
    <s v=""/>
    <n v="2481.96"/>
    <s v=""/>
    <s v=""/>
  </r>
  <r>
    <s v="SIM1812"/>
    <s v="99.209.386/0001-87"/>
    <x v="3"/>
    <x v="0"/>
    <n v="8895.2200000000012"/>
    <n v="0"/>
    <n v="0"/>
    <n v="0"/>
    <n v="0"/>
    <n v="0"/>
    <s v=""/>
    <n v="8895.2200000000012"/>
    <s v=""/>
    <s v=""/>
    <s v=""/>
    <s v=""/>
  </r>
  <r>
    <s v="SIM1813"/>
    <s v="50.956.519/0001-90"/>
    <x v="5"/>
    <x v="3"/>
    <n v="6428.35"/>
    <n v="0"/>
    <n v="0"/>
    <n v="0"/>
    <n v="0"/>
    <n v="0"/>
    <n v="6428.35"/>
    <s v=""/>
    <s v=""/>
    <s v=""/>
    <s v=""/>
    <s v=""/>
  </r>
  <r>
    <s v="SIM1814"/>
    <s v="77.411.694/0001-58"/>
    <x v="1"/>
    <x v="8"/>
    <n v="22223.440000000002"/>
    <n v="0"/>
    <n v="0"/>
    <n v="0"/>
    <n v="0"/>
    <n v="0"/>
    <s v=""/>
    <s v=""/>
    <n v="22223.440000000002"/>
    <s v=""/>
    <s v=""/>
    <s v=""/>
  </r>
  <r>
    <s v="SIM1815"/>
    <s v="32.618.436/0001-53"/>
    <x v="1"/>
    <x v="11"/>
    <n v="6291.6900000000005"/>
    <n v="0"/>
    <n v="0"/>
    <n v="0"/>
    <n v="0"/>
    <n v="0"/>
    <s v=""/>
    <s v=""/>
    <n v="6291.6900000000005"/>
    <s v=""/>
    <s v=""/>
    <s v=""/>
  </r>
  <r>
    <s v="SIM1816"/>
    <s v="44.970.243/0001-50"/>
    <x v="1"/>
    <x v="2"/>
    <n v="5837.67"/>
    <n v="0"/>
    <n v="0"/>
    <n v="0"/>
    <n v="0"/>
    <n v="0"/>
    <s v=""/>
    <s v=""/>
    <n v="5837.67"/>
    <s v=""/>
    <s v=""/>
    <s v=""/>
  </r>
  <r>
    <s v="SIM1817"/>
    <s v="79.631.702/0001-94"/>
    <x v="4"/>
    <x v="5"/>
    <n v="24118.43"/>
    <n v="0"/>
    <n v="0"/>
    <n v="0"/>
    <n v="0"/>
    <n v="0"/>
    <s v=""/>
    <s v=""/>
    <s v=""/>
    <s v=""/>
    <n v="24118.43"/>
    <s v=""/>
  </r>
  <r>
    <s v="SIM1818"/>
    <s v="81.610.331/0001-41"/>
    <x v="2"/>
    <x v="1"/>
    <n v="4027.3"/>
    <n v="0"/>
    <n v="0"/>
    <n v="0"/>
    <n v="0"/>
    <n v="0"/>
    <s v=""/>
    <s v=""/>
    <s v=""/>
    <n v="4027.3"/>
    <s v=""/>
    <s v=""/>
  </r>
  <r>
    <s v="SIM1819"/>
    <s v="94.956.753/0001-80"/>
    <x v="3"/>
    <x v="9"/>
    <n v="653.29999999999995"/>
    <n v="0"/>
    <n v="0"/>
    <n v="0"/>
    <n v="0"/>
    <n v="0"/>
    <s v=""/>
    <n v="653.29999999999995"/>
    <s v=""/>
    <s v=""/>
    <s v=""/>
    <s v=""/>
  </r>
  <r>
    <s v="SIM1820"/>
    <s v="87.489.412/0001-31"/>
    <x v="4"/>
    <x v="4"/>
    <n v="25458.959999999999"/>
    <n v="0"/>
    <n v="0"/>
    <n v="0"/>
    <n v="0"/>
    <n v="0"/>
    <s v=""/>
    <s v=""/>
    <s v=""/>
    <s v=""/>
    <n v="25458.959999999999"/>
    <s v=""/>
  </r>
  <r>
    <s v="SIM1821"/>
    <s v="24.782.947/0001-65"/>
    <x v="1"/>
    <x v="1"/>
    <n v="4428.42"/>
    <n v="0"/>
    <n v="0"/>
    <n v="0"/>
    <n v="0"/>
    <n v="0"/>
    <s v=""/>
    <s v=""/>
    <n v="4428.42"/>
    <s v=""/>
    <s v=""/>
    <s v=""/>
  </r>
  <r>
    <s v="SIM1822"/>
    <s v="31.636.333/0001-14"/>
    <x v="5"/>
    <x v="0"/>
    <n v="4803.82"/>
    <n v="0"/>
    <n v="0"/>
    <n v="0"/>
    <n v="0"/>
    <n v="0"/>
    <n v="4803.82"/>
    <s v=""/>
    <s v=""/>
    <s v=""/>
    <s v=""/>
    <s v=""/>
  </r>
  <r>
    <s v="SIM1823"/>
    <s v="21.320.872/0001-18"/>
    <x v="1"/>
    <x v="5"/>
    <n v="14248.19"/>
    <n v="0"/>
    <n v="0"/>
    <n v="0"/>
    <n v="0"/>
    <n v="0"/>
    <s v=""/>
    <s v=""/>
    <n v="14248.19"/>
    <s v=""/>
    <s v=""/>
    <s v=""/>
  </r>
  <r>
    <s v="SIM1824"/>
    <s v="32.989.705/0001-16"/>
    <x v="0"/>
    <x v="5"/>
    <n v="210.29"/>
    <n v="0"/>
    <n v="210.29"/>
    <n v="0"/>
    <n v="0"/>
    <n v="0"/>
    <s v=""/>
    <s v=""/>
    <s v=""/>
    <s v=""/>
    <s v=""/>
    <n v="210.29"/>
  </r>
  <r>
    <s v="SIM1825"/>
    <s v="74.242.249/0001-46"/>
    <x v="1"/>
    <x v="0"/>
    <n v="7790.9"/>
    <n v="0"/>
    <n v="0"/>
    <n v="0"/>
    <n v="0"/>
    <n v="0"/>
    <s v=""/>
    <s v=""/>
    <n v="7790.9"/>
    <s v=""/>
    <s v=""/>
    <s v=""/>
  </r>
  <r>
    <s v="SIM1826"/>
    <s v="79.493.226/0001-35"/>
    <x v="0"/>
    <x v="7"/>
    <n v="6638.19"/>
    <n v="6333.37"/>
    <n v="0"/>
    <n v="304.82"/>
    <n v="0"/>
    <n v="0"/>
    <s v=""/>
    <s v=""/>
    <s v=""/>
    <s v=""/>
    <s v=""/>
    <n v="6638.19"/>
  </r>
  <r>
    <s v="SIM1827"/>
    <s v="98.739.935/0001-67"/>
    <x v="0"/>
    <x v="5"/>
    <n v="14095.510000000002"/>
    <n v="0"/>
    <n v="4899.0600000000004"/>
    <n v="1442.14"/>
    <n v="7754.31"/>
    <n v="0"/>
    <s v=""/>
    <s v=""/>
    <s v=""/>
    <s v=""/>
    <s v=""/>
    <n v="14095.510000000002"/>
  </r>
  <r>
    <s v="SIM1828"/>
    <s v="71.286.542/0001-47"/>
    <x v="0"/>
    <x v="9"/>
    <n v="7645.03"/>
    <n v="7130.9"/>
    <n v="0"/>
    <n v="514.13"/>
    <n v="0"/>
    <n v="0"/>
    <s v=""/>
    <s v=""/>
    <s v=""/>
    <s v=""/>
    <s v=""/>
    <n v="7645.03"/>
  </r>
  <r>
    <s v="SIM1829"/>
    <s v="12.983.301/0001-76"/>
    <x v="0"/>
    <x v="4"/>
    <n v="828.25"/>
    <n v="0"/>
    <n v="0"/>
    <n v="828.25"/>
    <n v="0"/>
    <n v="0"/>
    <s v=""/>
    <s v=""/>
    <s v=""/>
    <s v=""/>
    <s v=""/>
    <n v="828.25"/>
  </r>
  <r>
    <s v="SIM1830"/>
    <s v="82.631.851/0001-46"/>
    <x v="0"/>
    <x v="9"/>
    <n v="3942.84"/>
    <n v="0"/>
    <n v="0"/>
    <n v="0"/>
    <n v="2100.4"/>
    <n v="1842.44"/>
    <s v=""/>
    <s v=""/>
    <s v=""/>
    <s v=""/>
    <s v=""/>
    <n v="3942.84"/>
  </r>
  <r>
    <s v="SIM1831"/>
    <s v="61.777.320/0001-31"/>
    <x v="2"/>
    <x v="7"/>
    <n v="11329.25"/>
    <n v="0"/>
    <n v="0"/>
    <n v="0"/>
    <n v="0"/>
    <n v="0"/>
    <s v=""/>
    <s v=""/>
    <s v=""/>
    <n v="11329.25"/>
    <s v=""/>
    <s v=""/>
  </r>
  <r>
    <s v="SIM1832"/>
    <s v="88.963.239/0001-74"/>
    <x v="4"/>
    <x v="10"/>
    <n v="10209.74"/>
    <n v="0"/>
    <n v="0"/>
    <n v="0"/>
    <n v="0"/>
    <n v="0"/>
    <s v=""/>
    <s v=""/>
    <s v=""/>
    <s v=""/>
    <n v="10209.74"/>
    <s v=""/>
  </r>
  <r>
    <s v="SIM1833"/>
    <s v="43.837.299/0001-43"/>
    <x v="4"/>
    <x v="2"/>
    <n v="18280.059999999998"/>
    <n v="0"/>
    <n v="0"/>
    <n v="0"/>
    <n v="0"/>
    <n v="0"/>
    <s v=""/>
    <s v=""/>
    <s v=""/>
    <s v=""/>
    <n v="18280.059999999998"/>
    <s v=""/>
  </r>
  <r>
    <s v="SIM1834"/>
    <s v="63.722.555/0001-57"/>
    <x v="1"/>
    <x v="4"/>
    <n v="4703.05"/>
    <n v="0"/>
    <n v="0"/>
    <n v="0"/>
    <n v="0"/>
    <n v="0"/>
    <s v=""/>
    <s v=""/>
    <n v="4703.05"/>
    <s v=""/>
    <s v=""/>
    <s v=""/>
  </r>
  <r>
    <s v="SIM1835"/>
    <s v="63.688.933/0001-83"/>
    <x v="0"/>
    <x v="2"/>
    <n v="7283.8799999999992"/>
    <n v="3401.22"/>
    <n v="2918.91"/>
    <n v="128.33000000000001"/>
    <n v="835.42"/>
    <n v="0"/>
    <s v=""/>
    <s v=""/>
    <s v=""/>
    <s v=""/>
    <s v=""/>
    <n v="7283.8799999999992"/>
  </r>
  <r>
    <s v="SIM1836"/>
    <s v="57.988.670/0001-16"/>
    <x v="5"/>
    <x v="2"/>
    <n v="5622.03"/>
    <n v="0"/>
    <n v="0"/>
    <n v="0"/>
    <n v="0"/>
    <n v="0"/>
    <n v="5622.03"/>
    <s v=""/>
    <s v=""/>
    <s v=""/>
    <s v=""/>
    <s v=""/>
  </r>
  <r>
    <s v="SIM1837"/>
    <s v="50.628.401/0001-26"/>
    <x v="4"/>
    <x v="5"/>
    <n v="9659.619999999999"/>
    <n v="0"/>
    <n v="0"/>
    <n v="0"/>
    <n v="0"/>
    <n v="0"/>
    <s v=""/>
    <s v=""/>
    <s v=""/>
    <s v=""/>
    <n v="9659.619999999999"/>
    <s v=""/>
  </r>
  <r>
    <s v="SIM1838"/>
    <s v="56.675.782/0001-53"/>
    <x v="5"/>
    <x v="8"/>
    <n v="20608.849999999999"/>
    <n v="0"/>
    <n v="0"/>
    <n v="0"/>
    <n v="0"/>
    <n v="0"/>
    <n v="20608.849999999999"/>
    <s v=""/>
    <s v=""/>
    <s v=""/>
    <s v=""/>
    <s v=""/>
  </r>
  <r>
    <s v="SIM1839"/>
    <s v="21.453.126/0001-10"/>
    <x v="1"/>
    <x v="11"/>
    <n v="17374.689999999999"/>
    <n v="0"/>
    <n v="0"/>
    <n v="0"/>
    <n v="0"/>
    <n v="0"/>
    <s v=""/>
    <s v=""/>
    <n v="17374.689999999999"/>
    <s v=""/>
    <s v=""/>
    <s v=""/>
  </r>
  <r>
    <s v="SIM1840"/>
    <s v="58.910.924/0001-86"/>
    <x v="2"/>
    <x v="10"/>
    <n v="16672.78"/>
    <n v="0"/>
    <n v="0"/>
    <n v="0"/>
    <n v="0"/>
    <n v="0"/>
    <s v=""/>
    <s v=""/>
    <s v=""/>
    <n v="16672.78"/>
    <s v=""/>
    <s v=""/>
  </r>
  <r>
    <s v="SIM1841"/>
    <s v="77.251.933/0001-16"/>
    <x v="2"/>
    <x v="9"/>
    <n v="20009.419999999998"/>
    <n v="0"/>
    <n v="0"/>
    <n v="0"/>
    <n v="0"/>
    <n v="0"/>
    <s v=""/>
    <s v=""/>
    <s v=""/>
    <n v="20009.419999999998"/>
    <s v=""/>
    <s v=""/>
  </r>
  <r>
    <s v="SIM1842"/>
    <s v="69.979.286/0001-40"/>
    <x v="5"/>
    <x v="5"/>
    <n v="18120.75"/>
    <n v="0"/>
    <n v="0"/>
    <n v="0"/>
    <n v="0"/>
    <n v="0"/>
    <n v="18120.75"/>
    <s v=""/>
    <s v=""/>
    <s v=""/>
    <s v=""/>
    <s v=""/>
  </r>
  <r>
    <s v="SIM1843"/>
    <s v="13.592.590/0001-23"/>
    <x v="3"/>
    <x v="11"/>
    <n v="16565.09"/>
    <n v="0"/>
    <n v="0"/>
    <n v="0"/>
    <n v="0"/>
    <n v="0"/>
    <s v=""/>
    <n v="16565.09"/>
    <s v=""/>
    <s v=""/>
    <s v=""/>
    <s v=""/>
  </r>
  <r>
    <s v="SIM1844"/>
    <s v="35.284.160/0001-73"/>
    <x v="0"/>
    <x v="7"/>
    <n v="11429.61"/>
    <n v="6598.1"/>
    <n v="2783.76"/>
    <n v="2047.75"/>
    <n v="0"/>
    <n v="0"/>
    <s v=""/>
    <s v=""/>
    <s v=""/>
    <s v=""/>
    <s v=""/>
    <n v="11429.61"/>
  </r>
  <r>
    <s v="SIM1845"/>
    <s v="25.174.293/0001-17"/>
    <x v="1"/>
    <x v="10"/>
    <n v="16341.89"/>
    <n v="0"/>
    <n v="0"/>
    <n v="0"/>
    <n v="0"/>
    <n v="0"/>
    <s v=""/>
    <s v=""/>
    <n v="16341.89"/>
    <s v=""/>
    <s v=""/>
    <s v=""/>
  </r>
  <r>
    <s v="SIM1846"/>
    <s v="51.885.982/0001-12"/>
    <x v="5"/>
    <x v="7"/>
    <n v="4550.04"/>
    <n v="0"/>
    <n v="0"/>
    <n v="0"/>
    <n v="0"/>
    <n v="0"/>
    <n v="4550.04"/>
    <s v=""/>
    <s v=""/>
    <s v=""/>
    <s v=""/>
    <s v=""/>
  </r>
  <r>
    <s v="SIM1847"/>
    <s v="20.302.300/0001-88"/>
    <x v="3"/>
    <x v="3"/>
    <n v="11619.4"/>
    <n v="0"/>
    <n v="0"/>
    <n v="0"/>
    <n v="0"/>
    <n v="0"/>
    <s v=""/>
    <n v="11619.4"/>
    <s v=""/>
    <s v=""/>
    <s v=""/>
    <s v=""/>
  </r>
  <r>
    <s v="SIM1848"/>
    <s v="28.993.727/0001-61"/>
    <x v="3"/>
    <x v="0"/>
    <n v="4835.6100000000006"/>
    <n v="0"/>
    <n v="0"/>
    <n v="0"/>
    <n v="0"/>
    <n v="0"/>
    <s v=""/>
    <n v="4835.6100000000006"/>
    <s v=""/>
    <s v=""/>
    <s v=""/>
    <s v=""/>
  </r>
  <r>
    <s v="SIM1849"/>
    <s v="69.978.647/0001-78"/>
    <x v="4"/>
    <x v="7"/>
    <n v="2108.6799999999998"/>
    <n v="0"/>
    <n v="0"/>
    <n v="0"/>
    <n v="0"/>
    <n v="0"/>
    <s v=""/>
    <s v=""/>
    <s v=""/>
    <s v=""/>
    <n v="2108.6799999999998"/>
    <s v=""/>
  </r>
  <r>
    <s v="SIM1850"/>
    <s v="23.507.126/0001-92"/>
    <x v="0"/>
    <x v="8"/>
    <n v="18337.84"/>
    <n v="0"/>
    <n v="3421.09"/>
    <n v="0"/>
    <n v="0"/>
    <n v="14916.75"/>
    <s v=""/>
    <s v=""/>
    <s v=""/>
    <s v=""/>
    <s v=""/>
    <n v="18337.84"/>
  </r>
  <r>
    <s v="SIM1851"/>
    <s v="45.958.201/0001-63"/>
    <x v="3"/>
    <x v="8"/>
    <n v="2759.98"/>
    <n v="0"/>
    <n v="0"/>
    <n v="0"/>
    <n v="0"/>
    <n v="0"/>
    <s v=""/>
    <n v="2759.98"/>
    <s v=""/>
    <s v=""/>
    <s v=""/>
    <s v=""/>
  </r>
  <r>
    <s v="SIM1852"/>
    <s v="24.825.741/0001-89"/>
    <x v="3"/>
    <x v="0"/>
    <n v="12347.279999999999"/>
    <n v="0"/>
    <n v="0"/>
    <n v="0"/>
    <n v="0"/>
    <n v="0"/>
    <s v=""/>
    <n v="12347.279999999999"/>
    <s v=""/>
    <s v=""/>
    <s v=""/>
    <s v=""/>
  </r>
  <r>
    <s v="SIM1853"/>
    <s v="48.506.553/0001-88"/>
    <x v="3"/>
    <x v="10"/>
    <n v="6132.94"/>
    <n v="0"/>
    <n v="0"/>
    <n v="0"/>
    <n v="0"/>
    <n v="0"/>
    <s v=""/>
    <n v="6132.94"/>
    <s v=""/>
    <s v=""/>
    <s v=""/>
    <s v=""/>
  </r>
  <r>
    <s v="SIM1854"/>
    <s v="74.496.112/0001-54"/>
    <x v="1"/>
    <x v="3"/>
    <n v="3208.77"/>
    <n v="0"/>
    <n v="0"/>
    <n v="0"/>
    <n v="0"/>
    <n v="0"/>
    <s v=""/>
    <s v=""/>
    <n v="3208.77"/>
    <s v=""/>
    <s v=""/>
    <s v=""/>
  </r>
  <r>
    <s v="SIM1855"/>
    <s v="69.897.295/0001-74"/>
    <x v="5"/>
    <x v="1"/>
    <n v="4936.59"/>
    <n v="0"/>
    <n v="0"/>
    <n v="0"/>
    <n v="0"/>
    <n v="0"/>
    <n v="4936.59"/>
    <s v=""/>
    <s v=""/>
    <s v=""/>
    <s v=""/>
    <s v=""/>
  </r>
  <r>
    <s v="SIM1856"/>
    <s v="14.264.401/0001-93"/>
    <x v="0"/>
    <x v="7"/>
    <n v="13297.66"/>
    <n v="2299.62"/>
    <n v="4530.96"/>
    <n v="1947.74"/>
    <n v="4519.34"/>
    <n v="0"/>
    <s v=""/>
    <s v=""/>
    <s v=""/>
    <s v=""/>
    <s v=""/>
    <n v="13297.66"/>
  </r>
  <r>
    <s v="SIM1857"/>
    <s v="46.582.982/0001-56"/>
    <x v="4"/>
    <x v="4"/>
    <n v="10526.52"/>
    <n v="0"/>
    <n v="0"/>
    <n v="0"/>
    <n v="0"/>
    <n v="0"/>
    <s v=""/>
    <s v=""/>
    <s v=""/>
    <s v=""/>
    <n v="10526.52"/>
    <s v=""/>
  </r>
  <r>
    <s v="SIM1858"/>
    <s v="37.949.462/0001-78"/>
    <x v="0"/>
    <x v="3"/>
    <n v="11687.83"/>
    <n v="0"/>
    <n v="0"/>
    <n v="1020.08"/>
    <n v="0"/>
    <n v="10667.75"/>
    <s v=""/>
    <s v=""/>
    <s v=""/>
    <s v=""/>
    <s v=""/>
    <n v="11687.83"/>
  </r>
  <r>
    <s v="SIM1859"/>
    <s v="97.771.835/0001-26"/>
    <x v="4"/>
    <x v="2"/>
    <n v="1973.52"/>
    <n v="0"/>
    <n v="0"/>
    <n v="0"/>
    <n v="0"/>
    <n v="0"/>
    <s v=""/>
    <s v=""/>
    <s v=""/>
    <s v=""/>
    <n v="1973.52"/>
    <s v=""/>
  </r>
  <r>
    <s v="SIM1860"/>
    <s v="20.965.610/0001-82"/>
    <x v="1"/>
    <x v="11"/>
    <n v="2563.3599999999997"/>
    <n v="0"/>
    <n v="0"/>
    <n v="0"/>
    <n v="0"/>
    <n v="0"/>
    <s v=""/>
    <s v=""/>
    <n v="2563.3599999999997"/>
    <s v=""/>
    <s v=""/>
    <s v=""/>
  </r>
  <r>
    <s v="SIM1861"/>
    <s v="32.894.951/0001-75"/>
    <x v="2"/>
    <x v="1"/>
    <n v="10903.939999999999"/>
    <n v="0"/>
    <n v="0"/>
    <n v="0"/>
    <n v="0"/>
    <n v="0"/>
    <s v=""/>
    <s v=""/>
    <s v=""/>
    <n v="10903.939999999999"/>
    <s v=""/>
    <s v=""/>
  </r>
  <r>
    <s v="SIM1862"/>
    <s v="80.713.892/0001-15"/>
    <x v="2"/>
    <x v="9"/>
    <n v="15362"/>
    <n v="0"/>
    <n v="0"/>
    <n v="0"/>
    <n v="0"/>
    <n v="0"/>
    <s v=""/>
    <s v=""/>
    <s v=""/>
    <n v="15362"/>
    <s v=""/>
    <s v=""/>
  </r>
  <r>
    <s v="SIM1863"/>
    <s v="26.156.492/0001-43"/>
    <x v="2"/>
    <x v="1"/>
    <n v="14897.62"/>
    <n v="0"/>
    <n v="0"/>
    <n v="0"/>
    <n v="0"/>
    <n v="0"/>
    <s v=""/>
    <s v=""/>
    <s v=""/>
    <n v="14897.62"/>
    <s v=""/>
    <s v=""/>
  </r>
  <r>
    <s v="SIM1864"/>
    <s v="14.221.457/0001-25"/>
    <x v="3"/>
    <x v="5"/>
    <n v="6454.58"/>
    <n v="0"/>
    <n v="0"/>
    <n v="0"/>
    <n v="0"/>
    <n v="0"/>
    <s v=""/>
    <n v="6454.58"/>
    <s v=""/>
    <s v=""/>
    <s v=""/>
    <s v=""/>
  </r>
  <r>
    <s v="SIM1865"/>
    <s v="99.375.246/0001-23"/>
    <x v="1"/>
    <x v="4"/>
    <n v="17205.309999999998"/>
    <n v="0"/>
    <n v="0"/>
    <n v="0"/>
    <n v="0"/>
    <n v="0"/>
    <s v=""/>
    <s v=""/>
    <n v="17205.309999999998"/>
    <s v=""/>
    <s v=""/>
    <s v=""/>
  </r>
  <r>
    <s v="SIM1866"/>
    <s v="20.401.674/0001-40"/>
    <x v="4"/>
    <x v="0"/>
    <n v="5762.31"/>
    <n v="0"/>
    <n v="0"/>
    <n v="0"/>
    <n v="0"/>
    <n v="0"/>
    <s v=""/>
    <s v=""/>
    <s v=""/>
    <s v=""/>
    <n v="5762.31"/>
    <s v=""/>
  </r>
  <r>
    <s v="SIM1867"/>
    <s v="16.175.801/0001-81"/>
    <x v="5"/>
    <x v="5"/>
    <n v="10167.76"/>
    <n v="0"/>
    <n v="0"/>
    <n v="0"/>
    <n v="0"/>
    <n v="0"/>
    <n v="10167.76"/>
    <s v=""/>
    <s v=""/>
    <s v=""/>
    <s v=""/>
    <s v=""/>
  </r>
  <r>
    <s v="SIM1868"/>
    <s v="29.637.438/0001-36"/>
    <x v="3"/>
    <x v="8"/>
    <n v="4858.3999999999996"/>
    <n v="0"/>
    <n v="0"/>
    <n v="0"/>
    <n v="0"/>
    <n v="0"/>
    <s v=""/>
    <n v="4858.3999999999996"/>
    <s v=""/>
    <s v=""/>
    <s v=""/>
    <s v=""/>
  </r>
  <r>
    <s v="SIM1869"/>
    <s v="11.301.904/0001-13"/>
    <x v="3"/>
    <x v="9"/>
    <n v="5080.67"/>
    <n v="0"/>
    <n v="0"/>
    <n v="0"/>
    <n v="0"/>
    <n v="0"/>
    <s v=""/>
    <n v="5080.67"/>
    <s v=""/>
    <s v=""/>
    <s v=""/>
    <s v=""/>
  </r>
  <r>
    <s v="SIM1870"/>
    <s v="40.199.494/0001-87"/>
    <x v="4"/>
    <x v="2"/>
    <n v="7654.34"/>
    <n v="0"/>
    <n v="0"/>
    <n v="0"/>
    <n v="0"/>
    <n v="0"/>
    <s v=""/>
    <s v=""/>
    <s v=""/>
    <s v=""/>
    <n v="7654.34"/>
    <s v=""/>
  </r>
  <r>
    <s v="SIM1871"/>
    <s v="99.903.101/0001-30"/>
    <x v="1"/>
    <x v="11"/>
    <n v="15993.119999999999"/>
    <n v="0"/>
    <n v="0"/>
    <n v="0"/>
    <n v="0"/>
    <n v="0"/>
    <s v=""/>
    <s v=""/>
    <n v="15993.119999999999"/>
    <s v=""/>
    <s v=""/>
    <s v=""/>
  </r>
  <r>
    <s v="SIM1872"/>
    <s v="27.791.205/0001-98"/>
    <x v="0"/>
    <x v="0"/>
    <n v="11146.17"/>
    <n v="0"/>
    <n v="0"/>
    <n v="0"/>
    <n v="11146.17"/>
    <n v="0"/>
    <s v=""/>
    <s v=""/>
    <s v=""/>
    <s v=""/>
    <s v=""/>
    <n v="11146.17"/>
  </r>
  <r>
    <s v="SIM1873"/>
    <s v="15.217.524/0001-73"/>
    <x v="2"/>
    <x v="1"/>
    <n v="2193.37"/>
    <n v="0"/>
    <n v="0"/>
    <n v="0"/>
    <n v="0"/>
    <n v="0"/>
    <s v=""/>
    <s v=""/>
    <s v=""/>
    <n v="2193.37"/>
    <s v=""/>
    <s v=""/>
  </r>
  <r>
    <s v="SIM1874"/>
    <s v="69.647.266/0001-94"/>
    <x v="4"/>
    <x v="9"/>
    <n v="1978.29"/>
    <n v="0"/>
    <n v="0"/>
    <n v="0"/>
    <n v="0"/>
    <n v="0"/>
    <s v=""/>
    <s v=""/>
    <s v=""/>
    <s v=""/>
    <n v="1978.29"/>
    <s v=""/>
  </r>
  <r>
    <s v="SIM1875"/>
    <s v="99.533.262/0001-35"/>
    <x v="3"/>
    <x v="3"/>
    <n v="2085.2600000000002"/>
    <n v="0"/>
    <n v="0"/>
    <n v="0"/>
    <n v="0"/>
    <n v="0"/>
    <s v=""/>
    <n v="2085.2600000000002"/>
    <s v=""/>
    <s v=""/>
    <s v=""/>
    <s v=""/>
  </r>
  <r>
    <s v="SIM1876"/>
    <s v="14.835.909/0001-32"/>
    <x v="4"/>
    <x v="1"/>
    <n v="11970.189999999999"/>
    <n v="0"/>
    <n v="0"/>
    <n v="0"/>
    <n v="0"/>
    <n v="0"/>
    <s v=""/>
    <s v=""/>
    <s v=""/>
    <s v=""/>
    <n v="11970.189999999999"/>
    <s v=""/>
  </r>
  <r>
    <s v="SIM1877"/>
    <s v="31.210.281/0001-25"/>
    <x v="3"/>
    <x v="5"/>
    <n v="6382.37"/>
    <n v="0"/>
    <n v="0"/>
    <n v="0"/>
    <n v="0"/>
    <n v="0"/>
    <s v=""/>
    <n v="6382.37"/>
    <s v=""/>
    <s v=""/>
    <s v=""/>
    <s v=""/>
  </r>
  <r>
    <s v="SIM1878"/>
    <s v="66.891.692/0001-13"/>
    <x v="2"/>
    <x v="10"/>
    <n v="7289.78"/>
    <n v="0"/>
    <n v="0"/>
    <n v="0"/>
    <n v="0"/>
    <n v="0"/>
    <s v=""/>
    <s v=""/>
    <s v=""/>
    <n v="7289.78"/>
    <s v=""/>
    <s v=""/>
  </r>
  <r>
    <s v="SIM1879"/>
    <s v="17.385.478/0001-22"/>
    <x v="1"/>
    <x v="8"/>
    <n v="12931.06"/>
    <n v="0"/>
    <n v="0"/>
    <n v="0"/>
    <n v="0"/>
    <n v="0"/>
    <s v=""/>
    <s v=""/>
    <n v="12931.06"/>
    <s v=""/>
    <s v=""/>
    <s v=""/>
  </r>
  <r>
    <s v="SIM1880"/>
    <s v="10.971.443/0001-72"/>
    <x v="3"/>
    <x v="6"/>
    <n v="12286.6"/>
    <n v="0"/>
    <n v="0"/>
    <n v="0"/>
    <n v="0"/>
    <n v="0"/>
    <s v=""/>
    <n v="12286.6"/>
    <s v=""/>
    <s v=""/>
    <s v=""/>
    <s v=""/>
  </r>
  <r>
    <s v="SIM1881"/>
    <s v="10.441.963/0001-12"/>
    <x v="0"/>
    <x v="0"/>
    <n v="4336.33"/>
    <n v="0"/>
    <n v="0"/>
    <n v="0"/>
    <n v="0"/>
    <n v="4336.33"/>
    <s v=""/>
    <s v=""/>
    <s v=""/>
    <s v=""/>
    <s v=""/>
    <n v="4336.33"/>
  </r>
  <r>
    <s v="SIM1882"/>
    <s v="30.670.977/0001-89"/>
    <x v="5"/>
    <x v="5"/>
    <n v="6684.23"/>
    <n v="0"/>
    <n v="0"/>
    <n v="0"/>
    <n v="0"/>
    <n v="0"/>
    <n v="6684.23"/>
    <s v=""/>
    <s v=""/>
    <s v=""/>
    <s v=""/>
    <s v=""/>
  </r>
  <r>
    <s v="SIM1883"/>
    <s v="73.247.875/0001-37"/>
    <x v="0"/>
    <x v="2"/>
    <n v="10891.15"/>
    <n v="0"/>
    <n v="1222.5999999999999"/>
    <n v="2801.94"/>
    <n v="6866.61"/>
    <n v="0"/>
    <s v=""/>
    <s v=""/>
    <s v=""/>
    <s v=""/>
    <s v=""/>
    <n v="10891.15"/>
  </r>
  <r>
    <s v="SIM1884"/>
    <s v="91.240.792/0001-86"/>
    <x v="1"/>
    <x v="1"/>
    <n v="13343.05"/>
    <n v="0"/>
    <n v="0"/>
    <n v="0"/>
    <n v="0"/>
    <n v="0"/>
    <s v=""/>
    <s v=""/>
    <n v="13343.05"/>
    <s v=""/>
    <s v=""/>
    <s v=""/>
  </r>
  <r>
    <s v="SIM1885"/>
    <s v="28.553.729/0001-86"/>
    <x v="4"/>
    <x v="8"/>
    <n v="2260.64"/>
    <n v="0"/>
    <n v="0"/>
    <n v="0"/>
    <n v="0"/>
    <n v="0"/>
    <s v=""/>
    <s v=""/>
    <s v=""/>
    <s v=""/>
    <n v="2260.64"/>
    <s v=""/>
  </r>
  <r>
    <s v="SIM1886"/>
    <s v="43.590.805/0001-79"/>
    <x v="5"/>
    <x v="0"/>
    <n v="6296.12"/>
    <n v="0"/>
    <n v="0"/>
    <n v="0"/>
    <n v="0"/>
    <n v="0"/>
    <n v="6296.12"/>
    <s v=""/>
    <s v=""/>
    <s v=""/>
    <s v=""/>
    <s v=""/>
  </r>
  <r>
    <s v="SIM1887"/>
    <s v="81.751.291/0001-14"/>
    <x v="3"/>
    <x v="10"/>
    <n v="6407.9699999999993"/>
    <n v="0"/>
    <n v="0"/>
    <n v="0"/>
    <n v="0"/>
    <n v="0"/>
    <s v=""/>
    <n v="6407.9699999999993"/>
    <s v=""/>
    <s v=""/>
    <s v=""/>
    <s v=""/>
  </r>
  <r>
    <s v="SIM1888"/>
    <s v="21.525.872/0001-14"/>
    <x v="5"/>
    <x v="3"/>
    <n v="2113.0300000000002"/>
    <n v="0"/>
    <n v="0"/>
    <n v="0"/>
    <n v="0"/>
    <n v="0"/>
    <n v="2113.0300000000002"/>
    <s v=""/>
    <s v=""/>
    <s v=""/>
    <s v=""/>
    <s v=""/>
  </r>
  <r>
    <s v="SIM1889"/>
    <s v="60.153.628/0001-94"/>
    <x v="0"/>
    <x v="9"/>
    <n v="13663.79"/>
    <n v="7806.12"/>
    <n v="0"/>
    <n v="0"/>
    <n v="0"/>
    <n v="5857.67"/>
    <s v=""/>
    <s v=""/>
    <s v=""/>
    <s v=""/>
    <s v=""/>
    <n v="13663.79"/>
  </r>
  <r>
    <s v="SIM1890"/>
    <s v="77.418.581/0001-96"/>
    <x v="1"/>
    <x v="2"/>
    <n v="2767.62"/>
    <n v="0"/>
    <n v="0"/>
    <n v="0"/>
    <n v="0"/>
    <n v="0"/>
    <s v=""/>
    <s v=""/>
    <n v="2767.62"/>
    <s v=""/>
    <s v=""/>
    <s v=""/>
  </r>
  <r>
    <s v="SIM1891"/>
    <s v="83.439.984/0001-15"/>
    <x v="1"/>
    <x v="10"/>
    <n v="23140.010000000002"/>
    <n v="0"/>
    <n v="0"/>
    <n v="0"/>
    <n v="0"/>
    <n v="0"/>
    <s v=""/>
    <s v=""/>
    <n v="23140.010000000002"/>
    <s v=""/>
    <s v=""/>
    <s v=""/>
  </r>
  <r>
    <s v="SIM1892"/>
    <s v="28.550.648/0001-31"/>
    <x v="5"/>
    <x v="5"/>
    <n v="6689.1500000000005"/>
    <n v="0"/>
    <n v="0"/>
    <n v="0"/>
    <n v="0"/>
    <n v="0"/>
    <n v="6689.1500000000005"/>
    <s v=""/>
    <s v=""/>
    <s v=""/>
    <s v=""/>
    <s v=""/>
  </r>
  <r>
    <s v="SIM1893"/>
    <s v="57.620.876/0001-88"/>
    <x v="1"/>
    <x v="1"/>
    <n v="15832.77"/>
    <n v="0"/>
    <n v="0"/>
    <n v="0"/>
    <n v="0"/>
    <n v="0"/>
    <s v=""/>
    <s v=""/>
    <n v="15832.77"/>
    <s v=""/>
    <s v=""/>
    <s v=""/>
  </r>
  <r>
    <s v="SIM1894"/>
    <s v="85.602.783/0001-27"/>
    <x v="4"/>
    <x v="8"/>
    <n v="4175.29"/>
    <n v="0"/>
    <n v="0"/>
    <n v="0"/>
    <n v="0"/>
    <n v="0"/>
    <s v=""/>
    <s v=""/>
    <s v=""/>
    <s v=""/>
    <n v="4175.29"/>
    <s v=""/>
  </r>
  <r>
    <s v="SIM1895"/>
    <s v="52.287.762/0001-11"/>
    <x v="1"/>
    <x v="4"/>
    <n v="8723.16"/>
    <n v="0"/>
    <n v="0"/>
    <n v="0"/>
    <n v="0"/>
    <n v="0"/>
    <s v=""/>
    <s v=""/>
    <n v="8723.16"/>
    <s v=""/>
    <s v=""/>
    <s v=""/>
  </r>
  <r>
    <s v="SIM1896"/>
    <s v="88.372.979/0001-65"/>
    <x v="5"/>
    <x v="7"/>
    <n v="4724.1400000000003"/>
    <n v="0"/>
    <n v="0"/>
    <n v="0"/>
    <n v="0"/>
    <n v="0"/>
    <n v="4724.1400000000003"/>
    <s v=""/>
    <s v=""/>
    <s v=""/>
    <s v=""/>
    <s v=""/>
  </r>
  <r>
    <s v="SIM1897"/>
    <s v="44.700.697/0001-40"/>
    <x v="5"/>
    <x v="8"/>
    <n v="1926.52"/>
    <n v="0"/>
    <n v="0"/>
    <n v="0"/>
    <n v="0"/>
    <n v="0"/>
    <n v="1926.52"/>
    <s v=""/>
    <s v=""/>
    <s v=""/>
    <s v=""/>
    <s v=""/>
  </r>
  <r>
    <s v="SIM1898"/>
    <s v="11.263.605/0001-74"/>
    <x v="1"/>
    <x v="3"/>
    <n v="14612.490000000002"/>
    <n v="0"/>
    <n v="0"/>
    <n v="0"/>
    <n v="0"/>
    <n v="0"/>
    <s v=""/>
    <s v=""/>
    <n v="14612.490000000002"/>
    <s v=""/>
    <s v=""/>
    <s v=""/>
  </r>
  <r>
    <s v="SIM1899"/>
    <s v="29.857.449/0001-82"/>
    <x v="3"/>
    <x v="11"/>
    <n v="2785.92"/>
    <n v="0"/>
    <n v="0"/>
    <n v="0"/>
    <n v="0"/>
    <n v="0"/>
    <s v=""/>
    <n v="2785.92"/>
    <s v=""/>
    <s v=""/>
    <s v=""/>
    <s v=""/>
  </r>
  <r>
    <s v="SIM1900"/>
    <s v="74.529.291/0001-52"/>
    <x v="4"/>
    <x v="7"/>
    <n v="11935.289999999999"/>
    <n v="0"/>
    <n v="0"/>
    <n v="0"/>
    <n v="0"/>
    <n v="0"/>
    <s v=""/>
    <s v=""/>
    <s v=""/>
    <s v=""/>
    <n v="11935.289999999999"/>
    <s v=""/>
  </r>
  <r>
    <s v="SIM1901"/>
    <s v="59.674.670/0001-53"/>
    <x v="4"/>
    <x v="8"/>
    <n v="2383.4499999999998"/>
    <n v="0"/>
    <n v="0"/>
    <n v="0"/>
    <n v="0"/>
    <n v="0"/>
    <s v=""/>
    <s v=""/>
    <s v=""/>
    <s v=""/>
    <n v="2383.4499999999998"/>
    <s v=""/>
  </r>
  <r>
    <s v="SIM1902"/>
    <s v="77.200.522/0001-41"/>
    <x v="3"/>
    <x v="10"/>
    <n v="2245.67"/>
    <n v="0"/>
    <n v="0"/>
    <n v="0"/>
    <n v="0"/>
    <n v="0"/>
    <s v=""/>
    <n v="2245.67"/>
    <s v=""/>
    <s v=""/>
    <s v=""/>
    <s v=""/>
  </r>
  <r>
    <s v="SIM1903"/>
    <s v="26.206.725/0001-96"/>
    <x v="5"/>
    <x v="10"/>
    <n v="19504.29"/>
    <n v="0"/>
    <n v="0"/>
    <n v="0"/>
    <n v="0"/>
    <n v="0"/>
    <n v="19504.29"/>
    <s v=""/>
    <s v=""/>
    <s v=""/>
    <s v=""/>
    <s v=""/>
  </r>
  <r>
    <s v="SIM1904"/>
    <s v="59.521.165/0001-83"/>
    <x v="2"/>
    <x v="10"/>
    <n v="12802.76"/>
    <n v="0"/>
    <n v="0"/>
    <n v="0"/>
    <n v="0"/>
    <n v="0"/>
    <s v=""/>
    <s v=""/>
    <s v=""/>
    <n v="12802.76"/>
    <s v=""/>
    <s v=""/>
  </r>
  <r>
    <s v="SIM1905"/>
    <s v="93.669.630/0001-61"/>
    <x v="3"/>
    <x v="6"/>
    <n v="6714.28"/>
    <n v="0"/>
    <n v="0"/>
    <n v="0"/>
    <n v="0"/>
    <n v="0"/>
    <s v=""/>
    <n v="6714.28"/>
    <s v=""/>
    <s v=""/>
    <s v=""/>
    <s v=""/>
  </r>
  <r>
    <s v="SIM1906"/>
    <s v="46.298.984/0001-76"/>
    <x v="1"/>
    <x v="3"/>
    <n v="8764.43"/>
    <n v="0"/>
    <n v="0"/>
    <n v="0"/>
    <n v="0"/>
    <n v="0"/>
    <s v=""/>
    <s v=""/>
    <n v="8764.43"/>
    <s v=""/>
    <s v=""/>
    <s v=""/>
  </r>
  <r>
    <s v="SIM1907"/>
    <s v="76.978.643/0001-76"/>
    <x v="3"/>
    <x v="0"/>
    <n v="1067.02"/>
    <n v="0"/>
    <n v="0"/>
    <n v="0"/>
    <n v="0"/>
    <n v="0"/>
    <s v=""/>
    <n v="1067.02"/>
    <s v=""/>
    <s v=""/>
    <s v=""/>
    <s v=""/>
  </r>
  <r>
    <s v="SIM1908"/>
    <s v="34.459.204/0001-80"/>
    <x v="0"/>
    <x v="11"/>
    <n v="13455.15"/>
    <n v="132.12"/>
    <n v="710.47"/>
    <n v="2221.89"/>
    <n v="10390.67"/>
    <n v="0"/>
    <s v=""/>
    <s v=""/>
    <s v=""/>
    <s v=""/>
    <s v=""/>
    <n v="13455.15"/>
  </r>
  <r>
    <s v="SIM1909"/>
    <s v="14.383.495/0001-99"/>
    <x v="0"/>
    <x v="4"/>
    <n v="5002.51"/>
    <n v="5002.51"/>
    <n v="0"/>
    <n v="0"/>
    <n v="0"/>
    <n v="0"/>
    <s v=""/>
    <s v=""/>
    <s v=""/>
    <s v=""/>
    <s v=""/>
    <n v="5002.51"/>
  </r>
  <r>
    <s v="SIM1910"/>
    <s v="76.836.909/0001-54"/>
    <x v="1"/>
    <x v="1"/>
    <n v="12941.32"/>
    <n v="0"/>
    <n v="0"/>
    <n v="0"/>
    <n v="0"/>
    <n v="0"/>
    <s v=""/>
    <s v=""/>
    <n v="12941.32"/>
    <s v=""/>
    <s v=""/>
    <s v=""/>
  </r>
  <r>
    <s v="SIM1911"/>
    <s v="40.153.641/0001-80"/>
    <x v="5"/>
    <x v="11"/>
    <n v="18724.239999999998"/>
    <n v="0"/>
    <n v="0"/>
    <n v="0"/>
    <n v="0"/>
    <n v="0"/>
    <n v="18724.239999999998"/>
    <s v=""/>
    <s v=""/>
    <s v=""/>
    <s v=""/>
    <s v=""/>
  </r>
  <r>
    <s v="SIM1912"/>
    <s v="77.335.275/0001-61"/>
    <x v="5"/>
    <x v="3"/>
    <n v="13091.52"/>
    <n v="0"/>
    <n v="0"/>
    <n v="0"/>
    <n v="0"/>
    <n v="0"/>
    <n v="13091.52"/>
    <s v=""/>
    <s v=""/>
    <s v=""/>
    <s v=""/>
    <s v=""/>
  </r>
  <r>
    <s v="SIM1913"/>
    <s v="47.686.172/0001-80"/>
    <x v="5"/>
    <x v="0"/>
    <n v="12712.65"/>
    <n v="0"/>
    <n v="0"/>
    <n v="0"/>
    <n v="0"/>
    <n v="0"/>
    <n v="12712.65"/>
    <s v=""/>
    <s v=""/>
    <s v=""/>
    <s v=""/>
    <s v=""/>
  </r>
  <r>
    <s v="SIM1914"/>
    <s v="88.165.630/0001-51"/>
    <x v="3"/>
    <x v="0"/>
    <n v="11914.470000000001"/>
    <n v="0"/>
    <n v="0"/>
    <n v="0"/>
    <n v="0"/>
    <n v="0"/>
    <s v=""/>
    <n v="11914.470000000001"/>
    <s v=""/>
    <s v=""/>
    <s v=""/>
    <s v=""/>
  </r>
  <r>
    <s v="SIM1915"/>
    <s v="19.887.630/0001-11"/>
    <x v="2"/>
    <x v="2"/>
    <n v="4434.74"/>
    <n v="0"/>
    <n v="0"/>
    <n v="0"/>
    <n v="0"/>
    <n v="0"/>
    <s v=""/>
    <s v=""/>
    <s v=""/>
    <n v="4434.74"/>
    <s v=""/>
    <s v=""/>
  </r>
  <r>
    <s v="SIM1916"/>
    <s v="52.977.810/0001-71"/>
    <x v="4"/>
    <x v="9"/>
    <n v="4938.2900000000009"/>
    <n v="0"/>
    <n v="0"/>
    <n v="0"/>
    <n v="0"/>
    <n v="0"/>
    <s v=""/>
    <s v=""/>
    <s v=""/>
    <s v=""/>
    <n v="4938.2900000000009"/>
    <s v=""/>
  </r>
  <r>
    <s v="SIM1917"/>
    <s v="95.317.209/0001-58"/>
    <x v="1"/>
    <x v="5"/>
    <n v="5588.1"/>
    <n v="0"/>
    <n v="0"/>
    <n v="0"/>
    <n v="0"/>
    <n v="0"/>
    <s v=""/>
    <s v=""/>
    <n v="5588.1"/>
    <s v=""/>
    <s v=""/>
    <s v=""/>
  </r>
  <r>
    <s v="SIM1918"/>
    <s v="18.936.938/0001-33"/>
    <x v="3"/>
    <x v="5"/>
    <n v="2860.98"/>
    <n v="0"/>
    <n v="0"/>
    <n v="0"/>
    <n v="0"/>
    <n v="0"/>
    <s v=""/>
    <n v="2860.98"/>
    <s v=""/>
    <s v=""/>
    <s v=""/>
    <s v=""/>
  </r>
  <r>
    <s v="SIM1919"/>
    <s v="47.312.369/0001-19"/>
    <x v="1"/>
    <x v="0"/>
    <n v="36244.36"/>
    <n v="0"/>
    <n v="0"/>
    <n v="0"/>
    <n v="0"/>
    <n v="0"/>
    <s v=""/>
    <s v=""/>
    <n v="36244.36"/>
    <s v=""/>
    <s v=""/>
    <s v=""/>
  </r>
  <r>
    <s v="SIM1920"/>
    <s v="71.902.991/0001-14"/>
    <x v="3"/>
    <x v="4"/>
    <n v="10781.14"/>
    <n v="0"/>
    <n v="0"/>
    <n v="0"/>
    <n v="0"/>
    <n v="0"/>
    <s v=""/>
    <n v="10781.14"/>
    <s v=""/>
    <s v=""/>
    <s v=""/>
    <s v=""/>
  </r>
  <r>
    <s v="SIM1921"/>
    <s v="49.114.303/0001-49"/>
    <x v="0"/>
    <x v="0"/>
    <n v="6393.24"/>
    <n v="6393.24"/>
    <n v="0"/>
    <n v="0"/>
    <n v="0"/>
    <n v="0"/>
    <s v=""/>
    <s v=""/>
    <s v=""/>
    <s v=""/>
    <s v=""/>
    <n v="6393.24"/>
  </r>
  <r>
    <s v="SIM1922"/>
    <s v="14.861.594/0001-97"/>
    <x v="0"/>
    <x v="0"/>
    <n v="6373.63"/>
    <n v="2127.04"/>
    <n v="2505.37"/>
    <n v="1741.22"/>
    <n v="0"/>
    <n v="0"/>
    <s v=""/>
    <s v=""/>
    <s v=""/>
    <s v=""/>
    <s v=""/>
    <n v="6373.63"/>
  </r>
  <r>
    <s v="SIM1923"/>
    <s v="10.264.484/0001-45"/>
    <x v="0"/>
    <x v="10"/>
    <n v="19522.29"/>
    <n v="0"/>
    <n v="0"/>
    <n v="0"/>
    <n v="7370.69"/>
    <n v="12151.6"/>
    <s v=""/>
    <s v=""/>
    <s v=""/>
    <s v=""/>
    <s v=""/>
    <n v="19522.29"/>
  </r>
  <r>
    <s v="SIM1924"/>
    <s v="63.224.228/0001-23"/>
    <x v="1"/>
    <x v="11"/>
    <n v="1314.53"/>
    <n v="0"/>
    <n v="0"/>
    <n v="0"/>
    <n v="0"/>
    <n v="0"/>
    <s v=""/>
    <s v=""/>
    <n v="1314.53"/>
    <s v=""/>
    <s v=""/>
    <s v=""/>
  </r>
  <r>
    <s v="SIM1925"/>
    <s v="42.350.466/0001-11"/>
    <x v="1"/>
    <x v="5"/>
    <n v="20912.82"/>
    <n v="0"/>
    <n v="0"/>
    <n v="0"/>
    <n v="0"/>
    <n v="0"/>
    <s v=""/>
    <s v=""/>
    <n v="20912.82"/>
    <s v=""/>
    <s v=""/>
    <s v=""/>
  </r>
  <r>
    <s v="SIM1926"/>
    <s v="22.326.442/0001-34"/>
    <x v="2"/>
    <x v="3"/>
    <n v="5982.59"/>
    <n v="0"/>
    <n v="0"/>
    <n v="0"/>
    <n v="0"/>
    <n v="0"/>
    <s v=""/>
    <s v=""/>
    <s v=""/>
    <n v="5982.59"/>
    <s v=""/>
    <s v=""/>
  </r>
  <r>
    <s v="SIM1927"/>
    <s v="88.608.687/0001-13"/>
    <x v="0"/>
    <x v="10"/>
    <n v="2491.27"/>
    <n v="2066.15"/>
    <n v="425.12"/>
    <n v="0"/>
    <n v="0"/>
    <n v="0"/>
    <s v=""/>
    <s v=""/>
    <s v=""/>
    <s v=""/>
    <s v=""/>
    <n v="2491.27"/>
  </r>
  <r>
    <s v="SIM1928"/>
    <s v="21.785.448/0001-18"/>
    <x v="1"/>
    <x v="3"/>
    <n v="5025.17"/>
    <n v="0"/>
    <n v="0"/>
    <n v="0"/>
    <n v="0"/>
    <n v="0"/>
    <s v=""/>
    <s v=""/>
    <n v="5025.17"/>
    <s v=""/>
    <s v=""/>
    <s v=""/>
  </r>
  <r>
    <s v="SIM1929"/>
    <s v="58.467.733/0001-44"/>
    <x v="3"/>
    <x v="6"/>
    <n v="14091.720000000001"/>
    <n v="0"/>
    <n v="0"/>
    <n v="0"/>
    <n v="0"/>
    <n v="0"/>
    <s v=""/>
    <n v="14091.720000000001"/>
    <s v=""/>
    <s v=""/>
    <s v=""/>
    <s v=""/>
  </r>
  <r>
    <s v="SIM1930"/>
    <s v="45.908.305/0001-36"/>
    <x v="1"/>
    <x v="8"/>
    <n v="3040.5"/>
    <n v="0"/>
    <n v="0"/>
    <n v="0"/>
    <n v="0"/>
    <n v="0"/>
    <s v=""/>
    <s v=""/>
    <n v="3040.5"/>
    <s v=""/>
    <s v=""/>
    <s v=""/>
  </r>
  <r>
    <s v="SIM1931"/>
    <s v="52.775.564/0001-97"/>
    <x v="0"/>
    <x v="8"/>
    <n v="6653.53"/>
    <n v="6653.53"/>
    <n v="0"/>
    <n v="0"/>
    <n v="0"/>
    <n v="0"/>
    <s v=""/>
    <s v=""/>
    <s v=""/>
    <s v=""/>
    <s v=""/>
    <n v="6653.53"/>
  </r>
  <r>
    <s v="SIM1932"/>
    <s v="12.641.210/0001-87"/>
    <x v="1"/>
    <x v="5"/>
    <n v="12302.83"/>
    <n v="0"/>
    <n v="0"/>
    <n v="0"/>
    <n v="0"/>
    <n v="0"/>
    <s v=""/>
    <s v=""/>
    <n v="12302.83"/>
    <s v=""/>
    <s v=""/>
    <s v=""/>
  </r>
  <r>
    <s v="SIM1933"/>
    <s v="16.157.909/0001-24"/>
    <x v="3"/>
    <x v="8"/>
    <n v="3796.85"/>
    <n v="0"/>
    <n v="0"/>
    <n v="0"/>
    <n v="0"/>
    <n v="0"/>
    <s v=""/>
    <n v="3796.85"/>
    <s v=""/>
    <s v=""/>
    <s v=""/>
    <s v=""/>
  </r>
  <r>
    <s v="SIM1934"/>
    <s v="88.598.120/0001-93"/>
    <x v="4"/>
    <x v="2"/>
    <n v="7740.04"/>
    <n v="0"/>
    <n v="0"/>
    <n v="0"/>
    <n v="0"/>
    <n v="0"/>
    <s v=""/>
    <s v=""/>
    <s v=""/>
    <s v=""/>
    <n v="7740.04"/>
    <s v=""/>
  </r>
  <r>
    <s v="SIM1935"/>
    <s v="50.614.886/0001-24"/>
    <x v="4"/>
    <x v="3"/>
    <n v="26122.339999999997"/>
    <n v="0"/>
    <n v="0"/>
    <n v="0"/>
    <n v="0"/>
    <n v="0"/>
    <s v=""/>
    <s v=""/>
    <s v=""/>
    <s v=""/>
    <n v="26122.339999999997"/>
    <s v=""/>
  </r>
  <r>
    <s v="SIM1936"/>
    <s v="85.912.395/0001-17"/>
    <x v="2"/>
    <x v="4"/>
    <n v="2349.1"/>
    <n v="0"/>
    <n v="0"/>
    <n v="0"/>
    <n v="0"/>
    <n v="0"/>
    <s v=""/>
    <s v=""/>
    <s v=""/>
    <n v="2349.1"/>
    <s v=""/>
    <s v=""/>
  </r>
  <r>
    <s v="SIM1937"/>
    <s v="81.821.655/0001-11"/>
    <x v="5"/>
    <x v="7"/>
    <n v="8728.65"/>
    <n v="0"/>
    <n v="0"/>
    <n v="0"/>
    <n v="0"/>
    <n v="0"/>
    <n v="8728.65"/>
    <s v=""/>
    <s v=""/>
    <s v=""/>
    <s v=""/>
    <s v=""/>
  </r>
  <r>
    <s v="SIM1938"/>
    <s v="83.576.936/0001-82"/>
    <x v="1"/>
    <x v="8"/>
    <n v="4229.09"/>
    <n v="0"/>
    <n v="0"/>
    <n v="0"/>
    <n v="0"/>
    <n v="0"/>
    <s v=""/>
    <s v=""/>
    <n v="4229.09"/>
    <s v=""/>
    <s v=""/>
    <s v=""/>
  </r>
  <r>
    <s v="SIM1939"/>
    <s v="39.201.610/0001-45"/>
    <x v="5"/>
    <x v="10"/>
    <n v="13311.12"/>
    <n v="0"/>
    <n v="0"/>
    <n v="0"/>
    <n v="0"/>
    <n v="0"/>
    <n v="13311.12"/>
    <s v=""/>
    <s v=""/>
    <s v=""/>
    <s v=""/>
    <s v=""/>
  </r>
  <r>
    <s v="SIM1940"/>
    <s v="78.458.120/0001-56"/>
    <x v="4"/>
    <x v="7"/>
    <n v="8351.06"/>
    <n v="0"/>
    <n v="0"/>
    <n v="0"/>
    <n v="0"/>
    <n v="0"/>
    <s v=""/>
    <s v=""/>
    <s v=""/>
    <s v=""/>
    <n v="8351.06"/>
    <s v=""/>
  </r>
  <r>
    <s v="SIM1941"/>
    <s v="62.410.904/0001-17"/>
    <x v="3"/>
    <x v="9"/>
    <n v="6411.8600000000006"/>
    <n v="0"/>
    <n v="0"/>
    <n v="0"/>
    <n v="0"/>
    <n v="0"/>
    <s v=""/>
    <n v="6411.8600000000006"/>
    <s v=""/>
    <s v=""/>
    <s v=""/>
    <s v=""/>
  </r>
  <r>
    <s v="SIM1942"/>
    <s v="48.837.316/0001-95"/>
    <x v="5"/>
    <x v="7"/>
    <n v="17189.14"/>
    <n v="0"/>
    <n v="0"/>
    <n v="0"/>
    <n v="0"/>
    <n v="0"/>
    <n v="17189.14"/>
    <s v=""/>
    <s v=""/>
    <s v=""/>
    <s v=""/>
    <s v=""/>
  </r>
  <r>
    <s v="SIM1943"/>
    <s v="11.705.215/0001-21"/>
    <x v="4"/>
    <x v="6"/>
    <n v="16259.02"/>
    <n v="0"/>
    <n v="0"/>
    <n v="0"/>
    <n v="0"/>
    <n v="0"/>
    <s v=""/>
    <s v=""/>
    <s v=""/>
    <s v=""/>
    <n v="16259.02"/>
    <s v=""/>
  </r>
  <r>
    <s v="SIM1944"/>
    <s v="57.502.228/0001-17"/>
    <x v="4"/>
    <x v="2"/>
    <n v="3155.68"/>
    <n v="0"/>
    <n v="0"/>
    <n v="0"/>
    <n v="0"/>
    <n v="0"/>
    <s v=""/>
    <s v=""/>
    <s v=""/>
    <s v=""/>
    <n v="3155.68"/>
    <s v=""/>
  </r>
  <r>
    <s v="SIM1945"/>
    <s v="37.671.857/0001-94"/>
    <x v="4"/>
    <x v="5"/>
    <n v="17722.48"/>
    <n v="0"/>
    <n v="0"/>
    <n v="0"/>
    <n v="0"/>
    <n v="0"/>
    <s v=""/>
    <s v=""/>
    <s v=""/>
    <s v=""/>
    <n v="17722.48"/>
    <s v=""/>
  </r>
  <r>
    <s v="SIM1946"/>
    <s v="28.550.658/0001-19"/>
    <x v="4"/>
    <x v="3"/>
    <n v="16132.04"/>
    <n v="0"/>
    <n v="0"/>
    <n v="0"/>
    <n v="0"/>
    <n v="0"/>
    <s v=""/>
    <s v=""/>
    <s v=""/>
    <s v=""/>
    <n v="16132.04"/>
    <s v=""/>
  </r>
  <r>
    <s v="SIM1947"/>
    <s v="69.548.475/0001-57"/>
    <x v="5"/>
    <x v="4"/>
    <n v="13615.010000000002"/>
    <n v="0"/>
    <n v="0"/>
    <n v="0"/>
    <n v="0"/>
    <n v="0"/>
    <n v="13615.010000000002"/>
    <s v=""/>
    <s v=""/>
    <s v=""/>
    <s v=""/>
    <s v=""/>
  </r>
  <r>
    <s v="SIM1948"/>
    <s v="28.731.880/0001-74"/>
    <x v="3"/>
    <x v="3"/>
    <n v="7171.3200000000006"/>
    <n v="0"/>
    <n v="0"/>
    <n v="0"/>
    <n v="0"/>
    <n v="0"/>
    <s v=""/>
    <n v="7171.3200000000006"/>
    <s v=""/>
    <s v=""/>
    <s v=""/>
    <s v=""/>
  </r>
  <r>
    <s v="SIM1949"/>
    <s v="33.522.995/0001-93"/>
    <x v="4"/>
    <x v="7"/>
    <n v="7204.8700000000008"/>
    <n v="0"/>
    <n v="0"/>
    <n v="0"/>
    <n v="0"/>
    <n v="0"/>
    <s v=""/>
    <s v=""/>
    <s v=""/>
    <s v=""/>
    <n v="7204.8700000000008"/>
    <s v=""/>
  </r>
  <r>
    <s v="SIM1950"/>
    <s v="63.562.949/0001-94"/>
    <x v="3"/>
    <x v="8"/>
    <n v="6380.67"/>
    <n v="0"/>
    <n v="0"/>
    <n v="0"/>
    <n v="0"/>
    <n v="0"/>
    <s v=""/>
    <n v="6380.67"/>
    <s v=""/>
    <s v=""/>
    <s v=""/>
    <s v=""/>
  </r>
  <r>
    <s v="SIM1951"/>
    <s v="71.393.909/0001-15"/>
    <x v="2"/>
    <x v="10"/>
    <n v="2628.25"/>
    <n v="0"/>
    <n v="0"/>
    <n v="0"/>
    <n v="0"/>
    <n v="0"/>
    <s v=""/>
    <s v=""/>
    <s v=""/>
    <n v="2628.25"/>
    <s v=""/>
    <s v=""/>
  </r>
  <r>
    <s v="SIM1952"/>
    <s v="25.386.240/0001-87"/>
    <x v="4"/>
    <x v="1"/>
    <n v="5777.76"/>
    <n v="0"/>
    <n v="0"/>
    <n v="0"/>
    <n v="0"/>
    <n v="0"/>
    <s v=""/>
    <s v=""/>
    <s v=""/>
    <s v=""/>
    <n v="5777.76"/>
    <s v=""/>
  </r>
  <r>
    <s v="SIM1953"/>
    <s v="58.780.441/0001-15"/>
    <x v="3"/>
    <x v="1"/>
    <n v="8138.27"/>
    <n v="0"/>
    <n v="0"/>
    <n v="0"/>
    <n v="0"/>
    <n v="0"/>
    <s v=""/>
    <n v="8138.27"/>
    <s v=""/>
    <s v=""/>
    <s v=""/>
    <s v=""/>
  </r>
  <r>
    <s v="SIM1954"/>
    <s v="38.813.599/0001-63"/>
    <x v="1"/>
    <x v="4"/>
    <n v="14512.07"/>
    <n v="0"/>
    <n v="0"/>
    <n v="0"/>
    <n v="0"/>
    <n v="0"/>
    <s v=""/>
    <s v=""/>
    <n v="14512.07"/>
    <s v=""/>
    <s v=""/>
    <s v=""/>
  </r>
  <r>
    <s v="SIM1955"/>
    <s v="72.816.784/0001-66"/>
    <x v="4"/>
    <x v="6"/>
    <n v="16735.87"/>
    <n v="0"/>
    <n v="0"/>
    <n v="0"/>
    <n v="0"/>
    <n v="0"/>
    <s v=""/>
    <s v=""/>
    <s v=""/>
    <s v=""/>
    <n v="16735.87"/>
    <s v=""/>
  </r>
  <r>
    <s v="SIM1956"/>
    <s v="77.458.612/0001-19"/>
    <x v="4"/>
    <x v="10"/>
    <n v="21691.62"/>
    <n v="0"/>
    <n v="0"/>
    <n v="0"/>
    <n v="0"/>
    <n v="0"/>
    <s v=""/>
    <s v=""/>
    <s v=""/>
    <s v=""/>
    <n v="21691.62"/>
    <s v=""/>
  </r>
  <r>
    <s v="SIM1957"/>
    <s v="91.749.558/0001-49"/>
    <x v="2"/>
    <x v="10"/>
    <n v="4322.38"/>
    <n v="0"/>
    <n v="0"/>
    <n v="0"/>
    <n v="0"/>
    <n v="0"/>
    <s v=""/>
    <s v=""/>
    <s v=""/>
    <n v="4322.38"/>
    <s v=""/>
    <s v=""/>
  </r>
  <r>
    <s v="SIM1958"/>
    <s v="46.214.172/0001-71"/>
    <x v="0"/>
    <x v="1"/>
    <n v="3830.4"/>
    <n v="0"/>
    <n v="0"/>
    <n v="3830.4"/>
    <n v="0"/>
    <n v="0"/>
    <s v=""/>
    <s v=""/>
    <s v=""/>
    <s v=""/>
    <s v=""/>
    <n v="3830.4"/>
  </r>
  <r>
    <s v="SIM1959"/>
    <s v="25.609.306/0001-42"/>
    <x v="5"/>
    <x v="3"/>
    <n v="405.29"/>
    <n v="0"/>
    <n v="0"/>
    <n v="0"/>
    <n v="0"/>
    <n v="0"/>
    <n v="405.29"/>
    <s v=""/>
    <s v=""/>
    <s v=""/>
    <s v=""/>
    <s v=""/>
  </r>
  <r>
    <s v="SIM1960"/>
    <s v="74.504.283/0001-18"/>
    <x v="1"/>
    <x v="5"/>
    <n v="4762.4799999999996"/>
    <n v="0"/>
    <n v="0"/>
    <n v="0"/>
    <n v="0"/>
    <n v="0"/>
    <s v=""/>
    <s v=""/>
    <n v="4762.4799999999996"/>
    <s v=""/>
    <s v=""/>
    <s v=""/>
  </r>
  <r>
    <s v="SIM1961"/>
    <s v="10.900.589/0001-71"/>
    <x v="3"/>
    <x v="0"/>
    <n v="14423.51"/>
    <n v="0"/>
    <n v="0"/>
    <n v="0"/>
    <n v="0"/>
    <n v="0"/>
    <s v=""/>
    <n v="14423.51"/>
    <s v=""/>
    <s v=""/>
    <s v=""/>
    <s v=""/>
  </r>
  <r>
    <s v="SIM1962"/>
    <s v="59.652.546/0001-15"/>
    <x v="1"/>
    <x v="4"/>
    <n v="16462.510000000002"/>
    <n v="0"/>
    <n v="0"/>
    <n v="0"/>
    <n v="0"/>
    <n v="0"/>
    <s v=""/>
    <s v=""/>
    <n v="16462.510000000002"/>
    <s v=""/>
    <s v=""/>
    <s v=""/>
  </r>
  <r>
    <s v="SIM1963"/>
    <s v="62.779.988/0001-56"/>
    <x v="5"/>
    <x v="3"/>
    <n v="4266.0599999999995"/>
    <n v="0"/>
    <n v="0"/>
    <n v="0"/>
    <n v="0"/>
    <n v="0"/>
    <n v="4266.0599999999995"/>
    <s v=""/>
    <s v=""/>
    <s v=""/>
    <s v=""/>
    <s v=""/>
  </r>
  <r>
    <s v="SIM1964"/>
    <s v="48.942.376/0001-31"/>
    <x v="1"/>
    <x v="6"/>
    <n v="18320.66"/>
    <n v="0"/>
    <n v="0"/>
    <n v="0"/>
    <n v="0"/>
    <n v="0"/>
    <s v=""/>
    <s v=""/>
    <n v="18320.66"/>
    <s v=""/>
    <s v=""/>
    <s v=""/>
  </r>
  <r>
    <s v="SIM1965"/>
    <s v="14.285.590/0001-87"/>
    <x v="0"/>
    <x v="11"/>
    <n v="6803.49"/>
    <n v="0"/>
    <n v="0"/>
    <n v="1645.41"/>
    <n v="0"/>
    <n v="5158.08"/>
    <s v=""/>
    <s v=""/>
    <s v=""/>
    <s v=""/>
    <s v=""/>
    <n v="6803.49"/>
  </r>
  <r>
    <s v="SIM1966"/>
    <s v="82.761.422/0001-73"/>
    <x v="5"/>
    <x v="10"/>
    <n v="8015.86"/>
    <n v="0"/>
    <n v="0"/>
    <n v="0"/>
    <n v="0"/>
    <n v="0"/>
    <n v="8015.86"/>
    <s v=""/>
    <s v=""/>
    <s v=""/>
    <s v=""/>
    <s v=""/>
  </r>
  <r>
    <s v="SIM1967"/>
    <s v="38.254.452/0001-87"/>
    <x v="5"/>
    <x v="1"/>
    <n v="4661.01"/>
    <n v="0"/>
    <n v="0"/>
    <n v="0"/>
    <n v="0"/>
    <n v="0"/>
    <n v="4661.01"/>
    <s v=""/>
    <s v=""/>
    <s v=""/>
    <s v=""/>
    <s v=""/>
  </r>
  <r>
    <s v="SIM1968"/>
    <s v="48.570.418/0001-10"/>
    <x v="2"/>
    <x v="1"/>
    <n v="6730.1399999999994"/>
    <n v="0"/>
    <n v="0"/>
    <n v="0"/>
    <n v="0"/>
    <n v="0"/>
    <s v=""/>
    <s v=""/>
    <s v=""/>
    <n v="6730.1399999999994"/>
    <s v=""/>
    <s v=""/>
  </r>
  <r>
    <s v="SIM1969"/>
    <s v="29.766.450/0001-26"/>
    <x v="5"/>
    <x v="9"/>
    <n v="6842.4500000000007"/>
    <n v="0"/>
    <n v="0"/>
    <n v="0"/>
    <n v="0"/>
    <n v="0"/>
    <n v="6842.4500000000007"/>
    <s v=""/>
    <s v=""/>
    <s v=""/>
    <s v=""/>
    <s v=""/>
  </r>
  <r>
    <s v="SIM1970"/>
    <s v="28.880.619/0001-23"/>
    <x v="4"/>
    <x v="3"/>
    <n v="29870.89"/>
    <n v="0"/>
    <n v="0"/>
    <n v="0"/>
    <n v="0"/>
    <n v="0"/>
    <s v=""/>
    <s v=""/>
    <s v=""/>
    <s v=""/>
    <n v="29870.89"/>
    <s v=""/>
  </r>
  <r>
    <s v="SIM1971"/>
    <s v="71.295.431/0001-45"/>
    <x v="2"/>
    <x v="3"/>
    <n v="11911.66"/>
    <n v="0"/>
    <n v="0"/>
    <n v="0"/>
    <n v="0"/>
    <n v="0"/>
    <s v=""/>
    <s v=""/>
    <s v=""/>
    <n v="11911.66"/>
    <s v=""/>
    <s v=""/>
  </r>
  <r>
    <s v="SIM1972"/>
    <s v="65.855.583/0001-89"/>
    <x v="4"/>
    <x v="1"/>
    <n v="1511.8899999999999"/>
    <n v="0"/>
    <n v="0"/>
    <n v="0"/>
    <n v="0"/>
    <n v="0"/>
    <s v=""/>
    <s v=""/>
    <s v=""/>
    <s v=""/>
    <n v="1511.8899999999999"/>
    <s v=""/>
  </r>
  <r>
    <s v="SIM1973"/>
    <s v="70.727.651/0001-76"/>
    <x v="2"/>
    <x v="7"/>
    <n v="295.42"/>
    <n v="0"/>
    <n v="0"/>
    <n v="0"/>
    <n v="0"/>
    <n v="0"/>
    <s v=""/>
    <s v=""/>
    <s v=""/>
    <n v="295.42"/>
    <s v=""/>
    <s v=""/>
  </r>
  <r>
    <s v="SIM1974"/>
    <s v="75.374.574/0001-22"/>
    <x v="5"/>
    <x v="10"/>
    <n v="9330.26"/>
    <n v="0"/>
    <n v="0"/>
    <n v="0"/>
    <n v="0"/>
    <n v="0"/>
    <n v="9330.26"/>
    <s v=""/>
    <s v=""/>
    <s v=""/>
    <s v=""/>
    <s v=""/>
  </r>
  <r>
    <s v="SIM1975"/>
    <s v="72.328.403/0001-92"/>
    <x v="0"/>
    <x v="4"/>
    <n v="20547.7"/>
    <n v="7034.95"/>
    <n v="834.98"/>
    <n v="2291.7399999999998"/>
    <n v="1657.2"/>
    <n v="8728.83"/>
    <s v=""/>
    <s v=""/>
    <s v=""/>
    <s v=""/>
    <s v=""/>
    <n v="20547.7"/>
  </r>
  <r>
    <s v="SIM1976"/>
    <s v="23.270.227/0001-22"/>
    <x v="5"/>
    <x v="2"/>
    <n v="20371.349999999999"/>
    <n v="0"/>
    <n v="0"/>
    <n v="0"/>
    <n v="0"/>
    <n v="0"/>
    <n v="20371.349999999999"/>
    <s v=""/>
    <s v=""/>
    <s v=""/>
    <s v=""/>
    <s v=""/>
  </r>
  <r>
    <s v="SIM1977"/>
    <s v="13.473.411/0001-12"/>
    <x v="5"/>
    <x v="7"/>
    <n v="8937.52"/>
    <n v="0"/>
    <n v="0"/>
    <n v="0"/>
    <n v="0"/>
    <n v="0"/>
    <n v="8937.52"/>
    <s v=""/>
    <s v=""/>
    <s v=""/>
    <s v=""/>
    <s v=""/>
  </r>
  <r>
    <s v="SIM1978"/>
    <s v="21.880.303/0001-11"/>
    <x v="2"/>
    <x v="6"/>
    <n v="572.20000000000005"/>
    <n v="0"/>
    <n v="0"/>
    <n v="0"/>
    <n v="0"/>
    <n v="0"/>
    <s v=""/>
    <s v=""/>
    <s v=""/>
    <n v="572.20000000000005"/>
    <s v=""/>
    <s v=""/>
  </r>
  <r>
    <s v="SIM1979"/>
    <s v="99.467.723/0001-23"/>
    <x v="4"/>
    <x v="7"/>
    <n v="14447.22"/>
    <n v="0"/>
    <n v="0"/>
    <n v="0"/>
    <n v="0"/>
    <n v="0"/>
    <s v=""/>
    <s v=""/>
    <s v=""/>
    <s v=""/>
    <n v="14447.22"/>
    <s v=""/>
  </r>
  <r>
    <s v="SIM1980"/>
    <s v="13.212.718/0001-46"/>
    <x v="5"/>
    <x v="6"/>
    <n v="869.78"/>
    <n v="0"/>
    <n v="0"/>
    <n v="0"/>
    <n v="0"/>
    <n v="0"/>
    <n v="869.78"/>
    <s v=""/>
    <s v=""/>
    <s v=""/>
    <s v=""/>
    <s v=""/>
  </r>
  <r>
    <s v="SIM1981"/>
    <s v="98.804.517/0001-88"/>
    <x v="4"/>
    <x v="6"/>
    <n v="8898.7900000000009"/>
    <n v="0"/>
    <n v="0"/>
    <n v="0"/>
    <n v="0"/>
    <n v="0"/>
    <s v=""/>
    <s v=""/>
    <s v=""/>
    <s v=""/>
    <n v="8898.7900000000009"/>
    <s v=""/>
  </r>
  <r>
    <s v="SIM1982"/>
    <s v="47.396.510/0001-87"/>
    <x v="2"/>
    <x v="9"/>
    <n v="6209.9500000000007"/>
    <n v="0"/>
    <n v="0"/>
    <n v="0"/>
    <n v="0"/>
    <n v="0"/>
    <s v=""/>
    <s v=""/>
    <s v=""/>
    <n v="6209.9500000000007"/>
    <s v=""/>
    <s v=""/>
  </r>
  <r>
    <s v="SIM1983"/>
    <s v="95.572.556/0001-29"/>
    <x v="4"/>
    <x v="11"/>
    <n v="14750.68"/>
    <n v="0"/>
    <n v="0"/>
    <n v="0"/>
    <n v="0"/>
    <n v="0"/>
    <s v=""/>
    <s v=""/>
    <s v=""/>
    <s v=""/>
    <n v="14750.68"/>
    <s v=""/>
  </r>
  <r>
    <s v="SIM1984"/>
    <s v="65.650.863/0001-80"/>
    <x v="3"/>
    <x v="1"/>
    <n v="9287.32"/>
    <n v="0"/>
    <n v="0"/>
    <n v="0"/>
    <n v="0"/>
    <n v="0"/>
    <s v=""/>
    <n v="9287.32"/>
    <s v=""/>
    <s v=""/>
    <s v=""/>
    <s v=""/>
  </r>
  <r>
    <s v="SIM1985"/>
    <s v="88.788.138/0001-92"/>
    <x v="0"/>
    <x v="0"/>
    <n v="3004.93"/>
    <n v="0"/>
    <n v="3004.93"/>
    <n v="0"/>
    <n v="0"/>
    <n v="0"/>
    <s v=""/>
    <s v=""/>
    <s v=""/>
    <s v=""/>
    <s v=""/>
    <n v="3004.93"/>
  </r>
  <r>
    <s v="SIM1986"/>
    <s v="69.464.643/0001-40"/>
    <x v="5"/>
    <x v="6"/>
    <n v="5718.2999999999993"/>
    <n v="0"/>
    <n v="0"/>
    <n v="0"/>
    <n v="0"/>
    <n v="0"/>
    <n v="5718.2999999999993"/>
    <s v=""/>
    <s v=""/>
    <s v=""/>
    <s v=""/>
    <s v=""/>
  </r>
  <r>
    <s v="SIM1987"/>
    <s v="91.122.679/0001-50"/>
    <x v="1"/>
    <x v="11"/>
    <n v="10621.550000000001"/>
    <n v="0"/>
    <n v="0"/>
    <n v="0"/>
    <n v="0"/>
    <n v="0"/>
    <s v=""/>
    <s v=""/>
    <n v="10621.550000000001"/>
    <s v=""/>
    <s v=""/>
    <s v=""/>
  </r>
  <r>
    <s v="SIM1988"/>
    <s v="24.624.762/0001-94"/>
    <x v="2"/>
    <x v="10"/>
    <n v="13065.52"/>
    <n v="0"/>
    <n v="0"/>
    <n v="0"/>
    <n v="0"/>
    <n v="0"/>
    <s v=""/>
    <s v=""/>
    <s v=""/>
    <n v="13065.52"/>
    <s v=""/>
    <s v=""/>
  </r>
  <r>
    <s v="SIM1989"/>
    <s v="80.635.331/0001-32"/>
    <x v="4"/>
    <x v="9"/>
    <n v="16882.699999999997"/>
    <n v="0"/>
    <n v="0"/>
    <n v="0"/>
    <n v="0"/>
    <n v="0"/>
    <s v=""/>
    <s v=""/>
    <s v=""/>
    <s v=""/>
    <n v="16882.699999999997"/>
    <s v=""/>
  </r>
  <r>
    <s v="SIM1990"/>
    <s v="90.519.740/0001-63"/>
    <x v="0"/>
    <x v="9"/>
    <n v="11084.5"/>
    <n v="0"/>
    <n v="4405.57"/>
    <n v="0"/>
    <n v="0"/>
    <n v="6678.93"/>
    <s v=""/>
    <s v=""/>
    <s v=""/>
    <s v=""/>
    <s v=""/>
    <n v="11084.5"/>
  </r>
  <r>
    <s v="SIM1991"/>
    <s v="65.249.859/0001-92"/>
    <x v="1"/>
    <x v="6"/>
    <n v="12516.93"/>
    <n v="0"/>
    <n v="0"/>
    <n v="0"/>
    <n v="0"/>
    <n v="0"/>
    <s v=""/>
    <s v=""/>
    <n v="12516.93"/>
    <s v=""/>
    <s v=""/>
    <s v=""/>
  </r>
  <r>
    <s v="SIM1992"/>
    <s v="17.343.773/0001-84"/>
    <x v="0"/>
    <x v="1"/>
    <n v="14220.71"/>
    <n v="0"/>
    <n v="0"/>
    <n v="0"/>
    <n v="0"/>
    <n v="14220.71"/>
    <s v=""/>
    <s v=""/>
    <s v=""/>
    <s v=""/>
    <s v=""/>
    <n v="14220.71"/>
  </r>
  <r>
    <s v="SIM1993"/>
    <s v="41.780.784/0001-14"/>
    <x v="2"/>
    <x v="10"/>
    <n v="9626.43"/>
    <n v="0"/>
    <n v="0"/>
    <n v="0"/>
    <n v="0"/>
    <n v="0"/>
    <s v=""/>
    <s v=""/>
    <s v=""/>
    <n v="9626.43"/>
    <s v=""/>
    <s v=""/>
  </r>
  <r>
    <s v="SIM1994"/>
    <s v="47.528.701/0001-18"/>
    <x v="0"/>
    <x v="3"/>
    <n v="2956.35"/>
    <n v="0"/>
    <n v="0"/>
    <n v="2956.35"/>
    <n v="0"/>
    <n v="0"/>
    <s v=""/>
    <s v=""/>
    <s v=""/>
    <s v=""/>
    <s v=""/>
    <n v="2956.35"/>
  </r>
  <r>
    <s v="SIM1995"/>
    <s v="49.177.169/0001-99"/>
    <x v="5"/>
    <x v="4"/>
    <n v="17569.29"/>
    <n v="0"/>
    <n v="0"/>
    <n v="0"/>
    <n v="0"/>
    <n v="0"/>
    <n v="17569.29"/>
    <s v=""/>
    <s v=""/>
    <s v=""/>
    <s v=""/>
    <s v=""/>
  </r>
  <r>
    <s v="SIM1996"/>
    <s v="65.519.640/0001-25"/>
    <x v="4"/>
    <x v="2"/>
    <n v="3299.84"/>
    <n v="0"/>
    <n v="0"/>
    <n v="0"/>
    <n v="0"/>
    <n v="0"/>
    <s v=""/>
    <s v=""/>
    <s v=""/>
    <s v=""/>
    <n v="3299.84"/>
    <s v=""/>
  </r>
  <r>
    <s v="SIM1997"/>
    <s v="30.997.714/0001-19"/>
    <x v="4"/>
    <x v="10"/>
    <n v="12113.56"/>
    <n v="0"/>
    <n v="0"/>
    <n v="0"/>
    <n v="0"/>
    <n v="0"/>
    <s v=""/>
    <s v=""/>
    <s v=""/>
    <s v=""/>
    <n v="12113.56"/>
    <s v=""/>
  </r>
  <r>
    <s v="SIM1998"/>
    <s v="18.628.547/0001-45"/>
    <x v="4"/>
    <x v="3"/>
    <n v="10498.44"/>
    <n v="0"/>
    <n v="0"/>
    <n v="0"/>
    <n v="0"/>
    <n v="0"/>
    <s v=""/>
    <s v=""/>
    <s v=""/>
    <s v=""/>
    <n v="10498.44"/>
    <s v=""/>
  </r>
  <r>
    <s v="SIM1999"/>
    <s v="87.651.767/0001-13"/>
    <x v="0"/>
    <x v="4"/>
    <n v="7057.09"/>
    <n v="0"/>
    <n v="0"/>
    <n v="2994.33"/>
    <n v="4062.76"/>
    <n v="0"/>
    <s v=""/>
    <s v=""/>
    <s v=""/>
    <s v=""/>
    <s v=""/>
    <n v="7057.09"/>
  </r>
  <r>
    <s v="SIM2000"/>
    <n v="12345678000190"/>
    <x v="0"/>
    <x v="0"/>
    <n v="1231"/>
    <n v="1231"/>
    <n v="0"/>
    <n v="0"/>
    <n v="0"/>
    <n v="0"/>
    <s v=""/>
    <s v=""/>
    <s v=""/>
    <s v=""/>
    <s v=""/>
    <n v="1231"/>
  </r>
  <r>
    <s v="SIM2000"/>
    <n v="12345678000190"/>
    <x v="0"/>
    <x v="0"/>
    <n v="1234"/>
    <n v="1234"/>
    <n v="0"/>
    <n v="0"/>
    <n v="0"/>
    <n v="0"/>
    <s v=""/>
    <s v=""/>
    <s v=""/>
    <s v=""/>
    <s v=""/>
    <n v="12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6CD40D-BDBA-4DEE-BBDE-4410D0089F87}" name="PivotTable2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23:AC48" firstHeaderRow="0" firstDataRow="1" firstDataCol="1"/>
  <pivotFields count="16">
    <pivotField showAll="0" countASubtotal="1"/>
    <pivotField dataField="1" showAll="0"/>
    <pivotField axis="axisRow" multipleItemSelectionAllowed="1" showAll="0">
      <items count="7">
        <item x="3"/>
        <item x="0"/>
        <item x="1"/>
        <item x="5"/>
        <item x="4"/>
        <item x="2"/>
        <item t="default"/>
      </items>
    </pivotField>
    <pivotField axis="axisRow" showAll="0">
      <items count="13">
        <item x="0"/>
        <item x="2"/>
        <item x="11"/>
        <item x="9"/>
        <item x="4"/>
        <item x="10"/>
        <item x="5"/>
        <item x="1"/>
        <item x="6"/>
        <item x="7"/>
        <item x="8"/>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2"/>
  </rowFields>
  <rowItems count="25">
    <i>
      <x/>
    </i>
    <i r="1">
      <x v="1"/>
    </i>
    <i>
      <x v="1"/>
    </i>
    <i r="1">
      <x v="1"/>
    </i>
    <i>
      <x v="2"/>
    </i>
    <i r="1">
      <x v="1"/>
    </i>
    <i>
      <x v="3"/>
    </i>
    <i r="1">
      <x v="1"/>
    </i>
    <i>
      <x v="4"/>
    </i>
    <i r="1">
      <x v="1"/>
    </i>
    <i>
      <x v="5"/>
    </i>
    <i r="1">
      <x v="1"/>
    </i>
    <i>
      <x v="6"/>
    </i>
    <i r="1">
      <x v="1"/>
    </i>
    <i>
      <x v="7"/>
    </i>
    <i r="1">
      <x v="1"/>
    </i>
    <i>
      <x v="8"/>
    </i>
    <i r="1">
      <x v="1"/>
    </i>
    <i>
      <x v="9"/>
    </i>
    <i r="1">
      <x v="1"/>
    </i>
    <i>
      <x v="10"/>
    </i>
    <i r="1">
      <x v="1"/>
    </i>
    <i>
      <x v="11"/>
    </i>
    <i r="1">
      <x v="1"/>
    </i>
    <i t="grand">
      <x/>
    </i>
  </rowItems>
  <colFields count="1">
    <field x="-2"/>
  </colFields>
  <colItems count="2">
    <i>
      <x/>
    </i>
    <i i="1">
      <x v="1"/>
    </i>
  </colItems>
  <dataFields count="2">
    <dataField name="Count of NR_CNPJ" fld="1" subtotal="count" baseField="0" baseItem="0"/>
    <dataField name="Sum of VALOR_CONCLUIDO" fld="15" baseField="2" baseItem="0"/>
  </dataFields>
  <formats count="1">
    <format dxfId="16">
      <pivotArea collapsedLevelsAreSubtotals="1" fieldPosition="0">
        <references count="2">
          <reference field="4294967294" count="1" selected="0">
            <x v="1"/>
          </reference>
          <reference field="3" count="0"/>
        </references>
      </pivotArea>
    </format>
  </formats>
  <pivotTableStyleInfo name="PivotStyleLight16" showRowHeaders="1" showColHeaders="1" showRowStripes="0" showColStripes="0" showLastColumn="1"/>
  <filters count="1">
    <filter fld="2" type="captionEqual" evalOrder="-1" id="1" stringValue1="CONCLUÍDO">
      <autoFilter ref="A1">
        <filterColumn colId="0">
          <filters>
            <filter val="CONCLUÍDO"/>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7CCE5F-816C-468F-AB37-CC54BC762ECD}" name="PivotTable2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W19:Y27" firstHeaderRow="1" firstDataRow="2" firstDataCol="1"/>
  <pivotFields count="16">
    <pivotField showAll="0" countASubtotal="1"/>
    <pivotField dataField="1" showAll="0"/>
    <pivotField axis="axisRow" showAll="0">
      <items count="7">
        <item x="3"/>
        <item x="0"/>
        <item x="1"/>
        <item x="5"/>
        <item x="4"/>
        <item x="2"/>
        <item t="default"/>
      </items>
    </pivotField>
    <pivotField axis="axisCol" showAll="0">
      <items count="13">
        <item x="0"/>
        <item h="1" x="2"/>
        <item h="1" x="11"/>
        <item h="1" x="9"/>
        <item h="1" x="4"/>
        <item h="1" x="10"/>
        <item h="1" x="5"/>
        <item h="1" x="1"/>
        <item h="1" x="6"/>
        <item h="1" x="7"/>
        <item h="1" x="8"/>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7">
    <i>
      <x/>
    </i>
    <i>
      <x v="1"/>
    </i>
    <i>
      <x v="2"/>
    </i>
    <i>
      <x v="3"/>
    </i>
    <i>
      <x v="4"/>
    </i>
    <i>
      <x v="5"/>
    </i>
    <i t="grand">
      <x/>
    </i>
  </rowItems>
  <colFields count="1">
    <field x="3"/>
  </colFields>
  <colItems count="2">
    <i>
      <x/>
    </i>
    <i t="grand">
      <x/>
    </i>
  </colItems>
  <dataFields count="1">
    <dataField name="Count of NR_CNPJ" fld="1" subtotal="count" baseField="0" baseItem="0"/>
  </dataFields>
  <chartFormats count="18">
    <chartFormat chart="6" format="8" series="1">
      <pivotArea type="data" outline="0" fieldPosition="0">
        <references count="2">
          <reference field="4294967294" count="1" selected="0">
            <x v="0"/>
          </reference>
          <reference field="3" count="1" selected="0">
            <x v="0"/>
          </reference>
        </references>
      </pivotArea>
    </chartFormat>
    <chartFormat chart="6" format="9">
      <pivotArea type="data" outline="0" fieldPosition="0">
        <references count="3">
          <reference field="4294967294" count="1" selected="0">
            <x v="0"/>
          </reference>
          <reference field="2" count="1" selected="0">
            <x v="0"/>
          </reference>
          <reference field="3" count="1" selected="0">
            <x v="0"/>
          </reference>
        </references>
      </pivotArea>
    </chartFormat>
    <chartFormat chart="6" format="10">
      <pivotArea type="data" outline="0" fieldPosition="0">
        <references count="3">
          <reference field="4294967294" count="1" selected="0">
            <x v="0"/>
          </reference>
          <reference field="2" count="1" selected="0">
            <x v="1"/>
          </reference>
          <reference field="3" count="1" selected="0">
            <x v="0"/>
          </reference>
        </references>
      </pivotArea>
    </chartFormat>
    <chartFormat chart="6" format="11">
      <pivotArea type="data" outline="0" fieldPosition="0">
        <references count="3">
          <reference field="4294967294" count="1" selected="0">
            <x v="0"/>
          </reference>
          <reference field="2" count="1" selected="0">
            <x v="2"/>
          </reference>
          <reference field="3" count="1" selected="0">
            <x v="0"/>
          </reference>
        </references>
      </pivotArea>
    </chartFormat>
    <chartFormat chart="6" format="12">
      <pivotArea type="data" outline="0" fieldPosition="0">
        <references count="3">
          <reference field="4294967294" count="1" selected="0">
            <x v="0"/>
          </reference>
          <reference field="2" count="1" selected="0">
            <x v="3"/>
          </reference>
          <reference field="3" count="1" selected="0">
            <x v="0"/>
          </reference>
        </references>
      </pivotArea>
    </chartFormat>
    <chartFormat chart="6" format="13">
      <pivotArea type="data" outline="0" fieldPosition="0">
        <references count="3">
          <reference field="4294967294" count="1" selected="0">
            <x v="0"/>
          </reference>
          <reference field="2" count="1" selected="0">
            <x v="4"/>
          </reference>
          <reference field="3" count="1" selected="0">
            <x v="0"/>
          </reference>
        </references>
      </pivotArea>
    </chartFormat>
    <chartFormat chart="6" format="14">
      <pivotArea type="data" outline="0" fieldPosition="0">
        <references count="3">
          <reference field="4294967294" count="1" selected="0">
            <x v="0"/>
          </reference>
          <reference field="2" count="1" selected="0">
            <x v="5"/>
          </reference>
          <reference field="3" count="1" selected="0">
            <x v="0"/>
          </reference>
        </references>
      </pivotArea>
    </chartFormat>
    <chartFormat chart="6" format="15" series="1">
      <pivotArea type="data" outline="0" fieldPosition="0">
        <references count="2">
          <reference field="4294967294" count="1" selected="0">
            <x v="0"/>
          </reference>
          <reference field="3" count="1" selected="0">
            <x v="1"/>
          </reference>
        </references>
      </pivotArea>
    </chartFormat>
    <chartFormat chart="6" format="16" series="1">
      <pivotArea type="data" outline="0" fieldPosition="0">
        <references count="2">
          <reference field="4294967294" count="1" selected="0">
            <x v="0"/>
          </reference>
          <reference field="3" count="1" selected="0">
            <x v="3"/>
          </reference>
        </references>
      </pivotArea>
    </chartFormat>
    <chartFormat chart="6" format="17" series="1">
      <pivotArea type="data" outline="0" fieldPosition="0">
        <references count="2">
          <reference field="4294967294" count="1" selected="0">
            <x v="0"/>
          </reference>
          <reference field="3" count="1" selected="0">
            <x v="5"/>
          </reference>
        </references>
      </pivotArea>
    </chartFormat>
    <chartFormat chart="6" format="18" series="1">
      <pivotArea type="data" outline="0" fieldPosition="0">
        <references count="2">
          <reference field="4294967294" count="1" selected="0">
            <x v="0"/>
          </reference>
          <reference field="3" count="1" selected="0">
            <x v="7"/>
          </reference>
        </references>
      </pivotArea>
    </chartFormat>
    <chartFormat chart="6" format="19" series="1">
      <pivotArea type="data" outline="0" fieldPosition="0">
        <references count="2">
          <reference field="4294967294" count="1" selected="0">
            <x v="0"/>
          </reference>
          <reference field="3" count="1" selected="0">
            <x v="6"/>
          </reference>
        </references>
      </pivotArea>
    </chartFormat>
    <chartFormat chart="6" format="20" series="1">
      <pivotArea type="data" outline="0" fieldPosition="0">
        <references count="2">
          <reference field="4294967294" count="1" selected="0">
            <x v="0"/>
          </reference>
          <reference field="3" count="1" selected="0">
            <x v="2"/>
          </reference>
        </references>
      </pivotArea>
    </chartFormat>
    <chartFormat chart="6" format="21" series="1">
      <pivotArea type="data" outline="0" fieldPosition="0">
        <references count="2">
          <reference field="4294967294" count="1" selected="0">
            <x v="0"/>
          </reference>
          <reference field="3" count="1" selected="0">
            <x v="4"/>
          </reference>
        </references>
      </pivotArea>
    </chartFormat>
    <chartFormat chart="6" format="22" series="1">
      <pivotArea type="data" outline="0" fieldPosition="0">
        <references count="2">
          <reference field="4294967294" count="1" selected="0">
            <x v="0"/>
          </reference>
          <reference field="3" count="1" selected="0">
            <x v="10"/>
          </reference>
        </references>
      </pivotArea>
    </chartFormat>
    <chartFormat chart="6" format="23" series="1">
      <pivotArea type="data" outline="0" fieldPosition="0">
        <references count="2">
          <reference field="4294967294" count="1" selected="0">
            <x v="0"/>
          </reference>
          <reference field="3" count="1" selected="0">
            <x v="8"/>
          </reference>
        </references>
      </pivotArea>
    </chartFormat>
    <chartFormat chart="6" format="24" series="1">
      <pivotArea type="data" outline="0" fieldPosition="0">
        <references count="2">
          <reference field="4294967294" count="1" selected="0">
            <x v="0"/>
          </reference>
          <reference field="3" count="1" selected="0">
            <x v="9"/>
          </reference>
        </references>
      </pivotArea>
    </chartFormat>
    <chartFormat chart="6" format="25" series="1">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707F35-7E4E-4878-878F-4FA4640CF1F6}"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5:AC18" firstHeaderRow="0" firstDataRow="1" firstDataCol="1" rowPageCount="1" colPageCount="1"/>
  <pivotFields count="16">
    <pivotField showAll="0" countASubtotal="1"/>
    <pivotField dataField="1" showAll="0"/>
    <pivotField axis="axisPage" showAll="0">
      <items count="7">
        <item x="3"/>
        <item x="0"/>
        <item x="1"/>
        <item x="5"/>
        <item x="4"/>
        <item x="2"/>
        <item t="default"/>
      </items>
    </pivotField>
    <pivotField axis="axisRow" showAll="0">
      <items count="13">
        <item x="0"/>
        <item x="2"/>
        <item x="11"/>
        <item x="9"/>
        <item x="4"/>
        <item x="10"/>
        <item x="5"/>
        <item x="1"/>
        <item x="6"/>
        <item x="7"/>
        <item x="8"/>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3"/>
  </rowFields>
  <rowItems count="13">
    <i>
      <x/>
    </i>
    <i>
      <x v="1"/>
    </i>
    <i>
      <x v="2"/>
    </i>
    <i>
      <x v="3"/>
    </i>
    <i>
      <x v="4"/>
    </i>
    <i>
      <x v="5"/>
    </i>
    <i>
      <x v="6"/>
    </i>
    <i>
      <x v="7"/>
    </i>
    <i>
      <x v="8"/>
    </i>
    <i>
      <x v="9"/>
    </i>
    <i>
      <x v="10"/>
    </i>
    <i>
      <x v="11"/>
    </i>
    <i t="grand">
      <x/>
    </i>
  </rowItems>
  <colFields count="1">
    <field x="-2"/>
  </colFields>
  <colItems count="2">
    <i>
      <x/>
    </i>
    <i i="1">
      <x v="1"/>
    </i>
  </colItems>
  <pageFields count="1">
    <pageField fld="2" item="1" hier="-1"/>
  </pageFields>
  <dataFields count="2">
    <dataField name="Count of NR_CNPJ" fld="1" subtotal="count" baseField="0" baseItem="0"/>
    <dataField name="Sum of VALOR_CONCLUIDO" fld="15" baseField="2" baseItem="0"/>
  </dataFields>
  <formats count="1">
    <format dxfId="17">
      <pivotArea collapsedLevelsAreSubtotals="1" fieldPosition="0">
        <references count="2">
          <reference field="4294967294" count="1" selected="0">
            <x v="1"/>
          </reference>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6BF0157-B653-4136-B24E-F7BEB6255EB5}" name="PivotTable1"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3:Y16" firstHeaderRow="1" firstDataRow="2" firstDataCol="1"/>
  <pivotFields count="16">
    <pivotField showAll="0"/>
    <pivotField showAll="0"/>
    <pivotField showAll="0"/>
    <pivotField axis="axisCol" showAll="0" nonAutoSortDefault="1">
      <items count="13">
        <item h="1" x="0"/>
        <item h="1" x="2"/>
        <item h="1" x="9"/>
        <item h="1" x="11"/>
        <item h="1" x="4"/>
        <item x="10"/>
        <item h="1" x="5"/>
        <item h="1" x="1"/>
        <item h="1" x="6"/>
        <item h="1" x="7"/>
        <item h="1" x="8"/>
        <item h="1" x="3"/>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Fields count="1">
    <field x="3"/>
  </colFields>
  <colItems count="2">
    <i>
      <x v="5"/>
    </i>
    <i t="grand">
      <x/>
    </i>
  </colItems>
  <dataFields count="12">
    <dataField name="Sum of VALOR_TOTAL" fld="4" baseField="0" baseItem="0"/>
    <dataField name="Sum of VALOR_CONC_MOVEL" fld="5" baseField="0" baseItem="0"/>
    <dataField name="Sum of VALOR_CONC_AVANCADO" fld="6" baseField="0" baseItem="0"/>
    <dataField name="Sum of VALOR_CONC_FIXABASICA" fld="7" baseField="0" baseItem="0"/>
    <dataField name="Sum of VALOR_CONC_TI" fld="8" baseField="0" baseItem="0"/>
    <dataField name="Sum of VALOR_CONC_APARELHO" fld="9" baseField="0" baseItem="0"/>
    <dataField name="Sum of VALOR_NEGOCIANDO" fld="10" baseField="2" baseItem="0"/>
    <dataField name="Sum of VALOR_ALÇADA" fld="11" baseField="2" baseItem="0"/>
    <dataField name="Sum of VALOR_EMANALISE" fld="12" baseField="2" baseItem="0"/>
    <dataField name="Sum of VALOR_TRAMITANDO" fld="13" baseField="2" baseItem="0"/>
    <dataField name="Sum of VALOR_PERDIDO" fld="14" baseField="2" baseItem="0"/>
    <dataField name="Sum of VALOR_CONCLUIDO" fld="15" baseField="2" baseItem="0"/>
  </dataFields>
  <formats count="1">
    <format dxfId="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S" xr10:uid="{8DF9A2B2-3FBB-4B67-ABF5-3D57A36D61E9}" sourceName="MES">
  <pivotTables>
    <pivotTable tabId="4" name="PivotTable1"/>
  </pivotTables>
  <data>
    <tabular pivotCacheId="1948078293">
      <items count="12">
        <i x="0"/>
        <i x="2"/>
        <i x="9"/>
        <i x="11"/>
        <i x="4"/>
        <i x="10" s="1"/>
        <i x="5"/>
        <i x="1"/>
        <i x="6"/>
        <i x="7"/>
        <i x="8"/>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xr10:uid="{61884516-CB15-49AD-A97D-30ADBF677756}" cache="Slicer_MES" caption="MES" showCaption="0"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E2C5C8-254B-4C8E-A757-B0EEBECB56EE}" name="tblVendas" displayName="tblVendas" ref="A8:J1012" totalsRowShown="0" headerRowDxfId="30" dataDxfId="29">
  <autoFilter ref="A8:J1012" xr:uid="{8AE2C5C8-254B-4C8E-A757-B0EEBECB56EE}"/>
  <tableColumns count="10">
    <tableColumn id="1" xr3:uid="{1C1E8E7E-D491-4461-AA26-AC70D8C21DA2}" name="NR_CNPJ" dataDxfId="28"/>
    <tableColumn id="2" xr3:uid="{28252839-5E03-4C9B-9D9A-809F6E0C647F}" name="RAZAO_SOCIAL" dataDxfId="27"/>
    <tableColumn id="3" xr3:uid="{7B857237-8144-44EE-98E4-E6297213E3CD}" name="NR_SIMULACAO" dataDxfId="26"/>
    <tableColumn id="5" xr3:uid="{A482439B-9D46-4717-9135-C233B9615D8C}" name="STATUS" dataDxfId="25"/>
    <tableColumn id="6" xr3:uid="{5A8B9792-C3FA-48C6-A74F-7450E6AD93CE}" name="VALOR_MOVEL" dataDxfId="24" dataCellStyle="Currency"/>
    <tableColumn id="7" xr3:uid="{501EFCEB-F407-43BC-BA4D-0EE8A3352865}" name="VALOR_AVANCADO" dataDxfId="23" dataCellStyle="Currency"/>
    <tableColumn id="8" xr3:uid="{3AFAAF3B-BCB4-44D5-A469-1B46262C91F7}" name="VALOR_FIXABASICA" dataDxfId="22" dataCellStyle="Currency"/>
    <tableColumn id="9" xr3:uid="{51006F41-3C75-41D2-BD3A-3A0132DF1575}" name="VALOR_TI" dataDxfId="21" dataCellStyle="Currency"/>
    <tableColumn id="10" xr3:uid="{F52B70E4-03B6-46F1-B9EE-578976D7A7FA}" name="VALOR_APARELHO" dataDxfId="20" dataCellStyle="Currency"/>
    <tableColumn id="11" xr3:uid="{B9D661DD-9611-4B90-B240-44B360359BF0}" name="MES" dataDxfId="19"/>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E96DA6-006C-4BA8-BFB6-12E8BF309C1D}" name="tblCalculo" displayName="tblCalculo" ref="A8:P1018" totalsRowShown="0">
  <autoFilter ref="A8:P1018" xr:uid="{CEE96DA6-006C-4BA8-BFB6-12E8BF309C1D}"/>
  <tableColumns count="16">
    <tableColumn id="1" xr3:uid="{EBDC3991-77E2-4439-801A-5AF78D3CFE25}" name="NR_SIMULACAO" dataDxfId="15">
      <calculatedColumnFormula>tblVendas[[#This Row],[NR_SIMULACAO]]</calculatedColumnFormula>
    </tableColumn>
    <tableColumn id="17" xr3:uid="{904478B7-8671-42CE-BB5D-98DE138416D7}" name="NR_CNPJ" dataDxfId="14">
      <calculatedColumnFormula>_xlfn.XLOOKUP(A9,tblVendas[[#This Row],[NR_SIMULACAO]],tblVendas[[#This Row],[NR_CNPJ]],"")</calculatedColumnFormula>
    </tableColumn>
    <tableColumn id="2" xr3:uid="{999FAA48-B954-49C4-ACBB-C8D559AD3FAF}" name="STATUS" dataDxfId="13">
      <calculatedColumnFormula>_xlfn.XLOOKUP(A9,tblVendas[[#This Row],[NR_SIMULACAO]],tblVendas[[#This Row],[STATUS]],"")</calculatedColumnFormula>
    </tableColumn>
    <tableColumn id="16" xr3:uid="{4F2D0182-F66D-40EE-837C-603FD696FF25}" name="MES" dataDxfId="12">
      <calculatedColumnFormula>_xlfn.XLOOKUP(A9,tblVendas[[#This Row],[NR_SIMULACAO]],tblVendas[[#This Row],[MES]],"")</calculatedColumnFormula>
    </tableColumn>
    <tableColumn id="15" xr3:uid="{5E10FE99-9417-4874-BB0B-A1181390E31D}" name="VALOR_TOTAL" dataDxfId="11">
      <calculatedColumnFormula>SUM(_xlfn.XLOOKUP(tblCalculo[[#This Row],[NR_SIMULACAO]],tblVendas[[#This Row],[NR_SIMULACAO]],tblVendas[[#This Row],[VALOR_MOVEL]],""):_xlfn.XLOOKUP(tblCalculo[[#This Row],[NR_SIMULACAO]],tblVendas[[#This Row],[NR_SIMULACAO]],tblVendas[[#This Row],[VALOR_APARELHO]],""))</calculatedColumnFormula>
    </tableColumn>
    <tableColumn id="3" xr3:uid="{A05FF889-8010-4196-BBD2-52C92D4DF82B}" name="VALOR_CONC_MOVEL" dataDxfId="10">
      <calculatedColumnFormula>IF(tblCalculo[[#This Row],[STATUS]]="CONCLUÍDO",_xlfn.XLOOKUP(tblCalculo[[#This Row],[NR_SIMULACAO]],tblVendas[[#This Row],[NR_SIMULACAO]],tblVendas[[#This Row],[VALOR_MOVEL]],""),0)</calculatedColumnFormula>
    </tableColumn>
    <tableColumn id="4" xr3:uid="{E0AF7FB6-7C29-48FF-80D3-6C88EAE779F3}" name="VALOR_CONC_AVANCADO" dataDxfId="9">
      <calculatedColumnFormula>IF(tblCalculo[[#This Row],[STATUS]]="CONCLUÍDO",_xlfn.XLOOKUP(tblCalculo[[#This Row],[NR_SIMULACAO]],tblVendas[[#This Row],[NR_SIMULACAO]],tblVendas[[#This Row],[VALOR_AVANCADO]],""),0)</calculatedColumnFormula>
    </tableColumn>
    <tableColumn id="5" xr3:uid="{87754A1E-089D-4693-9FD7-2E966E01E5DB}" name="VALOR_CONC_FIXABASICA" dataDxfId="8">
      <calculatedColumnFormula>IF(tblCalculo[[#This Row],[STATUS]]="CONCLUÍDO",_xlfn.XLOOKUP(tblCalculo[[#This Row],[NR_SIMULACAO]],tblVendas[[#This Row],[NR_SIMULACAO]],tblVendas[[#This Row],[VALOR_FIXABASICA]],""),0)</calculatedColumnFormula>
    </tableColumn>
    <tableColumn id="6" xr3:uid="{F4DE9939-4A2E-4983-9E14-A9997F3D7BA7}" name="VALOR_CONC_TI" dataDxfId="7">
      <calculatedColumnFormula>IF(tblCalculo[[#This Row],[STATUS]]="CONCLUÍDO",_xlfn.XLOOKUP(tblCalculo[[#This Row],[NR_SIMULACAO]],tblVendas[[#This Row],[NR_SIMULACAO]],tblVendas[[#This Row],[VALOR_TI]],""),0)</calculatedColumnFormula>
    </tableColumn>
    <tableColumn id="7" xr3:uid="{B24B35DF-828C-4CEE-858A-E53EF4F65066}" name="VALOR_CONC_APARELHO" dataDxfId="6">
      <calculatedColumnFormula>IF(tblCalculo[[#This Row],[STATUS]]="CONCLUÍDO",_xlfn.XLOOKUP(tblCalculo[[#This Row],[NR_SIMULACAO]],tblVendas[[#This Row],[NR_SIMULACAO]],tblVendas[[#This Row],[VALOR_APARELHO]],""),0)</calculatedColumnFormula>
    </tableColumn>
    <tableColumn id="9" xr3:uid="{3777620B-00FB-4DFB-A782-D7133F78199B}" name="VALOR_NEGOCIANDO" dataDxfId="5">
      <calculatedColumnFormula>IF(tblCalculo[[#This Row],[STATUS]]="NEGOCIANDO",tblCalculo[[#This Row],[VALOR_TOTAL]],"")</calculatedColumnFormula>
    </tableColumn>
    <tableColumn id="10" xr3:uid="{6AAE0F7A-8727-4B34-919B-3D8CE756D8D8}" name="VALOR_ALÇADA" dataDxfId="4">
      <calculatedColumnFormula>IF(tblCalculo[[#This Row],[STATUS]]="ALÇADA",tblCalculo[[#This Row],[VALOR_TOTAL]],"")</calculatedColumnFormula>
    </tableColumn>
    <tableColumn id="11" xr3:uid="{58F6D971-7A80-4729-AEFA-65A6F5225B99}" name="VALOR_EMANALISE" dataDxfId="3">
      <calculatedColumnFormula>IF(tblCalculo[[#This Row],[STATUS]]="EM ANÁLISE",tblCalculo[[#This Row],[VALOR_TOTAL]],"")</calculatedColumnFormula>
    </tableColumn>
    <tableColumn id="12" xr3:uid="{B0563296-D660-4936-A203-4ED6B6108ECB}" name="VALOR_TRAMITANDO" dataDxfId="2">
      <calculatedColumnFormula>IF(tblCalculo[[#This Row],[STATUS]]="TRAMITANDO",tblCalculo[[#This Row],[VALOR_TOTAL]],"")</calculatedColumnFormula>
    </tableColumn>
    <tableColumn id="13" xr3:uid="{0A36B0A2-FE98-4AB0-8925-4557B7A466EB}" name="VALOR_PERDIDO" dataDxfId="1">
      <calculatedColumnFormula>IF(tblCalculo[[#This Row],[STATUS]]="PERDIDO",tblCalculo[[#This Row],[VALOR_TOTAL]],"")</calculatedColumnFormula>
    </tableColumn>
    <tableColumn id="14" xr3:uid="{D555C25A-55A0-4962-A1E5-E513485831BC}" name="VALOR_CONCLUIDO" dataDxfId="0">
      <calculatedColumnFormula>IF(tblCalculo[[#This Row],[STATUS]]="CONCLUÍDO",tblCalculo[[#This Row],[VALOR_TOTAL]],"")</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2.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60DB8-8421-4CAB-9E3D-6BFD191D8B01}">
  <sheetPr codeName="Sheet1"/>
  <dimension ref="A1"/>
  <sheetViews>
    <sheetView showRowColHeaders="0" workbookViewId="0"/>
  </sheetViews>
  <sheetFormatPr defaultRowHeight="15" x14ac:dyDescent="0.25"/>
  <sheetData/>
  <sheetProtection algorithmName="SHA-512" hashValue="mma+dlEg6hlaXhFtIFUcrWEFUgcprTmxyETvjYw39eGXBKWunhK18bZMOVSwNCfTB1cTbf4fux9vJbB1PFEeHQ==" saltValue="rR7iybZmcHaYR+Amq0vLQw=="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2EE14-57E6-42AE-9A76-D669EED74386}">
  <sheetPr codeName="Sheet2"/>
  <dimension ref="A5:A7"/>
  <sheetViews>
    <sheetView showGridLines="0" showRowColHeaders="0" tabSelected="1" zoomScaleNormal="100" workbookViewId="0"/>
  </sheetViews>
  <sheetFormatPr defaultRowHeight="15" x14ac:dyDescent="0.25"/>
  <sheetData>
    <row r="5" ht="15" customHeight="1" x14ac:dyDescent="0.25"/>
    <row r="7" ht="15"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48196-A33B-44BB-9545-C2D1C85D926E}">
  <sheetPr codeName="Sheet3"/>
  <dimension ref="A1:L1012"/>
  <sheetViews>
    <sheetView showRowColHeaders="0" zoomScaleNormal="100" workbookViewId="0">
      <pane ySplit="7" topLeftCell="A8" activePane="bottomLeft" state="frozen"/>
      <selection activeCell="B1" sqref="B1"/>
      <selection pane="bottomLeft"/>
    </sheetView>
  </sheetViews>
  <sheetFormatPr defaultRowHeight="24.95" customHeight="1" x14ac:dyDescent="0.25"/>
  <cols>
    <col min="1" max="1" width="25" style="33" customWidth="1"/>
    <col min="2" max="10" width="25" style="27" customWidth="1"/>
    <col min="11" max="11" width="18.28515625" style="27" customWidth="1"/>
    <col min="12" max="12" width="9.140625" style="27"/>
  </cols>
  <sheetData>
    <row r="1" spans="1:12" ht="15" x14ac:dyDescent="0.25">
      <c r="A1" s="27"/>
    </row>
    <row r="2" spans="1:12" ht="15" x14ac:dyDescent="0.25">
      <c r="A2" s="27"/>
    </row>
    <row r="3" spans="1:12" ht="15" x14ac:dyDescent="0.25">
      <c r="A3" s="27"/>
    </row>
    <row r="4" spans="1:12" ht="15" x14ac:dyDescent="0.25">
      <c r="A4" s="27"/>
    </row>
    <row r="5" spans="1:12" ht="15" x14ac:dyDescent="0.25">
      <c r="A5" s="27"/>
    </row>
    <row r="6" spans="1:12" ht="15" x14ac:dyDescent="0.25">
      <c r="A6" s="27"/>
    </row>
    <row r="7" spans="1:12" ht="15" customHeight="1" x14ac:dyDescent="0.25">
      <c r="A7" s="27"/>
    </row>
    <row r="8" spans="1:12" s="2" customFormat="1" ht="30" customHeight="1" x14ac:dyDescent="0.25">
      <c r="A8" s="1" t="s">
        <v>3017</v>
      </c>
      <c r="B8" s="1" t="s">
        <v>3018</v>
      </c>
      <c r="C8" s="1" t="s">
        <v>3019</v>
      </c>
      <c r="D8" s="1" t="s">
        <v>3020</v>
      </c>
      <c r="E8" s="1" t="s">
        <v>3021</v>
      </c>
      <c r="F8" s="1" t="s">
        <v>3022</v>
      </c>
      <c r="G8" s="1" t="s">
        <v>3023</v>
      </c>
      <c r="H8" s="1" t="s">
        <v>3024</v>
      </c>
      <c r="I8" s="1" t="s">
        <v>3025</v>
      </c>
      <c r="J8" s="1" t="s">
        <v>3026</v>
      </c>
      <c r="K8" s="28"/>
      <c r="L8" s="28"/>
    </row>
    <row r="9" spans="1:12" s="2" customFormat="1" ht="24.95" customHeight="1" x14ac:dyDescent="0.25">
      <c r="A9" s="31" t="s">
        <v>3081</v>
      </c>
      <c r="B9" s="1" t="s">
        <v>3082</v>
      </c>
      <c r="C9" s="1" t="s">
        <v>3083</v>
      </c>
      <c r="D9" s="1" t="s">
        <v>3027</v>
      </c>
      <c r="E9" s="3">
        <v>5768</v>
      </c>
      <c r="F9" s="3">
        <v>0</v>
      </c>
      <c r="G9" s="3">
        <v>0</v>
      </c>
      <c r="H9" s="3">
        <v>0</v>
      </c>
      <c r="I9" s="3">
        <v>0</v>
      </c>
      <c r="J9" s="1" t="s">
        <v>14</v>
      </c>
      <c r="K9" s="28"/>
      <c r="L9" s="28"/>
    </row>
    <row r="10" spans="1:12" s="2" customFormat="1" ht="24.95" customHeight="1" x14ac:dyDescent="0.25">
      <c r="A10" s="31" t="s">
        <v>0</v>
      </c>
      <c r="B10" s="1" t="s">
        <v>1</v>
      </c>
      <c r="C10" s="1" t="s">
        <v>2</v>
      </c>
      <c r="D10" s="1" t="s">
        <v>3</v>
      </c>
      <c r="E10" s="3">
        <v>3768.23</v>
      </c>
      <c r="F10" s="3">
        <v>261.45999999999998</v>
      </c>
      <c r="G10" s="3">
        <v>0</v>
      </c>
      <c r="H10" s="3">
        <v>0</v>
      </c>
      <c r="I10" s="3">
        <v>13980.52</v>
      </c>
      <c r="J10" s="1" t="s">
        <v>4</v>
      </c>
      <c r="K10" s="28"/>
      <c r="L10" s="28"/>
    </row>
    <row r="11" spans="1:12" s="2" customFormat="1" ht="24.95" customHeight="1" x14ac:dyDescent="0.25">
      <c r="A11" s="31" t="s">
        <v>5</v>
      </c>
      <c r="B11" s="1" t="s">
        <v>6</v>
      </c>
      <c r="C11" s="1" t="s">
        <v>7</v>
      </c>
      <c r="D11" s="1" t="s">
        <v>8</v>
      </c>
      <c r="E11" s="3">
        <v>0</v>
      </c>
      <c r="F11" s="3">
        <v>3715.93</v>
      </c>
      <c r="G11" s="3">
        <v>2087.29</v>
      </c>
      <c r="H11" s="3">
        <v>0</v>
      </c>
      <c r="I11" s="3">
        <v>1513.37</v>
      </c>
      <c r="J11" s="1" t="s">
        <v>9</v>
      </c>
      <c r="K11" s="28"/>
      <c r="L11" s="28"/>
    </row>
    <row r="12" spans="1:12" s="2" customFormat="1" ht="24.95" customHeight="1" x14ac:dyDescent="0.25">
      <c r="A12" s="31" t="s">
        <v>10</v>
      </c>
      <c r="B12" s="1" t="s">
        <v>11</v>
      </c>
      <c r="C12" s="1" t="s">
        <v>12</v>
      </c>
      <c r="D12" s="1" t="s">
        <v>13</v>
      </c>
      <c r="E12" s="3">
        <v>5099.01</v>
      </c>
      <c r="F12" s="3">
        <v>1135.9000000000001</v>
      </c>
      <c r="G12" s="3">
        <v>0</v>
      </c>
      <c r="H12" s="3">
        <v>0</v>
      </c>
      <c r="I12" s="3">
        <v>4922.53</v>
      </c>
      <c r="J12" s="1" t="s">
        <v>14</v>
      </c>
      <c r="K12" s="28"/>
      <c r="L12" s="28"/>
    </row>
    <row r="13" spans="1:12" s="2" customFormat="1" ht="24.95" customHeight="1" x14ac:dyDescent="0.25">
      <c r="A13" s="31" t="s">
        <v>15</v>
      </c>
      <c r="B13" s="1" t="s">
        <v>16</v>
      </c>
      <c r="C13" s="1" t="s">
        <v>17</v>
      </c>
      <c r="D13" s="1" t="s">
        <v>18</v>
      </c>
      <c r="E13" s="3">
        <v>167.88</v>
      </c>
      <c r="F13" s="3">
        <v>1867.5</v>
      </c>
      <c r="G13" s="3">
        <v>0</v>
      </c>
      <c r="H13" s="3">
        <v>0</v>
      </c>
      <c r="I13" s="3">
        <v>2510.08</v>
      </c>
      <c r="J13" s="1" t="s">
        <v>19</v>
      </c>
      <c r="K13" s="28"/>
      <c r="L13" s="28"/>
    </row>
    <row r="14" spans="1:12" s="2" customFormat="1" ht="24.95" customHeight="1" x14ac:dyDescent="0.25">
      <c r="A14" s="31" t="s">
        <v>20</v>
      </c>
      <c r="B14" s="1" t="s">
        <v>21</v>
      </c>
      <c r="C14" s="1" t="s">
        <v>22</v>
      </c>
      <c r="D14" s="1" t="s">
        <v>23</v>
      </c>
      <c r="E14" s="3">
        <v>0</v>
      </c>
      <c r="F14" s="3">
        <v>0</v>
      </c>
      <c r="G14" s="3">
        <v>1262.8800000000001</v>
      </c>
      <c r="H14" s="3">
        <v>0</v>
      </c>
      <c r="I14" s="3">
        <v>0</v>
      </c>
      <c r="J14" s="1" t="s">
        <v>24</v>
      </c>
      <c r="K14" s="28"/>
      <c r="L14" s="28"/>
    </row>
    <row r="15" spans="1:12" s="2" customFormat="1" ht="24.95" customHeight="1" x14ac:dyDescent="0.25">
      <c r="A15" s="31" t="s">
        <v>25</v>
      </c>
      <c r="B15" s="1" t="s">
        <v>26</v>
      </c>
      <c r="C15" s="1" t="s">
        <v>27</v>
      </c>
      <c r="D15" s="1" t="s">
        <v>3</v>
      </c>
      <c r="E15" s="3">
        <v>3436.73</v>
      </c>
      <c r="F15" s="3">
        <v>0</v>
      </c>
      <c r="G15" s="3">
        <v>2479.23</v>
      </c>
      <c r="H15" s="3">
        <v>0</v>
      </c>
      <c r="I15" s="3">
        <v>0</v>
      </c>
      <c r="J15" s="1" t="s">
        <v>9</v>
      </c>
      <c r="K15" s="28"/>
      <c r="L15" s="28"/>
    </row>
    <row r="16" spans="1:12" s="2" customFormat="1" ht="24.95" customHeight="1" x14ac:dyDescent="0.25">
      <c r="A16" s="31" t="s">
        <v>28</v>
      </c>
      <c r="B16" s="1" t="s">
        <v>29</v>
      </c>
      <c r="C16" s="1" t="s">
        <v>30</v>
      </c>
      <c r="D16" s="1" t="s">
        <v>23</v>
      </c>
      <c r="E16" s="3">
        <v>0</v>
      </c>
      <c r="F16" s="3">
        <v>0</v>
      </c>
      <c r="G16" s="3">
        <v>803.22</v>
      </c>
      <c r="H16" s="3">
        <v>0</v>
      </c>
      <c r="I16" s="3">
        <v>0</v>
      </c>
      <c r="J16" s="1" t="s">
        <v>4</v>
      </c>
      <c r="K16" s="28"/>
      <c r="L16" s="28"/>
    </row>
    <row r="17" spans="1:12" s="2" customFormat="1" ht="24.95" customHeight="1" x14ac:dyDescent="0.25">
      <c r="A17" s="31" t="s">
        <v>31</v>
      </c>
      <c r="B17" s="1" t="s">
        <v>32</v>
      </c>
      <c r="C17" s="1" t="s">
        <v>33</v>
      </c>
      <c r="D17" s="1" t="s">
        <v>23</v>
      </c>
      <c r="E17" s="3">
        <v>5337.32</v>
      </c>
      <c r="F17" s="3">
        <v>0</v>
      </c>
      <c r="G17" s="3">
        <v>0</v>
      </c>
      <c r="H17" s="3">
        <v>2785.83</v>
      </c>
      <c r="I17" s="3">
        <v>0</v>
      </c>
      <c r="J17" s="1" t="s">
        <v>9</v>
      </c>
      <c r="K17" s="28"/>
      <c r="L17" s="28"/>
    </row>
    <row r="18" spans="1:12" s="2" customFormat="1" ht="24.95" customHeight="1" x14ac:dyDescent="0.25">
      <c r="A18" s="31" t="s">
        <v>34</v>
      </c>
      <c r="B18" s="1" t="s">
        <v>35</v>
      </c>
      <c r="C18" s="1" t="s">
        <v>36</v>
      </c>
      <c r="D18" s="1" t="s">
        <v>3</v>
      </c>
      <c r="E18" s="3">
        <v>0</v>
      </c>
      <c r="F18" s="3">
        <v>0</v>
      </c>
      <c r="G18" s="3">
        <v>2444.37</v>
      </c>
      <c r="H18" s="3">
        <v>5294.66</v>
      </c>
      <c r="I18" s="3">
        <v>0</v>
      </c>
      <c r="J18" s="1" t="s">
        <v>37</v>
      </c>
      <c r="K18" s="28"/>
      <c r="L18" s="28"/>
    </row>
    <row r="19" spans="1:12" s="2" customFormat="1" ht="24.95" customHeight="1" x14ac:dyDescent="0.25">
      <c r="A19" s="31" t="s">
        <v>38</v>
      </c>
      <c r="B19" s="1" t="s">
        <v>39</v>
      </c>
      <c r="C19" s="1" t="s">
        <v>40</v>
      </c>
      <c r="D19" s="1" t="s">
        <v>13</v>
      </c>
      <c r="E19" s="3">
        <v>0</v>
      </c>
      <c r="F19" s="3">
        <v>521.19000000000005</v>
      </c>
      <c r="G19" s="3">
        <v>2207.0500000000002</v>
      </c>
      <c r="H19" s="3">
        <v>1463.83</v>
      </c>
      <c r="I19" s="3">
        <v>0</v>
      </c>
      <c r="J19" s="1" t="s">
        <v>41</v>
      </c>
      <c r="K19" s="28"/>
      <c r="L19" s="28"/>
    </row>
    <row r="20" spans="1:12" s="2" customFormat="1" ht="24.95" customHeight="1" x14ac:dyDescent="0.25">
      <c r="A20" s="31" t="s">
        <v>42</v>
      </c>
      <c r="B20" s="1" t="s">
        <v>43</v>
      </c>
      <c r="C20" s="1" t="s">
        <v>44</v>
      </c>
      <c r="D20" s="1" t="s">
        <v>23</v>
      </c>
      <c r="E20" s="3">
        <v>7541.25</v>
      </c>
      <c r="F20" s="3">
        <v>0</v>
      </c>
      <c r="G20" s="3">
        <v>0</v>
      </c>
      <c r="H20" s="3">
        <v>0</v>
      </c>
      <c r="I20" s="3">
        <v>10827.23</v>
      </c>
      <c r="J20" s="1" t="s">
        <v>41</v>
      </c>
      <c r="K20" s="28"/>
      <c r="L20" s="28"/>
    </row>
    <row r="21" spans="1:12" s="2" customFormat="1" ht="24.95" customHeight="1" x14ac:dyDescent="0.25">
      <c r="A21" s="31" t="s">
        <v>45</v>
      </c>
      <c r="B21" s="1" t="s">
        <v>46</v>
      </c>
      <c r="C21" s="1" t="s">
        <v>47</v>
      </c>
      <c r="D21" s="1" t="s">
        <v>3027</v>
      </c>
      <c r="E21" s="3">
        <v>3119.72</v>
      </c>
      <c r="F21" s="3">
        <v>0</v>
      </c>
      <c r="G21" s="3">
        <v>630.62</v>
      </c>
      <c r="H21" s="3">
        <v>0</v>
      </c>
      <c r="I21" s="3">
        <v>0</v>
      </c>
      <c r="J21" s="1" t="s">
        <v>48</v>
      </c>
      <c r="K21" s="28"/>
      <c r="L21" s="28"/>
    </row>
    <row r="22" spans="1:12" s="2" customFormat="1" ht="24.95" customHeight="1" x14ac:dyDescent="0.25">
      <c r="A22" s="31" t="s">
        <v>49</v>
      </c>
      <c r="B22" s="1" t="s">
        <v>50</v>
      </c>
      <c r="C22" s="1" t="s">
        <v>51</v>
      </c>
      <c r="D22" s="1" t="s">
        <v>23</v>
      </c>
      <c r="E22" s="3">
        <v>1393.72</v>
      </c>
      <c r="F22" s="3">
        <v>0</v>
      </c>
      <c r="G22" s="3">
        <v>0</v>
      </c>
      <c r="H22" s="3">
        <v>0</v>
      </c>
      <c r="I22" s="3">
        <v>13372.34</v>
      </c>
      <c r="J22" s="1" t="s">
        <v>4</v>
      </c>
      <c r="K22" s="28"/>
      <c r="L22" s="28"/>
    </row>
    <row r="23" spans="1:12" s="2" customFormat="1" ht="24.95" customHeight="1" x14ac:dyDescent="0.25">
      <c r="A23" s="31" t="s">
        <v>52</v>
      </c>
      <c r="B23" s="1" t="s">
        <v>53</v>
      </c>
      <c r="C23" s="1" t="s">
        <v>54</v>
      </c>
      <c r="D23" s="1" t="s">
        <v>3027</v>
      </c>
      <c r="E23" s="3">
        <v>0</v>
      </c>
      <c r="F23" s="3">
        <v>0</v>
      </c>
      <c r="G23" s="3">
        <v>0</v>
      </c>
      <c r="H23" s="3">
        <v>2687.11</v>
      </c>
      <c r="I23" s="3">
        <v>14354.95</v>
      </c>
      <c r="J23" s="1" t="s">
        <v>41</v>
      </c>
      <c r="K23" s="28"/>
      <c r="L23" s="28"/>
    </row>
    <row r="24" spans="1:12" s="2" customFormat="1" ht="24.95" customHeight="1" x14ac:dyDescent="0.25">
      <c r="A24" s="31" t="s">
        <v>55</v>
      </c>
      <c r="B24" s="1" t="s">
        <v>56</v>
      </c>
      <c r="C24" s="1" t="s">
        <v>57</v>
      </c>
      <c r="D24" s="1" t="s">
        <v>23</v>
      </c>
      <c r="E24" s="3">
        <v>2857.81</v>
      </c>
      <c r="F24" s="3">
        <v>3122.82</v>
      </c>
      <c r="G24" s="3">
        <v>2162.34</v>
      </c>
      <c r="H24" s="3">
        <v>1011.06</v>
      </c>
      <c r="I24" s="3">
        <v>0</v>
      </c>
      <c r="J24" s="1" t="s">
        <v>37</v>
      </c>
      <c r="K24" s="28"/>
      <c r="L24" s="28"/>
    </row>
    <row r="25" spans="1:12" s="2" customFormat="1" ht="24.95" customHeight="1" x14ac:dyDescent="0.25">
      <c r="A25" s="31" t="s">
        <v>58</v>
      </c>
      <c r="B25" s="1" t="s">
        <v>59</v>
      </c>
      <c r="C25" s="1" t="s">
        <v>60</v>
      </c>
      <c r="D25" s="1" t="s">
        <v>3027</v>
      </c>
      <c r="E25" s="3">
        <v>0</v>
      </c>
      <c r="F25" s="3">
        <v>1915.78</v>
      </c>
      <c r="G25" s="3">
        <v>2181.81</v>
      </c>
      <c r="H25" s="3">
        <v>0</v>
      </c>
      <c r="I25" s="3">
        <v>14494.49</v>
      </c>
      <c r="J25" s="1" t="s">
        <v>24</v>
      </c>
      <c r="K25" s="28"/>
      <c r="L25" s="28"/>
    </row>
    <row r="26" spans="1:12" s="2" customFormat="1" ht="24.95" customHeight="1" x14ac:dyDescent="0.25">
      <c r="A26" s="31" t="s">
        <v>61</v>
      </c>
      <c r="B26" s="1" t="s">
        <v>62</v>
      </c>
      <c r="C26" s="1" t="s">
        <v>63</v>
      </c>
      <c r="D26" s="1" t="s">
        <v>3</v>
      </c>
      <c r="E26" s="3">
        <v>0</v>
      </c>
      <c r="F26" s="3">
        <v>0</v>
      </c>
      <c r="G26" s="3">
        <v>0</v>
      </c>
      <c r="H26" s="3">
        <v>1561.25</v>
      </c>
      <c r="I26" s="3">
        <v>802.01</v>
      </c>
      <c r="J26" s="1" t="s">
        <v>37</v>
      </c>
      <c r="K26" s="28"/>
      <c r="L26" s="28"/>
    </row>
    <row r="27" spans="1:12" s="2" customFormat="1" ht="24.95" customHeight="1" x14ac:dyDescent="0.25">
      <c r="A27" s="31" t="s">
        <v>64</v>
      </c>
      <c r="B27" s="1" t="s">
        <v>65</v>
      </c>
      <c r="C27" s="1" t="s">
        <v>66</v>
      </c>
      <c r="D27" s="1" t="s">
        <v>18</v>
      </c>
      <c r="E27" s="3">
        <v>1722.79</v>
      </c>
      <c r="F27" s="3">
        <v>0</v>
      </c>
      <c r="G27" s="3">
        <v>0</v>
      </c>
      <c r="H27" s="3">
        <v>0</v>
      </c>
      <c r="I27" s="3">
        <v>9152.4500000000007</v>
      </c>
      <c r="J27" s="1" t="s">
        <v>14</v>
      </c>
      <c r="K27" s="28"/>
      <c r="L27" s="28"/>
    </row>
    <row r="28" spans="1:12" s="2" customFormat="1" ht="24.95" customHeight="1" x14ac:dyDescent="0.25">
      <c r="A28" s="31" t="s">
        <v>67</v>
      </c>
      <c r="B28" s="1" t="s">
        <v>68</v>
      </c>
      <c r="C28" s="1" t="s">
        <v>69</v>
      </c>
      <c r="D28" s="1" t="s">
        <v>8</v>
      </c>
      <c r="E28" s="3">
        <v>0</v>
      </c>
      <c r="F28" s="3">
        <v>0</v>
      </c>
      <c r="G28" s="3">
        <v>1688.89</v>
      </c>
      <c r="H28" s="3">
        <v>208.58</v>
      </c>
      <c r="I28" s="3">
        <v>11916.65</v>
      </c>
      <c r="J28" s="1" t="s">
        <v>37</v>
      </c>
      <c r="K28" s="28"/>
      <c r="L28" s="28"/>
    </row>
    <row r="29" spans="1:12" s="2" customFormat="1" ht="24.95" customHeight="1" x14ac:dyDescent="0.25">
      <c r="A29" s="31" t="s">
        <v>70</v>
      </c>
      <c r="B29" s="1" t="s">
        <v>71</v>
      </c>
      <c r="C29" s="1" t="s">
        <v>72</v>
      </c>
      <c r="D29" s="1" t="s">
        <v>3027</v>
      </c>
      <c r="E29" s="3">
        <v>3784.09</v>
      </c>
      <c r="F29" s="3">
        <v>0</v>
      </c>
      <c r="G29" s="3">
        <v>907.16</v>
      </c>
      <c r="H29" s="3">
        <v>10231.459999999999</v>
      </c>
      <c r="I29" s="3">
        <v>8362.24</v>
      </c>
      <c r="J29" s="1" t="s">
        <v>24</v>
      </c>
      <c r="K29" s="28"/>
      <c r="L29" s="28"/>
    </row>
    <row r="30" spans="1:12" s="2" customFormat="1" ht="24.95" customHeight="1" x14ac:dyDescent="0.25">
      <c r="A30" s="31" t="s">
        <v>73</v>
      </c>
      <c r="B30" s="1" t="s">
        <v>74</v>
      </c>
      <c r="C30" s="1" t="s">
        <v>75</v>
      </c>
      <c r="D30" s="1" t="s">
        <v>3</v>
      </c>
      <c r="E30" s="3">
        <v>0</v>
      </c>
      <c r="F30" s="3">
        <v>0</v>
      </c>
      <c r="G30" s="3">
        <v>0</v>
      </c>
      <c r="H30" s="3">
        <v>8613.6299999999992</v>
      </c>
      <c r="I30" s="3">
        <v>10040.33</v>
      </c>
      <c r="J30" s="1" t="s">
        <v>48</v>
      </c>
      <c r="K30" s="28"/>
      <c r="L30" s="28"/>
    </row>
    <row r="31" spans="1:12" s="2" customFormat="1" ht="24.95" customHeight="1" x14ac:dyDescent="0.25">
      <c r="A31" s="31" t="s">
        <v>76</v>
      </c>
      <c r="B31" s="1" t="s">
        <v>77</v>
      </c>
      <c r="C31" s="1" t="s">
        <v>78</v>
      </c>
      <c r="D31" s="1" t="s">
        <v>13</v>
      </c>
      <c r="E31" s="3">
        <v>0</v>
      </c>
      <c r="F31" s="3">
        <v>4919.6000000000004</v>
      </c>
      <c r="G31" s="3">
        <v>0</v>
      </c>
      <c r="H31" s="3">
        <v>0</v>
      </c>
      <c r="I31" s="3">
        <v>13381.9</v>
      </c>
      <c r="J31" s="1" t="s">
        <v>79</v>
      </c>
      <c r="K31" s="28"/>
      <c r="L31" s="28"/>
    </row>
    <row r="32" spans="1:12" s="2" customFormat="1" ht="24.95" customHeight="1" x14ac:dyDescent="0.25">
      <c r="A32" s="31" t="s">
        <v>80</v>
      </c>
      <c r="B32" s="1" t="s">
        <v>81</v>
      </c>
      <c r="C32" s="1" t="s">
        <v>82</v>
      </c>
      <c r="D32" s="1" t="s">
        <v>8</v>
      </c>
      <c r="E32" s="3">
        <v>2659.86</v>
      </c>
      <c r="F32" s="3">
        <v>2251.71</v>
      </c>
      <c r="G32" s="3">
        <v>1159.81</v>
      </c>
      <c r="H32" s="3">
        <v>0</v>
      </c>
      <c r="I32" s="3">
        <v>0</v>
      </c>
      <c r="J32" s="1" t="s">
        <v>37</v>
      </c>
      <c r="K32" s="28"/>
      <c r="L32" s="28"/>
    </row>
    <row r="33" spans="1:12" s="2" customFormat="1" ht="24.95" customHeight="1" x14ac:dyDescent="0.25">
      <c r="A33" s="31" t="s">
        <v>83</v>
      </c>
      <c r="B33" s="1" t="s">
        <v>84</v>
      </c>
      <c r="C33" s="1" t="s">
        <v>85</v>
      </c>
      <c r="D33" s="1" t="s">
        <v>3</v>
      </c>
      <c r="E33" s="3">
        <v>3541.05</v>
      </c>
      <c r="F33" s="3">
        <v>0</v>
      </c>
      <c r="G33" s="3">
        <v>0</v>
      </c>
      <c r="H33" s="3">
        <v>0</v>
      </c>
      <c r="I33" s="3">
        <v>11319.27</v>
      </c>
      <c r="J33" s="1" t="s">
        <v>86</v>
      </c>
      <c r="K33" s="28"/>
      <c r="L33" s="28"/>
    </row>
    <row r="34" spans="1:12" s="2" customFormat="1" ht="24.95" customHeight="1" x14ac:dyDescent="0.25">
      <c r="A34" s="31" t="s">
        <v>87</v>
      </c>
      <c r="B34" s="1" t="s">
        <v>88</v>
      </c>
      <c r="C34" s="1" t="s">
        <v>89</v>
      </c>
      <c r="D34" s="1" t="s">
        <v>23</v>
      </c>
      <c r="E34" s="3">
        <v>0</v>
      </c>
      <c r="F34" s="3">
        <v>4553.58</v>
      </c>
      <c r="G34" s="3">
        <v>0</v>
      </c>
      <c r="H34" s="3">
        <v>0</v>
      </c>
      <c r="I34" s="3">
        <v>0</v>
      </c>
      <c r="J34" s="1" t="s">
        <v>86</v>
      </c>
      <c r="K34" s="28"/>
      <c r="L34" s="28"/>
    </row>
    <row r="35" spans="1:12" s="2" customFormat="1" ht="24.95" customHeight="1" x14ac:dyDescent="0.25">
      <c r="A35" s="31" t="s">
        <v>90</v>
      </c>
      <c r="B35" s="1" t="s">
        <v>91</v>
      </c>
      <c r="C35" s="1" t="s">
        <v>92</v>
      </c>
      <c r="D35" s="1" t="s">
        <v>3</v>
      </c>
      <c r="E35" s="3">
        <v>0</v>
      </c>
      <c r="F35" s="3">
        <v>2693.73</v>
      </c>
      <c r="G35" s="3">
        <v>0</v>
      </c>
      <c r="H35" s="3">
        <v>10875.01</v>
      </c>
      <c r="I35" s="3">
        <v>0</v>
      </c>
      <c r="J35" s="1" t="s">
        <v>93</v>
      </c>
      <c r="K35" s="28"/>
      <c r="L35" s="28"/>
    </row>
    <row r="36" spans="1:12" s="2" customFormat="1" ht="24.95" customHeight="1" x14ac:dyDescent="0.25">
      <c r="A36" s="31" t="s">
        <v>94</v>
      </c>
      <c r="B36" s="1" t="s">
        <v>95</v>
      </c>
      <c r="C36" s="1" t="s">
        <v>96</v>
      </c>
      <c r="D36" s="1" t="s">
        <v>18</v>
      </c>
      <c r="E36" s="3">
        <v>0</v>
      </c>
      <c r="F36" s="3">
        <v>4763.6000000000004</v>
      </c>
      <c r="G36" s="3">
        <v>0</v>
      </c>
      <c r="H36" s="3">
        <v>0</v>
      </c>
      <c r="I36" s="3">
        <v>0</v>
      </c>
      <c r="J36" s="1" t="s">
        <v>79</v>
      </c>
      <c r="K36" s="28"/>
      <c r="L36" s="28"/>
    </row>
    <row r="37" spans="1:12" s="2" customFormat="1" ht="24.95" customHeight="1" x14ac:dyDescent="0.25">
      <c r="A37" s="31" t="s">
        <v>97</v>
      </c>
      <c r="B37" s="1" t="s">
        <v>98</v>
      </c>
      <c r="C37" s="1" t="s">
        <v>99</v>
      </c>
      <c r="D37" s="1" t="s">
        <v>3</v>
      </c>
      <c r="E37" s="3">
        <v>0</v>
      </c>
      <c r="F37" s="3">
        <v>3491.06</v>
      </c>
      <c r="G37" s="3">
        <v>1689.25</v>
      </c>
      <c r="H37" s="3">
        <v>0</v>
      </c>
      <c r="I37" s="3">
        <v>0</v>
      </c>
      <c r="J37" s="1" t="s">
        <v>93</v>
      </c>
      <c r="K37" s="28"/>
      <c r="L37" s="28"/>
    </row>
    <row r="38" spans="1:12" s="2" customFormat="1" ht="24.95" customHeight="1" x14ac:dyDescent="0.25">
      <c r="A38" s="31" t="s">
        <v>100</v>
      </c>
      <c r="B38" s="1" t="s">
        <v>101</v>
      </c>
      <c r="C38" s="1" t="s">
        <v>102</v>
      </c>
      <c r="D38" s="1" t="s">
        <v>13</v>
      </c>
      <c r="E38" s="3">
        <v>253.06</v>
      </c>
      <c r="F38" s="3">
        <v>4116.16</v>
      </c>
      <c r="G38" s="3">
        <v>131.66999999999999</v>
      </c>
      <c r="H38" s="3">
        <v>4628.24</v>
      </c>
      <c r="I38" s="3">
        <v>8145.91</v>
      </c>
      <c r="J38" s="1" t="s">
        <v>48</v>
      </c>
      <c r="K38" s="28"/>
      <c r="L38" s="28"/>
    </row>
    <row r="39" spans="1:12" s="2" customFormat="1" ht="24.95" customHeight="1" x14ac:dyDescent="0.25">
      <c r="A39" s="31" t="s">
        <v>103</v>
      </c>
      <c r="B39" s="1" t="s">
        <v>104</v>
      </c>
      <c r="C39" s="1" t="s">
        <v>105</v>
      </c>
      <c r="D39" s="1" t="s">
        <v>18</v>
      </c>
      <c r="E39" s="3">
        <v>0</v>
      </c>
      <c r="F39" s="3">
        <v>0</v>
      </c>
      <c r="G39" s="3">
        <v>0</v>
      </c>
      <c r="H39" s="3">
        <v>0</v>
      </c>
      <c r="I39" s="3">
        <v>11913.8</v>
      </c>
      <c r="J39" s="1" t="s">
        <v>106</v>
      </c>
      <c r="K39" s="28"/>
      <c r="L39" s="28"/>
    </row>
    <row r="40" spans="1:12" s="2" customFormat="1" ht="24.95" customHeight="1" x14ac:dyDescent="0.25">
      <c r="A40" s="31" t="s">
        <v>107</v>
      </c>
      <c r="B40" s="1" t="s">
        <v>108</v>
      </c>
      <c r="C40" s="1" t="s">
        <v>109</v>
      </c>
      <c r="D40" s="1" t="s">
        <v>3</v>
      </c>
      <c r="E40" s="3">
        <v>0</v>
      </c>
      <c r="F40" s="3">
        <v>0</v>
      </c>
      <c r="G40" s="3">
        <v>0</v>
      </c>
      <c r="H40" s="3">
        <v>4423.62</v>
      </c>
      <c r="I40" s="3">
        <v>0</v>
      </c>
      <c r="J40" s="1" t="s">
        <v>41</v>
      </c>
      <c r="K40" s="28"/>
      <c r="L40" s="28"/>
    </row>
    <row r="41" spans="1:12" s="2" customFormat="1" ht="24.95" customHeight="1" x14ac:dyDescent="0.25">
      <c r="A41" s="31" t="s">
        <v>110</v>
      </c>
      <c r="B41" s="1" t="s">
        <v>111</v>
      </c>
      <c r="C41" s="1" t="s">
        <v>112</v>
      </c>
      <c r="D41" s="1" t="s">
        <v>13</v>
      </c>
      <c r="E41" s="3">
        <v>275.61</v>
      </c>
      <c r="F41" s="3">
        <v>3176.35</v>
      </c>
      <c r="G41" s="3">
        <v>1719.87</v>
      </c>
      <c r="H41" s="3">
        <v>11145.68</v>
      </c>
      <c r="I41" s="3">
        <v>0</v>
      </c>
      <c r="J41" s="1" t="s">
        <v>86</v>
      </c>
      <c r="K41" s="28"/>
      <c r="L41" s="28"/>
    </row>
    <row r="42" spans="1:12" s="2" customFormat="1" ht="24.95" customHeight="1" x14ac:dyDescent="0.25">
      <c r="A42" s="31" t="s">
        <v>113</v>
      </c>
      <c r="B42" s="1" t="s">
        <v>114</v>
      </c>
      <c r="C42" s="1" t="s">
        <v>115</v>
      </c>
      <c r="D42" s="1" t="s">
        <v>3027</v>
      </c>
      <c r="E42" s="3">
        <v>0</v>
      </c>
      <c r="F42" s="3">
        <v>0</v>
      </c>
      <c r="G42" s="3">
        <v>2823.84</v>
      </c>
      <c r="H42" s="3">
        <v>0</v>
      </c>
      <c r="I42" s="3">
        <v>0</v>
      </c>
      <c r="J42" s="1" t="s">
        <v>79</v>
      </c>
      <c r="K42" s="28"/>
      <c r="L42" s="28"/>
    </row>
    <row r="43" spans="1:12" s="2" customFormat="1" ht="24.95" customHeight="1" x14ac:dyDescent="0.25">
      <c r="A43" s="31" t="s">
        <v>116</v>
      </c>
      <c r="B43" s="1" t="s">
        <v>117</v>
      </c>
      <c r="C43" s="1" t="s">
        <v>118</v>
      </c>
      <c r="D43" s="1" t="s">
        <v>23</v>
      </c>
      <c r="E43" s="3">
        <v>2445.63</v>
      </c>
      <c r="F43" s="3">
        <v>0</v>
      </c>
      <c r="G43" s="3">
        <v>0</v>
      </c>
      <c r="H43" s="3">
        <v>0</v>
      </c>
      <c r="I43" s="3">
        <v>0</v>
      </c>
      <c r="J43" s="1" t="s">
        <v>41</v>
      </c>
      <c r="K43" s="28"/>
      <c r="L43" s="28"/>
    </row>
    <row r="44" spans="1:12" s="2" customFormat="1" ht="24.95" customHeight="1" x14ac:dyDescent="0.25">
      <c r="A44" s="31" t="s">
        <v>119</v>
      </c>
      <c r="B44" s="1" t="s">
        <v>120</v>
      </c>
      <c r="C44" s="1" t="s">
        <v>121</v>
      </c>
      <c r="D44" s="1" t="s">
        <v>13</v>
      </c>
      <c r="E44" s="3">
        <v>0</v>
      </c>
      <c r="F44" s="3">
        <v>0</v>
      </c>
      <c r="G44" s="3">
        <v>0</v>
      </c>
      <c r="H44" s="3">
        <v>767.08</v>
      </c>
      <c r="I44" s="3">
        <v>0</v>
      </c>
      <c r="J44" s="1" t="s">
        <v>37</v>
      </c>
      <c r="K44" s="28"/>
      <c r="L44" s="28"/>
    </row>
    <row r="45" spans="1:12" s="2" customFormat="1" ht="24.95" customHeight="1" x14ac:dyDescent="0.25">
      <c r="A45" s="31" t="s">
        <v>122</v>
      </c>
      <c r="B45" s="1" t="s">
        <v>123</v>
      </c>
      <c r="C45" s="1" t="s">
        <v>124</v>
      </c>
      <c r="D45" s="1" t="s">
        <v>3</v>
      </c>
      <c r="E45" s="3">
        <v>0</v>
      </c>
      <c r="F45" s="3">
        <v>1442.63</v>
      </c>
      <c r="G45" s="3">
        <v>0</v>
      </c>
      <c r="H45" s="3">
        <v>0</v>
      </c>
      <c r="I45" s="3">
        <v>1020.99</v>
      </c>
      <c r="J45" s="1" t="s">
        <v>19</v>
      </c>
      <c r="K45" s="28"/>
      <c r="L45" s="28"/>
    </row>
    <row r="46" spans="1:12" s="2" customFormat="1" ht="24.95" customHeight="1" x14ac:dyDescent="0.25">
      <c r="A46" s="31" t="s">
        <v>125</v>
      </c>
      <c r="B46" s="1" t="s">
        <v>126</v>
      </c>
      <c r="C46" s="1" t="s">
        <v>127</v>
      </c>
      <c r="D46" s="1" t="s">
        <v>3</v>
      </c>
      <c r="E46" s="3">
        <v>0</v>
      </c>
      <c r="F46" s="3">
        <v>653.66</v>
      </c>
      <c r="G46" s="3">
        <v>0</v>
      </c>
      <c r="H46" s="3">
        <v>8034.04</v>
      </c>
      <c r="I46" s="3">
        <v>0</v>
      </c>
      <c r="J46" s="1" t="s">
        <v>9</v>
      </c>
      <c r="K46" s="28"/>
      <c r="L46" s="28"/>
    </row>
    <row r="47" spans="1:12" s="2" customFormat="1" ht="24.95" customHeight="1" x14ac:dyDescent="0.25">
      <c r="A47" s="31" t="s">
        <v>128</v>
      </c>
      <c r="B47" s="1" t="s">
        <v>129</v>
      </c>
      <c r="C47" s="1" t="s">
        <v>130</v>
      </c>
      <c r="D47" s="1" t="s">
        <v>13</v>
      </c>
      <c r="E47" s="3">
        <v>0</v>
      </c>
      <c r="F47" s="3">
        <v>208.19</v>
      </c>
      <c r="G47" s="3">
        <v>0</v>
      </c>
      <c r="H47" s="3">
        <v>1797.77</v>
      </c>
      <c r="I47" s="3">
        <v>2208.69</v>
      </c>
      <c r="J47" s="1" t="s">
        <v>93</v>
      </c>
      <c r="K47" s="28"/>
      <c r="L47" s="28"/>
    </row>
    <row r="48" spans="1:12" s="2" customFormat="1" ht="24.95" customHeight="1" x14ac:dyDescent="0.25">
      <c r="A48" s="31" t="s">
        <v>131</v>
      </c>
      <c r="B48" s="1" t="s">
        <v>132</v>
      </c>
      <c r="C48" s="1" t="s">
        <v>133</v>
      </c>
      <c r="D48" s="1" t="s">
        <v>18</v>
      </c>
      <c r="E48" s="3">
        <v>5129.6400000000003</v>
      </c>
      <c r="F48" s="3">
        <v>0</v>
      </c>
      <c r="G48" s="3">
        <v>0</v>
      </c>
      <c r="H48" s="3">
        <v>5064.58</v>
      </c>
      <c r="I48" s="3">
        <v>2317.0700000000002</v>
      </c>
      <c r="J48" s="1" t="s">
        <v>19</v>
      </c>
      <c r="K48" s="28"/>
      <c r="L48" s="28"/>
    </row>
    <row r="49" spans="1:12" s="2" customFormat="1" ht="24.95" customHeight="1" x14ac:dyDescent="0.25">
      <c r="A49" s="31" t="s">
        <v>134</v>
      </c>
      <c r="B49" s="1" t="s">
        <v>135</v>
      </c>
      <c r="C49" s="1" t="s">
        <v>136</v>
      </c>
      <c r="D49" s="1" t="s">
        <v>13</v>
      </c>
      <c r="E49" s="3">
        <v>0</v>
      </c>
      <c r="F49" s="3">
        <v>4861.62</v>
      </c>
      <c r="G49" s="3">
        <v>2002.5</v>
      </c>
      <c r="H49" s="3">
        <v>4995.47</v>
      </c>
      <c r="I49" s="3">
        <v>348.82</v>
      </c>
      <c r="J49" s="1" t="s">
        <v>106</v>
      </c>
      <c r="K49" s="28"/>
      <c r="L49" s="28"/>
    </row>
    <row r="50" spans="1:12" s="2" customFormat="1" ht="24.95" customHeight="1" x14ac:dyDescent="0.25">
      <c r="A50" s="31" t="s">
        <v>137</v>
      </c>
      <c r="B50" s="1" t="s">
        <v>138</v>
      </c>
      <c r="C50" s="1" t="s">
        <v>139</v>
      </c>
      <c r="D50" s="1" t="s">
        <v>8</v>
      </c>
      <c r="E50" s="3">
        <v>4606.6000000000004</v>
      </c>
      <c r="F50" s="3">
        <v>0</v>
      </c>
      <c r="G50" s="3">
        <v>0</v>
      </c>
      <c r="H50" s="3">
        <v>4535.3100000000004</v>
      </c>
      <c r="I50" s="3">
        <v>0</v>
      </c>
      <c r="J50" s="1" t="s">
        <v>4</v>
      </c>
      <c r="K50" s="28"/>
      <c r="L50" s="28"/>
    </row>
    <row r="51" spans="1:12" s="2" customFormat="1" ht="24.95" customHeight="1" x14ac:dyDescent="0.25">
      <c r="A51" s="31" t="s">
        <v>140</v>
      </c>
      <c r="B51" s="1" t="s">
        <v>141</v>
      </c>
      <c r="C51" s="1" t="s">
        <v>142</v>
      </c>
      <c r="D51" s="1" t="s">
        <v>3</v>
      </c>
      <c r="E51" s="3">
        <v>0</v>
      </c>
      <c r="F51" s="3">
        <v>0</v>
      </c>
      <c r="G51" s="3">
        <v>0</v>
      </c>
      <c r="H51" s="3">
        <v>5768.57</v>
      </c>
      <c r="I51" s="3">
        <v>6490.83</v>
      </c>
      <c r="J51" s="1" t="s">
        <v>24</v>
      </c>
      <c r="K51" s="28"/>
      <c r="L51" s="28"/>
    </row>
    <row r="52" spans="1:12" s="2" customFormat="1" ht="24.95" customHeight="1" x14ac:dyDescent="0.25">
      <c r="A52" s="31" t="s">
        <v>143</v>
      </c>
      <c r="B52" s="1" t="s">
        <v>144</v>
      </c>
      <c r="C52" s="1" t="s">
        <v>145</v>
      </c>
      <c r="D52" s="1" t="s">
        <v>13</v>
      </c>
      <c r="E52" s="3">
        <v>0</v>
      </c>
      <c r="F52" s="3">
        <v>2501.94</v>
      </c>
      <c r="G52" s="3">
        <v>0</v>
      </c>
      <c r="H52" s="3">
        <v>0</v>
      </c>
      <c r="I52" s="3">
        <v>0</v>
      </c>
      <c r="J52" s="1" t="s">
        <v>14</v>
      </c>
      <c r="K52" s="28"/>
      <c r="L52" s="28"/>
    </row>
    <row r="53" spans="1:12" s="2" customFormat="1" ht="24.95" customHeight="1" x14ac:dyDescent="0.25">
      <c r="A53" s="31" t="s">
        <v>146</v>
      </c>
      <c r="B53" s="1" t="s">
        <v>147</v>
      </c>
      <c r="C53" s="1" t="s">
        <v>148</v>
      </c>
      <c r="D53" s="1" t="s">
        <v>3</v>
      </c>
      <c r="E53" s="3">
        <v>0</v>
      </c>
      <c r="F53" s="3">
        <v>764.13</v>
      </c>
      <c r="G53" s="3">
        <v>0</v>
      </c>
      <c r="H53" s="3">
        <v>4033.88</v>
      </c>
      <c r="I53" s="3">
        <v>0</v>
      </c>
      <c r="J53" s="1" t="s">
        <v>79</v>
      </c>
      <c r="K53" s="28"/>
      <c r="L53" s="28"/>
    </row>
    <row r="54" spans="1:12" s="2" customFormat="1" ht="24.95" customHeight="1" x14ac:dyDescent="0.25">
      <c r="A54" s="31" t="s">
        <v>149</v>
      </c>
      <c r="B54" s="1" t="s">
        <v>150</v>
      </c>
      <c r="C54" s="1" t="s">
        <v>151</v>
      </c>
      <c r="D54" s="1" t="s">
        <v>23</v>
      </c>
      <c r="E54" s="3">
        <v>0</v>
      </c>
      <c r="F54" s="3">
        <v>2369.9499999999998</v>
      </c>
      <c r="G54" s="3">
        <v>0</v>
      </c>
      <c r="H54" s="3">
        <v>3010.94</v>
      </c>
      <c r="I54" s="3">
        <v>0</v>
      </c>
      <c r="J54" s="1" t="s">
        <v>106</v>
      </c>
      <c r="K54" s="28"/>
      <c r="L54" s="28"/>
    </row>
    <row r="55" spans="1:12" s="2" customFormat="1" ht="24.95" customHeight="1" x14ac:dyDescent="0.25">
      <c r="A55" s="31" t="s">
        <v>152</v>
      </c>
      <c r="B55" s="1" t="s">
        <v>153</v>
      </c>
      <c r="C55" s="1" t="s">
        <v>154</v>
      </c>
      <c r="D55" s="1" t="s">
        <v>3027</v>
      </c>
      <c r="E55" s="3">
        <v>0</v>
      </c>
      <c r="F55" s="3">
        <v>0</v>
      </c>
      <c r="G55" s="3">
        <v>1861.97</v>
      </c>
      <c r="H55" s="3">
        <v>0</v>
      </c>
      <c r="I55" s="3">
        <v>0</v>
      </c>
      <c r="J55" s="1" t="s">
        <v>48</v>
      </c>
      <c r="K55" s="28"/>
      <c r="L55" s="28"/>
    </row>
    <row r="56" spans="1:12" s="2" customFormat="1" ht="24.95" customHeight="1" x14ac:dyDescent="0.25">
      <c r="A56" s="31" t="s">
        <v>155</v>
      </c>
      <c r="B56" s="1" t="s">
        <v>156</v>
      </c>
      <c r="C56" s="1" t="s">
        <v>157</v>
      </c>
      <c r="D56" s="1" t="s">
        <v>13</v>
      </c>
      <c r="E56" s="3">
        <v>0</v>
      </c>
      <c r="F56" s="3">
        <v>0</v>
      </c>
      <c r="G56" s="3">
        <v>2829.49</v>
      </c>
      <c r="H56" s="3">
        <v>5477.93</v>
      </c>
      <c r="I56" s="3">
        <v>8111.53</v>
      </c>
      <c r="J56" s="1" t="s">
        <v>48</v>
      </c>
      <c r="K56" s="28"/>
      <c r="L56" s="28"/>
    </row>
    <row r="57" spans="1:12" s="2" customFormat="1" ht="24.95" customHeight="1" x14ac:dyDescent="0.25">
      <c r="A57" s="31" t="s">
        <v>158</v>
      </c>
      <c r="B57" s="1" t="s">
        <v>159</v>
      </c>
      <c r="C57" s="1" t="s">
        <v>160</v>
      </c>
      <c r="D57" s="1" t="s">
        <v>18</v>
      </c>
      <c r="E57" s="3">
        <v>1633.56</v>
      </c>
      <c r="F57" s="3">
        <v>0</v>
      </c>
      <c r="G57" s="3">
        <v>0</v>
      </c>
      <c r="H57" s="3">
        <v>9064.4699999999993</v>
      </c>
      <c r="I57" s="3">
        <v>0</v>
      </c>
      <c r="J57" s="1" t="s">
        <v>79</v>
      </c>
      <c r="K57" s="28"/>
      <c r="L57" s="28"/>
    </row>
    <row r="58" spans="1:12" s="2" customFormat="1" ht="24.95" customHeight="1" x14ac:dyDescent="0.25">
      <c r="A58" s="31" t="s">
        <v>161</v>
      </c>
      <c r="B58" s="1" t="s">
        <v>162</v>
      </c>
      <c r="C58" s="1" t="s">
        <v>163</v>
      </c>
      <c r="D58" s="1" t="s">
        <v>23</v>
      </c>
      <c r="E58" s="3">
        <v>0</v>
      </c>
      <c r="F58" s="3">
        <v>0</v>
      </c>
      <c r="G58" s="3">
        <v>1671.91</v>
      </c>
      <c r="H58" s="3">
        <v>5367.86</v>
      </c>
      <c r="I58" s="3">
        <v>0</v>
      </c>
      <c r="J58" s="1" t="s">
        <v>48</v>
      </c>
      <c r="K58" s="28"/>
      <c r="L58" s="28"/>
    </row>
    <row r="59" spans="1:12" s="2" customFormat="1" ht="24.95" customHeight="1" x14ac:dyDescent="0.25">
      <c r="A59" s="31" t="s">
        <v>164</v>
      </c>
      <c r="B59" s="1" t="s">
        <v>165</v>
      </c>
      <c r="C59" s="1" t="s">
        <v>166</v>
      </c>
      <c r="D59" s="1" t="s">
        <v>13</v>
      </c>
      <c r="E59" s="3">
        <v>5734.31</v>
      </c>
      <c r="F59" s="3">
        <v>0</v>
      </c>
      <c r="G59" s="3">
        <v>0</v>
      </c>
      <c r="H59" s="3">
        <v>0</v>
      </c>
      <c r="I59" s="3">
        <v>0</v>
      </c>
      <c r="J59" s="1" t="s">
        <v>19</v>
      </c>
      <c r="K59" s="28"/>
      <c r="L59" s="28"/>
    </row>
    <row r="60" spans="1:12" s="2" customFormat="1" ht="24.95" customHeight="1" x14ac:dyDescent="0.25">
      <c r="A60" s="31" t="s">
        <v>167</v>
      </c>
      <c r="B60" s="1" t="s">
        <v>168</v>
      </c>
      <c r="C60" s="1" t="s">
        <v>169</v>
      </c>
      <c r="D60" s="1" t="s">
        <v>23</v>
      </c>
      <c r="E60" s="3">
        <v>7237.01</v>
      </c>
      <c r="F60" s="3">
        <v>0</v>
      </c>
      <c r="G60" s="3">
        <v>2548.81</v>
      </c>
      <c r="H60" s="3">
        <v>1561</v>
      </c>
      <c r="I60" s="3">
        <v>7910.86</v>
      </c>
      <c r="J60" s="1" t="s">
        <v>24</v>
      </c>
      <c r="K60" s="28"/>
      <c r="L60" s="28"/>
    </row>
    <row r="61" spans="1:12" s="2" customFormat="1" ht="24.95" customHeight="1" x14ac:dyDescent="0.25">
      <c r="A61" s="31" t="s">
        <v>170</v>
      </c>
      <c r="B61" s="1" t="s">
        <v>171</v>
      </c>
      <c r="C61" s="1" t="s">
        <v>172</v>
      </c>
      <c r="D61" s="1" t="s">
        <v>8</v>
      </c>
      <c r="E61" s="3">
        <v>0</v>
      </c>
      <c r="F61" s="3">
        <v>3972.51</v>
      </c>
      <c r="G61" s="3">
        <v>1519.9</v>
      </c>
      <c r="H61" s="3">
        <v>2149.89</v>
      </c>
      <c r="I61" s="3">
        <v>3213.44</v>
      </c>
      <c r="J61" s="1" t="s">
        <v>41</v>
      </c>
      <c r="K61" s="28"/>
      <c r="L61" s="28"/>
    </row>
    <row r="62" spans="1:12" s="2" customFormat="1" ht="24.95" customHeight="1" x14ac:dyDescent="0.25">
      <c r="A62" s="31" t="s">
        <v>173</v>
      </c>
      <c r="B62" s="1" t="s">
        <v>174</v>
      </c>
      <c r="C62" s="1" t="s">
        <v>175</v>
      </c>
      <c r="D62" s="1" t="s">
        <v>3027</v>
      </c>
      <c r="E62" s="3">
        <v>0</v>
      </c>
      <c r="F62" s="3">
        <v>2091.5100000000002</v>
      </c>
      <c r="G62" s="3">
        <v>1266.08</v>
      </c>
      <c r="H62" s="3">
        <v>10109.07</v>
      </c>
      <c r="I62" s="3">
        <v>12411.07</v>
      </c>
      <c r="J62" s="1" t="s">
        <v>9</v>
      </c>
      <c r="K62" s="28"/>
      <c r="L62" s="28"/>
    </row>
    <row r="63" spans="1:12" s="2" customFormat="1" ht="24.95" customHeight="1" x14ac:dyDescent="0.25">
      <c r="A63" s="31" t="s">
        <v>176</v>
      </c>
      <c r="B63" s="1" t="s">
        <v>177</v>
      </c>
      <c r="C63" s="1" t="s">
        <v>178</v>
      </c>
      <c r="D63" s="1" t="s">
        <v>8</v>
      </c>
      <c r="E63" s="3">
        <v>0</v>
      </c>
      <c r="F63" s="3">
        <v>0</v>
      </c>
      <c r="G63" s="3">
        <v>2005.78</v>
      </c>
      <c r="H63" s="3">
        <v>0</v>
      </c>
      <c r="I63" s="3">
        <v>0</v>
      </c>
      <c r="J63" s="1" t="s">
        <v>48</v>
      </c>
      <c r="K63" s="28"/>
      <c r="L63" s="28"/>
    </row>
    <row r="64" spans="1:12" s="2" customFormat="1" ht="24.95" customHeight="1" x14ac:dyDescent="0.25">
      <c r="A64" s="31" t="s">
        <v>179</v>
      </c>
      <c r="B64" s="1" t="s">
        <v>180</v>
      </c>
      <c r="C64" s="1" t="s">
        <v>181</v>
      </c>
      <c r="D64" s="1" t="s">
        <v>23</v>
      </c>
      <c r="E64" s="3">
        <v>2748.2</v>
      </c>
      <c r="F64" s="3">
        <v>0</v>
      </c>
      <c r="G64" s="3">
        <v>1387.54</v>
      </c>
      <c r="H64" s="3">
        <v>8817.26</v>
      </c>
      <c r="I64" s="3">
        <v>6858.34</v>
      </c>
      <c r="J64" s="1" t="s">
        <v>14</v>
      </c>
      <c r="K64" s="28"/>
      <c r="L64" s="28"/>
    </row>
    <row r="65" spans="1:12" s="2" customFormat="1" ht="24.95" customHeight="1" x14ac:dyDescent="0.25">
      <c r="A65" s="31" t="s">
        <v>182</v>
      </c>
      <c r="B65" s="1" t="s">
        <v>183</v>
      </c>
      <c r="C65" s="1" t="s">
        <v>184</v>
      </c>
      <c r="D65" s="1" t="s">
        <v>3027</v>
      </c>
      <c r="E65" s="3">
        <v>7734.27</v>
      </c>
      <c r="F65" s="3">
        <v>779.87</v>
      </c>
      <c r="G65" s="3">
        <v>0</v>
      </c>
      <c r="H65" s="3">
        <v>9371.67</v>
      </c>
      <c r="I65" s="3">
        <v>0</v>
      </c>
      <c r="J65" s="1" t="s">
        <v>37</v>
      </c>
      <c r="K65" s="28"/>
      <c r="L65" s="28"/>
    </row>
    <row r="66" spans="1:12" s="2" customFormat="1" ht="24.95" customHeight="1" x14ac:dyDescent="0.25">
      <c r="A66" s="31" t="s">
        <v>185</v>
      </c>
      <c r="B66" s="1" t="s">
        <v>186</v>
      </c>
      <c r="C66" s="1" t="s">
        <v>187</v>
      </c>
      <c r="D66" s="1" t="s">
        <v>3027</v>
      </c>
      <c r="E66" s="3">
        <v>0</v>
      </c>
      <c r="F66" s="3">
        <v>2022.2</v>
      </c>
      <c r="G66" s="3">
        <v>0</v>
      </c>
      <c r="H66" s="3">
        <v>0</v>
      </c>
      <c r="I66" s="3">
        <v>5254.12</v>
      </c>
      <c r="J66" s="1" t="s">
        <v>106</v>
      </c>
      <c r="K66" s="28"/>
      <c r="L66" s="28"/>
    </row>
    <row r="67" spans="1:12" s="2" customFormat="1" ht="24.95" customHeight="1" x14ac:dyDescent="0.25">
      <c r="A67" s="31" t="s">
        <v>188</v>
      </c>
      <c r="B67" s="1" t="s">
        <v>189</v>
      </c>
      <c r="C67" s="1" t="s">
        <v>190</v>
      </c>
      <c r="D67" s="1" t="s">
        <v>13</v>
      </c>
      <c r="E67" s="3">
        <v>0</v>
      </c>
      <c r="F67" s="3">
        <v>0</v>
      </c>
      <c r="G67" s="3">
        <v>376.29</v>
      </c>
      <c r="H67" s="3">
        <v>0</v>
      </c>
      <c r="I67" s="3">
        <v>0</v>
      </c>
      <c r="J67" s="1" t="s">
        <v>93</v>
      </c>
      <c r="K67" s="28"/>
      <c r="L67" s="28"/>
    </row>
    <row r="68" spans="1:12" s="2" customFormat="1" ht="24.95" customHeight="1" x14ac:dyDescent="0.25">
      <c r="A68" s="31" t="s">
        <v>191</v>
      </c>
      <c r="B68" s="1" t="s">
        <v>192</v>
      </c>
      <c r="C68" s="1" t="s">
        <v>193</v>
      </c>
      <c r="D68" s="1" t="s">
        <v>13</v>
      </c>
      <c r="E68" s="3">
        <v>516.88</v>
      </c>
      <c r="F68" s="3">
        <v>2650.91</v>
      </c>
      <c r="G68" s="3">
        <v>2443.96</v>
      </c>
      <c r="H68" s="3">
        <v>465.95</v>
      </c>
      <c r="I68" s="3">
        <v>0</v>
      </c>
      <c r="J68" s="1" t="s">
        <v>24</v>
      </c>
      <c r="K68" s="28"/>
      <c r="L68" s="28"/>
    </row>
    <row r="69" spans="1:12" s="2" customFormat="1" ht="24.95" customHeight="1" x14ac:dyDescent="0.25">
      <c r="A69" s="31" t="s">
        <v>194</v>
      </c>
      <c r="B69" s="1" t="s">
        <v>195</v>
      </c>
      <c r="C69" s="1" t="s">
        <v>196</v>
      </c>
      <c r="D69" s="1" t="s">
        <v>3</v>
      </c>
      <c r="E69" s="3">
        <v>4739.87</v>
      </c>
      <c r="F69" s="3">
        <v>0</v>
      </c>
      <c r="G69" s="3">
        <v>0</v>
      </c>
      <c r="H69" s="3">
        <v>0</v>
      </c>
      <c r="I69" s="3">
        <v>0</v>
      </c>
      <c r="J69" s="1" t="s">
        <v>14</v>
      </c>
      <c r="K69" s="28"/>
      <c r="L69" s="28"/>
    </row>
    <row r="70" spans="1:12" s="2" customFormat="1" ht="24.95" customHeight="1" x14ac:dyDescent="0.25">
      <c r="A70" s="31" t="s">
        <v>197</v>
      </c>
      <c r="B70" s="1" t="s">
        <v>198</v>
      </c>
      <c r="C70" s="1" t="s">
        <v>199</v>
      </c>
      <c r="D70" s="1" t="s">
        <v>18</v>
      </c>
      <c r="E70" s="3">
        <v>5647.84</v>
      </c>
      <c r="F70" s="3">
        <v>537.16</v>
      </c>
      <c r="G70" s="3">
        <v>115.5</v>
      </c>
      <c r="H70" s="3">
        <v>4685.84</v>
      </c>
      <c r="I70" s="3">
        <v>5674.27</v>
      </c>
      <c r="J70" s="1" t="s">
        <v>41</v>
      </c>
      <c r="K70" s="28"/>
      <c r="L70" s="28"/>
    </row>
    <row r="71" spans="1:12" s="2" customFormat="1" ht="24.95" customHeight="1" x14ac:dyDescent="0.25">
      <c r="A71" s="31" t="s">
        <v>200</v>
      </c>
      <c r="B71" s="1" t="s">
        <v>201</v>
      </c>
      <c r="C71" s="1" t="s">
        <v>202</v>
      </c>
      <c r="D71" s="1" t="s">
        <v>13</v>
      </c>
      <c r="E71" s="3">
        <v>6612.18</v>
      </c>
      <c r="F71" s="3">
        <v>0</v>
      </c>
      <c r="G71" s="3">
        <v>0</v>
      </c>
      <c r="H71" s="3">
        <v>0</v>
      </c>
      <c r="I71" s="3">
        <v>8012.07</v>
      </c>
      <c r="J71" s="1" t="s">
        <v>106</v>
      </c>
      <c r="K71" s="28"/>
      <c r="L71" s="28"/>
    </row>
    <row r="72" spans="1:12" s="2" customFormat="1" ht="24.95" customHeight="1" x14ac:dyDescent="0.25">
      <c r="A72" s="31" t="s">
        <v>203</v>
      </c>
      <c r="B72" s="1" t="s">
        <v>204</v>
      </c>
      <c r="C72" s="1" t="s">
        <v>205</v>
      </c>
      <c r="D72" s="1" t="s">
        <v>18</v>
      </c>
      <c r="E72" s="3">
        <v>7450.11</v>
      </c>
      <c r="F72" s="3">
        <v>0</v>
      </c>
      <c r="G72" s="3">
        <v>2533.1999999999998</v>
      </c>
      <c r="H72" s="3">
        <v>0</v>
      </c>
      <c r="I72" s="3">
        <v>7419.4</v>
      </c>
      <c r="J72" s="1" t="s">
        <v>24</v>
      </c>
      <c r="K72" s="28"/>
      <c r="L72" s="28"/>
    </row>
    <row r="73" spans="1:12" s="2" customFormat="1" ht="24.95" customHeight="1" x14ac:dyDescent="0.25">
      <c r="A73" s="31" t="s">
        <v>206</v>
      </c>
      <c r="B73" s="1" t="s">
        <v>207</v>
      </c>
      <c r="C73" s="1" t="s">
        <v>208</v>
      </c>
      <c r="D73" s="1" t="s">
        <v>3027</v>
      </c>
      <c r="E73" s="3">
        <v>0</v>
      </c>
      <c r="F73" s="3">
        <v>0</v>
      </c>
      <c r="G73" s="3">
        <v>0</v>
      </c>
      <c r="H73" s="3">
        <v>619.12</v>
      </c>
      <c r="I73" s="3">
        <v>0</v>
      </c>
      <c r="J73" s="1" t="s">
        <v>24</v>
      </c>
      <c r="K73" s="28"/>
      <c r="L73" s="28"/>
    </row>
    <row r="74" spans="1:12" s="2" customFormat="1" ht="24.95" customHeight="1" x14ac:dyDescent="0.25">
      <c r="A74" s="31" t="s">
        <v>209</v>
      </c>
      <c r="B74" s="1" t="s">
        <v>210</v>
      </c>
      <c r="C74" s="1" t="s">
        <v>211</v>
      </c>
      <c r="D74" s="1" t="s">
        <v>23</v>
      </c>
      <c r="E74" s="3">
        <v>1649.85</v>
      </c>
      <c r="F74" s="3">
        <v>0</v>
      </c>
      <c r="G74" s="3">
        <v>873.2</v>
      </c>
      <c r="H74" s="3">
        <v>0</v>
      </c>
      <c r="I74" s="3">
        <v>435.38</v>
      </c>
      <c r="J74" s="1" t="s">
        <v>41</v>
      </c>
      <c r="K74" s="28"/>
      <c r="L74" s="28"/>
    </row>
    <row r="75" spans="1:12" s="2" customFormat="1" ht="24.95" customHeight="1" x14ac:dyDescent="0.25">
      <c r="A75" s="31" t="s">
        <v>212</v>
      </c>
      <c r="B75" s="1" t="s">
        <v>213</v>
      </c>
      <c r="C75" s="1" t="s">
        <v>214</v>
      </c>
      <c r="D75" s="1" t="s">
        <v>3</v>
      </c>
      <c r="E75" s="3">
        <v>0</v>
      </c>
      <c r="F75" s="3">
        <v>1163.8599999999999</v>
      </c>
      <c r="G75" s="3">
        <v>0</v>
      </c>
      <c r="H75" s="3">
        <v>2719.91</v>
      </c>
      <c r="I75" s="3">
        <v>5164.6000000000004</v>
      </c>
      <c r="J75" s="1" t="s">
        <v>79</v>
      </c>
      <c r="K75" s="28"/>
      <c r="L75" s="28"/>
    </row>
    <row r="76" spans="1:12" s="2" customFormat="1" ht="24.95" customHeight="1" x14ac:dyDescent="0.25">
      <c r="A76" s="31" t="s">
        <v>215</v>
      </c>
      <c r="B76" s="1" t="s">
        <v>216</v>
      </c>
      <c r="C76" s="1" t="s">
        <v>217</v>
      </c>
      <c r="D76" s="1" t="s">
        <v>3</v>
      </c>
      <c r="E76" s="3">
        <v>3405.44</v>
      </c>
      <c r="F76" s="3">
        <v>1843</v>
      </c>
      <c r="G76" s="3">
        <v>141.83000000000001</v>
      </c>
      <c r="H76" s="3">
        <v>237.61</v>
      </c>
      <c r="I76" s="3">
        <v>0</v>
      </c>
      <c r="J76" s="1" t="s">
        <v>48</v>
      </c>
      <c r="K76" s="28"/>
      <c r="L76" s="28"/>
    </row>
    <row r="77" spans="1:12" s="2" customFormat="1" ht="24.95" customHeight="1" x14ac:dyDescent="0.25">
      <c r="A77" s="31" t="s">
        <v>218</v>
      </c>
      <c r="B77" s="1" t="s">
        <v>219</v>
      </c>
      <c r="C77" s="1" t="s">
        <v>220</v>
      </c>
      <c r="D77" s="1" t="s">
        <v>3</v>
      </c>
      <c r="E77" s="3">
        <v>0</v>
      </c>
      <c r="F77" s="3">
        <v>0</v>
      </c>
      <c r="G77" s="3">
        <v>633.22</v>
      </c>
      <c r="H77" s="3">
        <v>10568.96</v>
      </c>
      <c r="I77" s="3">
        <v>0</v>
      </c>
      <c r="J77" s="1" t="s">
        <v>4</v>
      </c>
      <c r="K77" s="28"/>
      <c r="L77" s="28"/>
    </row>
    <row r="78" spans="1:12" s="2" customFormat="1" ht="24.95" customHeight="1" x14ac:dyDescent="0.25">
      <c r="A78" s="31" t="s">
        <v>221</v>
      </c>
      <c r="B78" s="1" t="s">
        <v>222</v>
      </c>
      <c r="C78" s="1" t="s">
        <v>223</v>
      </c>
      <c r="D78" s="1" t="s">
        <v>3027</v>
      </c>
      <c r="E78" s="3">
        <v>6552.77</v>
      </c>
      <c r="F78" s="3">
        <v>0</v>
      </c>
      <c r="G78" s="3">
        <v>0</v>
      </c>
      <c r="H78" s="3">
        <v>7321.67</v>
      </c>
      <c r="I78" s="3">
        <v>0</v>
      </c>
      <c r="J78" s="1" t="s">
        <v>86</v>
      </c>
      <c r="K78" s="28"/>
      <c r="L78" s="28"/>
    </row>
    <row r="79" spans="1:12" s="2" customFormat="1" ht="24.95" customHeight="1" x14ac:dyDescent="0.25">
      <c r="A79" s="31" t="s">
        <v>224</v>
      </c>
      <c r="B79" s="1" t="s">
        <v>225</v>
      </c>
      <c r="C79" s="1" t="s">
        <v>226</v>
      </c>
      <c r="D79" s="1" t="s">
        <v>13</v>
      </c>
      <c r="E79" s="3">
        <v>4237.17</v>
      </c>
      <c r="F79" s="3">
        <v>4928.37</v>
      </c>
      <c r="G79" s="3">
        <v>2687.64</v>
      </c>
      <c r="H79" s="3">
        <v>0</v>
      </c>
      <c r="I79" s="3">
        <v>13955.73</v>
      </c>
      <c r="J79" s="1" t="s">
        <v>24</v>
      </c>
      <c r="K79" s="28"/>
      <c r="L79" s="28"/>
    </row>
    <row r="80" spans="1:12" s="2" customFormat="1" ht="24.95" customHeight="1" x14ac:dyDescent="0.25">
      <c r="A80" s="31" t="s">
        <v>227</v>
      </c>
      <c r="B80" s="1" t="s">
        <v>228</v>
      </c>
      <c r="C80" s="1" t="s">
        <v>229</v>
      </c>
      <c r="D80" s="1" t="s">
        <v>23</v>
      </c>
      <c r="E80" s="3">
        <v>0</v>
      </c>
      <c r="F80" s="3">
        <v>0</v>
      </c>
      <c r="G80" s="3">
        <v>310.94</v>
      </c>
      <c r="H80" s="3">
        <v>0</v>
      </c>
      <c r="I80" s="3">
        <v>0</v>
      </c>
      <c r="J80" s="1" t="s">
        <v>37</v>
      </c>
      <c r="K80" s="28"/>
      <c r="L80" s="28"/>
    </row>
    <row r="81" spans="1:12" s="2" customFormat="1" ht="24.95" customHeight="1" x14ac:dyDescent="0.25">
      <c r="A81" s="31" t="s">
        <v>230</v>
      </c>
      <c r="B81" s="1" t="s">
        <v>231</v>
      </c>
      <c r="C81" s="1" t="s">
        <v>232</v>
      </c>
      <c r="D81" s="1" t="s">
        <v>13</v>
      </c>
      <c r="E81" s="3">
        <v>0</v>
      </c>
      <c r="F81" s="3">
        <v>0</v>
      </c>
      <c r="G81" s="3">
        <v>0</v>
      </c>
      <c r="H81" s="3">
        <v>10622.58</v>
      </c>
      <c r="I81" s="3">
        <v>7575.2</v>
      </c>
      <c r="J81" s="1" t="s">
        <v>14</v>
      </c>
      <c r="K81" s="28"/>
      <c r="L81" s="28"/>
    </row>
    <row r="82" spans="1:12" s="2" customFormat="1" ht="24.95" customHeight="1" x14ac:dyDescent="0.25">
      <c r="A82" s="31" t="s">
        <v>233</v>
      </c>
      <c r="B82" s="1" t="s">
        <v>234</v>
      </c>
      <c r="C82" s="1" t="s">
        <v>235</v>
      </c>
      <c r="D82" s="1" t="s">
        <v>18</v>
      </c>
      <c r="E82" s="3">
        <v>2347.0500000000002</v>
      </c>
      <c r="F82" s="3">
        <v>2001.81</v>
      </c>
      <c r="G82" s="3">
        <v>0</v>
      </c>
      <c r="H82" s="3">
        <v>6809.49</v>
      </c>
      <c r="I82" s="3">
        <v>0</v>
      </c>
      <c r="J82" s="1" t="s">
        <v>41</v>
      </c>
      <c r="K82" s="28"/>
      <c r="L82" s="28"/>
    </row>
    <row r="83" spans="1:12" s="2" customFormat="1" ht="24.95" customHeight="1" x14ac:dyDescent="0.25">
      <c r="A83" s="31" t="s">
        <v>236</v>
      </c>
      <c r="B83" s="1" t="s">
        <v>237</v>
      </c>
      <c r="C83" s="1" t="s">
        <v>238</v>
      </c>
      <c r="D83" s="1" t="s">
        <v>3027</v>
      </c>
      <c r="E83" s="3">
        <v>5890.4</v>
      </c>
      <c r="F83" s="3">
        <v>0</v>
      </c>
      <c r="G83" s="3">
        <v>1094.3800000000001</v>
      </c>
      <c r="H83" s="3">
        <v>0</v>
      </c>
      <c r="I83" s="3">
        <v>6847.4</v>
      </c>
      <c r="J83" s="1" t="s">
        <v>79</v>
      </c>
      <c r="K83" s="28"/>
      <c r="L83" s="28"/>
    </row>
    <row r="84" spans="1:12" s="2" customFormat="1" ht="24.95" customHeight="1" x14ac:dyDescent="0.25">
      <c r="A84" s="31" t="s">
        <v>239</v>
      </c>
      <c r="B84" s="1" t="s">
        <v>240</v>
      </c>
      <c r="C84" s="1" t="s">
        <v>241</v>
      </c>
      <c r="D84" s="1" t="s">
        <v>13</v>
      </c>
      <c r="E84" s="3">
        <v>5261.13</v>
      </c>
      <c r="F84" s="3">
        <v>0</v>
      </c>
      <c r="G84" s="3">
        <v>0</v>
      </c>
      <c r="H84" s="3">
        <v>0</v>
      </c>
      <c r="I84" s="3">
        <v>0</v>
      </c>
      <c r="J84" s="1" t="s">
        <v>9</v>
      </c>
      <c r="K84" s="28"/>
      <c r="L84" s="28"/>
    </row>
    <row r="85" spans="1:12" s="2" customFormat="1" ht="24.95" customHeight="1" x14ac:dyDescent="0.25">
      <c r="A85" s="31" t="s">
        <v>242</v>
      </c>
      <c r="B85" s="1" t="s">
        <v>243</v>
      </c>
      <c r="C85" s="1" t="s">
        <v>244</v>
      </c>
      <c r="D85" s="1" t="s">
        <v>13</v>
      </c>
      <c r="E85" s="3">
        <v>5401.7</v>
      </c>
      <c r="F85" s="3">
        <v>3074.35</v>
      </c>
      <c r="G85" s="3">
        <v>0</v>
      </c>
      <c r="H85" s="3">
        <v>8345.6299999999992</v>
      </c>
      <c r="I85" s="3">
        <v>0</v>
      </c>
      <c r="J85" s="1" t="s">
        <v>24</v>
      </c>
      <c r="K85" s="28"/>
      <c r="L85" s="28"/>
    </row>
    <row r="86" spans="1:12" s="2" customFormat="1" ht="24.95" customHeight="1" x14ac:dyDescent="0.25">
      <c r="A86" s="31" t="s">
        <v>245</v>
      </c>
      <c r="B86" s="1" t="s">
        <v>246</v>
      </c>
      <c r="C86" s="1" t="s">
        <v>247</v>
      </c>
      <c r="D86" s="1" t="s">
        <v>3</v>
      </c>
      <c r="E86" s="3">
        <v>5127.05</v>
      </c>
      <c r="F86" s="3">
        <v>3692.43</v>
      </c>
      <c r="G86" s="3">
        <v>1402.92</v>
      </c>
      <c r="H86" s="3">
        <v>0</v>
      </c>
      <c r="I86" s="3">
        <v>0</v>
      </c>
      <c r="J86" s="1" t="s">
        <v>19</v>
      </c>
      <c r="K86" s="28"/>
      <c r="L86" s="28"/>
    </row>
    <row r="87" spans="1:12" s="2" customFormat="1" ht="24.95" customHeight="1" x14ac:dyDescent="0.25">
      <c r="A87" s="31" t="s">
        <v>248</v>
      </c>
      <c r="B87" s="1" t="s">
        <v>249</v>
      </c>
      <c r="C87" s="1" t="s">
        <v>250</v>
      </c>
      <c r="D87" s="1" t="s">
        <v>8</v>
      </c>
      <c r="E87" s="3">
        <v>6833.82</v>
      </c>
      <c r="F87" s="3">
        <v>2195.85</v>
      </c>
      <c r="G87" s="3">
        <v>1273.19</v>
      </c>
      <c r="H87" s="3">
        <v>0</v>
      </c>
      <c r="I87" s="3">
        <v>0</v>
      </c>
      <c r="J87" s="1" t="s">
        <v>41</v>
      </c>
      <c r="K87" s="28"/>
      <c r="L87" s="28"/>
    </row>
    <row r="88" spans="1:12" s="2" customFormat="1" ht="24.95" customHeight="1" x14ac:dyDescent="0.25">
      <c r="A88" s="31" t="s">
        <v>251</v>
      </c>
      <c r="B88" s="1" t="s">
        <v>252</v>
      </c>
      <c r="C88" s="1" t="s">
        <v>253</v>
      </c>
      <c r="D88" s="1" t="s">
        <v>23</v>
      </c>
      <c r="E88" s="3">
        <v>2154.88</v>
      </c>
      <c r="F88" s="3">
        <v>2007.2</v>
      </c>
      <c r="G88" s="3">
        <v>2074.0100000000002</v>
      </c>
      <c r="H88" s="3">
        <v>1253.6500000000001</v>
      </c>
      <c r="I88" s="3">
        <v>2766.94</v>
      </c>
      <c r="J88" s="1" t="s">
        <v>37</v>
      </c>
      <c r="K88" s="28"/>
      <c r="L88" s="28"/>
    </row>
    <row r="89" spans="1:12" s="2" customFormat="1" ht="24.95" customHeight="1" x14ac:dyDescent="0.25">
      <c r="A89" s="31" t="s">
        <v>254</v>
      </c>
      <c r="B89" s="1" t="s">
        <v>255</v>
      </c>
      <c r="C89" s="1" t="s">
        <v>256</v>
      </c>
      <c r="D89" s="1" t="s">
        <v>3</v>
      </c>
      <c r="E89" s="3">
        <v>7723.77</v>
      </c>
      <c r="F89" s="3">
        <v>4392.8999999999996</v>
      </c>
      <c r="G89" s="3">
        <v>2438.81</v>
      </c>
      <c r="H89" s="3">
        <v>0</v>
      </c>
      <c r="I89" s="3">
        <v>0</v>
      </c>
      <c r="J89" s="1" t="s">
        <v>14</v>
      </c>
      <c r="K89" s="28"/>
      <c r="L89" s="28"/>
    </row>
    <row r="90" spans="1:12" s="2" customFormat="1" ht="24.95" customHeight="1" x14ac:dyDescent="0.25">
      <c r="A90" s="31" t="s">
        <v>257</v>
      </c>
      <c r="B90" s="1" t="s">
        <v>258</v>
      </c>
      <c r="C90" s="1" t="s">
        <v>259</v>
      </c>
      <c r="D90" s="1" t="s">
        <v>18</v>
      </c>
      <c r="E90" s="3">
        <v>0</v>
      </c>
      <c r="F90" s="3">
        <v>979.69</v>
      </c>
      <c r="G90" s="3">
        <v>0</v>
      </c>
      <c r="H90" s="3">
        <v>6172.71</v>
      </c>
      <c r="I90" s="3">
        <v>1768.65</v>
      </c>
      <c r="J90" s="1" t="s">
        <v>9</v>
      </c>
      <c r="K90" s="28"/>
      <c r="L90" s="28"/>
    </row>
    <row r="91" spans="1:12" s="2" customFormat="1" ht="24.95" customHeight="1" x14ac:dyDescent="0.25">
      <c r="A91" s="31" t="s">
        <v>260</v>
      </c>
      <c r="B91" s="1" t="s">
        <v>261</v>
      </c>
      <c r="C91" s="1" t="s">
        <v>262</v>
      </c>
      <c r="D91" s="1" t="s">
        <v>18</v>
      </c>
      <c r="E91" s="3">
        <v>0</v>
      </c>
      <c r="F91" s="3">
        <v>4598.62</v>
      </c>
      <c r="G91" s="3">
        <v>962.52</v>
      </c>
      <c r="H91" s="3">
        <v>0</v>
      </c>
      <c r="I91" s="3">
        <v>0</v>
      </c>
      <c r="J91" s="1" t="s">
        <v>14</v>
      </c>
      <c r="K91" s="28"/>
      <c r="L91" s="28"/>
    </row>
    <row r="92" spans="1:12" s="2" customFormat="1" ht="24.95" customHeight="1" x14ac:dyDescent="0.25">
      <c r="A92" s="31" t="s">
        <v>263</v>
      </c>
      <c r="B92" s="1" t="s">
        <v>264</v>
      </c>
      <c r="C92" s="1" t="s">
        <v>265</v>
      </c>
      <c r="D92" s="1" t="s">
        <v>18</v>
      </c>
      <c r="E92" s="3">
        <v>0</v>
      </c>
      <c r="F92" s="3">
        <v>2128.0700000000002</v>
      </c>
      <c r="G92" s="3">
        <v>0</v>
      </c>
      <c r="H92" s="3">
        <v>11707.66</v>
      </c>
      <c r="I92" s="3">
        <v>0</v>
      </c>
      <c r="J92" s="1" t="s">
        <v>24</v>
      </c>
      <c r="K92" s="28"/>
      <c r="L92" s="28"/>
    </row>
    <row r="93" spans="1:12" s="2" customFormat="1" ht="24.95" customHeight="1" x14ac:dyDescent="0.25">
      <c r="A93" s="31" t="s">
        <v>266</v>
      </c>
      <c r="B93" s="1" t="s">
        <v>267</v>
      </c>
      <c r="C93" s="1" t="s">
        <v>268</v>
      </c>
      <c r="D93" s="1" t="s">
        <v>3</v>
      </c>
      <c r="E93" s="3">
        <v>0</v>
      </c>
      <c r="F93" s="3">
        <v>2133.64</v>
      </c>
      <c r="G93" s="3">
        <v>2106.4499999999998</v>
      </c>
      <c r="H93" s="3">
        <v>0</v>
      </c>
      <c r="I93" s="3">
        <v>14533.7</v>
      </c>
      <c r="J93" s="1" t="s">
        <v>93</v>
      </c>
      <c r="K93" s="28"/>
      <c r="L93" s="28"/>
    </row>
    <row r="94" spans="1:12" s="2" customFormat="1" ht="24.95" customHeight="1" x14ac:dyDescent="0.25">
      <c r="A94" s="31" t="s">
        <v>269</v>
      </c>
      <c r="B94" s="1" t="s">
        <v>270</v>
      </c>
      <c r="C94" s="1" t="s">
        <v>271</v>
      </c>
      <c r="D94" s="1" t="s">
        <v>3</v>
      </c>
      <c r="E94" s="3">
        <v>0</v>
      </c>
      <c r="F94" s="3">
        <v>3874.61</v>
      </c>
      <c r="G94" s="3">
        <v>0</v>
      </c>
      <c r="H94" s="3">
        <v>0</v>
      </c>
      <c r="I94" s="3">
        <v>12876.85</v>
      </c>
      <c r="J94" s="1" t="s">
        <v>4</v>
      </c>
      <c r="K94" s="28"/>
      <c r="L94" s="28"/>
    </row>
    <row r="95" spans="1:12" s="2" customFormat="1" ht="24.95" customHeight="1" x14ac:dyDescent="0.25">
      <c r="A95" s="31" t="s">
        <v>272</v>
      </c>
      <c r="B95" s="1" t="s">
        <v>273</v>
      </c>
      <c r="C95" s="1" t="s">
        <v>274</v>
      </c>
      <c r="D95" s="1" t="s">
        <v>8</v>
      </c>
      <c r="E95" s="3">
        <v>3229.98</v>
      </c>
      <c r="F95" s="3">
        <v>0</v>
      </c>
      <c r="G95" s="3">
        <v>1382.9</v>
      </c>
      <c r="H95" s="3">
        <v>0</v>
      </c>
      <c r="I95" s="3">
        <v>0</v>
      </c>
      <c r="J95" s="1" t="s">
        <v>19</v>
      </c>
      <c r="K95" s="28"/>
      <c r="L95" s="28"/>
    </row>
    <row r="96" spans="1:12" s="2" customFormat="1" ht="24.95" customHeight="1" x14ac:dyDescent="0.25">
      <c r="A96" s="31" t="s">
        <v>275</v>
      </c>
      <c r="B96" s="1" t="s">
        <v>276</v>
      </c>
      <c r="C96" s="1" t="s">
        <v>277</v>
      </c>
      <c r="D96" s="1" t="s">
        <v>18</v>
      </c>
      <c r="E96" s="3">
        <v>0</v>
      </c>
      <c r="F96" s="3">
        <v>4695.88</v>
      </c>
      <c r="G96" s="3">
        <v>1615.91</v>
      </c>
      <c r="H96" s="3">
        <v>0</v>
      </c>
      <c r="I96" s="3">
        <v>0</v>
      </c>
      <c r="J96" s="1" t="s">
        <v>24</v>
      </c>
      <c r="K96" s="28"/>
      <c r="L96" s="28"/>
    </row>
    <row r="97" spans="1:12" s="2" customFormat="1" ht="24.95" customHeight="1" x14ac:dyDescent="0.25">
      <c r="A97" s="31" t="s">
        <v>278</v>
      </c>
      <c r="B97" s="1" t="s">
        <v>279</v>
      </c>
      <c r="C97" s="1" t="s">
        <v>280</v>
      </c>
      <c r="D97" s="1" t="s">
        <v>3027</v>
      </c>
      <c r="E97" s="3">
        <v>0</v>
      </c>
      <c r="F97" s="3">
        <v>3535.29</v>
      </c>
      <c r="G97" s="3">
        <v>624.95000000000005</v>
      </c>
      <c r="H97" s="3">
        <v>0</v>
      </c>
      <c r="I97" s="3">
        <v>12071.56</v>
      </c>
      <c r="J97" s="1" t="s">
        <v>106</v>
      </c>
      <c r="K97" s="28"/>
      <c r="L97" s="28"/>
    </row>
    <row r="98" spans="1:12" s="2" customFormat="1" ht="24.95" customHeight="1" x14ac:dyDescent="0.25">
      <c r="A98" s="31" t="s">
        <v>281</v>
      </c>
      <c r="B98" s="1" t="s">
        <v>282</v>
      </c>
      <c r="C98" s="1" t="s">
        <v>283</v>
      </c>
      <c r="D98" s="1" t="s">
        <v>8</v>
      </c>
      <c r="E98" s="3">
        <v>0</v>
      </c>
      <c r="F98" s="3">
        <v>2331.92</v>
      </c>
      <c r="G98" s="3">
        <v>2457.37</v>
      </c>
      <c r="H98" s="3">
        <v>0</v>
      </c>
      <c r="I98" s="3">
        <v>0</v>
      </c>
      <c r="J98" s="1" t="s">
        <v>79</v>
      </c>
      <c r="K98" s="28"/>
      <c r="L98" s="28"/>
    </row>
    <row r="99" spans="1:12" s="2" customFormat="1" ht="24.95" customHeight="1" x14ac:dyDescent="0.25">
      <c r="A99" s="31" t="s">
        <v>284</v>
      </c>
      <c r="B99" s="1" t="s">
        <v>285</v>
      </c>
      <c r="C99" s="1" t="s">
        <v>286</v>
      </c>
      <c r="D99" s="1" t="s">
        <v>18</v>
      </c>
      <c r="E99" s="3">
        <v>0</v>
      </c>
      <c r="F99" s="3">
        <v>4324.92</v>
      </c>
      <c r="G99" s="3">
        <v>0</v>
      </c>
      <c r="H99" s="3">
        <v>4019.61</v>
      </c>
      <c r="I99" s="3">
        <v>0</v>
      </c>
      <c r="J99" s="1" t="s">
        <v>24</v>
      </c>
      <c r="K99" s="28"/>
      <c r="L99" s="28"/>
    </row>
    <row r="100" spans="1:12" s="2" customFormat="1" ht="24.95" customHeight="1" x14ac:dyDescent="0.25">
      <c r="A100" s="31" t="s">
        <v>287</v>
      </c>
      <c r="B100" s="1" t="s">
        <v>288</v>
      </c>
      <c r="C100" s="1" t="s">
        <v>289</v>
      </c>
      <c r="D100" s="1" t="s">
        <v>3</v>
      </c>
      <c r="E100" s="3">
        <v>1141.3499999999999</v>
      </c>
      <c r="F100" s="3">
        <v>3647.56</v>
      </c>
      <c r="G100" s="3">
        <v>0</v>
      </c>
      <c r="H100" s="3">
        <v>6148.54</v>
      </c>
      <c r="I100" s="3">
        <v>2608.91</v>
      </c>
      <c r="J100" s="1" t="s">
        <v>4</v>
      </c>
      <c r="K100" s="28"/>
      <c r="L100" s="28"/>
    </row>
    <row r="101" spans="1:12" s="2" customFormat="1" ht="24.95" customHeight="1" x14ac:dyDescent="0.25">
      <c r="A101" s="31" t="s">
        <v>290</v>
      </c>
      <c r="B101" s="1" t="s">
        <v>291</v>
      </c>
      <c r="C101" s="1" t="s">
        <v>292</v>
      </c>
      <c r="D101" s="1" t="s">
        <v>3</v>
      </c>
      <c r="E101" s="3">
        <v>0</v>
      </c>
      <c r="F101" s="3">
        <v>374.86</v>
      </c>
      <c r="G101" s="3">
        <v>513.37</v>
      </c>
      <c r="H101" s="3">
        <v>0</v>
      </c>
      <c r="I101" s="3">
        <v>0</v>
      </c>
      <c r="J101" s="1" t="s">
        <v>106</v>
      </c>
      <c r="K101" s="28"/>
      <c r="L101" s="28"/>
    </row>
    <row r="102" spans="1:12" s="2" customFormat="1" ht="24.95" customHeight="1" x14ac:dyDescent="0.25">
      <c r="A102" s="31" t="s">
        <v>293</v>
      </c>
      <c r="B102" s="1" t="s">
        <v>294</v>
      </c>
      <c r="C102" s="1" t="s">
        <v>295</v>
      </c>
      <c r="D102" s="1" t="s">
        <v>18</v>
      </c>
      <c r="E102" s="3">
        <v>0</v>
      </c>
      <c r="F102" s="3">
        <v>0</v>
      </c>
      <c r="G102" s="3">
        <v>807.51</v>
      </c>
      <c r="H102" s="3">
        <v>2544.9</v>
      </c>
      <c r="I102" s="3">
        <v>9694.09</v>
      </c>
      <c r="J102" s="1" t="s">
        <v>79</v>
      </c>
      <c r="K102" s="28"/>
      <c r="L102" s="28"/>
    </row>
    <row r="103" spans="1:12" s="2" customFormat="1" ht="24.95" customHeight="1" x14ac:dyDescent="0.25">
      <c r="A103" s="31" t="s">
        <v>296</v>
      </c>
      <c r="B103" s="1" t="s">
        <v>297</v>
      </c>
      <c r="C103" s="1" t="s">
        <v>298</v>
      </c>
      <c r="D103" s="1" t="s">
        <v>3</v>
      </c>
      <c r="E103" s="3">
        <v>221.96</v>
      </c>
      <c r="F103" s="3">
        <v>2162.6</v>
      </c>
      <c r="G103" s="3">
        <v>592.58000000000004</v>
      </c>
      <c r="H103" s="3">
        <v>4226.3599999999997</v>
      </c>
      <c r="I103" s="3">
        <v>8564.59</v>
      </c>
      <c r="J103" s="1" t="s">
        <v>79</v>
      </c>
      <c r="K103" s="28"/>
      <c r="L103" s="28"/>
    </row>
    <row r="104" spans="1:12" s="2" customFormat="1" ht="24.95" customHeight="1" x14ac:dyDescent="0.25">
      <c r="A104" s="31" t="s">
        <v>299</v>
      </c>
      <c r="B104" s="1" t="s">
        <v>300</v>
      </c>
      <c r="C104" s="1" t="s">
        <v>301</v>
      </c>
      <c r="D104" s="1" t="s">
        <v>3</v>
      </c>
      <c r="E104" s="3">
        <v>0</v>
      </c>
      <c r="F104" s="3">
        <v>0</v>
      </c>
      <c r="G104" s="3">
        <v>842.19</v>
      </c>
      <c r="H104" s="3">
        <v>3216.02</v>
      </c>
      <c r="I104" s="3">
        <v>0</v>
      </c>
      <c r="J104" s="1" t="s">
        <v>37</v>
      </c>
      <c r="K104" s="28"/>
      <c r="L104" s="28"/>
    </row>
    <row r="105" spans="1:12" s="2" customFormat="1" ht="24.95" customHeight="1" x14ac:dyDescent="0.25">
      <c r="A105" s="31" t="s">
        <v>302</v>
      </c>
      <c r="B105" s="1" t="s">
        <v>303</v>
      </c>
      <c r="C105" s="1" t="s">
        <v>304</v>
      </c>
      <c r="D105" s="1" t="s">
        <v>23</v>
      </c>
      <c r="E105" s="3">
        <v>5599.04</v>
      </c>
      <c r="F105" s="3">
        <v>0</v>
      </c>
      <c r="G105" s="3">
        <v>0</v>
      </c>
      <c r="H105" s="3">
        <v>1264.72</v>
      </c>
      <c r="I105" s="3">
        <v>0</v>
      </c>
      <c r="J105" s="1" t="s">
        <v>93</v>
      </c>
      <c r="K105" s="28"/>
      <c r="L105" s="28"/>
    </row>
    <row r="106" spans="1:12" s="2" customFormat="1" ht="24.95" customHeight="1" x14ac:dyDescent="0.25">
      <c r="A106" s="31" t="s">
        <v>305</v>
      </c>
      <c r="B106" s="1" t="s">
        <v>306</v>
      </c>
      <c r="C106" s="1" t="s">
        <v>307</v>
      </c>
      <c r="D106" s="1" t="s">
        <v>18</v>
      </c>
      <c r="E106" s="3">
        <v>0</v>
      </c>
      <c r="F106" s="3">
        <v>2356.52</v>
      </c>
      <c r="G106" s="3">
        <v>0</v>
      </c>
      <c r="H106" s="3">
        <v>0</v>
      </c>
      <c r="I106" s="3">
        <v>2349.0500000000002</v>
      </c>
      <c r="J106" s="1" t="s">
        <v>106</v>
      </c>
      <c r="K106" s="28"/>
      <c r="L106" s="28"/>
    </row>
    <row r="107" spans="1:12" s="2" customFormat="1" ht="24.95" customHeight="1" x14ac:dyDescent="0.25">
      <c r="A107" s="31" t="s">
        <v>308</v>
      </c>
      <c r="B107" s="1" t="s">
        <v>309</v>
      </c>
      <c r="C107" s="1" t="s">
        <v>310</v>
      </c>
      <c r="D107" s="1" t="s">
        <v>8</v>
      </c>
      <c r="E107" s="3">
        <v>0</v>
      </c>
      <c r="F107" s="3">
        <v>4541.7</v>
      </c>
      <c r="G107" s="3">
        <v>0</v>
      </c>
      <c r="H107" s="3">
        <v>0</v>
      </c>
      <c r="I107" s="3">
        <v>0</v>
      </c>
      <c r="J107" s="1" t="s">
        <v>48</v>
      </c>
      <c r="K107" s="28"/>
      <c r="L107" s="28"/>
    </row>
    <row r="108" spans="1:12" s="2" customFormat="1" ht="24.95" customHeight="1" x14ac:dyDescent="0.25">
      <c r="A108" s="31" t="s">
        <v>311</v>
      </c>
      <c r="B108" s="1" t="s">
        <v>312</v>
      </c>
      <c r="C108" s="1" t="s">
        <v>313</v>
      </c>
      <c r="D108" s="1" t="s">
        <v>3</v>
      </c>
      <c r="E108" s="3">
        <v>0</v>
      </c>
      <c r="F108" s="3">
        <v>0</v>
      </c>
      <c r="G108" s="3">
        <v>2234.2399999999998</v>
      </c>
      <c r="H108" s="3">
        <v>9527.3700000000008</v>
      </c>
      <c r="I108" s="3">
        <v>12570.76</v>
      </c>
      <c r="J108" s="1" t="s">
        <v>14</v>
      </c>
      <c r="K108" s="28"/>
      <c r="L108" s="28"/>
    </row>
    <row r="109" spans="1:12" s="2" customFormat="1" ht="24.95" customHeight="1" x14ac:dyDescent="0.25">
      <c r="A109" s="31" t="s">
        <v>314</v>
      </c>
      <c r="B109" s="1" t="s">
        <v>315</v>
      </c>
      <c r="C109" s="1" t="s">
        <v>316</v>
      </c>
      <c r="D109" s="1" t="s">
        <v>3027</v>
      </c>
      <c r="E109" s="3">
        <v>6334.02</v>
      </c>
      <c r="F109" s="3">
        <v>0</v>
      </c>
      <c r="G109" s="3">
        <v>2155.7399999999998</v>
      </c>
      <c r="H109" s="3">
        <v>6417.6</v>
      </c>
      <c r="I109" s="3">
        <v>0</v>
      </c>
      <c r="J109" s="1" t="s">
        <v>24</v>
      </c>
      <c r="K109" s="28"/>
      <c r="L109" s="28"/>
    </row>
    <row r="110" spans="1:12" s="2" customFormat="1" ht="24.95" customHeight="1" x14ac:dyDescent="0.25">
      <c r="A110" s="31" t="s">
        <v>317</v>
      </c>
      <c r="B110" s="1" t="s">
        <v>318</v>
      </c>
      <c r="C110" s="1" t="s">
        <v>319</v>
      </c>
      <c r="D110" s="1" t="s">
        <v>13</v>
      </c>
      <c r="E110" s="3">
        <v>0</v>
      </c>
      <c r="F110" s="3">
        <v>2858.4</v>
      </c>
      <c r="G110" s="3">
        <v>583.07000000000005</v>
      </c>
      <c r="H110" s="3">
        <v>0</v>
      </c>
      <c r="I110" s="3">
        <v>0</v>
      </c>
      <c r="J110" s="1" t="s">
        <v>86</v>
      </c>
      <c r="K110" s="28"/>
      <c r="L110" s="28"/>
    </row>
    <row r="111" spans="1:12" s="2" customFormat="1" ht="24.95" customHeight="1" x14ac:dyDescent="0.25">
      <c r="A111" s="31" t="s">
        <v>320</v>
      </c>
      <c r="B111" s="1" t="s">
        <v>321</v>
      </c>
      <c r="C111" s="1" t="s">
        <v>322</v>
      </c>
      <c r="D111" s="1" t="s">
        <v>23</v>
      </c>
      <c r="E111" s="3">
        <v>6869.54</v>
      </c>
      <c r="F111" s="3">
        <v>0</v>
      </c>
      <c r="G111" s="3">
        <v>0</v>
      </c>
      <c r="H111" s="3">
        <v>0</v>
      </c>
      <c r="I111" s="3">
        <v>0</v>
      </c>
      <c r="J111" s="1" t="s">
        <v>9</v>
      </c>
      <c r="K111" s="28"/>
      <c r="L111" s="28"/>
    </row>
    <row r="112" spans="1:12" s="2" customFormat="1" ht="24.95" customHeight="1" x14ac:dyDescent="0.25">
      <c r="A112" s="31" t="s">
        <v>323</v>
      </c>
      <c r="B112" s="1" t="s">
        <v>324</v>
      </c>
      <c r="C112" s="1" t="s">
        <v>325</v>
      </c>
      <c r="D112" s="1" t="s">
        <v>23</v>
      </c>
      <c r="E112" s="3">
        <v>0</v>
      </c>
      <c r="F112" s="3">
        <v>821.36</v>
      </c>
      <c r="G112" s="3">
        <v>2776.98</v>
      </c>
      <c r="H112" s="3">
        <v>7806.08</v>
      </c>
      <c r="I112" s="3">
        <v>0</v>
      </c>
      <c r="J112" s="1" t="s">
        <v>41</v>
      </c>
      <c r="K112" s="28"/>
      <c r="L112" s="28"/>
    </row>
    <row r="113" spans="1:12" s="2" customFormat="1" ht="24.95" customHeight="1" x14ac:dyDescent="0.25">
      <c r="A113" s="31" t="s">
        <v>326</v>
      </c>
      <c r="B113" s="1" t="s">
        <v>327</v>
      </c>
      <c r="C113" s="1" t="s">
        <v>328</v>
      </c>
      <c r="D113" s="1" t="s">
        <v>13</v>
      </c>
      <c r="E113" s="3">
        <v>0</v>
      </c>
      <c r="F113" s="3">
        <v>1300.74</v>
      </c>
      <c r="G113" s="3">
        <v>0</v>
      </c>
      <c r="H113" s="3">
        <v>0</v>
      </c>
      <c r="I113" s="3">
        <v>0</v>
      </c>
      <c r="J113" s="1" t="s">
        <v>14</v>
      </c>
      <c r="K113" s="28"/>
      <c r="L113" s="28"/>
    </row>
    <row r="114" spans="1:12" s="2" customFormat="1" ht="24.95" customHeight="1" x14ac:dyDescent="0.25">
      <c r="A114" s="31" t="s">
        <v>329</v>
      </c>
      <c r="B114" s="1" t="s">
        <v>330</v>
      </c>
      <c r="C114" s="1" t="s">
        <v>331</v>
      </c>
      <c r="D114" s="1" t="s">
        <v>8</v>
      </c>
      <c r="E114" s="3">
        <v>2695.18</v>
      </c>
      <c r="F114" s="3">
        <v>0</v>
      </c>
      <c r="G114" s="3">
        <v>2632.85</v>
      </c>
      <c r="H114" s="3">
        <v>0</v>
      </c>
      <c r="I114" s="3">
        <v>13083.5</v>
      </c>
      <c r="J114" s="1" t="s">
        <v>41</v>
      </c>
      <c r="K114" s="28"/>
      <c r="L114" s="28"/>
    </row>
    <row r="115" spans="1:12" s="2" customFormat="1" ht="24.95" customHeight="1" x14ac:dyDescent="0.25">
      <c r="A115" s="31" t="s">
        <v>332</v>
      </c>
      <c r="B115" s="1" t="s">
        <v>333</v>
      </c>
      <c r="C115" s="1" t="s">
        <v>334</v>
      </c>
      <c r="D115" s="1" t="s">
        <v>18</v>
      </c>
      <c r="E115" s="3">
        <v>0</v>
      </c>
      <c r="F115" s="3">
        <v>0</v>
      </c>
      <c r="G115" s="3">
        <v>0</v>
      </c>
      <c r="H115" s="3">
        <v>0</v>
      </c>
      <c r="I115" s="3">
        <v>700.38</v>
      </c>
      <c r="J115" s="1" t="s">
        <v>14</v>
      </c>
      <c r="K115" s="28"/>
      <c r="L115" s="28"/>
    </row>
    <row r="116" spans="1:12" s="2" customFormat="1" ht="24.95" customHeight="1" x14ac:dyDescent="0.25">
      <c r="A116" s="31" t="s">
        <v>335</v>
      </c>
      <c r="B116" s="1" t="s">
        <v>336</v>
      </c>
      <c r="C116" s="1" t="s">
        <v>337</v>
      </c>
      <c r="D116" s="1" t="s">
        <v>8</v>
      </c>
      <c r="E116" s="3">
        <v>0</v>
      </c>
      <c r="F116" s="3">
        <v>0</v>
      </c>
      <c r="G116" s="3">
        <v>0</v>
      </c>
      <c r="H116" s="3">
        <v>6179.29</v>
      </c>
      <c r="I116" s="3">
        <v>0</v>
      </c>
      <c r="J116" s="1" t="s">
        <v>4</v>
      </c>
      <c r="K116" s="28"/>
      <c r="L116" s="28"/>
    </row>
    <row r="117" spans="1:12" s="2" customFormat="1" ht="24.95" customHeight="1" x14ac:dyDescent="0.25">
      <c r="A117" s="31" t="s">
        <v>338</v>
      </c>
      <c r="B117" s="1" t="s">
        <v>339</v>
      </c>
      <c r="C117" s="1" t="s">
        <v>340</v>
      </c>
      <c r="D117" s="1" t="s">
        <v>18</v>
      </c>
      <c r="E117" s="3">
        <v>4576.78</v>
      </c>
      <c r="F117" s="3">
        <v>0</v>
      </c>
      <c r="G117" s="3">
        <v>1226.75</v>
      </c>
      <c r="H117" s="3">
        <v>0</v>
      </c>
      <c r="I117" s="3">
        <v>0</v>
      </c>
      <c r="J117" s="1" t="s">
        <v>86</v>
      </c>
      <c r="K117" s="28"/>
      <c r="L117" s="28"/>
    </row>
    <row r="118" spans="1:12" s="2" customFormat="1" ht="24.95" customHeight="1" x14ac:dyDescent="0.25">
      <c r="A118" s="31" t="s">
        <v>341</v>
      </c>
      <c r="B118" s="1" t="s">
        <v>342</v>
      </c>
      <c r="C118" s="1" t="s">
        <v>343</v>
      </c>
      <c r="D118" s="1" t="s">
        <v>18</v>
      </c>
      <c r="E118" s="3">
        <v>7299.21</v>
      </c>
      <c r="F118" s="3">
        <v>0</v>
      </c>
      <c r="G118" s="3">
        <v>2016.24</v>
      </c>
      <c r="H118" s="3">
        <v>0</v>
      </c>
      <c r="I118" s="3">
        <v>0</v>
      </c>
      <c r="J118" s="1" t="s">
        <v>19</v>
      </c>
      <c r="K118" s="28"/>
      <c r="L118" s="28"/>
    </row>
    <row r="119" spans="1:12" s="2" customFormat="1" ht="24.95" customHeight="1" x14ac:dyDescent="0.25">
      <c r="A119" s="31" t="s">
        <v>344</v>
      </c>
      <c r="B119" s="1" t="s">
        <v>345</v>
      </c>
      <c r="C119" s="1" t="s">
        <v>346</v>
      </c>
      <c r="D119" s="1" t="s">
        <v>3</v>
      </c>
      <c r="E119" s="3">
        <v>141.96</v>
      </c>
      <c r="F119" s="3">
        <v>0</v>
      </c>
      <c r="G119" s="3">
        <v>0</v>
      </c>
      <c r="H119" s="3">
        <v>0</v>
      </c>
      <c r="I119" s="3">
        <v>0</v>
      </c>
      <c r="J119" s="1" t="s">
        <v>37</v>
      </c>
      <c r="K119" s="28"/>
      <c r="L119" s="28"/>
    </row>
    <row r="120" spans="1:12" s="2" customFormat="1" ht="24.95" customHeight="1" x14ac:dyDescent="0.25">
      <c r="A120" s="31" t="s">
        <v>347</v>
      </c>
      <c r="B120" s="1" t="s">
        <v>348</v>
      </c>
      <c r="C120" s="1" t="s">
        <v>349</v>
      </c>
      <c r="D120" s="1" t="s">
        <v>18</v>
      </c>
      <c r="E120" s="3">
        <v>4758.7</v>
      </c>
      <c r="F120" s="3">
        <v>0</v>
      </c>
      <c r="G120" s="3">
        <v>0</v>
      </c>
      <c r="H120" s="3">
        <v>4860.21</v>
      </c>
      <c r="I120" s="3">
        <v>0</v>
      </c>
      <c r="J120" s="1" t="s">
        <v>14</v>
      </c>
      <c r="K120" s="28"/>
      <c r="L120" s="28"/>
    </row>
    <row r="121" spans="1:12" s="2" customFormat="1" ht="24.95" customHeight="1" x14ac:dyDescent="0.25">
      <c r="A121" s="31" t="s">
        <v>350</v>
      </c>
      <c r="B121" s="1" t="s">
        <v>351</v>
      </c>
      <c r="C121" s="1" t="s">
        <v>352</v>
      </c>
      <c r="D121" s="1" t="s">
        <v>3027</v>
      </c>
      <c r="E121" s="3">
        <v>0</v>
      </c>
      <c r="F121" s="3">
        <v>0</v>
      </c>
      <c r="G121" s="3">
        <v>0</v>
      </c>
      <c r="H121" s="3">
        <v>0</v>
      </c>
      <c r="I121" s="3">
        <v>1106.3399999999999</v>
      </c>
      <c r="J121" s="1" t="s">
        <v>19</v>
      </c>
      <c r="K121" s="28"/>
      <c r="L121" s="28"/>
    </row>
    <row r="122" spans="1:12" s="2" customFormat="1" ht="24.95" customHeight="1" x14ac:dyDescent="0.25">
      <c r="A122" s="31" t="s">
        <v>353</v>
      </c>
      <c r="B122" s="1" t="s">
        <v>354</v>
      </c>
      <c r="C122" s="1" t="s">
        <v>355</v>
      </c>
      <c r="D122" s="1" t="s">
        <v>3</v>
      </c>
      <c r="E122" s="3">
        <v>3022.24</v>
      </c>
      <c r="F122" s="3">
        <v>2008.53</v>
      </c>
      <c r="G122" s="3">
        <v>0</v>
      </c>
      <c r="H122" s="3">
        <v>0</v>
      </c>
      <c r="I122" s="3">
        <v>2805.98</v>
      </c>
      <c r="J122" s="1" t="s">
        <v>24</v>
      </c>
      <c r="K122" s="28"/>
      <c r="L122" s="28"/>
    </row>
    <row r="123" spans="1:12" s="2" customFormat="1" ht="24.95" customHeight="1" x14ac:dyDescent="0.25">
      <c r="A123" s="31" t="s">
        <v>356</v>
      </c>
      <c r="B123" s="1" t="s">
        <v>357</v>
      </c>
      <c r="C123" s="1" t="s">
        <v>358</v>
      </c>
      <c r="D123" s="1" t="s">
        <v>8</v>
      </c>
      <c r="E123" s="3">
        <v>0</v>
      </c>
      <c r="F123" s="3">
        <v>0</v>
      </c>
      <c r="G123" s="3">
        <v>0</v>
      </c>
      <c r="H123" s="3">
        <v>5536.65</v>
      </c>
      <c r="I123" s="3">
        <v>0</v>
      </c>
      <c r="J123" s="1" t="s">
        <v>86</v>
      </c>
      <c r="K123" s="28"/>
      <c r="L123" s="28"/>
    </row>
    <row r="124" spans="1:12" s="2" customFormat="1" ht="24.95" customHeight="1" x14ac:dyDescent="0.25">
      <c r="A124" s="31" t="s">
        <v>359</v>
      </c>
      <c r="B124" s="1" t="s">
        <v>360</v>
      </c>
      <c r="C124" s="1" t="s">
        <v>361</v>
      </c>
      <c r="D124" s="1" t="s">
        <v>13</v>
      </c>
      <c r="E124" s="3">
        <v>2190.66</v>
      </c>
      <c r="F124" s="3">
        <v>4413.8900000000003</v>
      </c>
      <c r="G124" s="3">
        <v>0</v>
      </c>
      <c r="H124" s="3">
        <v>0</v>
      </c>
      <c r="I124" s="3">
        <v>0</v>
      </c>
      <c r="J124" s="1" t="s">
        <v>14</v>
      </c>
      <c r="K124" s="28"/>
      <c r="L124" s="28"/>
    </row>
    <row r="125" spans="1:12" s="2" customFormat="1" ht="24.95" customHeight="1" x14ac:dyDescent="0.25">
      <c r="A125" s="31" t="s">
        <v>362</v>
      </c>
      <c r="B125" s="1" t="s">
        <v>363</v>
      </c>
      <c r="C125" s="1" t="s">
        <v>364</v>
      </c>
      <c r="D125" s="1" t="s">
        <v>3</v>
      </c>
      <c r="E125" s="3">
        <v>4299.63</v>
      </c>
      <c r="F125" s="3">
        <v>1527.3</v>
      </c>
      <c r="G125" s="3">
        <v>0</v>
      </c>
      <c r="H125" s="3">
        <v>0</v>
      </c>
      <c r="I125" s="3">
        <v>8205.5300000000007</v>
      </c>
      <c r="J125" s="1" t="s">
        <v>41</v>
      </c>
      <c r="K125" s="28"/>
      <c r="L125" s="28"/>
    </row>
    <row r="126" spans="1:12" s="2" customFormat="1" ht="24.95" customHeight="1" x14ac:dyDescent="0.25">
      <c r="A126" s="31" t="s">
        <v>365</v>
      </c>
      <c r="B126" s="1" t="s">
        <v>366</v>
      </c>
      <c r="C126" s="1" t="s">
        <v>367</v>
      </c>
      <c r="D126" s="1" t="s">
        <v>8</v>
      </c>
      <c r="E126" s="3">
        <v>7238.06</v>
      </c>
      <c r="F126" s="3">
        <v>4782.1400000000003</v>
      </c>
      <c r="G126" s="3">
        <v>0</v>
      </c>
      <c r="H126" s="3">
        <v>0</v>
      </c>
      <c r="I126" s="3">
        <v>6537.59</v>
      </c>
      <c r="J126" s="1" t="s">
        <v>79</v>
      </c>
      <c r="K126" s="28"/>
      <c r="L126" s="28"/>
    </row>
    <row r="127" spans="1:12" s="2" customFormat="1" ht="24.95" customHeight="1" x14ac:dyDescent="0.25">
      <c r="A127" s="31" t="s">
        <v>368</v>
      </c>
      <c r="B127" s="1" t="s">
        <v>369</v>
      </c>
      <c r="C127" s="1" t="s">
        <v>370</v>
      </c>
      <c r="D127" s="1" t="s">
        <v>8</v>
      </c>
      <c r="E127" s="3">
        <v>0</v>
      </c>
      <c r="F127" s="3">
        <v>1914.18</v>
      </c>
      <c r="G127" s="3">
        <v>390.11</v>
      </c>
      <c r="H127" s="3">
        <v>8323.84</v>
      </c>
      <c r="I127" s="3">
        <v>0</v>
      </c>
      <c r="J127" s="1" t="s">
        <v>41</v>
      </c>
      <c r="K127" s="28"/>
      <c r="L127" s="28"/>
    </row>
    <row r="128" spans="1:12" s="2" customFormat="1" ht="24.95" customHeight="1" x14ac:dyDescent="0.25">
      <c r="A128" s="31" t="s">
        <v>371</v>
      </c>
      <c r="B128" s="1" t="s">
        <v>372</v>
      </c>
      <c r="C128" s="1" t="s">
        <v>373</v>
      </c>
      <c r="D128" s="1" t="s">
        <v>3</v>
      </c>
      <c r="E128" s="3">
        <v>0</v>
      </c>
      <c r="F128" s="3">
        <v>3917.22</v>
      </c>
      <c r="G128" s="3">
        <v>0</v>
      </c>
      <c r="H128" s="3">
        <v>10884.36</v>
      </c>
      <c r="I128" s="3">
        <v>0</v>
      </c>
      <c r="J128" s="1" t="s">
        <v>37</v>
      </c>
      <c r="K128" s="28"/>
      <c r="L128" s="28"/>
    </row>
    <row r="129" spans="1:12" s="2" customFormat="1" ht="24.95" customHeight="1" x14ac:dyDescent="0.25">
      <c r="A129" s="31" t="s">
        <v>374</v>
      </c>
      <c r="B129" s="1" t="s">
        <v>375</v>
      </c>
      <c r="C129" s="1" t="s">
        <v>376</v>
      </c>
      <c r="D129" s="1" t="s">
        <v>13</v>
      </c>
      <c r="E129" s="3">
        <v>0</v>
      </c>
      <c r="F129" s="3">
        <v>0</v>
      </c>
      <c r="G129" s="3">
        <v>3767.88</v>
      </c>
      <c r="H129" s="3">
        <v>0</v>
      </c>
      <c r="I129" s="3">
        <v>0</v>
      </c>
      <c r="J129" s="1" t="s">
        <v>93</v>
      </c>
      <c r="K129" s="28"/>
      <c r="L129" s="28"/>
    </row>
    <row r="130" spans="1:12" s="2" customFormat="1" ht="24.95" customHeight="1" x14ac:dyDescent="0.25">
      <c r="A130" s="31" t="s">
        <v>377</v>
      </c>
      <c r="B130" s="1" t="s">
        <v>378</v>
      </c>
      <c r="C130" s="1" t="s">
        <v>379</v>
      </c>
      <c r="D130" s="1" t="s">
        <v>3</v>
      </c>
      <c r="E130" s="3">
        <v>0</v>
      </c>
      <c r="F130" s="3">
        <v>3524.53</v>
      </c>
      <c r="G130" s="3">
        <v>2058.27</v>
      </c>
      <c r="H130" s="3">
        <v>0</v>
      </c>
      <c r="I130" s="3">
        <v>0</v>
      </c>
      <c r="J130" s="1" t="s">
        <v>93</v>
      </c>
      <c r="K130" s="28"/>
      <c r="L130" s="28"/>
    </row>
    <row r="131" spans="1:12" s="2" customFormat="1" ht="24.95" customHeight="1" x14ac:dyDescent="0.25">
      <c r="A131" s="31" t="s">
        <v>380</v>
      </c>
      <c r="B131" s="1" t="s">
        <v>381</v>
      </c>
      <c r="C131" s="1" t="s">
        <v>382</v>
      </c>
      <c r="D131" s="1" t="s">
        <v>23</v>
      </c>
      <c r="E131" s="3">
        <v>0</v>
      </c>
      <c r="F131" s="3">
        <v>0</v>
      </c>
      <c r="G131" s="3">
        <v>0</v>
      </c>
      <c r="H131" s="3">
        <v>0</v>
      </c>
      <c r="I131" s="3">
        <v>13083.08</v>
      </c>
      <c r="J131" s="1" t="s">
        <v>9</v>
      </c>
      <c r="K131" s="28"/>
      <c r="L131" s="28"/>
    </row>
    <row r="132" spans="1:12" s="2" customFormat="1" ht="24.95" customHeight="1" x14ac:dyDescent="0.25">
      <c r="A132" s="31" t="s">
        <v>383</v>
      </c>
      <c r="B132" s="1" t="s">
        <v>384</v>
      </c>
      <c r="C132" s="1" t="s">
        <v>385</v>
      </c>
      <c r="D132" s="1" t="s">
        <v>18</v>
      </c>
      <c r="E132" s="3">
        <v>0</v>
      </c>
      <c r="F132" s="3">
        <v>432.32</v>
      </c>
      <c r="G132" s="3">
        <v>741.7</v>
      </c>
      <c r="H132" s="3">
        <v>10503.43</v>
      </c>
      <c r="I132" s="3">
        <v>1150.6300000000001</v>
      </c>
      <c r="J132" s="1" t="s">
        <v>9</v>
      </c>
      <c r="K132" s="28"/>
      <c r="L132" s="28"/>
    </row>
    <row r="133" spans="1:12" s="2" customFormat="1" ht="24.95" customHeight="1" x14ac:dyDescent="0.25">
      <c r="A133" s="31" t="s">
        <v>386</v>
      </c>
      <c r="B133" s="1" t="s">
        <v>387</v>
      </c>
      <c r="C133" s="1" t="s">
        <v>388</v>
      </c>
      <c r="D133" s="1" t="s">
        <v>3</v>
      </c>
      <c r="E133" s="3">
        <v>4467.34</v>
      </c>
      <c r="F133" s="3">
        <v>2709.7</v>
      </c>
      <c r="G133" s="3">
        <v>0</v>
      </c>
      <c r="H133" s="3">
        <v>0</v>
      </c>
      <c r="I133" s="3">
        <v>0</v>
      </c>
      <c r="J133" s="1" t="s">
        <v>19</v>
      </c>
      <c r="K133" s="28"/>
      <c r="L133" s="28"/>
    </row>
    <row r="134" spans="1:12" s="2" customFormat="1" ht="24.95" customHeight="1" x14ac:dyDescent="0.25">
      <c r="A134" s="31" t="s">
        <v>389</v>
      </c>
      <c r="B134" s="1" t="s">
        <v>390</v>
      </c>
      <c r="C134" s="1" t="s">
        <v>391</v>
      </c>
      <c r="D134" s="1" t="s">
        <v>23</v>
      </c>
      <c r="E134" s="3">
        <v>6624.15</v>
      </c>
      <c r="F134" s="3">
        <v>0</v>
      </c>
      <c r="G134" s="3">
        <v>691.74</v>
      </c>
      <c r="H134" s="3">
        <v>0</v>
      </c>
      <c r="I134" s="3">
        <v>4763.6400000000003</v>
      </c>
      <c r="J134" s="1" t="s">
        <v>41</v>
      </c>
      <c r="K134" s="28"/>
      <c r="L134" s="28"/>
    </row>
    <row r="135" spans="1:12" s="2" customFormat="1" ht="24.95" customHeight="1" x14ac:dyDescent="0.25">
      <c r="A135" s="31" t="s">
        <v>392</v>
      </c>
      <c r="B135" s="1" t="s">
        <v>393</v>
      </c>
      <c r="C135" s="1" t="s">
        <v>394</v>
      </c>
      <c r="D135" s="1" t="s">
        <v>23</v>
      </c>
      <c r="E135" s="3">
        <v>0</v>
      </c>
      <c r="F135" s="3">
        <v>2947.1</v>
      </c>
      <c r="G135" s="3">
        <v>0</v>
      </c>
      <c r="H135" s="3">
        <v>0</v>
      </c>
      <c r="I135" s="3">
        <v>0</v>
      </c>
      <c r="J135" s="1" t="s">
        <v>48</v>
      </c>
      <c r="K135" s="28"/>
      <c r="L135" s="28"/>
    </row>
    <row r="136" spans="1:12" s="2" customFormat="1" ht="24.95" customHeight="1" x14ac:dyDescent="0.25">
      <c r="A136" s="31" t="s">
        <v>395</v>
      </c>
      <c r="B136" s="1" t="s">
        <v>396</v>
      </c>
      <c r="C136" s="1" t="s">
        <v>397</v>
      </c>
      <c r="D136" s="1" t="s">
        <v>13</v>
      </c>
      <c r="E136" s="3">
        <v>5474.23</v>
      </c>
      <c r="F136" s="3">
        <v>0</v>
      </c>
      <c r="G136" s="3">
        <v>0</v>
      </c>
      <c r="H136" s="3">
        <v>0</v>
      </c>
      <c r="I136" s="3">
        <v>6108.18</v>
      </c>
      <c r="J136" s="1" t="s">
        <v>24</v>
      </c>
      <c r="K136" s="28"/>
      <c r="L136" s="28"/>
    </row>
    <row r="137" spans="1:12" s="2" customFormat="1" ht="24.95" customHeight="1" x14ac:dyDescent="0.25">
      <c r="A137" s="31" t="s">
        <v>398</v>
      </c>
      <c r="B137" s="1" t="s">
        <v>399</v>
      </c>
      <c r="C137" s="1" t="s">
        <v>400</v>
      </c>
      <c r="D137" s="1" t="s">
        <v>8</v>
      </c>
      <c r="E137" s="3">
        <v>0</v>
      </c>
      <c r="F137" s="3">
        <v>4541.6400000000003</v>
      </c>
      <c r="G137" s="3">
        <v>0</v>
      </c>
      <c r="H137" s="3">
        <v>0</v>
      </c>
      <c r="I137" s="3">
        <v>0</v>
      </c>
      <c r="J137" s="1" t="s">
        <v>106</v>
      </c>
      <c r="K137" s="28"/>
      <c r="L137" s="28"/>
    </row>
    <row r="138" spans="1:12" s="2" customFormat="1" ht="24.95" customHeight="1" x14ac:dyDescent="0.25">
      <c r="A138" s="31" t="s">
        <v>401</v>
      </c>
      <c r="B138" s="1" t="s">
        <v>402</v>
      </c>
      <c r="C138" s="1" t="s">
        <v>403</v>
      </c>
      <c r="D138" s="1" t="s">
        <v>8</v>
      </c>
      <c r="E138" s="3">
        <v>0</v>
      </c>
      <c r="F138" s="3">
        <v>0</v>
      </c>
      <c r="G138" s="3">
        <v>0</v>
      </c>
      <c r="H138" s="3">
        <v>0</v>
      </c>
      <c r="I138" s="3">
        <v>2708.19</v>
      </c>
      <c r="J138" s="1" t="s">
        <v>41</v>
      </c>
      <c r="K138" s="28"/>
      <c r="L138" s="28"/>
    </row>
    <row r="139" spans="1:12" s="2" customFormat="1" ht="24.95" customHeight="1" x14ac:dyDescent="0.25">
      <c r="A139" s="31" t="s">
        <v>404</v>
      </c>
      <c r="B139" s="1" t="s">
        <v>405</v>
      </c>
      <c r="C139" s="1" t="s">
        <v>406</v>
      </c>
      <c r="D139" s="1" t="s">
        <v>18</v>
      </c>
      <c r="E139" s="3">
        <v>3363.09</v>
      </c>
      <c r="F139" s="3">
        <v>290.92</v>
      </c>
      <c r="G139" s="3">
        <v>0</v>
      </c>
      <c r="H139" s="3">
        <v>4144.24</v>
      </c>
      <c r="I139" s="3">
        <v>3860.7</v>
      </c>
      <c r="J139" s="1" t="s">
        <v>19</v>
      </c>
      <c r="K139" s="28"/>
      <c r="L139" s="28"/>
    </row>
    <row r="140" spans="1:12" s="2" customFormat="1" ht="24.95" customHeight="1" x14ac:dyDescent="0.25">
      <c r="A140" s="31" t="s">
        <v>407</v>
      </c>
      <c r="B140" s="1" t="s">
        <v>408</v>
      </c>
      <c r="C140" s="1" t="s">
        <v>409</v>
      </c>
      <c r="D140" s="1" t="s">
        <v>8</v>
      </c>
      <c r="E140" s="3">
        <v>2120.4299999999998</v>
      </c>
      <c r="F140" s="3">
        <v>3761.14</v>
      </c>
      <c r="G140" s="3">
        <v>2491.48</v>
      </c>
      <c r="H140" s="3">
        <v>2993.83</v>
      </c>
      <c r="I140" s="3">
        <v>0</v>
      </c>
      <c r="J140" s="1" t="s">
        <v>19</v>
      </c>
      <c r="K140" s="28"/>
      <c r="L140" s="28"/>
    </row>
    <row r="141" spans="1:12" s="2" customFormat="1" ht="24.95" customHeight="1" x14ac:dyDescent="0.25">
      <c r="A141" s="31" t="s">
        <v>410</v>
      </c>
      <c r="B141" s="1" t="s">
        <v>411</v>
      </c>
      <c r="C141" s="1" t="s">
        <v>412</v>
      </c>
      <c r="D141" s="1" t="s">
        <v>3027</v>
      </c>
      <c r="E141" s="3">
        <v>0</v>
      </c>
      <c r="F141" s="3">
        <v>0</v>
      </c>
      <c r="G141" s="3">
        <v>0</v>
      </c>
      <c r="H141" s="3">
        <v>3382.79</v>
      </c>
      <c r="I141" s="3">
        <v>0</v>
      </c>
      <c r="J141" s="1" t="s">
        <v>41</v>
      </c>
      <c r="K141" s="28"/>
      <c r="L141" s="28"/>
    </row>
    <row r="142" spans="1:12" s="2" customFormat="1" ht="24.95" customHeight="1" x14ac:dyDescent="0.25">
      <c r="A142" s="31" t="s">
        <v>413</v>
      </c>
      <c r="B142" s="1" t="s">
        <v>414</v>
      </c>
      <c r="C142" s="1" t="s">
        <v>415</v>
      </c>
      <c r="D142" s="1" t="s">
        <v>13</v>
      </c>
      <c r="E142" s="3">
        <v>0</v>
      </c>
      <c r="F142" s="3">
        <v>0</v>
      </c>
      <c r="G142" s="3">
        <v>0</v>
      </c>
      <c r="H142" s="3">
        <v>4046.85</v>
      </c>
      <c r="I142" s="3">
        <v>2364.33</v>
      </c>
      <c r="J142" s="1" t="s">
        <v>106</v>
      </c>
      <c r="K142" s="28"/>
      <c r="L142" s="28"/>
    </row>
    <row r="143" spans="1:12" s="2" customFormat="1" ht="24.95" customHeight="1" x14ac:dyDescent="0.25">
      <c r="A143" s="31" t="s">
        <v>416</v>
      </c>
      <c r="B143" s="1" t="s">
        <v>417</v>
      </c>
      <c r="C143" s="1" t="s">
        <v>418</v>
      </c>
      <c r="D143" s="1" t="s">
        <v>18</v>
      </c>
      <c r="E143" s="3">
        <v>0</v>
      </c>
      <c r="F143" s="3">
        <v>0</v>
      </c>
      <c r="G143" s="3">
        <v>339.07</v>
      </c>
      <c r="H143" s="3">
        <v>0</v>
      </c>
      <c r="I143" s="3">
        <v>0</v>
      </c>
      <c r="J143" s="1" t="s">
        <v>4</v>
      </c>
      <c r="K143" s="28"/>
      <c r="L143" s="28"/>
    </row>
    <row r="144" spans="1:12" s="2" customFormat="1" ht="24.95" customHeight="1" x14ac:dyDescent="0.25">
      <c r="A144" s="31" t="s">
        <v>419</v>
      </c>
      <c r="B144" s="1" t="s">
        <v>420</v>
      </c>
      <c r="C144" s="1" t="s">
        <v>421</v>
      </c>
      <c r="D144" s="1" t="s">
        <v>3</v>
      </c>
      <c r="E144" s="3">
        <v>0</v>
      </c>
      <c r="F144" s="3">
        <v>623.05999999999995</v>
      </c>
      <c r="G144" s="3">
        <v>2514.63</v>
      </c>
      <c r="H144" s="3">
        <v>2244.81</v>
      </c>
      <c r="I144" s="3">
        <v>0</v>
      </c>
      <c r="J144" s="1" t="s">
        <v>79</v>
      </c>
      <c r="K144" s="28"/>
      <c r="L144" s="28"/>
    </row>
    <row r="145" spans="1:12" s="2" customFormat="1" ht="24.95" customHeight="1" x14ac:dyDescent="0.25">
      <c r="A145" s="31" t="s">
        <v>422</v>
      </c>
      <c r="B145" s="1" t="s">
        <v>423</v>
      </c>
      <c r="C145" s="1" t="s">
        <v>424</v>
      </c>
      <c r="D145" s="1" t="s">
        <v>3027</v>
      </c>
      <c r="E145" s="3">
        <v>0</v>
      </c>
      <c r="F145" s="3">
        <v>1286.26</v>
      </c>
      <c r="G145" s="3">
        <v>0</v>
      </c>
      <c r="H145" s="3">
        <v>1521.71</v>
      </c>
      <c r="I145" s="3">
        <v>0</v>
      </c>
      <c r="J145" s="1" t="s">
        <v>79</v>
      </c>
      <c r="K145" s="28"/>
      <c r="L145" s="28"/>
    </row>
    <row r="146" spans="1:12" s="2" customFormat="1" ht="24.95" customHeight="1" x14ac:dyDescent="0.25">
      <c r="A146" s="31" t="s">
        <v>425</v>
      </c>
      <c r="B146" s="1" t="s">
        <v>426</v>
      </c>
      <c r="C146" s="1" t="s">
        <v>427</v>
      </c>
      <c r="D146" s="1" t="s">
        <v>8</v>
      </c>
      <c r="E146" s="3">
        <v>0</v>
      </c>
      <c r="F146" s="3">
        <v>0</v>
      </c>
      <c r="G146" s="3">
        <v>0</v>
      </c>
      <c r="H146" s="3">
        <v>0</v>
      </c>
      <c r="I146" s="3">
        <v>10318.5</v>
      </c>
      <c r="J146" s="1" t="s">
        <v>14</v>
      </c>
      <c r="K146" s="28"/>
      <c r="L146" s="28"/>
    </row>
    <row r="147" spans="1:12" s="2" customFormat="1" ht="24.95" customHeight="1" x14ac:dyDescent="0.25">
      <c r="A147" s="31" t="s">
        <v>428</v>
      </c>
      <c r="B147" s="1" t="s">
        <v>429</v>
      </c>
      <c r="C147" s="1" t="s">
        <v>430</v>
      </c>
      <c r="D147" s="1" t="s">
        <v>23</v>
      </c>
      <c r="E147" s="3">
        <v>5189.07</v>
      </c>
      <c r="F147" s="3">
        <v>0</v>
      </c>
      <c r="G147" s="3">
        <v>2130.9899999999998</v>
      </c>
      <c r="H147" s="3">
        <v>0</v>
      </c>
      <c r="I147" s="3">
        <v>13366.84</v>
      </c>
      <c r="J147" s="1" t="s">
        <v>24</v>
      </c>
      <c r="K147" s="28"/>
      <c r="L147" s="28"/>
    </row>
    <row r="148" spans="1:12" s="2" customFormat="1" ht="24.95" customHeight="1" x14ac:dyDescent="0.25">
      <c r="A148" s="31" t="s">
        <v>431</v>
      </c>
      <c r="B148" s="1" t="s">
        <v>432</v>
      </c>
      <c r="C148" s="1" t="s">
        <v>433</v>
      </c>
      <c r="D148" s="1" t="s">
        <v>23</v>
      </c>
      <c r="E148" s="3">
        <v>0</v>
      </c>
      <c r="F148" s="3">
        <v>711.39</v>
      </c>
      <c r="G148" s="3">
        <v>0</v>
      </c>
      <c r="H148" s="3">
        <v>8589.7099999999991</v>
      </c>
      <c r="I148" s="3">
        <v>1108.1400000000001</v>
      </c>
      <c r="J148" s="1" t="s">
        <v>14</v>
      </c>
      <c r="K148" s="28"/>
      <c r="L148" s="28"/>
    </row>
    <row r="149" spans="1:12" s="2" customFormat="1" ht="24.95" customHeight="1" x14ac:dyDescent="0.25">
      <c r="A149" s="31" t="s">
        <v>434</v>
      </c>
      <c r="B149" s="1" t="s">
        <v>435</v>
      </c>
      <c r="C149" s="1" t="s">
        <v>436</v>
      </c>
      <c r="D149" s="1" t="s">
        <v>3027</v>
      </c>
      <c r="E149" s="3">
        <v>0</v>
      </c>
      <c r="F149" s="3">
        <v>0</v>
      </c>
      <c r="G149" s="3">
        <v>3604</v>
      </c>
      <c r="H149" s="3">
        <v>0</v>
      </c>
      <c r="I149" s="3">
        <v>0</v>
      </c>
      <c r="J149" s="1" t="s">
        <v>9</v>
      </c>
      <c r="K149" s="28"/>
      <c r="L149" s="28"/>
    </row>
    <row r="150" spans="1:12" s="2" customFormat="1" ht="24.95" customHeight="1" x14ac:dyDescent="0.25">
      <c r="A150" s="31" t="s">
        <v>437</v>
      </c>
      <c r="B150" s="1" t="s">
        <v>438</v>
      </c>
      <c r="C150" s="1" t="s">
        <v>439</v>
      </c>
      <c r="D150" s="1" t="s">
        <v>18</v>
      </c>
      <c r="E150" s="3">
        <v>0</v>
      </c>
      <c r="F150" s="3">
        <v>0</v>
      </c>
      <c r="G150" s="3">
        <v>0</v>
      </c>
      <c r="H150" s="3">
        <v>0</v>
      </c>
      <c r="I150" s="3">
        <v>1534.2</v>
      </c>
      <c r="J150" s="1" t="s">
        <v>9</v>
      </c>
      <c r="K150" s="28"/>
      <c r="L150" s="28"/>
    </row>
    <row r="151" spans="1:12" s="2" customFormat="1" ht="24.95" customHeight="1" x14ac:dyDescent="0.25">
      <c r="A151" s="31" t="s">
        <v>440</v>
      </c>
      <c r="B151" s="1" t="s">
        <v>441</v>
      </c>
      <c r="C151" s="1" t="s">
        <v>442</v>
      </c>
      <c r="D151" s="1" t="s">
        <v>13</v>
      </c>
      <c r="E151" s="3">
        <v>0</v>
      </c>
      <c r="F151" s="3">
        <v>0</v>
      </c>
      <c r="G151" s="3">
        <v>502.13</v>
      </c>
      <c r="H151" s="3">
        <v>11916.17</v>
      </c>
      <c r="I151" s="3">
        <v>7622.01</v>
      </c>
      <c r="J151" s="1" t="s">
        <v>48</v>
      </c>
      <c r="K151" s="28"/>
      <c r="L151" s="28"/>
    </row>
    <row r="152" spans="1:12" s="2" customFormat="1" ht="24.95" customHeight="1" x14ac:dyDescent="0.25">
      <c r="A152" s="31" t="s">
        <v>443</v>
      </c>
      <c r="B152" s="1" t="s">
        <v>444</v>
      </c>
      <c r="C152" s="1" t="s">
        <v>445</v>
      </c>
      <c r="D152" s="1" t="s">
        <v>3</v>
      </c>
      <c r="E152" s="3">
        <v>0</v>
      </c>
      <c r="F152" s="3">
        <v>2523</v>
      </c>
      <c r="G152" s="3">
        <v>861.67</v>
      </c>
      <c r="H152" s="3">
        <v>0</v>
      </c>
      <c r="I152" s="3">
        <v>9443.33</v>
      </c>
      <c r="J152" s="1" t="s">
        <v>37</v>
      </c>
      <c r="K152" s="28"/>
      <c r="L152" s="28"/>
    </row>
    <row r="153" spans="1:12" s="2" customFormat="1" ht="24.95" customHeight="1" x14ac:dyDescent="0.25">
      <c r="A153" s="31" t="s">
        <v>446</v>
      </c>
      <c r="B153" s="1" t="s">
        <v>447</v>
      </c>
      <c r="C153" s="1" t="s">
        <v>448</v>
      </c>
      <c r="D153" s="1" t="s">
        <v>23</v>
      </c>
      <c r="E153" s="3">
        <v>5263.97</v>
      </c>
      <c r="F153" s="3">
        <v>0</v>
      </c>
      <c r="G153" s="3">
        <v>0</v>
      </c>
      <c r="H153" s="3">
        <v>2997.95</v>
      </c>
      <c r="I153" s="3">
        <v>4195.5600000000004</v>
      </c>
      <c r="J153" s="1" t="s">
        <v>14</v>
      </c>
      <c r="K153" s="28"/>
      <c r="L153" s="28"/>
    </row>
    <row r="154" spans="1:12" s="2" customFormat="1" ht="24.95" customHeight="1" x14ac:dyDescent="0.25">
      <c r="A154" s="31" t="s">
        <v>449</v>
      </c>
      <c r="B154" s="1" t="s">
        <v>450</v>
      </c>
      <c r="C154" s="1" t="s">
        <v>451</v>
      </c>
      <c r="D154" s="1" t="s">
        <v>3027</v>
      </c>
      <c r="E154" s="3">
        <v>1401.63</v>
      </c>
      <c r="F154" s="3">
        <v>2875.09</v>
      </c>
      <c r="G154" s="3">
        <v>678.59</v>
      </c>
      <c r="H154" s="3">
        <v>10217.19</v>
      </c>
      <c r="I154" s="3">
        <v>0</v>
      </c>
      <c r="J154" s="1" t="s">
        <v>14</v>
      </c>
      <c r="K154" s="28"/>
      <c r="L154" s="28"/>
    </row>
    <row r="155" spans="1:12" s="2" customFormat="1" ht="24.95" customHeight="1" x14ac:dyDescent="0.25">
      <c r="A155" s="31" t="s">
        <v>452</v>
      </c>
      <c r="B155" s="1" t="s">
        <v>453</v>
      </c>
      <c r="C155" s="1" t="s">
        <v>454</v>
      </c>
      <c r="D155" s="1" t="s">
        <v>3</v>
      </c>
      <c r="E155" s="3">
        <v>419.1</v>
      </c>
      <c r="F155" s="3">
        <v>0</v>
      </c>
      <c r="G155" s="3">
        <v>0</v>
      </c>
      <c r="H155" s="3">
        <v>8006.1</v>
      </c>
      <c r="I155" s="3">
        <v>6142.57</v>
      </c>
      <c r="J155" s="1" t="s">
        <v>48</v>
      </c>
      <c r="K155" s="28"/>
      <c r="L155" s="28"/>
    </row>
    <row r="156" spans="1:12" s="2" customFormat="1" ht="24.95" customHeight="1" x14ac:dyDescent="0.25">
      <c r="A156" s="31" t="s">
        <v>455</v>
      </c>
      <c r="B156" s="1" t="s">
        <v>456</v>
      </c>
      <c r="C156" s="1" t="s">
        <v>457</v>
      </c>
      <c r="D156" s="1" t="s">
        <v>3</v>
      </c>
      <c r="E156" s="3">
        <v>0</v>
      </c>
      <c r="F156" s="3">
        <v>0</v>
      </c>
      <c r="G156" s="3">
        <v>1347.77</v>
      </c>
      <c r="H156" s="3">
        <v>5542.34</v>
      </c>
      <c r="I156" s="3">
        <v>0</v>
      </c>
      <c r="J156" s="1" t="s">
        <v>4</v>
      </c>
      <c r="K156" s="28"/>
      <c r="L156" s="28"/>
    </row>
    <row r="157" spans="1:12" s="2" customFormat="1" ht="24.95" customHeight="1" x14ac:dyDescent="0.25">
      <c r="A157" s="31" t="s">
        <v>458</v>
      </c>
      <c r="B157" s="1" t="s">
        <v>459</v>
      </c>
      <c r="C157" s="1" t="s">
        <v>460</v>
      </c>
      <c r="D157" s="1" t="s">
        <v>8</v>
      </c>
      <c r="E157" s="3">
        <v>7126.66</v>
      </c>
      <c r="F157" s="3">
        <v>0</v>
      </c>
      <c r="G157" s="3">
        <v>0</v>
      </c>
      <c r="H157" s="3">
        <v>4745.38</v>
      </c>
      <c r="I157" s="3">
        <v>823.28</v>
      </c>
      <c r="J157" s="1" t="s">
        <v>9</v>
      </c>
      <c r="K157" s="28"/>
      <c r="L157" s="28"/>
    </row>
    <row r="158" spans="1:12" s="2" customFormat="1" ht="24.95" customHeight="1" x14ac:dyDescent="0.25">
      <c r="A158" s="31" t="s">
        <v>461</v>
      </c>
      <c r="B158" s="1" t="s">
        <v>462</v>
      </c>
      <c r="C158" s="1" t="s">
        <v>463</v>
      </c>
      <c r="D158" s="1" t="s">
        <v>3027</v>
      </c>
      <c r="E158" s="3">
        <v>0</v>
      </c>
      <c r="F158" s="3">
        <v>0</v>
      </c>
      <c r="G158" s="3">
        <v>1393.07</v>
      </c>
      <c r="H158" s="3">
        <v>0</v>
      </c>
      <c r="I158" s="3">
        <v>0</v>
      </c>
      <c r="J158" s="1" t="s">
        <v>24</v>
      </c>
      <c r="K158" s="28"/>
      <c r="L158" s="28"/>
    </row>
    <row r="159" spans="1:12" s="2" customFormat="1" ht="24.95" customHeight="1" x14ac:dyDescent="0.25">
      <c r="A159" s="31" t="s">
        <v>464</v>
      </c>
      <c r="B159" s="1" t="s">
        <v>465</v>
      </c>
      <c r="C159" s="1" t="s">
        <v>466</v>
      </c>
      <c r="D159" s="1" t="s">
        <v>3027</v>
      </c>
      <c r="E159" s="3">
        <v>2460.0300000000002</v>
      </c>
      <c r="F159" s="3">
        <v>847.63</v>
      </c>
      <c r="G159" s="3">
        <v>0</v>
      </c>
      <c r="H159" s="3">
        <v>0</v>
      </c>
      <c r="I159" s="3">
        <v>0</v>
      </c>
      <c r="J159" s="1" t="s">
        <v>41</v>
      </c>
      <c r="K159" s="28"/>
      <c r="L159" s="28"/>
    </row>
    <row r="160" spans="1:12" s="2" customFormat="1" ht="24.95" customHeight="1" x14ac:dyDescent="0.25">
      <c r="A160" s="31" t="s">
        <v>467</v>
      </c>
      <c r="B160" s="1" t="s">
        <v>468</v>
      </c>
      <c r="C160" s="1" t="s">
        <v>469</v>
      </c>
      <c r="D160" s="1" t="s">
        <v>13</v>
      </c>
      <c r="E160" s="3">
        <v>3574.38</v>
      </c>
      <c r="F160" s="3">
        <v>0</v>
      </c>
      <c r="G160" s="3">
        <v>0</v>
      </c>
      <c r="H160" s="3">
        <v>0</v>
      </c>
      <c r="I160" s="3">
        <v>1247</v>
      </c>
      <c r="J160" s="1" t="s">
        <v>4</v>
      </c>
      <c r="K160" s="28"/>
      <c r="L160" s="28"/>
    </row>
    <row r="161" spans="1:12" s="2" customFormat="1" ht="24.95" customHeight="1" x14ac:dyDescent="0.25">
      <c r="A161" s="31" t="s">
        <v>470</v>
      </c>
      <c r="B161" s="1" t="s">
        <v>471</v>
      </c>
      <c r="C161" s="1" t="s">
        <v>472</v>
      </c>
      <c r="D161" s="1" t="s">
        <v>3027</v>
      </c>
      <c r="E161" s="3">
        <v>0</v>
      </c>
      <c r="F161" s="3">
        <v>0</v>
      </c>
      <c r="G161" s="3">
        <v>2629.95</v>
      </c>
      <c r="H161" s="3">
        <v>0</v>
      </c>
      <c r="I161" s="3">
        <v>8595.64</v>
      </c>
      <c r="J161" s="1" t="s">
        <v>4</v>
      </c>
      <c r="K161" s="28"/>
      <c r="L161" s="28"/>
    </row>
    <row r="162" spans="1:12" s="2" customFormat="1" ht="24.95" customHeight="1" x14ac:dyDescent="0.25">
      <c r="A162" s="31" t="s">
        <v>473</v>
      </c>
      <c r="B162" s="1" t="s">
        <v>474</v>
      </c>
      <c r="C162" s="1" t="s">
        <v>475</v>
      </c>
      <c r="D162" s="1" t="s">
        <v>3027</v>
      </c>
      <c r="E162" s="3">
        <v>0</v>
      </c>
      <c r="F162" s="3">
        <v>0</v>
      </c>
      <c r="G162" s="3">
        <v>707.07</v>
      </c>
      <c r="H162" s="3">
        <v>3253.53</v>
      </c>
      <c r="I162" s="3">
        <v>7871.2</v>
      </c>
      <c r="J162" s="1" t="s">
        <v>19</v>
      </c>
      <c r="K162" s="28"/>
      <c r="L162" s="28"/>
    </row>
    <row r="163" spans="1:12" s="2" customFormat="1" ht="24.95" customHeight="1" x14ac:dyDescent="0.25">
      <c r="A163" s="31" t="s">
        <v>476</v>
      </c>
      <c r="B163" s="1" t="s">
        <v>477</v>
      </c>
      <c r="C163" s="1" t="s">
        <v>478</v>
      </c>
      <c r="D163" s="1" t="s">
        <v>8</v>
      </c>
      <c r="E163" s="3">
        <v>0</v>
      </c>
      <c r="F163" s="3">
        <v>0</v>
      </c>
      <c r="G163" s="3">
        <v>389.97</v>
      </c>
      <c r="H163" s="3">
        <v>10949.18</v>
      </c>
      <c r="I163" s="3">
        <v>0</v>
      </c>
      <c r="J163" s="1" t="s">
        <v>86</v>
      </c>
      <c r="K163" s="28"/>
      <c r="L163" s="28"/>
    </row>
    <row r="164" spans="1:12" s="2" customFormat="1" ht="24.95" customHeight="1" x14ac:dyDescent="0.25">
      <c r="A164" s="31" t="s">
        <v>479</v>
      </c>
      <c r="B164" s="1" t="s">
        <v>480</v>
      </c>
      <c r="C164" s="1" t="s">
        <v>481</v>
      </c>
      <c r="D164" s="1" t="s">
        <v>3</v>
      </c>
      <c r="E164" s="3">
        <v>0</v>
      </c>
      <c r="F164" s="3">
        <v>3690.39</v>
      </c>
      <c r="G164" s="3">
        <v>483.37</v>
      </c>
      <c r="H164" s="3">
        <v>10833.81</v>
      </c>
      <c r="I164" s="3">
        <v>0</v>
      </c>
      <c r="J164" s="1" t="s">
        <v>19</v>
      </c>
      <c r="K164" s="28"/>
      <c r="L164" s="28"/>
    </row>
    <row r="165" spans="1:12" s="2" customFormat="1" ht="24.95" customHeight="1" x14ac:dyDescent="0.25">
      <c r="A165" s="31" t="s">
        <v>482</v>
      </c>
      <c r="B165" s="1" t="s">
        <v>483</v>
      </c>
      <c r="C165" s="1" t="s">
        <v>484</v>
      </c>
      <c r="D165" s="1" t="s">
        <v>3027</v>
      </c>
      <c r="E165" s="3">
        <v>0</v>
      </c>
      <c r="F165" s="3">
        <v>0</v>
      </c>
      <c r="G165" s="3">
        <v>1213.55</v>
      </c>
      <c r="H165" s="3">
        <v>7067.4</v>
      </c>
      <c r="I165" s="3">
        <v>12451.89</v>
      </c>
      <c r="J165" s="1" t="s">
        <v>19</v>
      </c>
      <c r="K165" s="28"/>
      <c r="L165" s="28"/>
    </row>
    <row r="166" spans="1:12" s="2" customFormat="1" ht="24.95" customHeight="1" x14ac:dyDescent="0.25">
      <c r="A166" s="31" t="s">
        <v>485</v>
      </c>
      <c r="B166" s="1" t="s">
        <v>486</v>
      </c>
      <c r="C166" s="1" t="s">
        <v>487</v>
      </c>
      <c r="D166" s="1" t="s">
        <v>3027</v>
      </c>
      <c r="E166" s="3">
        <v>0</v>
      </c>
      <c r="F166" s="3">
        <v>567.12</v>
      </c>
      <c r="G166" s="3">
        <v>0</v>
      </c>
      <c r="H166" s="3">
        <v>11144.12</v>
      </c>
      <c r="I166" s="3">
        <v>0</v>
      </c>
      <c r="J166" s="1" t="s">
        <v>4</v>
      </c>
      <c r="K166" s="28"/>
      <c r="L166" s="28"/>
    </row>
    <row r="167" spans="1:12" s="2" customFormat="1" ht="24.95" customHeight="1" x14ac:dyDescent="0.25">
      <c r="A167" s="31" t="s">
        <v>488</v>
      </c>
      <c r="B167" s="1" t="s">
        <v>489</v>
      </c>
      <c r="C167" s="1" t="s">
        <v>490</v>
      </c>
      <c r="D167" s="1" t="s">
        <v>13</v>
      </c>
      <c r="E167" s="3">
        <v>0</v>
      </c>
      <c r="F167" s="3">
        <v>0</v>
      </c>
      <c r="G167" s="3">
        <v>1558.38</v>
      </c>
      <c r="H167" s="3">
        <v>11507.59</v>
      </c>
      <c r="I167" s="3">
        <v>0</v>
      </c>
      <c r="J167" s="1" t="s">
        <v>24</v>
      </c>
      <c r="K167" s="28"/>
      <c r="L167" s="28"/>
    </row>
    <row r="168" spans="1:12" s="2" customFormat="1" ht="24.95" customHeight="1" x14ac:dyDescent="0.25">
      <c r="A168" s="31" t="s">
        <v>491</v>
      </c>
      <c r="B168" s="1" t="s">
        <v>492</v>
      </c>
      <c r="C168" s="1" t="s">
        <v>493</v>
      </c>
      <c r="D168" s="1" t="s">
        <v>3</v>
      </c>
      <c r="E168" s="3">
        <v>1397.66</v>
      </c>
      <c r="F168" s="3">
        <v>3578.33</v>
      </c>
      <c r="G168" s="3">
        <v>1421.03</v>
      </c>
      <c r="H168" s="3">
        <v>7223.86</v>
      </c>
      <c r="I168" s="3">
        <v>6952.61</v>
      </c>
      <c r="J168" s="1" t="s">
        <v>41</v>
      </c>
      <c r="K168" s="28"/>
      <c r="L168" s="28"/>
    </row>
    <row r="169" spans="1:12" s="2" customFormat="1" ht="24.95" customHeight="1" x14ac:dyDescent="0.25">
      <c r="A169" s="31" t="s">
        <v>494</v>
      </c>
      <c r="B169" s="1" t="s">
        <v>495</v>
      </c>
      <c r="C169" s="1" t="s">
        <v>496</v>
      </c>
      <c r="D169" s="1" t="s">
        <v>23</v>
      </c>
      <c r="E169" s="3">
        <v>7304.12</v>
      </c>
      <c r="F169" s="3">
        <v>0</v>
      </c>
      <c r="G169" s="3">
        <v>780.11</v>
      </c>
      <c r="H169" s="3">
        <v>3652.97</v>
      </c>
      <c r="I169" s="3">
        <v>0</v>
      </c>
      <c r="J169" s="1" t="s">
        <v>86</v>
      </c>
      <c r="K169" s="28"/>
      <c r="L169" s="28"/>
    </row>
    <row r="170" spans="1:12" s="2" customFormat="1" ht="24.95" customHeight="1" x14ac:dyDescent="0.25">
      <c r="A170" s="31" t="s">
        <v>497</v>
      </c>
      <c r="B170" s="1" t="s">
        <v>498</v>
      </c>
      <c r="C170" s="1" t="s">
        <v>499</v>
      </c>
      <c r="D170" s="1" t="s">
        <v>18</v>
      </c>
      <c r="E170" s="3">
        <v>2096.0100000000002</v>
      </c>
      <c r="F170" s="3">
        <v>3812.47</v>
      </c>
      <c r="G170" s="3">
        <v>1817.09</v>
      </c>
      <c r="H170" s="3">
        <v>0</v>
      </c>
      <c r="I170" s="3">
        <v>0</v>
      </c>
      <c r="J170" s="1" t="s">
        <v>86</v>
      </c>
      <c r="K170" s="28"/>
      <c r="L170" s="28"/>
    </row>
    <row r="171" spans="1:12" s="2" customFormat="1" ht="24.95" customHeight="1" x14ac:dyDescent="0.25">
      <c r="A171" s="31" t="s">
        <v>500</v>
      </c>
      <c r="B171" s="1" t="s">
        <v>501</v>
      </c>
      <c r="C171" s="1" t="s">
        <v>502</v>
      </c>
      <c r="D171" s="1" t="s">
        <v>23</v>
      </c>
      <c r="E171" s="3">
        <v>6579.33</v>
      </c>
      <c r="F171" s="3">
        <v>0</v>
      </c>
      <c r="G171" s="3">
        <v>0</v>
      </c>
      <c r="H171" s="3">
        <v>1173.8900000000001</v>
      </c>
      <c r="I171" s="3">
        <v>13215.69</v>
      </c>
      <c r="J171" s="1" t="s">
        <v>19</v>
      </c>
      <c r="K171" s="28"/>
      <c r="L171" s="28"/>
    </row>
    <row r="172" spans="1:12" s="2" customFormat="1" ht="24.95" customHeight="1" x14ac:dyDescent="0.25">
      <c r="A172" s="31" t="s">
        <v>503</v>
      </c>
      <c r="B172" s="1" t="s">
        <v>504</v>
      </c>
      <c r="C172" s="1" t="s">
        <v>505</v>
      </c>
      <c r="D172" s="1" t="s">
        <v>23</v>
      </c>
      <c r="E172" s="3">
        <v>0</v>
      </c>
      <c r="F172" s="3">
        <v>4195.05</v>
      </c>
      <c r="G172" s="3">
        <v>1446.91</v>
      </c>
      <c r="H172" s="3">
        <v>0</v>
      </c>
      <c r="I172" s="3">
        <v>0</v>
      </c>
      <c r="J172" s="1" t="s">
        <v>48</v>
      </c>
      <c r="K172" s="28"/>
      <c r="L172" s="28"/>
    </row>
    <row r="173" spans="1:12" s="2" customFormat="1" ht="24.95" customHeight="1" x14ac:dyDescent="0.25">
      <c r="A173" s="31" t="s">
        <v>506</v>
      </c>
      <c r="B173" s="1" t="s">
        <v>507</v>
      </c>
      <c r="C173" s="1" t="s">
        <v>508</v>
      </c>
      <c r="D173" s="1" t="s">
        <v>13</v>
      </c>
      <c r="E173" s="3">
        <v>4832.1400000000003</v>
      </c>
      <c r="F173" s="3">
        <v>0</v>
      </c>
      <c r="G173" s="3">
        <v>428.97</v>
      </c>
      <c r="H173" s="3">
        <v>8479.07</v>
      </c>
      <c r="I173" s="3">
        <v>5136.75</v>
      </c>
      <c r="J173" s="1" t="s">
        <v>79</v>
      </c>
      <c r="K173" s="28"/>
      <c r="L173" s="28"/>
    </row>
    <row r="174" spans="1:12" s="2" customFormat="1" ht="24.95" customHeight="1" x14ac:dyDescent="0.25">
      <c r="A174" s="31" t="s">
        <v>509</v>
      </c>
      <c r="B174" s="1" t="s">
        <v>510</v>
      </c>
      <c r="C174" s="1" t="s">
        <v>511</v>
      </c>
      <c r="D174" s="1" t="s">
        <v>3</v>
      </c>
      <c r="E174" s="3">
        <v>2792.82</v>
      </c>
      <c r="F174" s="3">
        <v>0</v>
      </c>
      <c r="G174" s="3">
        <v>0</v>
      </c>
      <c r="H174" s="3">
        <v>0</v>
      </c>
      <c r="I174" s="3">
        <v>0</v>
      </c>
      <c r="J174" s="1" t="s">
        <v>24</v>
      </c>
      <c r="K174" s="28"/>
      <c r="L174" s="28"/>
    </row>
    <row r="175" spans="1:12" s="2" customFormat="1" ht="24.95" customHeight="1" x14ac:dyDescent="0.25">
      <c r="A175" s="31" t="s">
        <v>512</v>
      </c>
      <c r="B175" s="1" t="s">
        <v>513</v>
      </c>
      <c r="C175" s="1" t="s">
        <v>514</v>
      </c>
      <c r="D175" s="1" t="s">
        <v>8</v>
      </c>
      <c r="E175" s="3">
        <v>0</v>
      </c>
      <c r="F175" s="3">
        <v>678.61</v>
      </c>
      <c r="G175" s="3">
        <v>1099.99</v>
      </c>
      <c r="H175" s="3">
        <v>0</v>
      </c>
      <c r="I175" s="3">
        <v>6835.01</v>
      </c>
      <c r="J175" s="1" t="s">
        <v>79</v>
      </c>
      <c r="K175" s="28"/>
      <c r="L175" s="28"/>
    </row>
    <row r="176" spans="1:12" s="2" customFormat="1" ht="24.95" customHeight="1" x14ac:dyDescent="0.25">
      <c r="A176" s="31" t="s">
        <v>515</v>
      </c>
      <c r="B176" s="1" t="s">
        <v>516</v>
      </c>
      <c r="C176" s="1" t="s">
        <v>517</v>
      </c>
      <c r="D176" s="1" t="s">
        <v>23</v>
      </c>
      <c r="E176" s="3">
        <v>3312.6</v>
      </c>
      <c r="F176" s="3">
        <v>3146.18</v>
      </c>
      <c r="G176" s="3">
        <v>2137.5100000000002</v>
      </c>
      <c r="H176" s="3">
        <v>1446.3</v>
      </c>
      <c r="I176" s="3">
        <v>0</v>
      </c>
      <c r="J176" s="1" t="s">
        <v>106</v>
      </c>
      <c r="K176" s="28"/>
      <c r="L176" s="28"/>
    </row>
    <row r="177" spans="1:12" s="2" customFormat="1" ht="24.95" customHeight="1" x14ac:dyDescent="0.25">
      <c r="A177" s="31" t="s">
        <v>518</v>
      </c>
      <c r="B177" s="1" t="s">
        <v>519</v>
      </c>
      <c r="C177" s="1" t="s">
        <v>520</v>
      </c>
      <c r="D177" s="1" t="s">
        <v>23</v>
      </c>
      <c r="E177" s="3">
        <v>4600.3</v>
      </c>
      <c r="F177" s="3">
        <v>0</v>
      </c>
      <c r="G177" s="3">
        <v>0</v>
      </c>
      <c r="H177" s="3">
        <v>0</v>
      </c>
      <c r="I177" s="3">
        <v>3499.63</v>
      </c>
      <c r="J177" s="1" t="s">
        <v>24</v>
      </c>
      <c r="K177" s="28"/>
      <c r="L177" s="28"/>
    </row>
    <row r="178" spans="1:12" s="2" customFormat="1" ht="24.95" customHeight="1" x14ac:dyDescent="0.25">
      <c r="A178" s="31" t="s">
        <v>521</v>
      </c>
      <c r="B178" s="1" t="s">
        <v>522</v>
      </c>
      <c r="C178" s="1" t="s">
        <v>523</v>
      </c>
      <c r="D178" s="1" t="s">
        <v>18</v>
      </c>
      <c r="E178" s="3">
        <v>0</v>
      </c>
      <c r="F178" s="3">
        <v>2728.47</v>
      </c>
      <c r="G178" s="3">
        <v>1423.96</v>
      </c>
      <c r="H178" s="3">
        <v>0</v>
      </c>
      <c r="I178" s="3">
        <v>6517.19</v>
      </c>
      <c r="J178" s="1" t="s">
        <v>93</v>
      </c>
      <c r="K178" s="28"/>
      <c r="L178" s="28"/>
    </row>
    <row r="179" spans="1:12" s="2" customFormat="1" ht="24.95" customHeight="1" x14ac:dyDescent="0.25">
      <c r="A179" s="31" t="s">
        <v>524</v>
      </c>
      <c r="B179" s="1" t="s">
        <v>525</v>
      </c>
      <c r="C179" s="1" t="s">
        <v>526</v>
      </c>
      <c r="D179" s="1" t="s">
        <v>3</v>
      </c>
      <c r="E179" s="3">
        <v>0</v>
      </c>
      <c r="F179" s="3">
        <v>1013.73</v>
      </c>
      <c r="G179" s="3">
        <v>0</v>
      </c>
      <c r="H179" s="3">
        <v>9968.9500000000007</v>
      </c>
      <c r="I179" s="3">
        <v>1313.29</v>
      </c>
      <c r="J179" s="1" t="s">
        <v>106</v>
      </c>
      <c r="K179" s="28"/>
      <c r="L179" s="28"/>
    </row>
    <row r="180" spans="1:12" s="2" customFormat="1" ht="24.95" customHeight="1" x14ac:dyDescent="0.25">
      <c r="A180" s="31" t="s">
        <v>527</v>
      </c>
      <c r="B180" s="1" t="s">
        <v>528</v>
      </c>
      <c r="C180" s="1" t="s">
        <v>529</v>
      </c>
      <c r="D180" s="1" t="s">
        <v>18</v>
      </c>
      <c r="E180" s="3">
        <v>0</v>
      </c>
      <c r="F180" s="3">
        <v>438.99</v>
      </c>
      <c r="G180" s="3">
        <v>933.44</v>
      </c>
      <c r="H180" s="3">
        <v>0</v>
      </c>
      <c r="I180" s="3">
        <v>0</v>
      </c>
      <c r="J180" s="1" t="s">
        <v>79</v>
      </c>
      <c r="K180" s="28"/>
      <c r="L180" s="28"/>
    </row>
    <row r="181" spans="1:12" s="2" customFormat="1" ht="24.95" customHeight="1" x14ac:dyDescent="0.25">
      <c r="A181" s="31" t="s">
        <v>530</v>
      </c>
      <c r="B181" s="1" t="s">
        <v>531</v>
      </c>
      <c r="C181" s="1" t="s">
        <v>532</v>
      </c>
      <c r="D181" s="1" t="s">
        <v>3027</v>
      </c>
      <c r="E181" s="3">
        <v>7340.12</v>
      </c>
      <c r="F181" s="3">
        <v>2156.34</v>
      </c>
      <c r="G181" s="3">
        <v>1963.78</v>
      </c>
      <c r="H181" s="3">
        <v>0</v>
      </c>
      <c r="I181" s="3">
        <v>10551.98</v>
      </c>
      <c r="J181" s="1" t="s">
        <v>9</v>
      </c>
      <c r="K181" s="28"/>
      <c r="L181" s="28"/>
    </row>
    <row r="182" spans="1:12" s="2" customFormat="1" ht="24.95" customHeight="1" x14ac:dyDescent="0.25">
      <c r="A182" s="31" t="s">
        <v>533</v>
      </c>
      <c r="B182" s="1" t="s">
        <v>534</v>
      </c>
      <c r="C182" s="1" t="s">
        <v>535</v>
      </c>
      <c r="D182" s="1" t="s">
        <v>3027</v>
      </c>
      <c r="E182" s="3">
        <v>1385.36</v>
      </c>
      <c r="F182" s="3">
        <v>2282.9899999999998</v>
      </c>
      <c r="G182" s="3">
        <v>0</v>
      </c>
      <c r="H182" s="3">
        <v>0</v>
      </c>
      <c r="I182" s="3">
        <v>0</v>
      </c>
      <c r="J182" s="1" t="s">
        <v>48</v>
      </c>
      <c r="K182" s="28"/>
      <c r="L182" s="28"/>
    </row>
    <row r="183" spans="1:12" s="2" customFormat="1" ht="24.95" customHeight="1" x14ac:dyDescent="0.25">
      <c r="A183" s="31" t="s">
        <v>536</v>
      </c>
      <c r="B183" s="1" t="s">
        <v>537</v>
      </c>
      <c r="C183" s="1" t="s">
        <v>538</v>
      </c>
      <c r="D183" s="1" t="s">
        <v>8</v>
      </c>
      <c r="E183" s="3">
        <v>2529.19</v>
      </c>
      <c r="F183" s="3">
        <v>0</v>
      </c>
      <c r="G183" s="3">
        <v>0</v>
      </c>
      <c r="H183" s="3">
        <v>0</v>
      </c>
      <c r="I183" s="3">
        <v>0</v>
      </c>
      <c r="J183" s="1" t="s">
        <v>19</v>
      </c>
      <c r="K183" s="28"/>
      <c r="L183" s="28"/>
    </row>
    <row r="184" spans="1:12" s="2" customFormat="1" ht="24.95" customHeight="1" x14ac:dyDescent="0.25">
      <c r="A184" s="31" t="s">
        <v>539</v>
      </c>
      <c r="B184" s="1" t="s">
        <v>540</v>
      </c>
      <c r="C184" s="1" t="s">
        <v>541</v>
      </c>
      <c r="D184" s="1" t="s">
        <v>18</v>
      </c>
      <c r="E184" s="3">
        <v>0</v>
      </c>
      <c r="F184" s="3">
        <v>0</v>
      </c>
      <c r="G184" s="3">
        <v>1478.95</v>
      </c>
      <c r="H184" s="3">
        <v>2946.81</v>
      </c>
      <c r="I184" s="3">
        <v>0</v>
      </c>
      <c r="J184" s="1" t="s">
        <v>14</v>
      </c>
      <c r="K184" s="28"/>
      <c r="L184" s="28"/>
    </row>
    <row r="185" spans="1:12" s="2" customFormat="1" ht="24.95" customHeight="1" x14ac:dyDescent="0.25">
      <c r="A185" s="31" t="s">
        <v>542</v>
      </c>
      <c r="B185" s="1" t="s">
        <v>543</v>
      </c>
      <c r="C185" s="1" t="s">
        <v>544</v>
      </c>
      <c r="D185" s="1" t="s">
        <v>23</v>
      </c>
      <c r="E185" s="3">
        <v>1681.99</v>
      </c>
      <c r="F185" s="3">
        <v>3064.43</v>
      </c>
      <c r="G185" s="3">
        <v>2136.69</v>
      </c>
      <c r="H185" s="3">
        <v>0</v>
      </c>
      <c r="I185" s="3">
        <v>0</v>
      </c>
      <c r="J185" s="1" t="s">
        <v>93</v>
      </c>
      <c r="K185" s="28"/>
      <c r="L185" s="28"/>
    </row>
    <row r="186" spans="1:12" s="2" customFormat="1" ht="24.95" customHeight="1" x14ac:dyDescent="0.25">
      <c r="A186" s="31" t="s">
        <v>545</v>
      </c>
      <c r="B186" s="1" t="s">
        <v>546</v>
      </c>
      <c r="C186" s="1" t="s">
        <v>547</v>
      </c>
      <c r="D186" s="1" t="s">
        <v>23</v>
      </c>
      <c r="E186" s="3">
        <v>0</v>
      </c>
      <c r="F186" s="3">
        <v>1988.3</v>
      </c>
      <c r="G186" s="3">
        <v>0</v>
      </c>
      <c r="H186" s="3">
        <v>2473.6799999999998</v>
      </c>
      <c r="I186" s="3">
        <v>11940.7</v>
      </c>
      <c r="J186" s="1" t="s">
        <v>41</v>
      </c>
      <c r="K186" s="28"/>
      <c r="L186" s="28"/>
    </row>
    <row r="187" spans="1:12" s="2" customFormat="1" ht="24.95" customHeight="1" x14ac:dyDescent="0.25">
      <c r="A187" s="31" t="s">
        <v>548</v>
      </c>
      <c r="B187" s="1" t="s">
        <v>549</v>
      </c>
      <c r="C187" s="1" t="s">
        <v>550</v>
      </c>
      <c r="D187" s="1" t="s">
        <v>3027</v>
      </c>
      <c r="E187" s="3">
        <v>2301.15</v>
      </c>
      <c r="F187" s="3">
        <v>568.19000000000005</v>
      </c>
      <c r="G187" s="3">
        <v>428.18</v>
      </c>
      <c r="H187" s="3">
        <v>0</v>
      </c>
      <c r="I187" s="3">
        <v>5047.6099999999997</v>
      </c>
      <c r="J187" s="1" t="s">
        <v>14</v>
      </c>
      <c r="K187" s="28"/>
      <c r="L187" s="28"/>
    </row>
    <row r="188" spans="1:12" s="2" customFormat="1" ht="24.95" customHeight="1" x14ac:dyDescent="0.25">
      <c r="A188" s="31" t="s">
        <v>551</v>
      </c>
      <c r="B188" s="1" t="s">
        <v>552</v>
      </c>
      <c r="C188" s="1" t="s">
        <v>553</v>
      </c>
      <c r="D188" s="1" t="s">
        <v>23</v>
      </c>
      <c r="E188" s="3">
        <v>2844.14</v>
      </c>
      <c r="F188" s="3">
        <v>3835.26</v>
      </c>
      <c r="G188" s="3">
        <v>847.68</v>
      </c>
      <c r="H188" s="3">
        <v>0</v>
      </c>
      <c r="I188" s="3">
        <v>0</v>
      </c>
      <c r="J188" s="1" t="s">
        <v>86</v>
      </c>
      <c r="K188" s="28"/>
      <c r="L188" s="28"/>
    </row>
    <row r="189" spans="1:12" s="2" customFormat="1" ht="24.95" customHeight="1" x14ac:dyDescent="0.25">
      <c r="A189" s="31" t="s">
        <v>554</v>
      </c>
      <c r="B189" s="1" t="s">
        <v>555</v>
      </c>
      <c r="C189" s="1" t="s">
        <v>556</v>
      </c>
      <c r="D189" s="1" t="s">
        <v>18</v>
      </c>
      <c r="E189" s="3">
        <v>0</v>
      </c>
      <c r="F189" s="3">
        <v>3691.56</v>
      </c>
      <c r="G189" s="3">
        <v>165.47</v>
      </c>
      <c r="H189" s="3">
        <v>3168.97</v>
      </c>
      <c r="I189" s="3">
        <v>0</v>
      </c>
      <c r="J189" s="1" t="s">
        <v>4</v>
      </c>
      <c r="K189" s="28"/>
      <c r="L189" s="28"/>
    </row>
    <row r="190" spans="1:12" s="2" customFormat="1" ht="24.95" customHeight="1" x14ac:dyDescent="0.25">
      <c r="A190" s="31" t="s">
        <v>557</v>
      </c>
      <c r="B190" s="1" t="s">
        <v>558</v>
      </c>
      <c r="C190" s="1" t="s">
        <v>559</v>
      </c>
      <c r="D190" s="1" t="s">
        <v>8</v>
      </c>
      <c r="E190" s="3">
        <v>1850.4</v>
      </c>
      <c r="F190" s="3">
        <v>2874.51</v>
      </c>
      <c r="G190" s="3">
        <v>2516.0300000000002</v>
      </c>
      <c r="H190" s="3">
        <v>0</v>
      </c>
      <c r="I190" s="3">
        <v>0</v>
      </c>
      <c r="J190" s="1" t="s">
        <v>79</v>
      </c>
      <c r="K190" s="28"/>
      <c r="L190" s="28"/>
    </row>
    <row r="191" spans="1:12" s="2" customFormat="1" ht="24.95" customHeight="1" x14ac:dyDescent="0.25">
      <c r="A191" s="31" t="s">
        <v>560</v>
      </c>
      <c r="B191" s="1" t="s">
        <v>561</v>
      </c>
      <c r="C191" s="1" t="s">
        <v>562</v>
      </c>
      <c r="D191" s="1" t="s">
        <v>18</v>
      </c>
      <c r="E191" s="3">
        <v>4525.55</v>
      </c>
      <c r="F191" s="3">
        <v>4555.3</v>
      </c>
      <c r="G191" s="3">
        <v>2217.0500000000002</v>
      </c>
      <c r="H191" s="3">
        <v>0</v>
      </c>
      <c r="I191" s="3">
        <v>0</v>
      </c>
      <c r="J191" s="1" t="s">
        <v>86</v>
      </c>
      <c r="K191" s="28"/>
      <c r="L191" s="28"/>
    </row>
    <row r="192" spans="1:12" s="2" customFormat="1" ht="24.95" customHeight="1" x14ac:dyDescent="0.25">
      <c r="A192" s="31" t="s">
        <v>563</v>
      </c>
      <c r="B192" s="1" t="s">
        <v>564</v>
      </c>
      <c r="C192" s="1" t="s">
        <v>565</v>
      </c>
      <c r="D192" s="1" t="s">
        <v>13</v>
      </c>
      <c r="E192" s="3">
        <v>0</v>
      </c>
      <c r="F192" s="3">
        <v>0</v>
      </c>
      <c r="G192" s="3">
        <v>0</v>
      </c>
      <c r="H192" s="3">
        <v>0</v>
      </c>
      <c r="I192" s="3">
        <v>1858.55</v>
      </c>
      <c r="J192" s="1" t="s">
        <v>41</v>
      </c>
      <c r="K192" s="28"/>
      <c r="L192" s="28"/>
    </row>
    <row r="193" spans="1:12" s="2" customFormat="1" ht="24.95" customHeight="1" x14ac:dyDescent="0.25">
      <c r="A193" s="31" t="s">
        <v>566</v>
      </c>
      <c r="B193" s="1" t="s">
        <v>567</v>
      </c>
      <c r="C193" s="1" t="s">
        <v>568</v>
      </c>
      <c r="D193" s="1" t="s">
        <v>18</v>
      </c>
      <c r="E193" s="3">
        <v>5668.18</v>
      </c>
      <c r="F193" s="3">
        <v>0</v>
      </c>
      <c r="G193" s="3">
        <v>269.47000000000003</v>
      </c>
      <c r="H193" s="3">
        <v>0</v>
      </c>
      <c r="I193" s="3">
        <v>0</v>
      </c>
      <c r="J193" s="1" t="s">
        <v>24</v>
      </c>
      <c r="K193" s="28"/>
      <c r="L193" s="28"/>
    </row>
    <row r="194" spans="1:12" s="2" customFormat="1" ht="24.95" customHeight="1" x14ac:dyDescent="0.25">
      <c r="A194" s="31" t="s">
        <v>569</v>
      </c>
      <c r="B194" s="1" t="s">
        <v>570</v>
      </c>
      <c r="C194" s="1" t="s">
        <v>571</v>
      </c>
      <c r="D194" s="1" t="s">
        <v>13</v>
      </c>
      <c r="E194" s="3">
        <v>1035.4000000000001</v>
      </c>
      <c r="F194" s="3">
        <v>189.52</v>
      </c>
      <c r="G194" s="3">
        <v>2028.84</v>
      </c>
      <c r="H194" s="3">
        <v>0</v>
      </c>
      <c r="I194" s="3">
        <v>0</v>
      </c>
      <c r="J194" s="1" t="s">
        <v>24</v>
      </c>
      <c r="K194" s="28"/>
      <c r="L194" s="28"/>
    </row>
    <row r="195" spans="1:12" s="2" customFormat="1" ht="24.95" customHeight="1" x14ac:dyDescent="0.25">
      <c r="A195" s="31" t="s">
        <v>572</v>
      </c>
      <c r="B195" s="1" t="s">
        <v>573</v>
      </c>
      <c r="C195" s="1" t="s">
        <v>574</v>
      </c>
      <c r="D195" s="1" t="s">
        <v>3027</v>
      </c>
      <c r="E195" s="3">
        <v>0</v>
      </c>
      <c r="F195" s="3">
        <v>3743.88</v>
      </c>
      <c r="G195" s="3">
        <v>970.16</v>
      </c>
      <c r="H195" s="3">
        <v>0</v>
      </c>
      <c r="I195" s="3">
        <v>6206.54</v>
      </c>
      <c r="J195" s="1" t="s">
        <v>19</v>
      </c>
      <c r="K195" s="28"/>
      <c r="L195" s="28"/>
    </row>
    <row r="196" spans="1:12" s="2" customFormat="1" ht="24.95" customHeight="1" x14ac:dyDescent="0.25">
      <c r="A196" s="31" t="s">
        <v>575</v>
      </c>
      <c r="B196" s="1" t="s">
        <v>576</v>
      </c>
      <c r="C196" s="1" t="s">
        <v>577</v>
      </c>
      <c r="D196" s="1" t="s">
        <v>18</v>
      </c>
      <c r="E196" s="3">
        <v>0</v>
      </c>
      <c r="F196" s="3">
        <v>0</v>
      </c>
      <c r="G196" s="3">
        <v>0</v>
      </c>
      <c r="H196" s="3">
        <v>0</v>
      </c>
      <c r="I196" s="3">
        <v>13784.46</v>
      </c>
      <c r="J196" s="1" t="s">
        <v>24</v>
      </c>
      <c r="K196" s="28"/>
      <c r="L196" s="28"/>
    </row>
    <row r="197" spans="1:12" s="2" customFormat="1" ht="24.95" customHeight="1" x14ac:dyDescent="0.25">
      <c r="A197" s="31" t="s">
        <v>578</v>
      </c>
      <c r="B197" s="1" t="s">
        <v>579</v>
      </c>
      <c r="C197" s="1" t="s">
        <v>580</v>
      </c>
      <c r="D197" s="1" t="s">
        <v>13</v>
      </c>
      <c r="E197" s="3">
        <v>0</v>
      </c>
      <c r="F197" s="3">
        <v>3842.13</v>
      </c>
      <c r="G197" s="3">
        <v>476.16</v>
      </c>
      <c r="H197" s="3">
        <v>4392.46</v>
      </c>
      <c r="I197" s="3">
        <v>13325.04</v>
      </c>
      <c r="J197" s="1" t="s">
        <v>14</v>
      </c>
      <c r="K197" s="28"/>
      <c r="L197" s="28"/>
    </row>
    <row r="198" spans="1:12" s="2" customFormat="1" ht="24.95" customHeight="1" x14ac:dyDescent="0.25">
      <c r="A198" s="31" t="s">
        <v>581</v>
      </c>
      <c r="B198" s="1" t="s">
        <v>582</v>
      </c>
      <c r="C198" s="1" t="s">
        <v>583</v>
      </c>
      <c r="D198" s="1" t="s">
        <v>18</v>
      </c>
      <c r="E198" s="3">
        <v>6081.31</v>
      </c>
      <c r="F198" s="3">
        <v>0</v>
      </c>
      <c r="G198" s="3">
        <v>1356.93</v>
      </c>
      <c r="H198" s="3">
        <v>8982.92</v>
      </c>
      <c r="I198" s="3">
        <v>524.29999999999995</v>
      </c>
      <c r="J198" s="1" t="s">
        <v>14</v>
      </c>
      <c r="K198" s="28"/>
      <c r="L198" s="28"/>
    </row>
    <row r="199" spans="1:12" s="2" customFormat="1" ht="24.95" customHeight="1" x14ac:dyDescent="0.25">
      <c r="A199" s="31" t="s">
        <v>584</v>
      </c>
      <c r="B199" s="1" t="s">
        <v>585</v>
      </c>
      <c r="C199" s="1" t="s">
        <v>586</v>
      </c>
      <c r="D199" s="1" t="s">
        <v>3027</v>
      </c>
      <c r="E199" s="3">
        <v>1162.75</v>
      </c>
      <c r="F199" s="3">
        <v>0</v>
      </c>
      <c r="G199" s="3">
        <v>1916.56</v>
      </c>
      <c r="H199" s="3">
        <v>512.83000000000004</v>
      </c>
      <c r="I199" s="3">
        <v>5426.81</v>
      </c>
      <c r="J199" s="1" t="s">
        <v>79</v>
      </c>
      <c r="K199" s="28"/>
      <c r="L199" s="28"/>
    </row>
    <row r="200" spans="1:12" s="2" customFormat="1" ht="24.95" customHeight="1" x14ac:dyDescent="0.25">
      <c r="A200" s="31" t="s">
        <v>587</v>
      </c>
      <c r="B200" s="1" t="s">
        <v>588</v>
      </c>
      <c r="C200" s="1" t="s">
        <v>589</v>
      </c>
      <c r="D200" s="1" t="s">
        <v>3</v>
      </c>
      <c r="E200" s="3">
        <v>3271.3</v>
      </c>
      <c r="F200" s="3">
        <v>0</v>
      </c>
      <c r="G200" s="3">
        <v>0</v>
      </c>
      <c r="H200" s="3">
        <v>0</v>
      </c>
      <c r="I200" s="3">
        <v>14559.12</v>
      </c>
      <c r="J200" s="1" t="s">
        <v>86</v>
      </c>
      <c r="K200" s="28"/>
      <c r="L200" s="28"/>
    </row>
    <row r="201" spans="1:12" s="2" customFormat="1" ht="24.95" customHeight="1" x14ac:dyDescent="0.25">
      <c r="A201" s="31" t="s">
        <v>590</v>
      </c>
      <c r="B201" s="1" t="s">
        <v>591</v>
      </c>
      <c r="C201" s="1" t="s">
        <v>592</v>
      </c>
      <c r="D201" s="1" t="s">
        <v>3027</v>
      </c>
      <c r="E201" s="3">
        <v>7335.48</v>
      </c>
      <c r="F201" s="3">
        <v>3548.39</v>
      </c>
      <c r="G201" s="3">
        <v>0</v>
      </c>
      <c r="H201" s="3">
        <v>0</v>
      </c>
      <c r="I201" s="3">
        <v>2695.62</v>
      </c>
      <c r="J201" s="1" t="s">
        <v>93</v>
      </c>
      <c r="K201" s="28"/>
      <c r="L201" s="28"/>
    </row>
    <row r="202" spans="1:12" s="2" customFormat="1" ht="24.95" customHeight="1" x14ac:dyDescent="0.25">
      <c r="A202" s="31" t="s">
        <v>593</v>
      </c>
      <c r="B202" s="1" t="s">
        <v>594</v>
      </c>
      <c r="C202" s="1" t="s">
        <v>595</v>
      </c>
      <c r="D202" s="1" t="s">
        <v>3027</v>
      </c>
      <c r="E202" s="3">
        <v>6705.72</v>
      </c>
      <c r="F202" s="3">
        <v>0</v>
      </c>
      <c r="G202" s="3">
        <v>2384.21</v>
      </c>
      <c r="H202" s="3">
        <v>9327.3700000000008</v>
      </c>
      <c r="I202" s="3">
        <v>7519.29</v>
      </c>
      <c r="J202" s="1" t="s">
        <v>14</v>
      </c>
      <c r="K202" s="28"/>
      <c r="L202" s="28"/>
    </row>
    <row r="203" spans="1:12" s="2" customFormat="1" ht="24.95" customHeight="1" x14ac:dyDescent="0.25">
      <c r="A203" s="31" t="s">
        <v>596</v>
      </c>
      <c r="B203" s="1" t="s">
        <v>597</v>
      </c>
      <c r="C203" s="1" t="s">
        <v>598</v>
      </c>
      <c r="D203" s="1" t="s">
        <v>3</v>
      </c>
      <c r="E203" s="3">
        <v>0</v>
      </c>
      <c r="F203" s="3">
        <v>2038.18</v>
      </c>
      <c r="G203" s="3">
        <v>0</v>
      </c>
      <c r="H203" s="3">
        <v>0</v>
      </c>
      <c r="I203" s="3">
        <v>0</v>
      </c>
      <c r="J203" s="1" t="s">
        <v>41</v>
      </c>
      <c r="K203" s="28"/>
      <c r="L203" s="28"/>
    </row>
    <row r="204" spans="1:12" s="2" customFormat="1" ht="24.95" customHeight="1" x14ac:dyDescent="0.25">
      <c r="A204" s="31" t="s">
        <v>599</v>
      </c>
      <c r="B204" s="1" t="s">
        <v>600</v>
      </c>
      <c r="C204" s="1" t="s">
        <v>601</v>
      </c>
      <c r="D204" s="1" t="s">
        <v>23</v>
      </c>
      <c r="E204" s="3">
        <v>0</v>
      </c>
      <c r="F204" s="3">
        <v>0</v>
      </c>
      <c r="G204" s="3">
        <v>0</v>
      </c>
      <c r="H204" s="3">
        <v>0</v>
      </c>
      <c r="I204" s="3">
        <v>11111.37</v>
      </c>
      <c r="J204" s="1" t="s">
        <v>4</v>
      </c>
      <c r="K204" s="28"/>
      <c r="L204" s="28"/>
    </row>
    <row r="205" spans="1:12" s="2" customFormat="1" ht="24.95" customHeight="1" x14ac:dyDescent="0.25">
      <c r="A205" s="31" t="s">
        <v>602</v>
      </c>
      <c r="B205" s="1" t="s">
        <v>603</v>
      </c>
      <c r="C205" s="1" t="s">
        <v>604</v>
      </c>
      <c r="D205" s="1" t="s">
        <v>3027</v>
      </c>
      <c r="E205" s="3">
        <v>0</v>
      </c>
      <c r="F205" s="3">
        <v>0</v>
      </c>
      <c r="G205" s="3">
        <v>1868.66</v>
      </c>
      <c r="H205" s="3">
        <v>0</v>
      </c>
      <c r="I205" s="3">
        <v>0</v>
      </c>
      <c r="J205" s="1" t="s">
        <v>86</v>
      </c>
      <c r="K205" s="28"/>
      <c r="L205" s="28"/>
    </row>
    <row r="206" spans="1:12" s="2" customFormat="1" ht="24.95" customHeight="1" x14ac:dyDescent="0.25">
      <c r="A206" s="31" t="s">
        <v>605</v>
      </c>
      <c r="B206" s="1" t="s">
        <v>606</v>
      </c>
      <c r="C206" s="1" t="s">
        <v>607</v>
      </c>
      <c r="D206" s="1" t="s">
        <v>3</v>
      </c>
      <c r="E206" s="3">
        <v>5185.74</v>
      </c>
      <c r="F206" s="3">
        <v>3382.44</v>
      </c>
      <c r="G206" s="3">
        <v>0</v>
      </c>
      <c r="H206" s="3">
        <v>0</v>
      </c>
      <c r="I206" s="3">
        <v>0</v>
      </c>
      <c r="J206" s="1" t="s">
        <v>79</v>
      </c>
      <c r="K206" s="28"/>
      <c r="L206" s="28"/>
    </row>
    <row r="207" spans="1:12" s="2" customFormat="1" ht="24.95" customHeight="1" x14ac:dyDescent="0.25">
      <c r="A207" s="31" t="s">
        <v>608</v>
      </c>
      <c r="B207" s="1" t="s">
        <v>609</v>
      </c>
      <c r="C207" s="1" t="s">
        <v>610</v>
      </c>
      <c r="D207" s="1" t="s">
        <v>23</v>
      </c>
      <c r="E207" s="3">
        <v>0</v>
      </c>
      <c r="F207" s="3">
        <v>2205.56</v>
      </c>
      <c r="G207" s="3">
        <v>0</v>
      </c>
      <c r="H207" s="3">
        <v>0</v>
      </c>
      <c r="I207" s="3">
        <v>0</v>
      </c>
      <c r="J207" s="1" t="s">
        <v>93</v>
      </c>
      <c r="K207" s="28"/>
      <c r="L207" s="28"/>
    </row>
    <row r="208" spans="1:12" s="2" customFormat="1" ht="24.95" customHeight="1" x14ac:dyDescent="0.25">
      <c r="A208" s="31" t="s">
        <v>611</v>
      </c>
      <c r="B208" s="1" t="s">
        <v>612</v>
      </c>
      <c r="C208" s="1" t="s">
        <v>613</v>
      </c>
      <c r="D208" s="1" t="s">
        <v>13</v>
      </c>
      <c r="E208" s="3">
        <v>0</v>
      </c>
      <c r="F208" s="3">
        <v>0</v>
      </c>
      <c r="G208" s="3">
        <v>2454.15</v>
      </c>
      <c r="H208" s="3">
        <v>0</v>
      </c>
      <c r="I208" s="3">
        <v>7334.14</v>
      </c>
      <c r="J208" s="1" t="s">
        <v>14</v>
      </c>
      <c r="K208" s="28"/>
      <c r="L208" s="28"/>
    </row>
    <row r="209" spans="1:12" s="2" customFormat="1" ht="24.95" customHeight="1" x14ac:dyDescent="0.25">
      <c r="A209" s="31" t="s">
        <v>614</v>
      </c>
      <c r="B209" s="1" t="s">
        <v>615</v>
      </c>
      <c r="C209" s="1" t="s">
        <v>616</v>
      </c>
      <c r="D209" s="1" t="s">
        <v>3027</v>
      </c>
      <c r="E209" s="3">
        <v>5975.42</v>
      </c>
      <c r="F209" s="3">
        <v>675.59</v>
      </c>
      <c r="G209" s="3">
        <v>2449.44</v>
      </c>
      <c r="H209" s="3">
        <v>11528.68</v>
      </c>
      <c r="I209" s="3">
        <v>0</v>
      </c>
      <c r="J209" s="1" t="s">
        <v>79</v>
      </c>
      <c r="K209" s="28"/>
      <c r="L209" s="28"/>
    </row>
    <row r="210" spans="1:12" s="2" customFormat="1" ht="24.95" customHeight="1" x14ac:dyDescent="0.25">
      <c r="A210" s="31" t="s">
        <v>617</v>
      </c>
      <c r="B210" s="1" t="s">
        <v>618</v>
      </c>
      <c r="C210" s="1" t="s">
        <v>619</v>
      </c>
      <c r="D210" s="1" t="s">
        <v>3</v>
      </c>
      <c r="E210" s="3">
        <v>5411.62</v>
      </c>
      <c r="F210" s="3">
        <v>172.17</v>
      </c>
      <c r="G210" s="3">
        <v>2506.04</v>
      </c>
      <c r="H210" s="3">
        <v>0</v>
      </c>
      <c r="I210" s="3">
        <v>10161.030000000001</v>
      </c>
      <c r="J210" s="1" t="s">
        <v>4</v>
      </c>
      <c r="K210" s="28"/>
      <c r="L210" s="28"/>
    </row>
    <row r="211" spans="1:12" s="2" customFormat="1" ht="24.95" customHeight="1" x14ac:dyDescent="0.25">
      <c r="A211" s="31" t="s">
        <v>620</v>
      </c>
      <c r="B211" s="1" t="s">
        <v>621</v>
      </c>
      <c r="C211" s="1" t="s">
        <v>622</v>
      </c>
      <c r="D211" s="1" t="s">
        <v>3027</v>
      </c>
      <c r="E211" s="3">
        <v>2245.3200000000002</v>
      </c>
      <c r="F211" s="3">
        <v>0</v>
      </c>
      <c r="G211" s="3">
        <v>0</v>
      </c>
      <c r="H211" s="3">
        <v>0</v>
      </c>
      <c r="I211" s="3">
        <v>0</v>
      </c>
      <c r="J211" s="1" t="s">
        <v>37</v>
      </c>
      <c r="K211" s="28"/>
      <c r="L211" s="28"/>
    </row>
    <row r="212" spans="1:12" s="2" customFormat="1" ht="24.95" customHeight="1" x14ac:dyDescent="0.25">
      <c r="A212" s="31" t="s">
        <v>623</v>
      </c>
      <c r="B212" s="1" t="s">
        <v>624</v>
      </c>
      <c r="C212" s="1" t="s">
        <v>625</v>
      </c>
      <c r="D212" s="1" t="s">
        <v>3</v>
      </c>
      <c r="E212" s="3">
        <v>0</v>
      </c>
      <c r="F212" s="3">
        <v>0</v>
      </c>
      <c r="G212" s="3">
        <v>1140.21</v>
      </c>
      <c r="H212" s="3">
        <v>0</v>
      </c>
      <c r="I212" s="3">
        <v>0</v>
      </c>
      <c r="J212" s="1" t="s">
        <v>37</v>
      </c>
      <c r="K212" s="28"/>
      <c r="L212" s="28"/>
    </row>
    <row r="213" spans="1:12" s="2" customFormat="1" ht="24.95" customHeight="1" x14ac:dyDescent="0.25">
      <c r="A213" s="31" t="s">
        <v>626</v>
      </c>
      <c r="B213" s="1" t="s">
        <v>627</v>
      </c>
      <c r="C213" s="1" t="s">
        <v>628</v>
      </c>
      <c r="D213" s="1" t="s">
        <v>18</v>
      </c>
      <c r="E213" s="3">
        <v>0</v>
      </c>
      <c r="F213" s="3">
        <v>0</v>
      </c>
      <c r="G213" s="3">
        <v>582.27</v>
      </c>
      <c r="H213" s="3">
        <v>0</v>
      </c>
      <c r="I213" s="3">
        <v>14963.37</v>
      </c>
      <c r="J213" s="1" t="s">
        <v>9</v>
      </c>
      <c r="K213" s="28"/>
      <c r="L213" s="28"/>
    </row>
    <row r="214" spans="1:12" s="2" customFormat="1" ht="24.95" customHeight="1" x14ac:dyDescent="0.25">
      <c r="A214" s="31" t="s">
        <v>629</v>
      </c>
      <c r="B214" s="1" t="s">
        <v>630</v>
      </c>
      <c r="C214" s="1" t="s">
        <v>631</v>
      </c>
      <c r="D214" s="1" t="s">
        <v>13</v>
      </c>
      <c r="E214" s="3">
        <v>1571.43</v>
      </c>
      <c r="F214" s="3">
        <v>0</v>
      </c>
      <c r="G214" s="3">
        <v>0</v>
      </c>
      <c r="H214" s="3">
        <v>0</v>
      </c>
      <c r="I214" s="3">
        <v>7755.02</v>
      </c>
      <c r="J214" s="1" t="s">
        <v>48</v>
      </c>
      <c r="K214" s="28"/>
      <c r="L214" s="28"/>
    </row>
    <row r="215" spans="1:12" s="2" customFormat="1" ht="24.95" customHeight="1" x14ac:dyDescent="0.25">
      <c r="A215" s="31" t="s">
        <v>632</v>
      </c>
      <c r="B215" s="1" t="s">
        <v>633</v>
      </c>
      <c r="C215" s="1" t="s">
        <v>634</v>
      </c>
      <c r="D215" s="1" t="s">
        <v>18</v>
      </c>
      <c r="E215" s="3">
        <v>982.3</v>
      </c>
      <c r="F215" s="3">
        <v>0</v>
      </c>
      <c r="G215" s="3">
        <v>1775.67</v>
      </c>
      <c r="H215" s="3">
        <v>3075.25</v>
      </c>
      <c r="I215" s="3">
        <v>0</v>
      </c>
      <c r="J215" s="1" t="s">
        <v>41</v>
      </c>
      <c r="K215" s="28"/>
      <c r="L215" s="28"/>
    </row>
    <row r="216" spans="1:12" s="2" customFormat="1" ht="24.95" customHeight="1" x14ac:dyDescent="0.25">
      <c r="A216" s="31" t="s">
        <v>635</v>
      </c>
      <c r="B216" s="1" t="s">
        <v>636</v>
      </c>
      <c r="C216" s="1" t="s">
        <v>637</v>
      </c>
      <c r="D216" s="1" t="s">
        <v>8</v>
      </c>
      <c r="E216" s="3">
        <v>0</v>
      </c>
      <c r="F216" s="3">
        <v>3556.64</v>
      </c>
      <c r="G216" s="3">
        <v>215.81</v>
      </c>
      <c r="H216" s="3">
        <v>10947.23</v>
      </c>
      <c r="I216" s="3">
        <v>2481.4499999999998</v>
      </c>
      <c r="J216" s="1" t="s">
        <v>24</v>
      </c>
      <c r="K216" s="28"/>
      <c r="L216" s="28"/>
    </row>
    <row r="217" spans="1:12" s="2" customFormat="1" ht="24.95" customHeight="1" x14ac:dyDescent="0.25">
      <c r="A217" s="31" t="s">
        <v>638</v>
      </c>
      <c r="B217" s="1" t="s">
        <v>639</v>
      </c>
      <c r="C217" s="1" t="s">
        <v>640</v>
      </c>
      <c r="D217" s="1" t="s">
        <v>18</v>
      </c>
      <c r="E217" s="3">
        <v>0</v>
      </c>
      <c r="F217" s="3">
        <v>0</v>
      </c>
      <c r="G217" s="3">
        <v>0</v>
      </c>
      <c r="H217" s="3">
        <v>11298.03</v>
      </c>
      <c r="I217" s="3">
        <v>0</v>
      </c>
      <c r="J217" s="1" t="s">
        <v>106</v>
      </c>
      <c r="K217" s="28"/>
      <c r="L217" s="28"/>
    </row>
    <row r="218" spans="1:12" s="2" customFormat="1" ht="24.95" customHeight="1" x14ac:dyDescent="0.25">
      <c r="A218" s="31" t="s">
        <v>641</v>
      </c>
      <c r="B218" s="1" t="s">
        <v>642</v>
      </c>
      <c r="C218" s="1" t="s">
        <v>643</v>
      </c>
      <c r="D218" s="1" t="s">
        <v>23</v>
      </c>
      <c r="E218" s="3">
        <v>0</v>
      </c>
      <c r="F218" s="3">
        <v>0</v>
      </c>
      <c r="G218" s="3">
        <v>0</v>
      </c>
      <c r="H218" s="3">
        <v>4025.92</v>
      </c>
      <c r="I218" s="3">
        <v>3033.39</v>
      </c>
      <c r="J218" s="1" t="s">
        <v>86</v>
      </c>
      <c r="K218" s="28"/>
      <c r="L218" s="28"/>
    </row>
    <row r="219" spans="1:12" s="2" customFormat="1" ht="24.95" customHeight="1" x14ac:dyDescent="0.25">
      <c r="A219" s="31" t="s">
        <v>644</v>
      </c>
      <c r="B219" s="1" t="s">
        <v>645</v>
      </c>
      <c r="C219" s="1" t="s">
        <v>646</v>
      </c>
      <c r="D219" s="1" t="s">
        <v>3027</v>
      </c>
      <c r="E219" s="3">
        <v>3818.84</v>
      </c>
      <c r="F219" s="3">
        <v>405.42</v>
      </c>
      <c r="G219" s="3">
        <v>736.93</v>
      </c>
      <c r="H219" s="3">
        <v>9765.4500000000007</v>
      </c>
      <c r="I219" s="3">
        <v>14977.39</v>
      </c>
      <c r="J219" s="1" t="s">
        <v>14</v>
      </c>
      <c r="K219" s="28"/>
      <c r="L219" s="28"/>
    </row>
    <row r="220" spans="1:12" s="2" customFormat="1" ht="24.95" customHeight="1" x14ac:dyDescent="0.25">
      <c r="A220" s="31" t="s">
        <v>647</v>
      </c>
      <c r="B220" s="1" t="s">
        <v>648</v>
      </c>
      <c r="C220" s="1" t="s">
        <v>649</v>
      </c>
      <c r="D220" s="1" t="s">
        <v>13</v>
      </c>
      <c r="E220" s="3">
        <v>3799.65</v>
      </c>
      <c r="F220" s="3">
        <v>0</v>
      </c>
      <c r="G220" s="3">
        <v>653.04</v>
      </c>
      <c r="H220" s="3">
        <v>0</v>
      </c>
      <c r="I220" s="3">
        <v>7225.89</v>
      </c>
      <c r="J220" s="1" t="s">
        <v>4</v>
      </c>
      <c r="K220" s="28"/>
      <c r="L220" s="28"/>
    </row>
    <row r="221" spans="1:12" s="2" customFormat="1" ht="24.95" customHeight="1" x14ac:dyDescent="0.25">
      <c r="A221" s="31" t="s">
        <v>650</v>
      </c>
      <c r="B221" s="1" t="s">
        <v>651</v>
      </c>
      <c r="C221" s="1" t="s">
        <v>652</v>
      </c>
      <c r="D221" s="1" t="s">
        <v>23</v>
      </c>
      <c r="E221" s="3">
        <v>0</v>
      </c>
      <c r="F221" s="3">
        <v>2472.61</v>
      </c>
      <c r="G221" s="3">
        <v>2356.61</v>
      </c>
      <c r="H221" s="3">
        <v>11733.99</v>
      </c>
      <c r="I221" s="3">
        <v>0</v>
      </c>
      <c r="J221" s="1" t="s">
        <v>41</v>
      </c>
      <c r="K221" s="28"/>
      <c r="L221" s="28"/>
    </row>
    <row r="222" spans="1:12" s="2" customFormat="1" ht="24.95" customHeight="1" x14ac:dyDescent="0.25">
      <c r="A222" s="31" t="s">
        <v>653</v>
      </c>
      <c r="B222" s="1" t="s">
        <v>654</v>
      </c>
      <c r="C222" s="1" t="s">
        <v>655</v>
      </c>
      <c r="D222" s="1" t="s">
        <v>3027</v>
      </c>
      <c r="E222" s="3">
        <v>467.74</v>
      </c>
      <c r="F222" s="3">
        <v>4041.77</v>
      </c>
      <c r="G222" s="3">
        <v>0</v>
      </c>
      <c r="H222" s="3">
        <v>0</v>
      </c>
      <c r="I222" s="3">
        <v>0</v>
      </c>
      <c r="J222" s="1" t="s">
        <v>79</v>
      </c>
      <c r="K222" s="28"/>
      <c r="L222" s="28"/>
    </row>
    <row r="223" spans="1:12" s="2" customFormat="1" ht="24.95" customHeight="1" x14ac:dyDescent="0.25">
      <c r="A223" s="31" t="s">
        <v>656</v>
      </c>
      <c r="B223" s="1" t="s">
        <v>657</v>
      </c>
      <c r="C223" s="1" t="s">
        <v>658</v>
      </c>
      <c r="D223" s="1" t="s">
        <v>3027</v>
      </c>
      <c r="E223" s="3">
        <v>7654.93</v>
      </c>
      <c r="F223" s="3">
        <v>0</v>
      </c>
      <c r="G223" s="3">
        <v>1361.21</v>
      </c>
      <c r="H223" s="3">
        <v>0</v>
      </c>
      <c r="I223" s="3">
        <v>0</v>
      </c>
      <c r="J223" s="1" t="s">
        <v>19</v>
      </c>
      <c r="K223" s="28"/>
      <c r="L223" s="28"/>
    </row>
    <row r="224" spans="1:12" s="2" customFormat="1" ht="24.95" customHeight="1" x14ac:dyDescent="0.25">
      <c r="A224" s="31" t="s">
        <v>659</v>
      </c>
      <c r="B224" s="1" t="s">
        <v>660</v>
      </c>
      <c r="C224" s="1" t="s">
        <v>661</v>
      </c>
      <c r="D224" s="1" t="s">
        <v>18</v>
      </c>
      <c r="E224" s="3">
        <v>302.54000000000002</v>
      </c>
      <c r="F224" s="3">
        <v>0</v>
      </c>
      <c r="G224" s="3">
        <v>629.14</v>
      </c>
      <c r="H224" s="3">
        <v>0</v>
      </c>
      <c r="I224" s="3">
        <v>8867.61</v>
      </c>
      <c r="J224" s="1" t="s">
        <v>14</v>
      </c>
      <c r="K224" s="28"/>
      <c r="L224" s="28"/>
    </row>
    <row r="225" spans="1:12" s="2" customFormat="1" ht="24.95" customHeight="1" x14ac:dyDescent="0.25">
      <c r="A225" s="31" t="s">
        <v>662</v>
      </c>
      <c r="B225" s="1" t="s">
        <v>663</v>
      </c>
      <c r="C225" s="1" t="s">
        <v>664</v>
      </c>
      <c r="D225" s="1" t="s">
        <v>13</v>
      </c>
      <c r="E225" s="3">
        <v>0</v>
      </c>
      <c r="F225" s="3">
        <v>3474.41</v>
      </c>
      <c r="G225" s="3">
        <v>0</v>
      </c>
      <c r="H225" s="3">
        <v>0</v>
      </c>
      <c r="I225" s="3">
        <v>0</v>
      </c>
      <c r="J225" s="1" t="s">
        <v>79</v>
      </c>
      <c r="K225" s="28"/>
      <c r="L225" s="28"/>
    </row>
    <row r="226" spans="1:12" s="2" customFormat="1" ht="24.95" customHeight="1" x14ac:dyDescent="0.25">
      <c r="A226" s="31" t="s">
        <v>665</v>
      </c>
      <c r="B226" s="1" t="s">
        <v>666</v>
      </c>
      <c r="C226" s="1" t="s">
        <v>667</v>
      </c>
      <c r="D226" s="1" t="s">
        <v>23</v>
      </c>
      <c r="E226" s="3">
        <v>0</v>
      </c>
      <c r="F226" s="3">
        <v>3873.97</v>
      </c>
      <c r="G226" s="3">
        <v>2750.08</v>
      </c>
      <c r="H226" s="3">
        <v>11572.26</v>
      </c>
      <c r="I226" s="3">
        <v>8871.08</v>
      </c>
      <c r="J226" s="1" t="s">
        <v>106</v>
      </c>
      <c r="K226" s="28"/>
      <c r="L226" s="28"/>
    </row>
    <row r="227" spans="1:12" s="2" customFormat="1" ht="24.95" customHeight="1" x14ac:dyDescent="0.25">
      <c r="A227" s="31" t="s">
        <v>668</v>
      </c>
      <c r="B227" s="1" t="s">
        <v>669</v>
      </c>
      <c r="C227" s="1" t="s">
        <v>670</v>
      </c>
      <c r="D227" s="1" t="s">
        <v>8</v>
      </c>
      <c r="E227" s="3">
        <v>0</v>
      </c>
      <c r="F227" s="3">
        <v>0</v>
      </c>
      <c r="G227" s="3">
        <v>810.75</v>
      </c>
      <c r="H227" s="3">
        <v>9222.59</v>
      </c>
      <c r="I227" s="3">
        <v>0</v>
      </c>
      <c r="J227" s="1" t="s">
        <v>9</v>
      </c>
      <c r="K227" s="28"/>
      <c r="L227" s="28"/>
    </row>
    <row r="228" spans="1:12" s="2" customFormat="1" ht="24.95" customHeight="1" x14ac:dyDescent="0.25">
      <c r="A228" s="31" t="s">
        <v>671</v>
      </c>
      <c r="B228" s="1" t="s">
        <v>672</v>
      </c>
      <c r="C228" s="1" t="s">
        <v>673</v>
      </c>
      <c r="D228" s="1" t="s">
        <v>18</v>
      </c>
      <c r="E228" s="3">
        <v>0</v>
      </c>
      <c r="F228" s="3">
        <v>0</v>
      </c>
      <c r="G228" s="3">
        <v>1488.84</v>
      </c>
      <c r="H228" s="3">
        <v>9332.85</v>
      </c>
      <c r="I228" s="3">
        <v>2415.7800000000002</v>
      </c>
      <c r="J228" s="1" t="s">
        <v>86</v>
      </c>
      <c r="K228" s="28"/>
      <c r="L228" s="28"/>
    </row>
    <row r="229" spans="1:12" s="2" customFormat="1" ht="24.95" customHeight="1" x14ac:dyDescent="0.25">
      <c r="A229" s="31" t="s">
        <v>674</v>
      </c>
      <c r="B229" s="1" t="s">
        <v>675</v>
      </c>
      <c r="C229" s="1" t="s">
        <v>676</v>
      </c>
      <c r="D229" s="1" t="s">
        <v>3027</v>
      </c>
      <c r="E229" s="3">
        <v>0</v>
      </c>
      <c r="F229" s="3">
        <v>0</v>
      </c>
      <c r="G229" s="3">
        <v>0</v>
      </c>
      <c r="H229" s="3">
        <v>6571.84</v>
      </c>
      <c r="I229" s="3">
        <v>2485.9899999999998</v>
      </c>
      <c r="J229" s="1" t="s">
        <v>19</v>
      </c>
      <c r="K229" s="28"/>
      <c r="L229" s="28"/>
    </row>
    <row r="230" spans="1:12" s="2" customFormat="1" ht="24.95" customHeight="1" x14ac:dyDescent="0.25">
      <c r="A230" s="31" t="s">
        <v>677</v>
      </c>
      <c r="B230" s="1" t="s">
        <v>678</v>
      </c>
      <c r="C230" s="1" t="s">
        <v>679</v>
      </c>
      <c r="D230" s="1" t="s">
        <v>3</v>
      </c>
      <c r="E230" s="3">
        <v>963.24</v>
      </c>
      <c r="F230" s="3">
        <v>0</v>
      </c>
      <c r="G230" s="3">
        <v>0</v>
      </c>
      <c r="H230" s="3">
        <v>3999.62</v>
      </c>
      <c r="I230" s="3">
        <v>0</v>
      </c>
      <c r="J230" s="1" t="s">
        <v>86</v>
      </c>
      <c r="K230" s="28"/>
      <c r="L230" s="28"/>
    </row>
    <row r="231" spans="1:12" s="2" customFormat="1" ht="24.95" customHeight="1" x14ac:dyDescent="0.25">
      <c r="A231" s="31" t="s">
        <v>680</v>
      </c>
      <c r="B231" s="1" t="s">
        <v>681</v>
      </c>
      <c r="C231" s="1" t="s">
        <v>682</v>
      </c>
      <c r="D231" s="1" t="s">
        <v>8</v>
      </c>
      <c r="E231" s="3">
        <v>6972.65</v>
      </c>
      <c r="F231" s="3">
        <v>0</v>
      </c>
      <c r="G231" s="3">
        <v>0</v>
      </c>
      <c r="H231" s="3">
        <v>7920.22</v>
      </c>
      <c r="I231" s="3">
        <v>0</v>
      </c>
      <c r="J231" s="1" t="s">
        <v>79</v>
      </c>
      <c r="K231" s="28"/>
      <c r="L231" s="28"/>
    </row>
    <row r="232" spans="1:12" s="2" customFormat="1" ht="24.95" customHeight="1" x14ac:dyDescent="0.25">
      <c r="A232" s="31" t="s">
        <v>683</v>
      </c>
      <c r="B232" s="1" t="s">
        <v>684</v>
      </c>
      <c r="C232" s="1" t="s">
        <v>685</v>
      </c>
      <c r="D232" s="1" t="s">
        <v>3</v>
      </c>
      <c r="E232" s="3">
        <v>6938.71</v>
      </c>
      <c r="F232" s="3">
        <v>0</v>
      </c>
      <c r="G232" s="3">
        <v>0</v>
      </c>
      <c r="H232" s="3">
        <v>4483.75</v>
      </c>
      <c r="I232" s="3">
        <v>9666.69</v>
      </c>
      <c r="J232" s="1" t="s">
        <v>37</v>
      </c>
      <c r="K232" s="28"/>
      <c r="L232" s="28"/>
    </row>
    <row r="233" spans="1:12" s="2" customFormat="1" ht="24.95" customHeight="1" x14ac:dyDescent="0.25">
      <c r="A233" s="31" t="s">
        <v>686</v>
      </c>
      <c r="B233" s="1" t="s">
        <v>687</v>
      </c>
      <c r="C233" s="1" t="s">
        <v>688</v>
      </c>
      <c r="D233" s="1" t="s">
        <v>23</v>
      </c>
      <c r="E233" s="3">
        <v>2258.8000000000002</v>
      </c>
      <c r="F233" s="3">
        <v>0</v>
      </c>
      <c r="G233" s="3">
        <v>0</v>
      </c>
      <c r="H233" s="3">
        <v>0</v>
      </c>
      <c r="I233" s="3">
        <v>0</v>
      </c>
      <c r="J233" s="1" t="s">
        <v>86</v>
      </c>
      <c r="K233" s="28"/>
      <c r="L233" s="28"/>
    </row>
    <row r="234" spans="1:12" s="2" customFormat="1" ht="24.95" customHeight="1" x14ac:dyDescent="0.25">
      <c r="A234" s="31" t="s">
        <v>689</v>
      </c>
      <c r="B234" s="1" t="s">
        <v>690</v>
      </c>
      <c r="C234" s="1" t="s">
        <v>691</v>
      </c>
      <c r="D234" s="1" t="s">
        <v>3</v>
      </c>
      <c r="E234" s="3">
        <v>0</v>
      </c>
      <c r="F234" s="3">
        <v>4060.98</v>
      </c>
      <c r="G234" s="3">
        <v>0</v>
      </c>
      <c r="H234" s="3">
        <v>503.94</v>
      </c>
      <c r="I234" s="3">
        <v>0</v>
      </c>
      <c r="J234" s="1" t="s">
        <v>14</v>
      </c>
      <c r="K234" s="28"/>
      <c r="L234" s="28"/>
    </row>
    <row r="235" spans="1:12" s="2" customFormat="1" ht="24.95" customHeight="1" x14ac:dyDescent="0.25">
      <c r="A235" s="31" t="s">
        <v>692</v>
      </c>
      <c r="B235" s="1" t="s">
        <v>693</v>
      </c>
      <c r="C235" s="1" t="s">
        <v>694</v>
      </c>
      <c r="D235" s="1" t="s">
        <v>23</v>
      </c>
      <c r="E235" s="3">
        <v>3611.42</v>
      </c>
      <c r="F235" s="3">
        <v>1807.42</v>
      </c>
      <c r="G235" s="3">
        <v>657.64</v>
      </c>
      <c r="H235" s="3">
        <v>10457.85</v>
      </c>
      <c r="I235" s="3">
        <v>9920.7000000000007</v>
      </c>
      <c r="J235" s="1" t="s">
        <v>14</v>
      </c>
      <c r="K235" s="28"/>
      <c r="L235" s="28"/>
    </row>
    <row r="236" spans="1:12" s="2" customFormat="1" ht="24.95" customHeight="1" x14ac:dyDescent="0.25">
      <c r="A236" s="31" t="s">
        <v>695</v>
      </c>
      <c r="B236" s="1" t="s">
        <v>696</v>
      </c>
      <c r="C236" s="1" t="s">
        <v>697</v>
      </c>
      <c r="D236" s="1" t="s">
        <v>18</v>
      </c>
      <c r="E236" s="3">
        <v>0</v>
      </c>
      <c r="F236" s="3">
        <v>1844.95</v>
      </c>
      <c r="G236" s="3">
        <v>0</v>
      </c>
      <c r="H236" s="3">
        <v>1072.6400000000001</v>
      </c>
      <c r="I236" s="3">
        <v>0</v>
      </c>
      <c r="J236" s="1" t="s">
        <v>4</v>
      </c>
      <c r="K236" s="28"/>
      <c r="L236" s="28"/>
    </row>
    <row r="237" spans="1:12" s="2" customFormat="1" ht="24.95" customHeight="1" x14ac:dyDescent="0.25">
      <c r="A237" s="31" t="s">
        <v>698</v>
      </c>
      <c r="B237" s="1" t="s">
        <v>699</v>
      </c>
      <c r="C237" s="1" t="s">
        <v>700</v>
      </c>
      <c r="D237" s="1" t="s">
        <v>18</v>
      </c>
      <c r="E237" s="3">
        <v>2898.88</v>
      </c>
      <c r="F237" s="3">
        <v>1883.61</v>
      </c>
      <c r="G237" s="3">
        <v>0</v>
      </c>
      <c r="H237" s="3">
        <v>0</v>
      </c>
      <c r="I237" s="3">
        <v>12966.2</v>
      </c>
      <c r="J237" s="1" t="s">
        <v>19</v>
      </c>
      <c r="K237" s="28"/>
      <c r="L237" s="28"/>
    </row>
    <row r="238" spans="1:12" s="2" customFormat="1" ht="24.95" customHeight="1" x14ac:dyDescent="0.25">
      <c r="A238" s="31" t="s">
        <v>701</v>
      </c>
      <c r="B238" s="1" t="s">
        <v>702</v>
      </c>
      <c r="C238" s="1" t="s">
        <v>703</v>
      </c>
      <c r="D238" s="1" t="s">
        <v>3027</v>
      </c>
      <c r="E238" s="3">
        <v>0</v>
      </c>
      <c r="F238" s="3">
        <v>0</v>
      </c>
      <c r="G238" s="3">
        <v>0</v>
      </c>
      <c r="H238" s="3">
        <v>1136.01</v>
      </c>
      <c r="I238" s="3">
        <v>0</v>
      </c>
      <c r="J238" s="1" t="s">
        <v>4</v>
      </c>
      <c r="K238" s="28"/>
      <c r="L238" s="28"/>
    </row>
    <row r="239" spans="1:12" s="2" customFormat="1" ht="24.95" customHeight="1" x14ac:dyDescent="0.25">
      <c r="A239" s="31" t="s">
        <v>704</v>
      </c>
      <c r="B239" s="1" t="s">
        <v>705</v>
      </c>
      <c r="C239" s="1" t="s">
        <v>706</v>
      </c>
      <c r="D239" s="1" t="s">
        <v>18</v>
      </c>
      <c r="E239" s="3">
        <v>7024.3</v>
      </c>
      <c r="F239" s="3">
        <v>3702.13</v>
      </c>
      <c r="G239" s="3">
        <v>1848.24</v>
      </c>
      <c r="H239" s="3">
        <v>0</v>
      </c>
      <c r="I239" s="3">
        <v>0</v>
      </c>
      <c r="J239" s="1" t="s">
        <v>4</v>
      </c>
      <c r="K239" s="28"/>
      <c r="L239" s="28"/>
    </row>
    <row r="240" spans="1:12" s="2" customFormat="1" ht="24.95" customHeight="1" x14ac:dyDescent="0.25">
      <c r="A240" s="31" t="s">
        <v>707</v>
      </c>
      <c r="B240" s="1" t="s">
        <v>708</v>
      </c>
      <c r="C240" s="1" t="s">
        <v>709</v>
      </c>
      <c r="D240" s="1" t="s">
        <v>3027</v>
      </c>
      <c r="E240" s="3">
        <v>0</v>
      </c>
      <c r="F240" s="3">
        <v>0</v>
      </c>
      <c r="G240" s="3">
        <v>364.38</v>
      </c>
      <c r="H240" s="3">
        <v>8379.5</v>
      </c>
      <c r="I240" s="3">
        <v>4345.96</v>
      </c>
      <c r="J240" s="1" t="s">
        <v>106</v>
      </c>
      <c r="K240" s="28"/>
      <c r="L240" s="28"/>
    </row>
    <row r="241" spans="1:12" s="2" customFormat="1" ht="24.95" customHeight="1" x14ac:dyDescent="0.25">
      <c r="A241" s="31" t="s">
        <v>710</v>
      </c>
      <c r="B241" s="1" t="s">
        <v>711</v>
      </c>
      <c r="C241" s="1" t="s">
        <v>712</v>
      </c>
      <c r="D241" s="1" t="s">
        <v>3027</v>
      </c>
      <c r="E241" s="3">
        <v>1859.13</v>
      </c>
      <c r="F241" s="3">
        <v>1250.1400000000001</v>
      </c>
      <c r="G241" s="3">
        <v>2827.75</v>
      </c>
      <c r="H241" s="3">
        <v>0</v>
      </c>
      <c r="I241" s="3">
        <v>5124.84</v>
      </c>
      <c r="J241" s="1" t="s">
        <v>93</v>
      </c>
      <c r="K241" s="28"/>
      <c r="L241" s="28"/>
    </row>
    <row r="242" spans="1:12" s="2" customFormat="1" ht="24.95" customHeight="1" x14ac:dyDescent="0.25">
      <c r="A242" s="31" t="s">
        <v>713</v>
      </c>
      <c r="B242" s="1" t="s">
        <v>714</v>
      </c>
      <c r="C242" s="1" t="s">
        <v>715</v>
      </c>
      <c r="D242" s="1" t="s">
        <v>18</v>
      </c>
      <c r="E242" s="3">
        <v>0</v>
      </c>
      <c r="F242" s="3">
        <v>2595.67</v>
      </c>
      <c r="G242" s="3">
        <v>101.32</v>
      </c>
      <c r="H242" s="3">
        <v>10059.299999999999</v>
      </c>
      <c r="I242" s="3">
        <v>0</v>
      </c>
      <c r="J242" s="1" t="s">
        <v>93</v>
      </c>
      <c r="K242" s="28"/>
      <c r="L242" s="28"/>
    </row>
    <row r="243" spans="1:12" s="2" customFormat="1" ht="24.95" customHeight="1" x14ac:dyDescent="0.25">
      <c r="A243" s="31" t="s">
        <v>716</v>
      </c>
      <c r="B243" s="1" t="s">
        <v>717</v>
      </c>
      <c r="C243" s="1" t="s">
        <v>718</v>
      </c>
      <c r="D243" s="1" t="s">
        <v>8</v>
      </c>
      <c r="E243" s="3">
        <v>0</v>
      </c>
      <c r="F243" s="3">
        <v>3816.99</v>
      </c>
      <c r="G243" s="3">
        <v>0</v>
      </c>
      <c r="H243" s="3">
        <v>11869.7</v>
      </c>
      <c r="I243" s="3">
        <v>604.11</v>
      </c>
      <c r="J243" s="1" t="s">
        <v>14</v>
      </c>
      <c r="K243" s="28"/>
      <c r="L243" s="28"/>
    </row>
    <row r="244" spans="1:12" s="2" customFormat="1" ht="24.95" customHeight="1" x14ac:dyDescent="0.25">
      <c r="A244" s="31" t="s">
        <v>719</v>
      </c>
      <c r="B244" s="1" t="s">
        <v>720</v>
      </c>
      <c r="C244" s="1" t="s">
        <v>721</v>
      </c>
      <c r="D244" s="1" t="s">
        <v>3027</v>
      </c>
      <c r="E244" s="3">
        <v>867.66</v>
      </c>
      <c r="F244" s="3">
        <v>3048.06</v>
      </c>
      <c r="G244" s="3">
        <v>1082.08</v>
      </c>
      <c r="H244" s="3">
        <v>0</v>
      </c>
      <c r="I244" s="3">
        <v>0</v>
      </c>
      <c r="J244" s="1" t="s">
        <v>24</v>
      </c>
      <c r="K244" s="28"/>
      <c r="L244" s="28"/>
    </row>
    <row r="245" spans="1:12" s="2" customFormat="1" ht="24.95" customHeight="1" x14ac:dyDescent="0.25">
      <c r="A245" s="31" t="s">
        <v>722</v>
      </c>
      <c r="B245" s="1" t="s">
        <v>723</v>
      </c>
      <c r="C245" s="1" t="s">
        <v>724</v>
      </c>
      <c r="D245" s="1" t="s">
        <v>18</v>
      </c>
      <c r="E245" s="3">
        <v>5302.59</v>
      </c>
      <c r="F245" s="3">
        <v>0</v>
      </c>
      <c r="G245" s="3">
        <v>1465.04</v>
      </c>
      <c r="H245" s="3">
        <v>0</v>
      </c>
      <c r="I245" s="3">
        <v>12303.38</v>
      </c>
      <c r="J245" s="1" t="s">
        <v>106</v>
      </c>
      <c r="K245" s="28"/>
      <c r="L245" s="28"/>
    </row>
    <row r="246" spans="1:12" s="2" customFormat="1" ht="24.95" customHeight="1" x14ac:dyDescent="0.25">
      <c r="A246" s="31" t="s">
        <v>725</v>
      </c>
      <c r="B246" s="1" t="s">
        <v>726</v>
      </c>
      <c r="C246" s="1" t="s">
        <v>727</v>
      </c>
      <c r="D246" s="1" t="s">
        <v>13</v>
      </c>
      <c r="E246" s="3">
        <v>4989.38</v>
      </c>
      <c r="F246" s="3">
        <v>1485.51</v>
      </c>
      <c r="G246" s="3">
        <v>0</v>
      </c>
      <c r="H246" s="3">
        <v>9030.82</v>
      </c>
      <c r="I246" s="3">
        <v>0</v>
      </c>
      <c r="J246" s="1" t="s">
        <v>79</v>
      </c>
      <c r="K246" s="28"/>
      <c r="L246" s="28"/>
    </row>
    <row r="247" spans="1:12" s="2" customFormat="1" ht="24.95" customHeight="1" x14ac:dyDescent="0.25">
      <c r="A247" s="31" t="s">
        <v>728</v>
      </c>
      <c r="B247" s="1" t="s">
        <v>729</v>
      </c>
      <c r="C247" s="1" t="s">
        <v>730</v>
      </c>
      <c r="D247" s="1" t="s">
        <v>8</v>
      </c>
      <c r="E247" s="3">
        <v>0</v>
      </c>
      <c r="F247" s="3">
        <v>0</v>
      </c>
      <c r="G247" s="3">
        <v>0</v>
      </c>
      <c r="H247" s="3">
        <v>8327.1200000000008</v>
      </c>
      <c r="I247" s="3">
        <v>13225.94</v>
      </c>
      <c r="J247" s="1" t="s">
        <v>86</v>
      </c>
      <c r="K247" s="28"/>
      <c r="L247" s="28"/>
    </row>
    <row r="248" spans="1:12" s="2" customFormat="1" ht="24.95" customHeight="1" x14ac:dyDescent="0.25">
      <c r="A248" s="31" t="s">
        <v>731</v>
      </c>
      <c r="B248" s="1" t="s">
        <v>732</v>
      </c>
      <c r="C248" s="1" t="s">
        <v>733</v>
      </c>
      <c r="D248" s="1" t="s">
        <v>23</v>
      </c>
      <c r="E248" s="3">
        <v>3931.43</v>
      </c>
      <c r="F248" s="3">
        <v>0</v>
      </c>
      <c r="G248" s="3">
        <v>0</v>
      </c>
      <c r="H248" s="3">
        <v>7660.73</v>
      </c>
      <c r="I248" s="3">
        <v>14863.04</v>
      </c>
      <c r="J248" s="1" t="s">
        <v>86</v>
      </c>
      <c r="K248" s="28"/>
      <c r="L248" s="28"/>
    </row>
    <row r="249" spans="1:12" s="2" customFormat="1" ht="24.95" customHeight="1" x14ac:dyDescent="0.25">
      <c r="A249" s="31" t="s">
        <v>734</v>
      </c>
      <c r="B249" s="1" t="s">
        <v>735</v>
      </c>
      <c r="C249" s="1" t="s">
        <v>736</v>
      </c>
      <c r="D249" s="1" t="s">
        <v>8</v>
      </c>
      <c r="E249" s="3">
        <v>0</v>
      </c>
      <c r="F249" s="3">
        <v>0</v>
      </c>
      <c r="G249" s="3">
        <v>0</v>
      </c>
      <c r="H249" s="3">
        <v>0</v>
      </c>
      <c r="I249" s="3">
        <v>7152.49</v>
      </c>
      <c r="J249" s="1" t="s">
        <v>37</v>
      </c>
      <c r="K249" s="28"/>
      <c r="L249" s="28"/>
    </row>
    <row r="250" spans="1:12" s="2" customFormat="1" ht="24.95" customHeight="1" x14ac:dyDescent="0.25">
      <c r="A250" s="31" t="s">
        <v>737</v>
      </c>
      <c r="B250" s="1" t="s">
        <v>738</v>
      </c>
      <c r="C250" s="1" t="s">
        <v>739</v>
      </c>
      <c r="D250" s="1" t="s">
        <v>3027</v>
      </c>
      <c r="E250" s="3">
        <v>0</v>
      </c>
      <c r="F250" s="3">
        <v>0</v>
      </c>
      <c r="G250" s="3">
        <v>1771.34</v>
      </c>
      <c r="H250" s="3">
        <v>9391.42</v>
      </c>
      <c r="I250" s="3">
        <v>0</v>
      </c>
      <c r="J250" s="1" t="s">
        <v>24</v>
      </c>
      <c r="K250" s="28"/>
      <c r="L250" s="28"/>
    </row>
    <row r="251" spans="1:12" s="2" customFormat="1" ht="24.95" customHeight="1" x14ac:dyDescent="0.25">
      <c r="A251" s="31" t="s">
        <v>740</v>
      </c>
      <c r="B251" s="1" t="s">
        <v>741</v>
      </c>
      <c r="C251" s="1" t="s">
        <v>742</v>
      </c>
      <c r="D251" s="1" t="s">
        <v>18</v>
      </c>
      <c r="E251" s="3">
        <v>0</v>
      </c>
      <c r="F251" s="3">
        <v>4527.84</v>
      </c>
      <c r="G251" s="3">
        <v>0</v>
      </c>
      <c r="H251" s="3">
        <v>0</v>
      </c>
      <c r="I251" s="3">
        <v>12944.24</v>
      </c>
      <c r="J251" s="1" t="s">
        <v>48</v>
      </c>
      <c r="K251" s="28"/>
      <c r="L251" s="28"/>
    </row>
    <row r="252" spans="1:12" s="2" customFormat="1" ht="24.95" customHeight="1" x14ac:dyDescent="0.25">
      <c r="A252" s="31" t="s">
        <v>743</v>
      </c>
      <c r="B252" s="1" t="s">
        <v>744</v>
      </c>
      <c r="C252" s="1" t="s">
        <v>745</v>
      </c>
      <c r="D252" s="1" t="s">
        <v>13</v>
      </c>
      <c r="E252" s="3">
        <v>0</v>
      </c>
      <c r="F252" s="3">
        <v>611.91999999999996</v>
      </c>
      <c r="G252" s="3">
        <v>0</v>
      </c>
      <c r="H252" s="3">
        <v>3005.43</v>
      </c>
      <c r="I252" s="3">
        <v>0</v>
      </c>
      <c r="J252" s="1" t="s">
        <v>86</v>
      </c>
      <c r="K252" s="28"/>
      <c r="L252" s="28"/>
    </row>
    <row r="253" spans="1:12" s="2" customFormat="1" ht="24.95" customHeight="1" x14ac:dyDescent="0.25">
      <c r="A253" s="31" t="s">
        <v>746</v>
      </c>
      <c r="B253" s="1" t="s">
        <v>747</v>
      </c>
      <c r="C253" s="1" t="s">
        <v>748</v>
      </c>
      <c r="D253" s="1" t="s">
        <v>3027</v>
      </c>
      <c r="E253" s="3">
        <v>0</v>
      </c>
      <c r="F253" s="3">
        <v>3293.01</v>
      </c>
      <c r="G253" s="3">
        <v>0</v>
      </c>
      <c r="H253" s="3">
        <v>0</v>
      </c>
      <c r="I253" s="3">
        <v>0</v>
      </c>
      <c r="J253" s="1" t="s">
        <v>106</v>
      </c>
      <c r="K253" s="28"/>
      <c r="L253" s="28"/>
    </row>
    <row r="254" spans="1:12" s="2" customFormat="1" ht="24.95" customHeight="1" x14ac:dyDescent="0.25">
      <c r="A254" s="31" t="s">
        <v>749</v>
      </c>
      <c r="B254" s="1" t="s">
        <v>750</v>
      </c>
      <c r="C254" s="1" t="s">
        <v>751</v>
      </c>
      <c r="D254" s="1" t="s">
        <v>13</v>
      </c>
      <c r="E254" s="3">
        <v>0</v>
      </c>
      <c r="F254" s="3">
        <v>4915.17</v>
      </c>
      <c r="G254" s="3">
        <v>2971.7</v>
      </c>
      <c r="H254" s="3">
        <v>3521.25</v>
      </c>
      <c r="I254" s="3">
        <v>11860.55</v>
      </c>
      <c r="J254" s="1" t="s">
        <v>93</v>
      </c>
      <c r="K254" s="28"/>
      <c r="L254" s="28"/>
    </row>
    <row r="255" spans="1:12" s="2" customFormat="1" ht="24.95" customHeight="1" x14ac:dyDescent="0.25">
      <c r="A255" s="31" t="s">
        <v>752</v>
      </c>
      <c r="B255" s="1" t="s">
        <v>753</v>
      </c>
      <c r="C255" s="1" t="s">
        <v>754</v>
      </c>
      <c r="D255" s="1" t="s">
        <v>8</v>
      </c>
      <c r="E255" s="3">
        <v>5847.65</v>
      </c>
      <c r="F255" s="3">
        <v>4060.73</v>
      </c>
      <c r="G255" s="3">
        <v>0</v>
      </c>
      <c r="H255" s="3">
        <v>0</v>
      </c>
      <c r="I255" s="3">
        <v>8112.32</v>
      </c>
      <c r="J255" s="1" t="s">
        <v>24</v>
      </c>
      <c r="K255" s="28"/>
      <c r="L255" s="28"/>
    </row>
    <row r="256" spans="1:12" s="2" customFormat="1" ht="24.95" customHeight="1" x14ac:dyDescent="0.25">
      <c r="A256" s="31" t="s">
        <v>755</v>
      </c>
      <c r="B256" s="1" t="s">
        <v>756</v>
      </c>
      <c r="C256" s="1" t="s">
        <v>757</v>
      </c>
      <c r="D256" s="1" t="s">
        <v>8</v>
      </c>
      <c r="E256" s="3">
        <v>444.1</v>
      </c>
      <c r="F256" s="3">
        <v>0</v>
      </c>
      <c r="G256" s="3">
        <v>1741.16</v>
      </c>
      <c r="H256" s="3">
        <v>1180.55</v>
      </c>
      <c r="I256" s="3">
        <v>0</v>
      </c>
      <c r="J256" s="1" t="s">
        <v>79</v>
      </c>
      <c r="K256" s="28"/>
      <c r="L256" s="28"/>
    </row>
    <row r="257" spans="1:12" s="2" customFormat="1" ht="24.95" customHeight="1" x14ac:dyDescent="0.25">
      <c r="A257" s="31" t="s">
        <v>758</v>
      </c>
      <c r="B257" s="1" t="s">
        <v>759</v>
      </c>
      <c r="C257" s="1" t="s">
        <v>760</v>
      </c>
      <c r="D257" s="1" t="s">
        <v>18</v>
      </c>
      <c r="E257" s="3">
        <v>4566.28</v>
      </c>
      <c r="F257" s="3">
        <v>722.85</v>
      </c>
      <c r="G257" s="3">
        <v>0</v>
      </c>
      <c r="H257" s="3">
        <v>279.27999999999997</v>
      </c>
      <c r="I257" s="3">
        <v>0</v>
      </c>
      <c r="J257" s="1" t="s">
        <v>41</v>
      </c>
      <c r="K257" s="28"/>
      <c r="L257" s="28"/>
    </row>
    <row r="258" spans="1:12" s="2" customFormat="1" ht="24.95" customHeight="1" x14ac:dyDescent="0.25">
      <c r="A258" s="31" t="s">
        <v>761</v>
      </c>
      <c r="B258" s="1" t="s">
        <v>762</v>
      </c>
      <c r="C258" s="1" t="s">
        <v>763</v>
      </c>
      <c r="D258" s="1" t="s">
        <v>23</v>
      </c>
      <c r="E258" s="3">
        <v>0</v>
      </c>
      <c r="F258" s="3">
        <v>0</v>
      </c>
      <c r="G258" s="3">
        <v>0</v>
      </c>
      <c r="H258" s="3">
        <v>2370.09</v>
      </c>
      <c r="I258" s="3">
        <v>13419.91</v>
      </c>
      <c r="J258" s="1" t="s">
        <v>24</v>
      </c>
      <c r="K258" s="28"/>
      <c r="L258" s="28"/>
    </row>
    <row r="259" spans="1:12" s="2" customFormat="1" ht="24.95" customHeight="1" x14ac:dyDescent="0.25">
      <c r="A259" s="31" t="s">
        <v>764</v>
      </c>
      <c r="B259" s="1" t="s">
        <v>765</v>
      </c>
      <c r="C259" s="1" t="s">
        <v>766</v>
      </c>
      <c r="D259" s="1" t="s">
        <v>8</v>
      </c>
      <c r="E259" s="3">
        <v>0</v>
      </c>
      <c r="F259" s="3">
        <v>0</v>
      </c>
      <c r="G259" s="3">
        <v>0</v>
      </c>
      <c r="H259" s="3">
        <v>0</v>
      </c>
      <c r="I259" s="3">
        <v>1787.31</v>
      </c>
      <c r="J259" s="1" t="s">
        <v>9</v>
      </c>
      <c r="K259" s="28"/>
      <c r="L259" s="28"/>
    </row>
    <row r="260" spans="1:12" s="2" customFormat="1" ht="24.95" customHeight="1" x14ac:dyDescent="0.25">
      <c r="A260" s="31" t="s">
        <v>767</v>
      </c>
      <c r="B260" s="1" t="s">
        <v>768</v>
      </c>
      <c r="C260" s="1" t="s">
        <v>769</v>
      </c>
      <c r="D260" s="1" t="s">
        <v>18</v>
      </c>
      <c r="E260" s="3">
        <v>4339.79</v>
      </c>
      <c r="F260" s="3">
        <v>0</v>
      </c>
      <c r="G260" s="3">
        <v>0</v>
      </c>
      <c r="H260" s="3">
        <v>2685.88</v>
      </c>
      <c r="I260" s="3">
        <v>0</v>
      </c>
      <c r="J260" s="1" t="s">
        <v>14</v>
      </c>
      <c r="K260" s="28"/>
      <c r="L260" s="28"/>
    </row>
    <row r="261" spans="1:12" s="2" customFormat="1" ht="24.95" customHeight="1" x14ac:dyDescent="0.25">
      <c r="A261" s="31" t="s">
        <v>770</v>
      </c>
      <c r="B261" s="1" t="s">
        <v>771</v>
      </c>
      <c r="C261" s="1" t="s">
        <v>772</v>
      </c>
      <c r="D261" s="1" t="s">
        <v>8</v>
      </c>
      <c r="E261" s="3">
        <v>395.18</v>
      </c>
      <c r="F261" s="3">
        <v>0</v>
      </c>
      <c r="G261" s="3">
        <v>2471.71</v>
      </c>
      <c r="H261" s="3">
        <v>0</v>
      </c>
      <c r="I261" s="3">
        <v>0</v>
      </c>
      <c r="J261" s="1" t="s">
        <v>79</v>
      </c>
      <c r="K261" s="28"/>
      <c r="L261" s="28"/>
    </row>
    <row r="262" spans="1:12" s="2" customFormat="1" ht="24.95" customHeight="1" x14ac:dyDescent="0.25">
      <c r="A262" s="31" t="s">
        <v>773</v>
      </c>
      <c r="B262" s="1" t="s">
        <v>774</v>
      </c>
      <c r="C262" s="1" t="s">
        <v>775</v>
      </c>
      <c r="D262" s="1" t="s">
        <v>8</v>
      </c>
      <c r="E262" s="3">
        <v>0</v>
      </c>
      <c r="F262" s="3">
        <v>4458.9399999999996</v>
      </c>
      <c r="G262" s="3">
        <v>0</v>
      </c>
      <c r="H262" s="3">
        <v>9415.18</v>
      </c>
      <c r="I262" s="3">
        <v>0</v>
      </c>
      <c r="J262" s="1" t="s">
        <v>93</v>
      </c>
      <c r="K262" s="28"/>
      <c r="L262" s="28"/>
    </row>
    <row r="263" spans="1:12" s="2" customFormat="1" ht="24.95" customHeight="1" x14ac:dyDescent="0.25">
      <c r="A263" s="31" t="s">
        <v>776</v>
      </c>
      <c r="B263" s="1" t="s">
        <v>777</v>
      </c>
      <c r="C263" s="1" t="s">
        <v>778</v>
      </c>
      <c r="D263" s="1" t="s">
        <v>23</v>
      </c>
      <c r="E263" s="3">
        <v>1628.64</v>
      </c>
      <c r="F263" s="3">
        <v>3725.94</v>
      </c>
      <c r="G263" s="3">
        <v>627.54999999999995</v>
      </c>
      <c r="H263" s="3">
        <v>0</v>
      </c>
      <c r="I263" s="3">
        <v>0</v>
      </c>
      <c r="J263" s="1" t="s">
        <v>14</v>
      </c>
      <c r="K263" s="28"/>
      <c r="L263" s="28"/>
    </row>
    <row r="264" spans="1:12" s="2" customFormat="1" ht="24.95" customHeight="1" x14ac:dyDescent="0.25">
      <c r="A264" s="31" t="s">
        <v>779</v>
      </c>
      <c r="B264" s="1" t="s">
        <v>780</v>
      </c>
      <c r="C264" s="1" t="s">
        <v>781</v>
      </c>
      <c r="D264" s="1" t="s">
        <v>8</v>
      </c>
      <c r="E264" s="3">
        <v>0</v>
      </c>
      <c r="F264" s="3">
        <v>0</v>
      </c>
      <c r="G264" s="3">
        <v>0</v>
      </c>
      <c r="H264" s="3">
        <v>0</v>
      </c>
      <c r="I264" s="3">
        <v>211.38</v>
      </c>
      <c r="J264" s="1" t="s">
        <v>14</v>
      </c>
      <c r="K264" s="28"/>
      <c r="L264" s="28"/>
    </row>
    <row r="265" spans="1:12" s="2" customFormat="1" ht="24.95" customHeight="1" x14ac:dyDescent="0.25">
      <c r="A265" s="31" t="s">
        <v>782</v>
      </c>
      <c r="B265" s="1" t="s">
        <v>783</v>
      </c>
      <c r="C265" s="1" t="s">
        <v>784</v>
      </c>
      <c r="D265" s="1" t="s">
        <v>3</v>
      </c>
      <c r="E265" s="3">
        <v>0</v>
      </c>
      <c r="F265" s="3">
        <v>686.72</v>
      </c>
      <c r="G265" s="3">
        <v>1260.82</v>
      </c>
      <c r="H265" s="3">
        <v>0</v>
      </c>
      <c r="I265" s="3">
        <v>0</v>
      </c>
      <c r="J265" s="1" t="s">
        <v>79</v>
      </c>
      <c r="K265" s="28"/>
      <c r="L265" s="28"/>
    </row>
    <row r="266" spans="1:12" s="2" customFormat="1" ht="24.95" customHeight="1" x14ac:dyDescent="0.25">
      <c r="A266" s="31" t="s">
        <v>785</v>
      </c>
      <c r="B266" s="1" t="s">
        <v>786</v>
      </c>
      <c r="C266" s="1" t="s">
        <v>787</v>
      </c>
      <c r="D266" s="1" t="s">
        <v>18</v>
      </c>
      <c r="E266" s="3">
        <v>1386.22</v>
      </c>
      <c r="F266" s="3">
        <v>0</v>
      </c>
      <c r="G266" s="3">
        <v>519.86</v>
      </c>
      <c r="H266" s="3">
        <v>0</v>
      </c>
      <c r="I266" s="3">
        <v>10386.75</v>
      </c>
      <c r="J266" s="1" t="s">
        <v>48</v>
      </c>
      <c r="K266" s="28"/>
      <c r="L266" s="28"/>
    </row>
    <row r="267" spans="1:12" s="2" customFormat="1" ht="24.95" customHeight="1" x14ac:dyDescent="0.25">
      <c r="A267" s="31" t="s">
        <v>788</v>
      </c>
      <c r="B267" s="1" t="s">
        <v>789</v>
      </c>
      <c r="C267" s="1" t="s">
        <v>790</v>
      </c>
      <c r="D267" s="1" t="s">
        <v>3</v>
      </c>
      <c r="E267" s="3">
        <v>0</v>
      </c>
      <c r="F267" s="3">
        <v>2932.84</v>
      </c>
      <c r="G267" s="3">
        <v>0</v>
      </c>
      <c r="H267" s="3">
        <v>728.03</v>
      </c>
      <c r="I267" s="3">
        <v>0</v>
      </c>
      <c r="J267" s="1" t="s">
        <v>93</v>
      </c>
      <c r="K267" s="28"/>
      <c r="L267" s="28"/>
    </row>
    <row r="268" spans="1:12" s="2" customFormat="1" ht="24.95" customHeight="1" x14ac:dyDescent="0.25">
      <c r="A268" s="31" t="s">
        <v>791</v>
      </c>
      <c r="B268" s="1" t="s">
        <v>792</v>
      </c>
      <c r="C268" s="1" t="s">
        <v>793</v>
      </c>
      <c r="D268" s="1" t="s">
        <v>3027</v>
      </c>
      <c r="E268" s="3">
        <v>245.62</v>
      </c>
      <c r="F268" s="3">
        <v>2956.79</v>
      </c>
      <c r="G268" s="3">
        <v>0</v>
      </c>
      <c r="H268" s="3">
        <v>0</v>
      </c>
      <c r="I268" s="3">
        <v>0</v>
      </c>
      <c r="J268" s="1" t="s">
        <v>37</v>
      </c>
      <c r="K268" s="28"/>
      <c r="L268" s="28"/>
    </row>
    <row r="269" spans="1:12" s="2" customFormat="1" ht="24.95" customHeight="1" x14ac:dyDescent="0.25">
      <c r="A269" s="31" t="s">
        <v>794</v>
      </c>
      <c r="B269" s="1" t="s">
        <v>795</v>
      </c>
      <c r="C269" s="1" t="s">
        <v>796</v>
      </c>
      <c r="D269" s="1" t="s">
        <v>13</v>
      </c>
      <c r="E269" s="3">
        <v>0</v>
      </c>
      <c r="F269" s="3">
        <v>0</v>
      </c>
      <c r="G269" s="3">
        <v>125.7</v>
      </c>
      <c r="H269" s="3">
        <v>9542.1200000000008</v>
      </c>
      <c r="I269" s="3">
        <v>0</v>
      </c>
      <c r="J269" s="1" t="s">
        <v>41</v>
      </c>
      <c r="K269" s="28"/>
      <c r="L269" s="28"/>
    </row>
    <row r="270" spans="1:12" s="2" customFormat="1" ht="24.95" customHeight="1" x14ac:dyDescent="0.25">
      <c r="A270" s="31" t="s">
        <v>797</v>
      </c>
      <c r="B270" s="1" t="s">
        <v>798</v>
      </c>
      <c r="C270" s="1" t="s">
        <v>799</v>
      </c>
      <c r="D270" s="1" t="s">
        <v>3</v>
      </c>
      <c r="E270" s="3">
        <v>1761.65</v>
      </c>
      <c r="F270" s="3">
        <v>0</v>
      </c>
      <c r="G270" s="3">
        <v>0</v>
      </c>
      <c r="H270" s="3">
        <v>0</v>
      </c>
      <c r="I270" s="3">
        <v>0</v>
      </c>
      <c r="J270" s="1" t="s">
        <v>24</v>
      </c>
      <c r="K270" s="28"/>
      <c r="L270" s="28"/>
    </row>
    <row r="271" spans="1:12" s="2" customFormat="1" ht="24.95" customHeight="1" x14ac:dyDescent="0.25">
      <c r="A271" s="31" t="s">
        <v>800</v>
      </c>
      <c r="B271" s="1" t="s">
        <v>801</v>
      </c>
      <c r="C271" s="1" t="s">
        <v>802</v>
      </c>
      <c r="D271" s="1" t="s">
        <v>13</v>
      </c>
      <c r="E271" s="3">
        <v>0</v>
      </c>
      <c r="F271" s="3">
        <v>3966.98</v>
      </c>
      <c r="G271" s="3">
        <v>0</v>
      </c>
      <c r="H271" s="3">
        <v>296.66000000000003</v>
      </c>
      <c r="I271" s="3">
        <v>0</v>
      </c>
      <c r="J271" s="1" t="s">
        <v>24</v>
      </c>
      <c r="K271" s="28"/>
      <c r="L271" s="28"/>
    </row>
    <row r="272" spans="1:12" s="2" customFormat="1" ht="24.95" customHeight="1" x14ac:dyDescent="0.25">
      <c r="A272" s="31" t="s">
        <v>803</v>
      </c>
      <c r="B272" s="1" t="s">
        <v>804</v>
      </c>
      <c r="C272" s="1" t="s">
        <v>805</v>
      </c>
      <c r="D272" s="1" t="s">
        <v>3027</v>
      </c>
      <c r="E272" s="3">
        <v>7172.52</v>
      </c>
      <c r="F272" s="3">
        <v>0</v>
      </c>
      <c r="G272" s="3">
        <v>0</v>
      </c>
      <c r="H272" s="3">
        <v>6729.84</v>
      </c>
      <c r="I272" s="3">
        <v>0</v>
      </c>
      <c r="J272" s="1" t="s">
        <v>9</v>
      </c>
      <c r="K272" s="28"/>
      <c r="L272" s="28"/>
    </row>
    <row r="273" spans="1:12" s="2" customFormat="1" ht="24.95" customHeight="1" x14ac:dyDescent="0.25">
      <c r="A273" s="31" t="s">
        <v>806</v>
      </c>
      <c r="B273" s="1" t="s">
        <v>807</v>
      </c>
      <c r="C273" s="1" t="s">
        <v>808</v>
      </c>
      <c r="D273" s="1" t="s">
        <v>3</v>
      </c>
      <c r="E273" s="3">
        <v>0</v>
      </c>
      <c r="F273" s="3">
        <v>3854.86</v>
      </c>
      <c r="G273" s="3">
        <v>0</v>
      </c>
      <c r="H273" s="3">
        <v>0</v>
      </c>
      <c r="I273" s="3">
        <v>0</v>
      </c>
      <c r="J273" s="1" t="s">
        <v>37</v>
      </c>
      <c r="K273" s="28"/>
      <c r="L273" s="28"/>
    </row>
    <row r="274" spans="1:12" s="2" customFormat="1" ht="24.95" customHeight="1" x14ac:dyDescent="0.25">
      <c r="A274" s="31" t="s">
        <v>809</v>
      </c>
      <c r="B274" s="1" t="s">
        <v>810</v>
      </c>
      <c r="C274" s="1" t="s">
        <v>811</v>
      </c>
      <c r="D274" s="1" t="s">
        <v>3027</v>
      </c>
      <c r="E274" s="3">
        <v>0</v>
      </c>
      <c r="F274" s="3">
        <v>0</v>
      </c>
      <c r="G274" s="3">
        <v>2591.66</v>
      </c>
      <c r="H274" s="3">
        <v>5034.68</v>
      </c>
      <c r="I274" s="3">
        <v>0</v>
      </c>
      <c r="J274" s="1" t="s">
        <v>9</v>
      </c>
      <c r="K274" s="28"/>
      <c r="L274" s="28"/>
    </row>
    <row r="275" spans="1:12" s="2" customFormat="1" ht="24.95" customHeight="1" x14ac:dyDescent="0.25">
      <c r="A275" s="31" t="s">
        <v>812</v>
      </c>
      <c r="B275" s="1" t="s">
        <v>813</v>
      </c>
      <c r="C275" s="1" t="s">
        <v>814</v>
      </c>
      <c r="D275" s="1" t="s">
        <v>18</v>
      </c>
      <c r="E275" s="3">
        <v>5085.82</v>
      </c>
      <c r="F275" s="3">
        <v>0</v>
      </c>
      <c r="G275" s="3">
        <v>443.32</v>
      </c>
      <c r="H275" s="3">
        <v>9660.0400000000009</v>
      </c>
      <c r="I275" s="3">
        <v>13861.84</v>
      </c>
      <c r="J275" s="1" t="s">
        <v>37</v>
      </c>
      <c r="K275" s="28"/>
      <c r="L275" s="28"/>
    </row>
    <row r="276" spans="1:12" s="2" customFormat="1" ht="24.95" customHeight="1" x14ac:dyDescent="0.25">
      <c r="A276" s="31" t="s">
        <v>815</v>
      </c>
      <c r="B276" s="1" t="s">
        <v>816</v>
      </c>
      <c r="C276" s="1" t="s">
        <v>817</v>
      </c>
      <c r="D276" s="1" t="s">
        <v>13</v>
      </c>
      <c r="E276" s="3">
        <v>0</v>
      </c>
      <c r="F276" s="3">
        <v>0</v>
      </c>
      <c r="G276" s="3">
        <v>1422.3</v>
      </c>
      <c r="H276" s="3">
        <v>0</v>
      </c>
      <c r="I276" s="3">
        <v>684.39</v>
      </c>
      <c r="J276" s="1" t="s">
        <v>37</v>
      </c>
      <c r="K276" s="28"/>
      <c r="L276" s="28"/>
    </row>
    <row r="277" spans="1:12" s="2" customFormat="1" ht="24.95" customHeight="1" x14ac:dyDescent="0.25">
      <c r="A277" s="31" t="s">
        <v>818</v>
      </c>
      <c r="B277" s="1" t="s">
        <v>819</v>
      </c>
      <c r="C277" s="1" t="s">
        <v>820</v>
      </c>
      <c r="D277" s="1" t="s">
        <v>23</v>
      </c>
      <c r="E277" s="3">
        <v>0</v>
      </c>
      <c r="F277" s="3">
        <v>0</v>
      </c>
      <c r="G277" s="3">
        <v>917.99</v>
      </c>
      <c r="H277" s="3">
        <v>0</v>
      </c>
      <c r="I277" s="3">
        <v>0</v>
      </c>
      <c r="J277" s="1" t="s">
        <v>4</v>
      </c>
      <c r="K277" s="28"/>
      <c r="L277" s="28"/>
    </row>
    <row r="278" spans="1:12" s="2" customFormat="1" ht="24.95" customHeight="1" x14ac:dyDescent="0.25">
      <c r="A278" s="31" t="s">
        <v>821</v>
      </c>
      <c r="B278" s="1" t="s">
        <v>822</v>
      </c>
      <c r="C278" s="1" t="s">
        <v>823</v>
      </c>
      <c r="D278" s="1" t="s">
        <v>3027</v>
      </c>
      <c r="E278" s="3">
        <v>0</v>
      </c>
      <c r="F278" s="3">
        <v>0</v>
      </c>
      <c r="G278" s="3">
        <v>888.31</v>
      </c>
      <c r="H278" s="3">
        <v>0</v>
      </c>
      <c r="I278" s="3">
        <v>0</v>
      </c>
      <c r="J278" s="1" t="s">
        <v>19</v>
      </c>
      <c r="K278" s="28"/>
      <c r="L278" s="28"/>
    </row>
    <row r="279" spans="1:12" s="2" customFormat="1" ht="24.95" customHeight="1" x14ac:dyDescent="0.25">
      <c r="A279" s="31" t="s">
        <v>824</v>
      </c>
      <c r="B279" s="1" t="s">
        <v>825</v>
      </c>
      <c r="C279" s="1" t="s">
        <v>826</v>
      </c>
      <c r="D279" s="1" t="s">
        <v>3</v>
      </c>
      <c r="E279" s="3">
        <v>0</v>
      </c>
      <c r="F279" s="3">
        <v>0</v>
      </c>
      <c r="G279" s="3">
        <v>781.49</v>
      </c>
      <c r="H279" s="3">
        <v>0</v>
      </c>
      <c r="I279" s="3">
        <v>0</v>
      </c>
      <c r="J279" s="1" t="s">
        <v>41</v>
      </c>
      <c r="K279" s="28"/>
      <c r="L279" s="28"/>
    </row>
    <row r="280" spans="1:12" s="2" customFormat="1" ht="24.95" customHeight="1" x14ac:dyDescent="0.25">
      <c r="A280" s="31" t="s">
        <v>827</v>
      </c>
      <c r="B280" s="1" t="s">
        <v>828</v>
      </c>
      <c r="C280" s="1" t="s">
        <v>829</v>
      </c>
      <c r="D280" s="1" t="s">
        <v>18</v>
      </c>
      <c r="E280" s="3">
        <v>0</v>
      </c>
      <c r="F280" s="3">
        <v>2447.2800000000002</v>
      </c>
      <c r="G280" s="3">
        <v>0</v>
      </c>
      <c r="H280" s="3">
        <v>0</v>
      </c>
      <c r="I280" s="3">
        <v>4674.53</v>
      </c>
      <c r="J280" s="1" t="s">
        <v>14</v>
      </c>
      <c r="K280" s="28"/>
      <c r="L280" s="28"/>
    </row>
    <row r="281" spans="1:12" s="2" customFormat="1" ht="24.95" customHeight="1" x14ac:dyDescent="0.25">
      <c r="A281" s="31" t="s">
        <v>830</v>
      </c>
      <c r="B281" s="1" t="s">
        <v>831</v>
      </c>
      <c r="C281" s="1" t="s">
        <v>832</v>
      </c>
      <c r="D281" s="1" t="s">
        <v>8</v>
      </c>
      <c r="E281" s="3">
        <v>3495.49</v>
      </c>
      <c r="F281" s="3">
        <v>1538.64</v>
      </c>
      <c r="G281" s="3">
        <v>0</v>
      </c>
      <c r="H281" s="3">
        <v>5554.7</v>
      </c>
      <c r="I281" s="3">
        <v>0</v>
      </c>
      <c r="J281" s="1" t="s">
        <v>19</v>
      </c>
      <c r="K281" s="28"/>
      <c r="L281" s="28"/>
    </row>
    <row r="282" spans="1:12" s="2" customFormat="1" ht="24.95" customHeight="1" x14ac:dyDescent="0.25">
      <c r="A282" s="31" t="s">
        <v>833</v>
      </c>
      <c r="B282" s="1" t="s">
        <v>834</v>
      </c>
      <c r="C282" s="1" t="s">
        <v>835</v>
      </c>
      <c r="D282" s="1" t="s">
        <v>3</v>
      </c>
      <c r="E282" s="3">
        <v>0</v>
      </c>
      <c r="F282" s="3">
        <v>0</v>
      </c>
      <c r="G282" s="3">
        <v>1754.43</v>
      </c>
      <c r="H282" s="3">
        <v>7933.32</v>
      </c>
      <c r="I282" s="3">
        <v>0</v>
      </c>
      <c r="J282" s="1" t="s">
        <v>41</v>
      </c>
      <c r="K282" s="28"/>
      <c r="L282" s="28"/>
    </row>
    <row r="283" spans="1:12" s="2" customFormat="1" ht="24.95" customHeight="1" x14ac:dyDescent="0.25">
      <c r="A283" s="31" t="s">
        <v>836</v>
      </c>
      <c r="B283" s="1" t="s">
        <v>837</v>
      </c>
      <c r="C283" s="1" t="s">
        <v>838</v>
      </c>
      <c r="D283" s="1" t="s">
        <v>3027</v>
      </c>
      <c r="E283" s="3">
        <v>0</v>
      </c>
      <c r="F283" s="3">
        <v>4224.03</v>
      </c>
      <c r="G283" s="3">
        <v>0</v>
      </c>
      <c r="H283" s="3">
        <v>2517.12</v>
      </c>
      <c r="I283" s="3">
        <v>12924.92</v>
      </c>
      <c r="J283" s="1" t="s">
        <v>79</v>
      </c>
      <c r="K283" s="28"/>
      <c r="L283" s="28"/>
    </row>
    <row r="284" spans="1:12" s="2" customFormat="1" ht="24.95" customHeight="1" x14ac:dyDescent="0.25">
      <c r="A284" s="31" t="s">
        <v>839</v>
      </c>
      <c r="B284" s="1" t="s">
        <v>840</v>
      </c>
      <c r="C284" s="1" t="s">
        <v>841</v>
      </c>
      <c r="D284" s="1" t="s">
        <v>8</v>
      </c>
      <c r="E284" s="3">
        <v>0</v>
      </c>
      <c r="F284" s="3">
        <v>0</v>
      </c>
      <c r="G284" s="3">
        <v>235.13</v>
      </c>
      <c r="H284" s="3">
        <v>0</v>
      </c>
      <c r="I284" s="3">
        <v>0</v>
      </c>
      <c r="J284" s="1" t="s">
        <v>14</v>
      </c>
      <c r="K284" s="28"/>
      <c r="L284" s="28"/>
    </row>
    <row r="285" spans="1:12" s="2" customFormat="1" ht="24.95" customHeight="1" x14ac:dyDescent="0.25">
      <c r="A285" s="31" t="s">
        <v>842</v>
      </c>
      <c r="B285" s="1" t="s">
        <v>843</v>
      </c>
      <c r="C285" s="1" t="s">
        <v>844</v>
      </c>
      <c r="D285" s="1" t="s">
        <v>23</v>
      </c>
      <c r="E285" s="3">
        <v>0</v>
      </c>
      <c r="F285" s="3">
        <v>4414.17</v>
      </c>
      <c r="G285" s="3">
        <v>0</v>
      </c>
      <c r="H285" s="3">
        <v>0</v>
      </c>
      <c r="I285" s="3">
        <v>11758.79</v>
      </c>
      <c r="J285" s="1" t="s">
        <v>106</v>
      </c>
      <c r="K285" s="28"/>
      <c r="L285" s="28"/>
    </row>
    <row r="286" spans="1:12" s="2" customFormat="1" ht="24.95" customHeight="1" x14ac:dyDescent="0.25">
      <c r="A286" s="31" t="s">
        <v>845</v>
      </c>
      <c r="B286" s="1" t="s">
        <v>846</v>
      </c>
      <c r="C286" s="1" t="s">
        <v>847</v>
      </c>
      <c r="D286" s="1" t="s">
        <v>23</v>
      </c>
      <c r="E286" s="3">
        <v>0</v>
      </c>
      <c r="F286" s="3">
        <v>4762</v>
      </c>
      <c r="G286" s="3">
        <v>0</v>
      </c>
      <c r="H286" s="3">
        <v>0</v>
      </c>
      <c r="I286" s="3">
        <v>0</v>
      </c>
      <c r="J286" s="1" t="s">
        <v>41</v>
      </c>
      <c r="K286" s="28"/>
      <c r="L286" s="28"/>
    </row>
    <row r="287" spans="1:12" s="2" customFormat="1" ht="24.95" customHeight="1" x14ac:dyDescent="0.25">
      <c r="A287" s="31" t="s">
        <v>848</v>
      </c>
      <c r="B287" s="1" t="s">
        <v>849</v>
      </c>
      <c r="C287" s="1" t="s">
        <v>850</v>
      </c>
      <c r="D287" s="1" t="s">
        <v>8</v>
      </c>
      <c r="E287" s="3">
        <v>0</v>
      </c>
      <c r="F287" s="3">
        <v>0</v>
      </c>
      <c r="G287" s="3">
        <v>0</v>
      </c>
      <c r="H287" s="3">
        <v>0</v>
      </c>
      <c r="I287" s="3">
        <v>5502.46</v>
      </c>
      <c r="J287" s="1" t="s">
        <v>4</v>
      </c>
      <c r="K287" s="28"/>
      <c r="L287" s="28"/>
    </row>
    <row r="288" spans="1:12" s="2" customFormat="1" ht="24.95" customHeight="1" x14ac:dyDescent="0.25">
      <c r="A288" s="31" t="s">
        <v>851</v>
      </c>
      <c r="B288" s="1" t="s">
        <v>852</v>
      </c>
      <c r="C288" s="1" t="s">
        <v>853</v>
      </c>
      <c r="D288" s="1" t="s">
        <v>18</v>
      </c>
      <c r="E288" s="3">
        <v>0</v>
      </c>
      <c r="F288" s="3">
        <v>0</v>
      </c>
      <c r="G288" s="3">
        <v>308.69</v>
      </c>
      <c r="H288" s="3">
        <v>0</v>
      </c>
      <c r="I288" s="3">
        <v>11083.73</v>
      </c>
      <c r="J288" s="1" t="s">
        <v>9</v>
      </c>
      <c r="K288" s="28"/>
      <c r="L288" s="28"/>
    </row>
    <row r="289" spans="1:12" s="2" customFormat="1" ht="24.95" customHeight="1" x14ac:dyDescent="0.25">
      <c r="A289" s="31" t="s">
        <v>854</v>
      </c>
      <c r="B289" s="1" t="s">
        <v>855</v>
      </c>
      <c r="C289" s="1" t="s">
        <v>856</v>
      </c>
      <c r="D289" s="1" t="s">
        <v>8</v>
      </c>
      <c r="E289" s="3">
        <v>3202.08</v>
      </c>
      <c r="F289" s="3">
        <v>0</v>
      </c>
      <c r="G289" s="3">
        <v>1825.95</v>
      </c>
      <c r="H289" s="3">
        <v>6551.03</v>
      </c>
      <c r="I289" s="3">
        <v>0</v>
      </c>
      <c r="J289" s="1" t="s">
        <v>9</v>
      </c>
      <c r="K289" s="28"/>
      <c r="L289" s="28"/>
    </row>
    <row r="290" spans="1:12" s="2" customFormat="1" ht="24.95" customHeight="1" x14ac:dyDescent="0.25">
      <c r="A290" s="31" t="s">
        <v>857</v>
      </c>
      <c r="B290" s="1" t="s">
        <v>858</v>
      </c>
      <c r="C290" s="1" t="s">
        <v>859</v>
      </c>
      <c r="D290" s="1" t="s">
        <v>13</v>
      </c>
      <c r="E290" s="3">
        <v>0</v>
      </c>
      <c r="F290" s="3">
        <v>3419.6</v>
      </c>
      <c r="G290" s="3">
        <v>201.05</v>
      </c>
      <c r="H290" s="3">
        <v>0</v>
      </c>
      <c r="I290" s="3">
        <v>0</v>
      </c>
      <c r="J290" s="1" t="s">
        <v>37</v>
      </c>
      <c r="K290" s="28"/>
      <c r="L290" s="28"/>
    </row>
    <row r="291" spans="1:12" s="2" customFormat="1" ht="24.95" customHeight="1" x14ac:dyDescent="0.25">
      <c r="A291" s="31" t="s">
        <v>860</v>
      </c>
      <c r="B291" s="1" t="s">
        <v>861</v>
      </c>
      <c r="C291" s="1" t="s">
        <v>862</v>
      </c>
      <c r="D291" s="1" t="s">
        <v>3027</v>
      </c>
      <c r="E291" s="3">
        <v>0</v>
      </c>
      <c r="F291" s="3">
        <v>4544.3599999999997</v>
      </c>
      <c r="G291" s="3">
        <v>704.45</v>
      </c>
      <c r="H291" s="3">
        <v>11352.56</v>
      </c>
      <c r="I291" s="3">
        <v>0</v>
      </c>
      <c r="J291" s="1" t="s">
        <v>79</v>
      </c>
      <c r="K291" s="28"/>
      <c r="L291" s="28"/>
    </row>
    <row r="292" spans="1:12" s="2" customFormat="1" ht="24.95" customHeight="1" x14ac:dyDescent="0.25">
      <c r="A292" s="31" t="s">
        <v>863</v>
      </c>
      <c r="B292" s="1" t="s">
        <v>864</v>
      </c>
      <c r="C292" s="1" t="s">
        <v>865</v>
      </c>
      <c r="D292" s="1" t="s">
        <v>23</v>
      </c>
      <c r="E292" s="3">
        <v>0</v>
      </c>
      <c r="F292" s="3">
        <v>4025.36</v>
      </c>
      <c r="G292" s="3">
        <v>1606.95</v>
      </c>
      <c r="H292" s="3">
        <v>6594.21</v>
      </c>
      <c r="I292" s="3">
        <v>0</v>
      </c>
      <c r="J292" s="1" t="s">
        <v>4</v>
      </c>
      <c r="K292" s="28"/>
      <c r="L292" s="28"/>
    </row>
    <row r="293" spans="1:12" s="2" customFormat="1" ht="24.95" customHeight="1" x14ac:dyDescent="0.25">
      <c r="A293" s="31" t="s">
        <v>866</v>
      </c>
      <c r="B293" s="1" t="s">
        <v>867</v>
      </c>
      <c r="C293" s="1" t="s">
        <v>868</v>
      </c>
      <c r="D293" s="1" t="s">
        <v>8</v>
      </c>
      <c r="E293" s="3">
        <v>0</v>
      </c>
      <c r="F293" s="3">
        <v>2169.13</v>
      </c>
      <c r="G293" s="3">
        <v>1008.27</v>
      </c>
      <c r="H293" s="3">
        <v>0</v>
      </c>
      <c r="I293" s="3">
        <v>0</v>
      </c>
      <c r="J293" s="1" t="s">
        <v>86</v>
      </c>
      <c r="K293" s="28"/>
      <c r="L293" s="28"/>
    </row>
    <row r="294" spans="1:12" s="2" customFormat="1" ht="24.95" customHeight="1" x14ac:dyDescent="0.25">
      <c r="A294" s="31" t="s">
        <v>869</v>
      </c>
      <c r="B294" s="1" t="s">
        <v>870</v>
      </c>
      <c r="C294" s="1" t="s">
        <v>871</v>
      </c>
      <c r="D294" s="1" t="s">
        <v>18</v>
      </c>
      <c r="E294" s="3">
        <v>0</v>
      </c>
      <c r="F294" s="3">
        <v>4025.12</v>
      </c>
      <c r="G294" s="3">
        <v>0</v>
      </c>
      <c r="H294" s="3">
        <v>0</v>
      </c>
      <c r="I294" s="3">
        <v>0</v>
      </c>
      <c r="J294" s="1" t="s">
        <v>4</v>
      </c>
      <c r="K294" s="28"/>
      <c r="L294" s="28"/>
    </row>
    <row r="295" spans="1:12" s="2" customFormat="1" ht="24.95" customHeight="1" x14ac:dyDescent="0.25">
      <c r="A295" s="31" t="s">
        <v>872</v>
      </c>
      <c r="B295" s="1" t="s">
        <v>873</v>
      </c>
      <c r="C295" s="1" t="s">
        <v>874</v>
      </c>
      <c r="D295" s="1" t="s">
        <v>13</v>
      </c>
      <c r="E295" s="3">
        <v>7781.53</v>
      </c>
      <c r="F295" s="3">
        <v>839.29</v>
      </c>
      <c r="G295" s="3">
        <v>1605.37</v>
      </c>
      <c r="H295" s="3">
        <v>0</v>
      </c>
      <c r="I295" s="3">
        <v>0</v>
      </c>
      <c r="J295" s="1" t="s">
        <v>93</v>
      </c>
      <c r="K295" s="28"/>
      <c r="L295" s="28"/>
    </row>
    <row r="296" spans="1:12" s="2" customFormat="1" ht="24.95" customHeight="1" x14ac:dyDescent="0.25">
      <c r="A296" s="31" t="s">
        <v>875</v>
      </c>
      <c r="B296" s="1" t="s">
        <v>876</v>
      </c>
      <c r="C296" s="1" t="s">
        <v>877</v>
      </c>
      <c r="D296" s="1" t="s">
        <v>3027</v>
      </c>
      <c r="E296" s="3">
        <v>5010.7700000000004</v>
      </c>
      <c r="F296" s="3">
        <v>0</v>
      </c>
      <c r="G296" s="3">
        <v>0</v>
      </c>
      <c r="H296" s="3">
        <v>11302.63</v>
      </c>
      <c r="I296" s="3">
        <v>0</v>
      </c>
      <c r="J296" s="1" t="s">
        <v>48</v>
      </c>
      <c r="K296" s="28"/>
      <c r="L296" s="28"/>
    </row>
    <row r="297" spans="1:12" s="2" customFormat="1" ht="24.95" customHeight="1" x14ac:dyDescent="0.25">
      <c r="A297" s="31" t="s">
        <v>878</v>
      </c>
      <c r="B297" s="1" t="s">
        <v>879</v>
      </c>
      <c r="C297" s="1" t="s">
        <v>880</v>
      </c>
      <c r="D297" s="1" t="s">
        <v>8</v>
      </c>
      <c r="E297" s="3">
        <v>0</v>
      </c>
      <c r="F297" s="3">
        <v>1235.73</v>
      </c>
      <c r="G297" s="3">
        <v>0</v>
      </c>
      <c r="H297" s="3">
        <v>0</v>
      </c>
      <c r="I297" s="3">
        <v>0</v>
      </c>
      <c r="J297" s="1" t="s">
        <v>4</v>
      </c>
      <c r="K297" s="28"/>
      <c r="L297" s="28"/>
    </row>
    <row r="298" spans="1:12" s="2" customFormat="1" ht="24.95" customHeight="1" x14ac:dyDescent="0.25">
      <c r="A298" s="31" t="s">
        <v>881</v>
      </c>
      <c r="B298" s="1" t="s">
        <v>882</v>
      </c>
      <c r="C298" s="1" t="s">
        <v>883</v>
      </c>
      <c r="D298" s="1" t="s">
        <v>18</v>
      </c>
      <c r="E298" s="3">
        <v>0</v>
      </c>
      <c r="F298" s="3">
        <v>0</v>
      </c>
      <c r="G298" s="3">
        <v>2572.41</v>
      </c>
      <c r="H298" s="3">
        <v>0</v>
      </c>
      <c r="I298" s="3">
        <v>0</v>
      </c>
      <c r="J298" s="1" t="s">
        <v>93</v>
      </c>
      <c r="K298" s="28"/>
      <c r="L298" s="28"/>
    </row>
    <row r="299" spans="1:12" s="2" customFormat="1" ht="24.95" customHeight="1" x14ac:dyDescent="0.25">
      <c r="A299" s="31" t="s">
        <v>884</v>
      </c>
      <c r="B299" s="1" t="s">
        <v>885</v>
      </c>
      <c r="C299" s="1" t="s">
        <v>886</v>
      </c>
      <c r="D299" s="1" t="s">
        <v>8</v>
      </c>
      <c r="E299" s="3">
        <v>1966.59</v>
      </c>
      <c r="F299" s="3">
        <v>0</v>
      </c>
      <c r="G299" s="3">
        <v>2296.66</v>
      </c>
      <c r="H299" s="3">
        <v>7826.6</v>
      </c>
      <c r="I299" s="3">
        <v>0</v>
      </c>
      <c r="J299" s="1" t="s">
        <v>19</v>
      </c>
      <c r="K299" s="28"/>
      <c r="L299" s="28"/>
    </row>
    <row r="300" spans="1:12" s="2" customFormat="1" ht="24.95" customHeight="1" x14ac:dyDescent="0.25">
      <c r="A300" s="31" t="s">
        <v>887</v>
      </c>
      <c r="B300" s="1" t="s">
        <v>888</v>
      </c>
      <c r="C300" s="1" t="s">
        <v>889</v>
      </c>
      <c r="D300" s="1" t="s">
        <v>3027</v>
      </c>
      <c r="E300" s="3">
        <v>0</v>
      </c>
      <c r="F300" s="3">
        <v>4237.18</v>
      </c>
      <c r="G300" s="3">
        <v>0</v>
      </c>
      <c r="H300" s="3">
        <v>583.54999999999995</v>
      </c>
      <c r="I300" s="3">
        <v>0</v>
      </c>
      <c r="J300" s="1" t="s">
        <v>37</v>
      </c>
      <c r="K300" s="28"/>
      <c r="L300" s="28"/>
    </row>
    <row r="301" spans="1:12" s="2" customFormat="1" ht="24.95" customHeight="1" x14ac:dyDescent="0.25">
      <c r="A301" s="31" t="s">
        <v>890</v>
      </c>
      <c r="B301" s="1" t="s">
        <v>891</v>
      </c>
      <c r="C301" s="1" t="s">
        <v>892</v>
      </c>
      <c r="D301" s="1" t="s">
        <v>8</v>
      </c>
      <c r="E301" s="3">
        <v>5158.6099999999997</v>
      </c>
      <c r="F301" s="3">
        <v>893.24</v>
      </c>
      <c r="G301" s="3">
        <v>0</v>
      </c>
      <c r="H301" s="3">
        <v>0</v>
      </c>
      <c r="I301" s="3">
        <v>2643.03</v>
      </c>
      <c r="J301" s="1" t="s">
        <v>37</v>
      </c>
      <c r="K301" s="28"/>
      <c r="L301" s="28"/>
    </row>
    <row r="302" spans="1:12" s="2" customFormat="1" ht="24.95" customHeight="1" x14ac:dyDescent="0.25">
      <c r="A302" s="31" t="s">
        <v>893</v>
      </c>
      <c r="B302" s="1" t="s">
        <v>894</v>
      </c>
      <c r="C302" s="1" t="s">
        <v>895</v>
      </c>
      <c r="D302" s="1" t="s">
        <v>13</v>
      </c>
      <c r="E302" s="3">
        <v>0</v>
      </c>
      <c r="F302" s="3">
        <v>0</v>
      </c>
      <c r="G302" s="3">
        <v>0</v>
      </c>
      <c r="H302" s="3">
        <v>3201.65</v>
      </c>
      <c r="I302" s="3">
        <v>0</v>
      </c>
      <c r="J302" s="1" t="s">
        <v>4</v>
      </c>
      <c r="K302" s="28"/>
      <c r="L302" s="28"/>
    </row>
    <row r="303" spans="1:12" s="2" customFormat="1" ht="24.95" customHeight="1" x14ac:dyDescent="0.25">
      <c r="A303" s="31" t="s">
        <v>896</v>
      </c>
      <c r="B303" s="1" t="s">
        <v>897</v>
      </c>
      <c r="C303" s="1" t="s">
        <v>898</v>
      </c>
      <c r="D303" s="1" t="s">
        <v>13</v>
      </c>
      <c r="E303" s="3">
        <v>0</v>
      </c>
      <c r="F303" s="3">
        <v>1130.08</v>
      </c>
      <c r="G303" s="3">
        <v>1154.99</v>
      </c>
      <c r="H303" s="3">
        <v>0</v>
      </c>
      <c r="I303" s="3">
        <v>0</v>
      </c>
      <c r="J303" s="1" t="s">
        <v>37</v>
      </c>
      <c r="K303" s="28"/>
      <c r="L303" s="28"/>
    </row>
    <row r="304" spans="1:12" s="2" customFormat="1" ht="24.95" customHeight="1" x14ac:dyDescent="0.25">
      <c r="A304" s="31" t="s">
        <v>899</v>
      </c>
      <c r="B304" s="1" t="s">
        <v>900</v>
      </c>
      <c r="C304" s="1" t="s">
        <v>901</v>
      </c>
      <c r="D304" s="1" t="s">
        <v>3</v>
      </c>
      <c r="E304" s="3">
        <v>0</v>
      </c>
      <c r="F304" s="3">
        <v>974.97</v>
      </c>
      <c r="G304" s="3">
        <v>0</v>
      </c>
      <c r="H304" s="3">
        <v>0</v>
      </c>
      <c r="I304" s="3">
        <v>0</v>
      </c>
      <c r="J304" s="1" t="s">
        <v>37</v>
      </c>
      <c r="K304" s="28"/>
      <c r="L304" s="28"/>
    </row>
    <row r="305" spans="1:12" s="2" customFormat="1" ht="24.95" customHeight="1" x14ac:dyDescent="0.25">
      <c r="A305" s="31" t="s">
        <v>902</v>
      </c>
      <c r="B305" s="1" t="s">
        <v>903</v>
      </c>
      <c r="C305" s="1" t="s">
        <v>904</v>
      </c>
      <c r="D305" s="1" t="s">
        <v>8</v>
      </c>
      <c r="E305" s="3">
        <v>0</v>
      </c>
      <c r="F305" s="3">
        <v>225.48</v>
      </c>
      <c r="G305" s="3">
        <v>1880.44</v>
      </c>
      <c r="H305" s="3">
        <v>0</v>
      </c>
      <c r="I305" s="3">
        <v>2354.3000000000002</v>
      </c>
      <c r="J305" s="1" t="s">
        <v>48</v>
      </c>
      <c r="K305" s="28"/>
      <c r="L305" s="28"/>
    </row>
    <row r="306" spans="1:12" s="2" customFormat="1" ht="24.95" customHeight="1" x14ac:dyDescent="0.25">
      <c r="A306" s="31" t="s">
        <v>905</v>
      </c>
      <c r="B306" s="1" t="s">
        <v>906</v>
      </c>
      <c r="C306" s="1" t="s">
        <v>907</v>
      </c>
      <c r="D306" s="1" t="s">
        <v>8</v>
      </c>
      <c r="E306" s="3">
        <v>7092.73</v>
      </c>
      <c r="F306" s="3">
        <v>0</v>
      </c>
      <c r="G306" s="3">
        <v>1580.73</v>
      </c>
      <c r="H306" s="3">
        <v>6849.09</v>
      </c>
      <c r="I306" s="3">
        <v>0</v>
      </c>
      <c r="J306" s="1" t="s">
        <v>41</v>
      </c>
      <c r="K306" s="28"/>
      <c r="L306" s="28"/>
    </row>
    <row r="307" spans="1:12" s="2" customFormat="1" ht="24.95" customHeight="1" x14ac:dyDescent="0.25">
      <c r="A307" s="31" t="s">
        <v>908</v>
      </c>
      <c r="B307" s="1" t="s">
        <v>909</v>
      </c>
      <c r="C307" s="1" t="s">
        <v>910</v>
      </c>
      <c r="D307" s="1" t="s">
        <v>3027</v>
      </c>
      <c r="E307" s="3">
        <v>2343.7800000000002</v>
      </c>
      <c r="F307" s="3">
        <v>371.61</v>
      </c>
      <c r="G307" s="3">
        <v>0</v>
      </c>
      <c r="H307" s="3">
        <v>0</v>
      </c>
      <c r="I307" s="3">
        <v>0</v>
      </c>
      <c r="J307" s="1" t="s">
        <v>9</v>
      </c>
      <c r="K307" s="28"/>
      <c r="L307" s="28"/>
    </row>
    <row r="308" spans="1:12" s="2" customFormat="1" ht="24.95" customHeight="1" x14ac:dyDescent="0.25">
      <c r="A308" s="31" t="s">
        <v>911</v>
      </c>
      <c r="B308" s="1" t="s">
        <v>912</v>
      </c>
      <c r="C308" s="1" t="s">
        <v>913</v>
      </c>
      <c r="D308" s="1" t="s">
        <v>23</v>
      </c>
      <c r="E308" s="3">
        <v>0</v>
      </c>
      <c r="F308" s="3">
        <v>1750.14</v>
      </c>
      <c r="G308" s="3">
        <v>0</v>
      </c>
      <c r="H308" s="3">
        <v>11905.35</v>
      </c>
      <c r="I308" s="3">
        <v>0</v>
      </c>
      <c r="J308" s="1" t="s">
        <v>41</v>
      </c>
      <c r="K308" s="28"/>
      <c r="L308" s="28"/>
    </row>
    <row r="309" spans="1:12" s="2" customFormat="1" ht="24.95" customHeight="1" x14ac:dyDescent="0.25">
      <c r="A309" s="31" t="s">
        <v>914</v>
      </c>
      <c r="B309" s="1" t="s">
        <v>915</v>
      </c>
      <c r="C309" s="1" t="s">
        <v>916</v>
      </c>
      <c r="D309" s="1" t="s">
        <v>23</v>
      </c>
      <c r="E309" s="3">
        <v>0</v>
      </c>
      <c r="F309" s="3">
        <v>1437.42</v>
      </c>
      <c r="G309" s="3">
        <v>2676.02</v>
      </c>
      <c r="H309" s="3">
        <v>0</v>
      </c>
      <c r="I309" s="3">
        <v>2093.96</v>
      </c>
      <c r="J309" s="1" t="s">
        <v>37</v>
      </c>
      <c r="K309" s="28"/>
      <c r="L309" s="28"/>
    </row>
    <row r="310" spans="1:12" s="2" customFormat="1" ht="24.95" customHeight="1" x14ac:dyDescent="0.25">
      <c r="A310" s="31" t="s">
        <v>917</v>
      </c>
      <c r="B310" s="1" t="s">
        <v>918</v>
      </c>
      <c r="C310" s="1" t="s">
        <v>919</v>
      </c>
      <c r="D310" s="1" t="s">
        <v>8</v>
      </c>
      <c r="E310" s="3">
        <v>2862.73</v>
      </c>
      <c r="F310" s="3">
        <v>0</v>
      </c>
      <c r="G310" s="3">
        <v>0</v>
      </c>
      <c r="H310" s="3">
        <v>0</v>
      </c>
      <c r="I310" s="3">
        <v>0</v>
      </c>
      <c r="J310" s="1" t="s">
        <v>86</v>
      </c>
      <c r="K310" s="28"/>
      <c r="L310" s="28"/>
    </row>
    <row r="311" spans="1:12" s="2" customFormat="1" ht="24.95" customHeight="1" x14ac:dyDescent="0.25">
      <c r="A311" s="31" t="s">
        <v>920</v>
      </c>
      <c r="B311" s="1" t="s">
        <v>921</v>
      </c>
      <c r="C311" s="1" t="s">
        <v>922</v>
      </c>
      <c r="D311" s="1" t="s">
        <v>13</v>
      </c>
      <c r="E311" s="3">
        <v>5826.4</v>
      </c>
      <c r="F311" s="3">
        <v>0</v>
      </c>
      <c r="G311" s="3">
        <v>0</v>
      </c>
      <c r="H311" s="3">
        <v>0</v>
      </c>
      <c r="I311" s="3">
        <v>632.41999999999996</v>
      </c>
      <c r="J311" s="1" t="s">
        <v>4</v>
      </c>
      <c r="K311" s="28"/>
      <c r="L311" s="28"/>
    </row>
    <row r="312" spans="1:12" s="2" customFormat="1" ht="24.95" customHeight="1" x14ac:dyDescent="0.25">
      <c r="A312" s="31" t="s">
        <v>923</v>
      </c>
      <c r="B312" s="1" t="s">
        <v>924</v>
      </c>
      <c r="C312" s="1" t="s">
        <v>925</v>
      </c>
      <c r="D312" s="1" t="s">
        <v>3</v>
      </c>
      <c r="E312" s="3">
        <v>0</v>
      </c>
      <c r="F312" s="3">
        <v>1514.14</v>
      </c>
      <c r="G312" s="3">
        <v>0</v>
      </c>
      <c r="H312" s="3">
        <v>7120.47</v>
      </c>
      <c r="I312" s="3">
        <v>0</v>
      </c>
      <c r="J312" s="1" t="s">
        <v>37</v>
      </c>
      <c r="K312" s="28"/>
      <c r="L312" s="28"/>
    </row>
    <row r="313" spans="1:12" s="2" customFormat="1" ht="24.95" customHeight="1" x14ac:dyDescent="0.25">
      <c r="A313" s="31" t="s">
        <v>926</v>
      </c>
      <c r="B313" s="1" t="s">
        <v>927</v>
      </c>
      <c r="C313" s="1" t="s">
        <v>928</v>
      </c>
      <c r="D313" s="1" t="s">
        <v>18</v>
      </c>
      <c r="E313" s="3">
        <v>0</v>
      </c>
      <c r="F313" s="3">
        <v>690.94</v>
      </c>
      <c r="G313" s="3">
        <v>0</v>
      </c>
      <c r="H313" s="3">
        <v>0</v>
      </c>
      <c r="I313" s="3">
        <v>0</v>
      </c>
      <c r="J313" s="1" t="s">
        <v>79</v>
      </c>
      <c r="K313" s="28"/>
      <c r="L313" s="28"/>
    </row>
    <row r="314" spans="1:12" s="2" customFormat="1" ht="24.95" customHeight="1" x14ac:dyDescent="0.25">
      <c r="A314" s="31" t="s">
        <v>929</v>
      </c>
      <c r="B314" s="1" t="s">
        <v>930</v>
      </c>
      <c r="C314" s="1" t="s">
        <v>931</v>
      </c>
      <c r="D314" s="1" t="s">
        <v>3027</v>
      </c>
      <c r="E314" s="3">
        <v>0</v>
      </c>
      <c r="F314" s="3">
        <v>4858.17</v>
      </c>
      <c r="G314" s="3">
        <v>324.13</v>
      </c>
      <c r="H314" s="3">
        <v>0</v>
      </c>
      <c r="I314" s="3">
        <v>7732.73</v>
      </c>
      <c r="J314" s="1" t="s">
        <v>24</v>
      </c>
      <c r="K314" s="28"/>
      <c r="L314" s="28"/>
    </row>
    <row r="315" spans="1:12" s="2" customFormat="1" ht="24.95" customHeight="1" x14ac:dyDescent="0.25">
      <c r="A315" s="31" t="s">
        <v>932</v>
      </c>
      <c r="B315" s="1" t="s">
        <v>933</v>
      </c>
      <c r="C315" s="1" t="s">
        <v>934</v>
      </c>
      <c r="D315" s="1" t="s">
        <v>3027</v>
      </c>
      <c r="E315" s="3">
        <v>0</v>
      </c>
      <c r="F315" s="3">
        <v>353.18</v>
      </c>
      <c r="G315" s="3">
        <v>0</v>
      </c>
      <c r="H315" s="3">
        <v>0</v>
      </c>
      <c r="I315" s="3">
        <v>6999.72</v>
      </c>
      <c r="J315" s="1" t="s">
        <v>86</v>
      </c>
      <c r="K315" s="28"/>
      <c r="L315" s="28"/>
    </row>
    <row r="316" spans="1:12" s="2" customFormat="1" ht="24.95" customHeight="1" x14ac:dyDescent="0.25">
      <c r="A316" s="31" t="s">
        <v>935</v>
      </c>
      <c r="B316" s="1" t="s">
        <v>936</v>
      </c>
      <c r="C316" s="1" t="s">
        <v>937</v>
      </c>
      <c r="D316" s="1" t="s">
        <v>8</v>
      </c>
      <c r="E316" s="3">
        <v>6763.91</v>
      </c>
      <c r="F316" s="3">
        <v>0</v>
      </c>
      <c r="G316" s="3">
        <v>0</v>
      </c>
      <c r="H316" s="3">
        <v>0</v>
      </c>
      <c r="I316" s="3">
        <v>13488.85</v>
      </c>
      <c r="J316" s="1" t="s">
        <v>37</v>
      </c>
      <c r="K316" s="28"/>
      <c r="L316" s="28"/>
    </row>
    <row r="317" spans="1:12" s="2" customFormat="1" ht="24.95" customHeight="1" x14ac:dyDescent="0.25">
      <c r="A317" s="31" t="s">
        <v>938</v>
      </c>
      <c r="B317" s="1" t="s">
        <v>939</v>
      </c>
      <c r="C317" s="1" t="s">
        <v>940</v>
      </c>
      <c r="D317" s="1" t="s">
        <v>3</v>
      </c>
      <c r="E317" s="3">
        <v>0</v>
      </c>
      <c r="F317" s="3">
        <v>981.06</v>
      </c>
      <c r="G317" s="3">
        <v>2516.56</v>
      </c>
      <c r="H317" s="3">
        <v>4880.07</v>
      </c>
      <c r="I317" s="3">
        <v>3494.12</v>
      </c>
      <c r="J317" s="1" t="s">
        <v>37</v>
      </c>
      <c r="K317" s="28"/>
      <c r="L317" s="28"/>
    </row>
    <row r="318" spans="1:12" s="2" customFormat="1" ht="24.95" customHeight="1" x14ac:dyDescent="0.25">
      <c r="A318" s="31" t="s">
        <v>941</v>
      </c>
      <c r="B318" s="1" t="s">
        <v>942</v>
      </c>
      <c r="C318" s="1" t="s">
        <v>943</v>
      </c>
      <c r="D318" s="1" t="s">
        <v>23</v>
      </c>
      <c r="E318" s="3">
        <v>1751.18</v>
      </c>
      <c r="F318" s="3">
        <v>2260.86</v>
      </c>
      <c r="G318" s="3">
        <v>0</v>
      </c>
      <c r="H318" s="3">
        <v>0</v>
      </c>
      <c r="I318" s="3">
        <v>3431.93</v>
      </c>
      <c r="J318" s="1" t="s">
        <v>14</v>
      </c>
      <c r="K318" s="28"/>
      <c r="L318" s="28"/>
    </row>
    <row r="319" spans="1:12" s="2" customFormat="1" ht="24.95" customHeight="1" x14ac:dyDescent="0.25">
      <c r="A319" s="31" t="s">
        <v>944</v>
      </c>
      <c r="B319" s="1" t="s">
        <v>945</v>
      </c>
      <c r="C319" s="1" t="s">
        <v>946</v>
      </c>
      <c r="D319" s="1" t="s">
        <v>3</v>
      </c>
      <c r="E319" s="3">
        <v>0</v>
      </c>
      <c r="F319" s="3">
        <v>0</v>
      </c>
      <c r="G319" s="3">
        <v>407.6</v>
      </c>
      <c r="H319" s="3">
        <v>0</v>
      </c>
      <c r="I319" s="3">
        <v>0</v>
      </c>
      <c r="J319" s="1" t="s">
        <v>106</v>
      </c>
      <c r="K319" s="28"/>
      <c r="L319" s="28"/>
    </row>
    <row r="320" spans="1:12" s="2" customFormat="1" ht="24.95" customHeight="1" x14ac:dyDescent="0.25">
      <c r="A320" s="31" t="s">
        <v>947</v>
      </c>
      <c r="B320" s="1" t="s">
        <v>948</v>
      </c>
      <c r="C320" s="1" t="s">
        <v>949</v>
      </c>
      <c r="D320" s="1" t="s">
        <v>13</v>
      </c>
      <c r="E320" s="3">
        <v>472.17</v>
      </c>
      <c r="F320" s="3">
        <v>4937.6899999999996</v>
      </c>
      <c r="G320" s="3">
        <v>0</v>
      </c>
      <c r="H320" s="3">
        <v>0</v>
      </c>
      <c r="I320" s="3">
        <v>12369.65</v>
      </c>
      <c r="J320" s="1" t="s">
        <v>48</v>
      </c>
      <c r="K320" s="28"/>
      <c r="L320" s="28"/>
    </row>
    <row r="321" spans="1:12" s="2" customFormat="1" ht="24.95" customHeight="1" x14ac:dyDescent="0.25">
      <c r="A321" s="31" t="s">
        <v>950</v>
      </c>
      <c r="B321" s="1" t="s">
        <v>951</v>
      </c>
      <c r="C321" s="1" t="s">
        <v>952</v>
      </c>
      <c r="D321" s="1" t="s">
        <v>3027</v>
      </c>
      <c r="E321" s="3">
        <v>0</v>
      </c>
      <c r="F321" s="3">
        <v>0</v>
      </c>
      <c r="G321" s="3">
        <v>2772.3</v>
      </c>
      <c r="H321" s="3">
        <v>0</v>
      </c>
      <c r="I321" s="3">
        <v>2922.85</v>
      </c>
      <c r="J321" s="1" t="s">
        <v>106</v>
      </c>
      <c r="K321" s="28"/>
      <c r="L321" s="28"/>
    </row>
    <row r="322" spans="1:12" s="2" customFormat="1" ht="24.95" customHeight="1" x14ac:dyDescent="0.25">
      <c r="A322" s="31" t="s">
        <v>953</v>
      </c>
      <c r="B322" s="1" t="s">
        <v>954</v>
      </c>
      <c r="C322" s="1" t="s">
        <v>955</v>
      </c>
      <c r="D322" s="1" t="s">
        <v>8</v>
      </c>
      <c r="E322" s="3">
        <v>0</v>
      </c>
      <c r="F322" s="3">
        <v>4409.49</v>
      </c>
      <c r="G322" s="3">
        <v>0</v>
      </c>
      <c r="H322" s="3">
        <v>1125.44</v>
      </c>
      <c r="I322" s="3">
        <v>0</v>
      </c>
      <c r="J322" s="1" t="s">
        <v>86</v>
      </c>
      <c r="K322" s="28"/>
      <c r="L322" s="28"/>
    </row>
    <row r="323" spans="1:12" s="2" customFormat="1" ht="24.95" customHeight="1" x14ac:dyDescent="0.25">
      <c r="A323" s="31" t="s">
        <v>956</v>
      </c>
      <c r="B323" s="1" t="s">
        <v>957</v>
      </c>
      <c r="C323" s="1" t="s">
        <v>958</v>
      </c>
      <c r="D323" s="1" t="s">
        <v>13</v>
      </c>
      <c r="E323" s="3">
        <v>0</v>
      </c>
      <c r="F323" s="3">
        <v>3411.56</v>
      </c>
      <c r="G323" s="3">
        <v>736.61</v>
      </c>
      <c r="H323" s="3">
        <v>11255.55</v>
      </c>
      <c r="I323" s="3">
        <v>5796.57</v>
      </c>
      <c r="J323" s="1" t="s">
        <v>19</v>
      </c>
      <c r="K323" s="28"/>
      <c r="L323" s="28"/>
    </row>
    <row r="324" spans="1:12" s="2" customFormat="1" ht="24.95" customHeight="1" x14ac:dyDescent="0.25">
      <c r="A324" s="31" t="s">
        <v>959</v>
      </c>
      <c r="B324" s="1" t="s">
        <v>960</v>
      </c>
      <c r="C324" s="1" t="s">
        <v>961</v>
      </c>
      <c r="D324" s="1" t="s">
        <v>3027</v>
      </c>
      <c r="E324" s="3">
        <v>0</v>
      </c>
      <c r="F324" s="3">
        <v>0</v>
      </c>
      <c r="G324" s="3">
        <v>0</v>
      </c>
      <c r="H324" s="3">
        <v>0</v>
      </c>
      <c r="I324" s="3">
        <v>444.58</v>
      </c>
      <c r="J324" s="1" t="s">
        <v>41</v>
      </c>
      <c r="K324" s="28"/>
      <c r="L324" s="28"/>
    </row>
    <row r="325" spans="1:12" s="2" customFormat="1" ht="24.95" customHeight="1" x14ac:dyDescent="0.25">
      <c r="A325" s="31" t="s">
        <v>962</v>
      </c>
      <c r="B325" s="1" t="s">
        <v>963</v>
      </c>
      <c r="C325" s="1" t="s">
        <v>964</v>
      </c>
      <c r="D325" s="1" t="s">
        <v>8</v>
      </c>
      <c r="E325" s="3">
        <v>404.99</v>
      </c>
      <c r="F325" s="3">
        <v>0</v>
      </c>
      <c r="G325" s="3">
        <v>1966.95</v>
      </c>
      <c r="H325" s="3">
        <v>9258.84</v>
      </c>
      <c r="I325" s="3">
        <v>0</v>
      </c>
      <c r="J325" s="1" t="s">
        <v>24</v>
      </c>
      <c r="K325" s="28"/>
      <c r="L325" s="28"/>
    </row>
    <row r="326" spans="1:12" s="2" customFormat="1" ht="24.95" customHeight="1" x14ac:dyDescent="0.25">
      <c r="A326" s="31" t="s">
        <v>965</v>
      </c>
      <c r="B326" s="1" t="s">
        <v>966</v>
      </c>
      <c r="C326" s="1" t="s">
        <v>967</v>
      </c>
      <c r="D326" s="1" t="s">
        <v>18</v>
      </c>
      <c r="E326" s="3">
        <v>0</v>
      </c>
      <c r="F326" s="3">
        <v>0</v>
      </c>
      <c r="G326" s="3">
        <v>0</v>
      </c>
      <c r="H326" s="3">
        <v>0</v>
      </c>
      <c r="I326" s="3">
        <v>678.6</v>
      </c>
      <c r="J326" s="1" t="s">
        <v>37</v>
      </c>
      <c r="K326" s="28"/>
      <c r="L326" s="28"/>
    </row>
    <row r="327" spans="1:12" s="2" customFormat="1" ht="24.95" customHeight="1" x14ac:dyDescent="0.25">
      <c r="A327" s="31" t="s">
        <v>968</v>
      </c>
      <c r="B327" s="1" t="s">
        <v>969</v>
      </c>
      <c r="C327" s="1" t="s">
        <v>970</v>
      </c>
      <c r="D327" s="1" t="s">
        <v>3</v>
      </c>
      <c r="E327" s="3">
        <v>0</v>
      </c>
      <c r="F327" s="3">
        <v>0</v>
      </c>
      <c r="G327" s="3">
        <v>229.68</v>
      </c>
      <c r="H327" s="3">
        <v>0</v>
      </c>
      <c r="I327" s="3">
        <v>0</v>
      </c>
      <c r="J327" s="1" t="s">
        <v>14</v>
      </c>
      <c r="K327" s="28"/>
      <c r="L327" s="28"/>
    </row>
    <row r="328" spans="1:12" s="2" customFormat="1" ht="24.95" customHeight="1" x14ac:dyDescent="0.25">
      <c r="A328" s="31" t="s">
        <v>971</v>
      </c>
      <c r="B328" s="1" t="s">
        <v>972</v>
      </c>
      <c r="C328" s="1" t="s">
        <v>973</v>
      </c>
      <c r="D328" s="1" t="s">
        <v>3</v>
      </c>
      <c r="E328" s="3">
        <v>0</v>
      </c>
      <c r="F328" s="3">
        <v>3235.86</v>
      </c>
      <c r="G328" s="3">
        <v>0</v>
      </c>
      <c r="H328" s="3">
        <v>0</v>
      </c>
      <c r="I328" s="3">
        <v>0</v>
      </c>
      <c r="J328" s="1" t="s">
        <v>24</v>
      </c>
      <c r="K328" s="28"/>
      <c r="L328" s="28"/>
    </row>
    <row r="329" spans="1:12" s="2" customFormat="1" ht="24.95" customHeight="1" x14ac:dyDescent="0.25">
      <c r="A329" s="31" t="s">
        <v>974</v>
      </c>
      <c r="B329" s="1" t="s">
        <v>975</v>
      </c>
      <c r="C329" s="1" t="s">
        <v>976</v>
      </c>
      <c r="D329" s="1" t="s">
        <v>23</v>
      </c>
      <c r="E329" s="3">
        <v>5543.21</v>
      </c>
      <c r="F329" s="3">
        <v>0</v>
      </c>
      <c r="G329" s="3">
        <v>0</v>
      </c>
      <c r="H329" s="3">
        <v>8684.76</v>
      </c>
      <c r="I329" s="3">
        <v>0</v>
      </c>
      <c r="J329" s="1" t="s">
        <v>79</v>
      </c>
      <c r="K329" s="28"/>
      <c r="L329" s="28"/>
    </row>
    <row r="330" spans="1:12" s="2" customFormat="1" ht="24.95" customHeight="1" x14ac:dyDescent="0.25">
      <c r="A330" s="31" t="s">
        <v>977</v>
      </c>
      <c r="B330" s="1" t="s">
        <v>978</v>
      </c>
      <c r="C330" s="1" t="s">
        <v>979</v>
      </c>
      <c r="D330" s="1" t="s">
        <v>23</v>
      </c>
      <c r="E330" s="3">
        <v>6696.55</v>
      </c>
      <c r="F330" s="3">
        <v>4163.8599999999997</v>
      </c>
      <c r="G330" s="3">
        <v>0</v>
      </c>
      <c r="H330" s="3">
        <v>332.04</v>
      </c>
      <c r="I330" s="3">
        <v>9395.75</v>
      </c>
      <c r="J330" s="1" t="s">
        <v>86</v>
      </c>
      <c r="K330" s="28"/>
      <c r="L330" s="28"/>
    </row>
    <row r="331" spans="1:12" s="2" customFormat="1" ht="24.95" customHeight="1" x14ac:dyDescent="0.25">
      <c r="A331" s="31" t="s">
        <v>980</v>
      </c>
      <c r="B331" s="1" t="s">
        <v>981</v>
      </c>
      <c r="C331" s="1" t="s">
        <v>982</v>
      </c>
      <c r="D331" s="1" t="s">
        <v>3</v>
      </c>
      <c r="E331" s="3">
        <v>0</v>
      </c>
      <c r="F331" s="3">
        <v>213.49</v>
      </c>
      <c r="G331" s="3">
        <v>0</v>
      </c>
      <c r="H331" s="3">
        <v>0</v>
      </c>
      <c r="I331" s="3">
        <v>0</v>
      </c>
      <c r="J331" s="1" t="s">
        <v>4</v>
      </c>
      <c r="K331" s="28"/>
      <c r="L331" s="28"/>
    </row>
    <row r="332" spans="1:12" s="2" customFormat="1" ht="24.95" customHeight="1" x14ac:dyDescent="0.25">
      <c r="A332" s="31" t="s">
        <v>983</v>
      </c>
      <c r="B332" s="1" t="s">
        <v>984</v>
      </c>
      <c r="C332" s="1" t="s">
        <v>985</v>
      </c>
      <c r="D332" s="1" t="s">
        <v>3</v>
      </c>
      <c r="E332" s="3">
        <v>0</v>
      </c>
      <c r="F332" s="3">
        <v>0</v>
      </c>
      <c r="G332" s="3">
        <v>0</v>
      </c>
      <c r="H332" s="3">
        <v>0</v>
      </c>
      <c r="I332" s="3">
        <v>1712.43</v>
      </c>
      <c r="J332" s="1" t="s">
        <v>48</v>
      </c>
      <c r="K332" s="28"/>
      <c r="L332" s="28"/>
    </row>
    <row r="333" spans="1:12" s="2" customFormat="1" ht="24.95" customHeight="1" x14ac:dyDescent="0.25">
      <c r="A333" s="31" t="s">
        <v>986</v>
      </c>
      <c r="B333" s="1" t="s">
        <v>987</v>
      </c>
      <c r="C333" s="1" t="s">
        <v>988</v>
      </c>
      <c r="D333" s="1" t="s">
        <v>8</v>
      </c>
      <c r="E333" s="3">
        <v>3388.19</v>
      </c>
      <c r="F333" s="3">
        <v>0</v>
      </c>
      <c r="G333" s="3">
        <v>0</v>
      </c>
      <c r="H333" s="3">
        <v>622.33000000000004</v>
      </c>
      <c r="I333" s="3">
        <v>0</v>
      </c>
      <c r="J333" s="1" t="s">
        <v>4</v>
      </c>
      <c r="K333" s="28"/>
      <c r="L333" s="28"/>
    </row>
    <row r="334" spans="1:12" s="2" customFormat="1" ht="24.95" customHeight="1" x14ac:dyDescent="0.25">
      <c r="A334" s="31" t="s">
        <v>989</v>
      </c>
      <c r="B334" s="1" t="s">
        <v>990</v>
      </c>
      <c r="C334" s="1" t="s">
        <v>991</v>
      </c>
      <c r="D334" s="1" t="s">
        <v>3</v>
      </c>
      <c r="E334" s="3">
        <v>6272.34</v>
      </c>
      <c r="F334" s="3">
        <v>1778.95</v>
      </c>
      <c r="G334" s="3">
        <v>0</v>
      </c>
      <c r="H334" s="3">
        <v>763.4</v>
      </c>
      <c r="I334" s="3">
        <v>4480.66</v>
      </c>
      <c r="J334" s="1" t="s">
        <v>106</v>
      </c>
      <c r="K334" s="28"/>
      <c r="L334" s="28"/>
    </row>
    <row r="335" spans="1:12" s="2" customFormat="1" ht="24.95" customHeight="1" x14ac:dyDescent="0.25">
      <c r="A335" s="31" t="s">
        <v>992</v>
      </c>
      <c r="B335" s="1" t="s">
        <v>993</v>
      </c>
      <c r="C335" s="1" t="s">
        <v>994</v>
      </c>
      <c r="D335" s="1" t="s">
        <v>3</v>
      </c>
      <c r="E335" s="3">
        <v>0</v>
      </c>
      <c r="F335" s="3">
        <v>2008.62</v>
      </c>
      <c r="G335" s="3">
        <v>0</v>
      </c>
      <c r="H335" s="3">
        <v>0</v>
      </c>
      <c r="I335" s="3">
        <v>0</v>
      </c>
      <c r="J335" s="1" t="s">
        <v>79</v>
      </c>
      <c r="K335" s="28"/>
      <c r="L335" s="28"/>
    </row>
    <row r="336" spans="1:12" s="2" customFormat="1" ht="24.95" customHeight="1" x14ac:dyDescent="0.25">
      <c r="A336" s="31" t="s">
        <v>995</v>
      </c>
      <c r="B336" s="1" t="s">
        <v>996</v>
      </c>
      <c r="C336" s="1" t="s">
        <v>997</v>
      </c>
      <c r="D336" s="1" t="s">
        <v>23</v>
      </c>
      <c r="E336" s="3">
        <v>0</v>
      </c>
      <c r="F336" s="3">
        <v>0</v>
      </c>
      <c r="G336" s="3">
        <v>0</v>
      </c>
      <c r="H336" s="3">
        <v>9010.35</v>
      </c>
      <c r="I336" s="3">
        <v>6982.38</v>
      </c>
      <c r="J336" s="1" t="s">
        <v>79</v>
      </c>
      <c r="K336" s="28"/>
      <c r="L336" s="28"/>
    </row>
    <row r="337" spans="1:12" s="2" customFormat="1" ht="24.95" customHeight="1" x14ac:dyDescent="0.25">
      <c r="A337" s="31" t="s">
        <v>998</v>
      </c>
      <c r="B337" s="1" t="s">
        <v>999</v>
      </c>
      <c r="C337" s="1" t="s">
        <v>1000</v>
      </c>
      <c r="D337" s="1" t="s">
        <v>8</v>
      </c>
      <c r="E337" s="3">
        <v>0</v>
      </c>
      <c r="F337" s="3">
        <v>4220.01</v>
      </c>
      <c r="G337" s="3">
        <v>765.1</v>
      </c>
      <c r="H337" s="3">
        <v>9446.16</v>
      </c>
      <c r="I337" s="3">
        <v>10124.76</v>
      </c>
      <c r="J337" s="1" t="s">
        <v>79</v>
      </c>
      <c r="K337" s="28"/>
      <c r="L337" s="28"/>
    </row>
    <row r="338" spans="1:12" s="2" customFormat="1" ht="24.95" customHeight="1" x14ac:dyDescent="0.25">
      <c r="A338" s="31" t="s">
        <v>1001</v>
      </c>
      <c r="B338" s="1" t="s">
        <v>1002</v>
      </c>
      <c r="C338" s="1" t="s">
        <v>1003</v>
      </c>
      <c r="D338" s="1" t="s">
        <v>23</v>
      </c>
      <c r="E338" s="3">
        <v>6458.92</v>
      </c>
      <c r="F338" s="3">
        <v>4262.1899999999996</v>
      </c>
      <c r="G338" s="3">
        <v>177.76</v>
      </c>
      <c r="H338" s="3">
        <v>7110.11</v>
      </c>
      <c r="I338" s="3">
        <v>0</v>
      </c>
      <c r="J338" s="1" t="s">
        <v>48</v>
      </c>
      <c r="K338" s="28"/>
      <c r="L338" s="28"/>
    </row>
    <row r="339" spans="1:12" s="2" customFormat="1" ht="24.95" customHeight="1" x14ac:dyDescent="0.25">
      <c r="A339" s="31" t="s">
        <v>1004</v>
      </c>
      <c r="B339" s="1" t="s">
        <v>1005</v>
      </c>
      <c r="C339" s="1" t="s">
        <v>1006</v>
      </c>
      <c r="D339" s="1" t="s">
        <v>18</v>
      </c>
      <c r="E339" s="3">
        <v>4527.7700000000004</v>
      </c>
      <c r="F339" s="3">
        <v>0</v>
      </c>
      <c r="G339" s="3">
        <v>2821.11</v>
      </c>
      <c r="H339" s="3">
        <v>7141.57</v>
      </c>
      <c r="I339" s="3">
        <v>12019.78</v>
      </c>
      <c r="J339" s="1" t="s">
        <v>41</v>
      </c>
      <c r="K339" s="28"/>
      <c r="L339" s="28"/>
    </row>
    <row r="340" spans="1:12" s="2" customFormat="1" ht="24.95" customHeight="1" x14ac:dyDescent="0.25">
      <c r="A340" s="31" t="s">
        <v>1007</v>
      </c>
      <c r="B340" s="1" t="s">
        <v>1008</v>
      </c>
      <c r="C340" s="1" t="s">
        <v>1009</v>
      </c>
      <c r="D340" s="1" t="s">
        <v>13</v>
      </c>
      <c r="E340" s="3">
        <v>0</v>
      </c>
      <c r="F340" s="3">
        <v>843.21</v>
      </c>
      <c r="G340" s="3">
        <v>0</v>
      </c>
      <c r="H340" s="3">
        <v>0</v>
      </c>
      <c r="I340" s="3">
        <v>8562.49</v>
      </c>
      <c r="J340" s="1" t="s">
        <v>9</v>
      </c>
      <c r="K340" s="28"/>
      <c r="L340" s="28"/>
    </row>
    <row r="341" spans="1:12" s="2" customFormat="1" ht="24.95" customHeight="1" x14ac:dyDescent="0.25">
      <c r="A341" s="31" t="s">
        <v>1010</v>
      </c>
      <c r="B341" s="1" t="s">
        <v>1011</v>
      </c>
      <c r="C341" s="1" t="s">
        <v>1012</v>
      </c>
      <c r="D341" s="1" t="s">
        <v>3</v>
      </c>
      <c r="E341" s="3">
        <v>136.26</v>
      </c>
      <c r="F341" s="3">
        <v>0</v>
      </c>
      <c r="G341" s="3">
        <v>0</v>
      </c>
      <c r="H341" s="3">
        <v>7612.71</v>
      </c>
      <c r="I341" s="3">
        <v>0</v>
      </c>
      <c r="J341" s="1" t="s">
        <v>86</v>
      </c>
      <c r="K341" s="28"/>
      <c r="L341" s="28"/>
    </row>
    <row r="342" spans="1:12" s="2" customFormat="1" ht="24.95" customHeight="1" x14ac:dyDescent="0.25">
      <c r="A342" s="31" t="s">
        <v>1013</v>
      </c>
      <c r="B342" s="1" t="s">
        <v>1014</v>
      </c>
      <c r="C342" s="1" t="s">
        <v>1015</v>
      </c>
      <c r="D342" s="1" t="s">
        <v>18</v>
      </c>
      <c r="E342" s="3">
        <v>0</v>
      </c>
      <c r="F342" s="3">
        <v>0</v>
      </c>
      <c r="G342" s="3">
        <v>0</v>
      </c>
      <c r="H342" s="3">
        <v>4170.96</v>
      </c>
      <c r="I342" s="3">
        <v>4323.93</v>
      </c>
      <c r="J342" s="1" t="s">
        <v>86</v>
      </c>
      <c r="K342" s="28"/>
      <c r="L342" s="28"/>
    </row>
    <row r="343" spans="1:12" s="2" customFormat="1" ht="24.95" customHeight="1" x14ac:dyDescent="0.25">
      <c r="A343" s="31" t="s">
        <v>1016</v>
      </c>
      <c r="B343" s="1" t="s">
        <v>1017</v>
      </c>
      <c r="C343" s="1" t="s">
        <v>1018</v>
      </c>
      <c r="D343" s="1" t="s">
        <v>18</v>
      </c>
      <c r="E343" s="3">
        <v>0</v>
      </c>
      <c r="F343" s="3">
        <v>145.38999999999999</v>
      </c>
      <c r="G343" s="3">
        <v>2803.11</v>
      </c>
      <c r="H343" s="3">
        <v>11232.94</v>
      </c>
      <c r="I343" s="3">
        <v>5471.89</v>
      </c>
      <c r="J343" s="1" t="s">
        <v>4</v>
      </c>
      <c r="K343" s="28"/>
      <c r="L343" s="28"/>
    </row>
    <row r="344" spans="1:12" s="2" customFormat="1" ht="24.95" customHeight="1" x14ac:dyDescent="0.25">
      <c r="A344" s="31" t="s">
        <v>1019</v>
      </c>
      <c r="B344" s="1" t="s">
        <v>1020</v>
      </c>
      <c r="C344" s="1" t="s">
        <v>1021</v>
      </c>
      <c r="D344" s="1" t="s">
        <v>23</v>
      </c>
      <c r="E344" s="3">
        <v>0</v>
      </c>
      <c r="F344" s="3">
        <v>3090.95</v>
      </c>
      <c r="G344" s="3">
        <v>0</v>
      </c>
      <c r="H344" s="3">
        <v>11713.09</v>
      </c>
      <c r="I344" s="3">
        <v>8917.5</v>
      </c>
      <c r="J344" s="1" t="s">
        <v>93</v>
      </c>
      <c r="K344" s="28"/>
      <c r="L344" s="28"/>
    </row>
    <row r="345" spans="1:12" s="2" customFormat="1" ht="24.95" customHeight="1" x14ac:dyDescent="0.25">
      <c r="A345" s="31" t="s">
        <v>1022</v>
      </c>
      <c r="B345" s="1" t="s">
        <v>1023</v>
      </c>
      <c r="C345" s="1" t="s">
        <v>1024</v>
      </c>
      <c r="D345" s="1" t="s">
        <v>3</v>
      </c>
      <c r="E345" s="3">
        <v>7984.31</v>
      </c>
      <c r="F345" s="3">
        <v>0</v>
      </c>
      <c r="G345" s="3">
        <v>0</v>
      </c>
      <c r="H345" s="3">
        <v>0</v>
      </c>
      <c r="I345" s="3">
        <v>0</v>
      </c>
      <c r="J345" s="1" t="s">
        <v>86</v>
      </c>
      <c r="K345" s="28"/>
      <c r="L345" s="28"/>
    </row>
    <row r="346" spans="1:12" s="2" customFormat="1" ht="24.95" customHeight="1" x14ac:dyDescent="0.25">
      <c r="A346" s="31" t="s">
        <v>1025</v>
      </c>
      <c r="B346" s="1" t="s">
        <v>1026</v>
      </c>
      <c r="C346" s="1" t="s">
        <v>1027</v>
      </c>
      <c r="D346" s="1" t="s">
        <v>23</v>
      </c>
      <c r="E346" s="3">
        <v>0</v>
      </c>
      <c r="F346" s="3">
        <v>0</v>
      </c>
      <c r="G346" s="3">
        <v>1941.53</v>
      </c>
      <c r="H346" s="3">
        <v>0</v>
      </c>
      <c r="I346" s="3">
        <v>0</v>
      </c>
      <c r="J346" s="1" t="s">
        <v>93</v>
      </c>
      <c r="K346" s="28"/>
      <c r="L346" s="28"/>
    </row>
    <row r="347" spans="1:12" s="2" customFormat="1" ht="24.95" customHeight="1" x14ac:dyDescent="0.25">
      <c r="A347" s="31" t="s">
        <v>1028</v>
      </c>
      <c r="B347" s="1" t="s">
        <v>1029</v>
      </c>
      <c r="C347" s="1" t="s">
        <v>1030</v>
      </c>
      <c r="D347" s="1" t="s">
        <v>13</v>
      </c>
      <c r="E347" s="3">
        <v>2912.64</v>
      </c>
      <c r="F347" s="3">
        <v>0</v>
      </c>
      <c r="G347" s="3">
        <v>0</v>
      </c>
      <c r="H347" s="3">
        <v>0</v>
      </c>
      <c r="I347" s="3">
        <v>0</v>
      </c>
      <c r="J347" s="1" t="s">
        <v>4</v>
      </c>
      <c r="K347" s="28"/>
      <c r="L347" s="28"/>
    </row>
    <row r="348" spans="1:12" s="2" customFormat="1" ht="24.95" customHeight="1" x14ac:dyDescent="0.25">
      <c r="A348" s="31" t="s">
        <v>1031</v>
      </c>
      <c r="B348" s="1" t="s">
        <v>1032</v>
      </c>
      <c r="C348" s="1" t="s">
        <v>1033</v>
      </c>
      <c r="D348" s="1" t="s">
        <v>13</v>
      </c>
      <c r="E348" s="3">
        <v>0</v>
      </c>
      <c r="F348" s="3">
        <v>0</v>
      </c>
      <c r="G348" s="3">
        <v>0</v>
      </c>
      <c r="H348" s="3">
        <v>11582.27</v>
      </c>
      <c r="I348" s="3">
        <v>0</v>
      </c>
      <c r="J348" s="1" t="s">
        <v>79</v>
      </c>
      <c r="K348" s="28"/>
      <c r="L348" s="28"/>
    </row>
    <row r="349" spans="1:12" s="2" customFormat="1" ht="24.95" customHeight="1" x14ac:dyDescent="0.25">
      <c r="A349" s="31" t="s">
        <v>1034</v>
      </c>
      <c r="B349" s="1" t="s">
        <v>1035</v>
      </c>
      <c r="C349" s="1" t="s">
        <v>1036</v>
      </c>
      <c r="D349" s="1" t="s">
        <v>3027</v>
      </c>
      <c r="E349" s="3">
        <v>0</v>
      </c>
      <c r="F349" s="3">
        <v>0</v>
      </c>
      <c r="G349" s="3">
        <v>0</v>
      </c>
      <c r="H349" s="3">
        <v>0</v>
      </c>
      <c r="I349" s="3">
        <v>5534.07</v>
      </c>
      <c r="J349" s="1" t="s">
        <v>79</v>
      </c>
      <c r="K349" s="28"/>
      <c r="L349" s="28"/>
    </row>
    <row r="350" spans="1:12" s="2" customFormat="1" ht="24.95" customHeight="1" x14ac:dyDescent="0.25">
      <c r="A350" s="31" t="s">
        <v>1037</v>
      </c>
      <c r="B350" s="1" t="s">
        <v>1038</v>
      </c>
      <c r="C350" s="1" t="s">
        <v>1039</v>
      </c>
      <c r="D350" s="1" t="s">
        <v>13</v>
      </c>
      <c r="E350" s="3">
        <v>0</v>
      </c>
      <c r="F350" s="3">
        <v>0</v>
      </c>
      <c r="G350" s="3">
        <v>2084.86</v>
      </c>
      <c r="H350" s="3">
        <v>521.37</v>
      </c>
      <c r="I350" s="3">
        <v>0</v>
      </c>
      <c r="J350" s="1" t="s">
        <v>93</v>
      </c>
      <c r="K350" s="28"/>
      <c r="L350" s="28"/>
    </row>
    <row r="351" spans="1:12" s="2" customFormat="1" ht="24.95" customHeight="1" x14ac:dyDescent="0.25">
      <c r="A351" s="31" t="s">
        <v>1040</v>
      </c>
      <c r="B351" s="1" t="s">
        <v>1041</v>
      </c>
      <c r="C351" s="1" t="s">
        <v>1042</v>
      </c>
      <c r="D351" s="1" t="s">
        <v>23</v>
      </c>
      <c r="E351" s="3">
        <v>4633.08</v>
      </c>
      <c r="F351" s="3">
        <v>3312.62</v>
      </c>
      <c r="G351" s="3">
        <v>1301.75</v>
      </c>
      <c r="H351" s="3">
        <v>0</v>
      </c>
      <c r="I351" s="3">
        <v>0</v>
      </c>
      <c r="J351" s="1" t="s">
        <v>19</v>
      </c>
      <c r="K351" s="28"/>
      <c r="L351" s="28"/>
    </row>
    <row r="352" spans="1:12" s="2" customFormat="1" ht="24.95" customHeight="1" x14ac:dyDescent="0.25">
      <c r="A352" s="31" t="s">
        <v>1043</v>
      </c>
      <c r="B352" s="1" t="s">
        <v>1044</v>
      </c>
      <c r="C352" s="1" t="s">
        <v>1045</v>
      </c>
      <c r="D352" s="1" t="s">
        <v>3</v>
      </c>
      <c r="E352" s="3">
        <v>6309.03</v>
      </c>
      <c r="F352" s="3">
        <v>0</v>
      </c>
      <c r="G352" s="3">
        <v>419.71</v>
      </c>
      <c r="H352" s="3">
        <v>0</v>
      </c>
      <c r="I352" s="3">
        <v>0</v>
      </c>
      <c r="J352" s="1" t="s">
        <v>24</v>
      </c>
      <c r="K352" s="28"/>
      <c r="L352" s="28"/>
    </row>
    <row r="353" spans="1:12" s="2" customFormat="1" ht="24.95" customHeight="1" x14ac:dyDescent="0.25">
      <c r="A353" s="31" t="s">
        <v>1046</v>
      </c>
      <c r="B353" s="1" t="s">
        <v>1047</v>
      </c>
      <c r="C353" s="1" t="s">
        <v>1048</v>
      </c>
      <c r="D353" s="1" t="s">
        <v>23</v>
      </c>
      <c r="E353" s="3">
        <v>0</v>
      </c>
      <c r="F353" s="3">
        <v>2806.48</v>
      </c>
      <c r="G353" s="3">
        <v>368.67</v>
      </c>
      <c r="H353" s="3">
        <v>805.48</v>
      </c>
      <c r="I353" s="3">
        <v>0</v>
      </c>
      <c r="J353" s="1" t="s">
        <v>19</v>
      </c>
      <c r="K353" s="28"/>
      <c r="L353" s="28"/>
    </row>
    <row r="354" spans="1:12" s="2" customFormat="1" ht="24.95" customHeight="1" x14ac:dyDescent="0.25">
      <c r="A354" s="31" t="s">
        <v>1049</v>
      </c>
      <c r="B354" s="1" t="s">
        <v>1050</v>
      </c>
      <c r="C354" s="1" t="s">
        <v>1051</v>
      </c>
      <c r="D354" s="1" t="s">
        <v>18</v>
      </c>
      <c r="E354" s="3">
        <v>0</v>
      </c>
      <c r="F354" s="3">
        <v>0</v>
      </c>
      <c r="G354" s="3">
        <v>1008.4</v>
      </c>
      <c r="H354" s="3">
        <v>0</v>
      </c>
      <c r="I354" s="3">
        <v>2116.36</v>
      </c>
      <c r="J354" s="1" t="s">
        <v>41</v>
      </c>
      <c r="K354" s="28"/>
      <c r="L354" s="28"/>
    </row>
    <row r="355" spans="1:12" s="2" customFormat="1" ht="24.95" customHeight="1" x14ac:dyDescent="0.25">
      <c r="A355" s="31" t="s">
        <v>1052</v>
      </c>
      <c r="B355" s="1" t="s">
        <v>1053</v>
      </c>
      <c r="C355" s="1" t="s">
        <v>1054</v>
      </c>
      <c r="D355" s="1" t="s">
        <v>13</v>
      </c>
      <c r="E355" s="3">
        <v>0</v>
      </c>
      <c r="F355" s="3">
        <v>0</v>
      </c>
      <c r="G355" s="3">
        <v>0</v>
      </c>
      <c r="H355" s="3">
        <v>0</v>
      </c>
      <c r="I355" s="3">
        <v>299.22000000000003</v>
      </c>
      <c r="J355" s="1" t="s">
        <v>93</v>
      </c>
      <c r="K355" s="28"/>
      <c r="L355" s="28"/>
    </row>
    <row r="356" spans="1:12" s="2" customFormat="1" ht="24.95" customHeight="1" x14ac:dyDescent="0.25">
      <c r="A356" s="31" t="s">
        <v>1055</v>
      </c>
      <c r="B356" s="1" t="s">
        <v>1056</v>
      </c>
      <c r="C356" s="1" t="s">
        <v>1057</v>
      </c>
      <c r="D356" s="1" t="s">
        <v>3027</v>
      </c>
      <c r="E356" s="3">
        <v>0</v>
      </c>
      <c r="F356" s="3">
        <v>0</v>
      </c>
      <c r="G356" s="3">
        <v>954.79</v>
      </c>
      <c r="H356" s="3">
        <v>3303.33</v>
      </c>
      <c r="I356" s="3">
        <v>6977.21</v>
      </c>
      <c r="J356" s="1" t="s">
        <v>9</v>
      </c>
      <c r="K356" s="28"/>
      <c r="L356" s="28"/>
    </row>
    <row r="357" spans="1:12" s="2" customFormat="1" ht="24.95" customHeight="1" x14ac:dyDescent="0.25">
      <c r="A357" s="31" t="s">
        <v>1058</v>
      </c>
      <c r="B357" s="1" t="s">
        <v>1059</v>
      </c>
      <c r="C357" s="1" t="s">
        <v>1060</v>
      </c>
      <c r="D357" s="1" t="s">
        <v>8</v>
      </c>
      <c r="E357" s="3">
        <v>6882.43</v>
      </c>
      <c r="F357" s="3">
        <v>636.08000000000004</v>
      </c>
      <c r="G357" s="3">
        <v>0</v>
      </c>
      <c r="H357" s="3">
        <v>0</v>
      </c>
      <c r="I357" s="3">
        <v>0</v>
      </c>
      <c r="J357" s="1" t="s">
        <v>14</v>
      </c>
      <c r="K357" s="28"/>
      <c r="L357" s="28"/>
    </row>
    <row r="358" spans="1:12" s="2" customFormat="1" ht="24.95" customHeight="1" x14ac:dyDescent="0.25">
      <c r="A358" s="31" t="s">
        <v>1061</v>
      </c>
      <c r="B358" s="1" t="s">
        <v>1062</v>
      </c>
      <c r="C358" s="1" t="s">
        <v>1063</v>
      </c>
      <c r="D358" s="1" t="s">
        <v>3027</v>
      </c>
      <c r="E358" s="3">
        <v>918.25</v>
      </c>
      <c r="F358" s="3">
        <v>1342.64</v>
      </c>
      <c r="G358" s="3">
        <v>953.67</v>
      </c>
      <c r="H358" s="3">
        <v>2946.41</v>
      </c>
      <c r="I358" s="3">
        <v>2618.77</v>
      </c>
      <c r="J358" s="1" t="s">
        <v>93</v>
      </c>
      <c r="K358" s="28"/>
      <c r="L358" s="28"/>
    </row>
    <row r="359" spans="1:12" s="2" customFormat="1" ht="24.95" customHeight="1" x14ac:dyDescent="0.25">
      <c r="A359" s="31" t="s">
        <v>1064</v>
      </c>
      <c r="B359" s="1" t="s">
        <v>1065</v>
      </c>
      <c r="C359" s="1" t="s">
        <v>1066</v>
      </c>
      <c r="D359" s="1" t="s">
        <v>3</v>
      </c>
      <c r="E359" s="3">
        <v>4201.57</v>
      </c>
      <c r="F359" s="3">
        <v>0</v>
      </c>
      <c r="G359" s="3">
        <v>0</v>
      </c>
      <c r="H359" s="3">
        <v>0</v>
      </c>
      <c r="I359" s="3">
        <v>0</v>
      </c>
      <c r="J359" s="1" t="s">
        <v>48</v>
      </c>
      <c r="K359" s="28"/>
      <c r="L359" s="28"/>
    </row>
    <row r="360" spans="1:12" s="2" customFormat="1" ht="24.95" customHeight="1" x14ac:dyDescent="0.25">
      <c r="A360" s="31" t="s">
        <v>1067</v>
      </c>
      <c r="B360" s="1" t="s">
        <v>1068</v>
      </c>
      <c r="C360" s="1" t="s">
        <v>1069</v>
      </c>
      <c r="D360" s="1" t="s">
        <v>23</v>
      </c>
      <c r="E360" s="3">
        <v>0</v>
      </c>
      <c r="F360" s="3">
        <v>0</v>
      </c>
      <c r="G360" s="3">
        <v>1688.93</v>
      </c>
      <c r="H360" s="3">
        <v>0</v>
      </c>
      <c r="I360" s="3">
        <v>0</v>
      </c>
      <c r="J360" s="1" t="s">
        <v>41</v>
      </c>
      <c r="K360" s="28"/>
      <c r="L360" s="28"/>
    </row>
    <row r="361" spans="1:12" s="2" customFormat="1" ht="24.95" customHeight="1" x14ac:dyDescent="0.25">
      <c r="A361" s="31" t="s">
        <v>1070</v>
      </c>
      <c r="B361" s="1" t="s">
        <v>1071</v>
      </c>
      <c r="C361" s="1" t="s">
        <v>1072</v>
      </c>
      <c r="D361" s="1" t="s">
        <v>13</v>
      </c>
      <c r="E361" s="3">
        <v>0</v>
      </c>
      <c r="F361" s="3">
        <v>0</v>
      </c>
      <c r="G361" s="3">
        <v>0</v>
      </c>
      <c r="H361" s="3">
        <v>8662.6</v>
      </c>
      <c r="I361" s="3">
        <v>11408.2</v>
      </c>
      <c r="J361" s="1" t="s">
        <v>79</v>
      </c>
      <c r="K361" s="28"/>
      <c r="L361" s="28"/>
    </row>
    <row r="362" spans="1:12" s="2" customFormat="1" ht="24.95" customHeight="1" x14ac:dyDescent="0.25">
      <c r="A362" s="31" t="s">
        <v>1073</v>
      </c>
      <c r="B362" s="1" t="s">
        <v>1074</v>
      </c>
      <c r="C362" s="1" t="s">
        <v>1075</v>
      </c>
      <c r="D362" s="1" t="s">
        <v>3</v>
      </c>
      <c r="E362" s="3">
        <v>3341.59</v>
      </c>
      <c r="F362" s="3">
        <v>0</v>
      </c>
      <c r="G362" s="3">
        <v>0</v>
      </c>
      <c r="H362" s="3">
        <v>766.53</v>
      </c>
      <c r="I362" s="3">
        <v>7308.15</v>
      </c>
      <c r="J362" s="1" t="s">
        <v>19</v>
      </c>
      <c r="K362" s="28"/>
      <c r="L362" s="28"/>
    </row>
    <row r="363" spans="1:12" s="2" customFormat="1" ht="24.95" customHeight="1" x14ac:dyDescent="0.25">
      <c r="A363" s="31" t="s">
        <v>1076</v>
      </c>
      <c r="B363" s="1" t="s">
        <v>1077</v>
      </c>
      <c r="C363" s="1" t="s">
        <v>1078</v>
      </c>
      <c r="D363" s="1" t="s">
        <v>18</v>
      </c>
      <c r="E363" s="3">
        <v>0</v>
      </c>
      <c r="F363" s="3">
        <v>0</v>
      </c>
      <c r="G363" s="3">
        <v>0</v>
      </c>
      <c r="H363" s="3">
        <v>3667.76</v>
      </c>
      <c r="I363" s="3">
        <v>0</v>
      </c>
      <c r="J363" s="1" t="s">
        <v>48</v>
      </c>
      <c r="K363" s="28"/>
      <c r="L363" s="28"/>
    </row>
    <row r="364" spans="1:12" s="2" customFormat="1" ht="24.95" customHeight="1" x14ac:dyDescent="0.25">
      <c r="A364" s="31" t="s">
        <v>1079</v>
      </c>
      <c r="B364" s="1" t="s">
        <v>1080</v>
      </c>
      <c r="C364" s="1" t="s">
        <v>1081</v>
      </c>
      <c r="D364" s="1" t="s">
        <v>8</v>
      </c>
      <c r="E364" s="3">
        <v>0</v>
      </c>
      <c r="F364" s="3">
        <v>2515.02</v>
      </c>
      <c r="G364" s="3">
        <v>2353.42</v>
      </c>
      <c r="H364" s="3">
        <v>6123.63</v>
      </c>
      <c r="I364" s="3">
        <v>0</v>
      </c>
      <c r="J364" s="1" t="s">
        <v>4</v>
      </c>
      <c r="K364" s="28"/>
      <c r="L364" s="28"/>
    </row>
    <row r="365" spans="1:12" s="2" customFormat="1" ht="24.95" customHeight="1" x14ac:dyDescent="0.25">
      <c r="A365" s="31" t="s">
        <v>1082</v>
      </c>
      <c r="B365" s="1" t="s">
        <v>1083</v>
      </c>
      <c r="C365" s="1" t="s">
        <v>1084</v>
      </c>
      <c r="D365" s="1" t="s">
        <v>13</v>
      </c>
      <c r="E365" s="3">
        <v>1496.86</v>
      </c>
      <c r="F365" s="3">
        <v>0</v>
      </c>
      <c r="G365" s="3">
        <v>999.35</v>
      </c>
      <c r="H365" s="3">
        <v>5138.8999999999996</v>
      </c>
      <c r="I365" s="3">
        <v>8892.02</v>
      </c>
      <c r="J365" s="1" t="s">
        <v>48</v>
      </c>
      <c r="K365" s="28"/>
      <c r="L365" s="28"/>
    </row>
    <row r="366" spans="1:12" s="2" customFormat="1" ht="24.95" customHeight="1" x14ac:dyDescent="0.25">
      <c r="A366" s="31" t="s">
        <v>1085</v>
      </c>
      <c r="B366" s="1" t="s">
        <v>1086</v>
      </c>
      <c r="C366" s="1" t="s">
        <v>1087</v>
      </c>
      <c r="D366" s="1" t="s">
        <v>13</v>
      </c>
      <c r="E366" s="3">
        <v>1506.28</v>
      </c>
      <c r="F366" s="3">
        <v>1647.78</v>
      </c>
      <c r="G366" s="3">
        <v>0</v>
      </c>
      <c r="H366" s="3">
        <v>5574.16</v>
      </c>
      <c r="I366" s="3">
        <v>9654.15</v>
      </c>
      <c r="J366" s="1" t="s">
        <v>14</v>
      </c>
      <c r="K366" s="28"/>
      <c r="L366" s="28"/>
    </row>
    <row r="367" spans="1:12" s="2" customFormat="1" ht="24.95" customHeight="1" x14ac:dyDescent="0.25">
      <c r="A367" s="31" t="s">
        <v>1088</v>
      </c>
      <c r="B367" s="1" t="s">
        <v>1089</v>
      </c>
      <c r="C367" s="1" t="s">
        <v>1090</v>
      </c>
      <c r="D367" s="1" t="s">
        <v>18</v>
      </c>
      <c r="E367" s="3">
        <v>611.34</v>
      </c>
      <c r="F367" s="3">
        <v>0</v>
      </c>
      <c r="G367" s="3">
        <v>0</v>
      </c>
      <c r="H367" s="3">
        <v>0</v>
      </c>
      <c r="I367" s="3">
        <v>0</v>
      </c>
      <c r="J367" s="1" t="s">
        <v>14</v>
      </c>
      <c r="K367" s="28"/>
      <c r="L367" s="28"/>
    </row>
    <row r="368" spans="1:12" s="2" customFormat="1" ht="24.95" customHeight="1" x14ac:dyDescent="0.25">
      <c r="A368" s="31" t="s">
        <v>1091</v>
      </c>
      <c r="B368" s="1" t="s">
        <v>1092</v>
      </c>
      <c r="C368" s="1" t="s">
        <v>1093</v>
      </c>
      <c r="D368" s="1" t="s">
        <v>13</v>
      </c>
      <c r="E368" s="3">
        <v>3151.12</v>
      </c>
      <c r="F368" s="3">
        <v>4196.7</v>
      </c>
      <c r="G368" s="3">
        <v>2396.06</v>
      </c>
      <c r="H368" s="3">
        <v>0</v>
      </c>
      <c r="I368" s="3">
        <v>0</v>
      </c>
      <c r="J368" s="1" t="s">
        <v>19</v>
      </c>
      <c r="K368" s="28"/>
      <c r="L368" s="28"/>
    </row>
    <row r="369" spans="1:12" s="2" customFormat="1" ht="24.95" customHeight="1" x14ac:dyDescent="0.25">
      <c r="A369" s="31" t="s">
        <v>1094</v>
      </c>
      <c r="B369" s="1" t="s">
        <v>1095</v>
      </c>
      <c r="C369" s="1" t="s">
        <v>1096</v>
      </c>
      <c r="D369" s="1" t="s">
        <v>13</v>
      </c>
      <c r="E369" s="3">
        <v>0</v>
      </c>
      <c r="F369" s="3">
        <v>4107.18</v>
      </c>
      <c r="G369" s="3">
        <v>0</v>
      </c>
      <c r="H369" s="3">
        <v>0</v>
      </c>
      <c r="I369" s="3">
        <v>11475.65</v>
      </c>
      <c r="J369" s="1" t="s">
        <v>93</v>
      </c>
      <c r="K369" s="28"/>
      <c r="L369" s="28"/>
    </row>
    <row r="370" spans="1:12" s="2" customFormat="1" ht="24.95" customHeight="1" x14ac:dyDescent="0.25">
      <c r="A370" s="31" t="s">
        <v>1097</v>
      </c>
      <c r="B370" s="1" t="s">
        <v>1098</v>
      </c>
      <c r="C370" s="1" t="s">
        <v>1099</v>
      </c>
      <c r="D370" s="1" t="s">
        <v>3</v>
      </c>
      <c r="E370" s="3">
        <v>7547.63</v>
      </c>
      <c r="F370" s="3">
        <v>0</v>
      </c>
      <c r="G370" s="3">
        <v>0</v>
      </c>
      <c r="H370" s="3">
        <v>0</v>
      </c>
      <c r="I370" s="3">
        <v>0</v>
      </c>
      <c r="J370" s="1" t="s">
        <v>106</v>
      </c>
      <c r="K370" s="28"/>
      <c r="L370" s="28"/>
    </row>
    <row r="371" spans="1:12" s="2" customFormat="1" ht="24.95" customHeight="1" x14ac:dyDescent="0.25">
      <c r="A371" s="31" t="s">
        <v>1100</v>
      </c>
      <c r="B371" s="1" t="s">
        <v>1101</v>
      </c>
      <c r="C371" s="1" t="s">
        <v>1102</v>
      </c>
      <c r="D371" s="1" t="s">
        <v>3</v>
      </c>
      <c r="E371" s="3">
        <v>3663.74</v>
      </c>
      <c r="F371" s="3">
        <v>0</v>
      </c>
      <c r="G371" s="3">
        <v>1060.8</v>
      </c>
      <c r="H371" s="3">
        <v>2544.85</v>
      </c>
      <c r="I371" s="3">
        <v>0</v>
      </c>
      <c r="J371" s="1" t="s">
        <v>86</v>
      </c>
      <c r="K371" s="28"/>
      <c r="L371" s="28"/>
    </row>
    <row r="372" spans="1:12" s="2" customFormat="1" ht="24.95" customHeight="1" x14ac:dyDescent="0.25">
      <c r="A372" s="31" t="s">
        <v>1103</v>
      </c>
      <c r="B372" s="1" t="s">
        <v>1104</v>
      </c>
      <c r="C372" s="1" t="s">
        <v>1105</v>
      </c>
      <c r="D372" s="1" t="s">
        <v>3027</v>
      </c>
      <c r="E372" s="3">
        <v>0</v>
      </c>
      <c r="F372" s="3">
        <v>4087.13</v>
      </c>
      <c r="G372" s="3">
        <v>0</v>
      </c>
      <c r="H372" s="3">
        <v>11728.98</v>
      </c>
      <c r="I372" s="3">
        <v>9406.4599999999991</v>
      </c>
      <c r="J372" s="1" t="s">
        <v>41</v>
      </c>
      <c r="K372" s="28"/>
      <c r="L372" s="28"/>
    </row>
    <row r="373" spans="1:12" s="2" customFormat="1" ht="24.95" customHeight="1" x14ac:dyDescent="0.25">
      <c r="A373" s="31" t="s">
        <v>1106</v>
      </c>
      <c r="B373" s="1" t="s">
        <v>1107</v>
      </c>
      <c r="C373" s="1" t="s">
        <v>1108</v>
      </c>
      <c r="D373" s="1" t="s">
        <v>8</v>
      </c>
      <c r="E373" s="3">
        <v>6270.54</v>
      </c>
      <c r="F373" s="3">
        <v>799.46</v>
      </c>
      <c r="G373" s="3">
        <v>0</v>
      </c>
      <c r="H373" s="3">
        <v>8433.9</v>
      </c>
      <c r="I373" s="3">
        <v>0</v>
      </c>
      <c r="J373" s="1" t="s">
        <v>19</v>
      </c>
      <c r="K373" s="28"/>
      <c r="L373" s="28"/>
    </row>
    <row r="374" spans="1:12" s="2" customFormat="1" ht="24.95" customHeight="1" x14ac:dyDescent="0.25">
      <c r="A374" s="31" t="s">
        <v>1109</v>
      </c>
      <c r="B374" s="1" t="s">
        <v>1110</v>
      </c>
      <c r="C374" s="1" t="s">
        <v>1111</v>
      </c>
      <c r="D374" s="1" t="s">
        <v>18</v>
      </c>
      <c r="E374" s="3">
        <v>0</v>
      </c>
      <c r="F374" s="3">
        <v>530.36</v>
      </c>
      <c r="G374" s="3">
        <v>2762.52</v>
      </c>
      <c r="H374" s="3">
        <v>0</v>
      </c>
      <c r="I374" s="3">
        <v>0</v>
      </c>
      <c r="J374" s="1" t="s">
        <v>79</v>
      </c>
      <c r="K374" s="28"/>
      <c r="L374" s="28"/>
    </row>
    <row r="375" spans="1:12" s="2" customFormat="1" ht="24.95" customHeight="1" x14ac:dyDescent="0.25">
      <c r="A375" s="31" t="s">
        <v>1112</v>
      </c>
      <c r="B375" s="1" t="s">
        <v>1113</v>
      </c>
      <c r="C375" s="1" t="s">
        <v>1114</v>
      </c>
      <c r="D375" s="1" t="s">
        <v>18</v>
      </c>
      <c r="E375" s="3">
        <v>3218.1</v>
      </c>
      <c r="F375" s="3">
        <v>848.35</v>
      </c>
      <c r="G375" s="3">
        <v>2192.8200000000002</v>
      </c>
      <c r="H375" s="3">
        <v>0</v>
      </c>
      <c r="I375" s="3">
        <v>6975.14</v>
      </c>
      <c r="J375" s="1" t="s">
        <v>9</v>
      </c>
      <c r="K375" s="28"/>
      <c r="L375" s="28"/>
    </row>
    <row r="376" spans="1:12" s="2" customFormat="1" ht="24.95" customHeight="1" x14ac:dyDescent="0.25">
      <c r="A376" s="31" t="s">
        <v>1115</v>
      </c>
      <c r="B376" s="1" t="s">
        <v>1116</v>
      </c>
      <c r="C376" s="1" t="s">
        <v>1117</v>
      </c>
      <c r="D376" s="1" t="s">
        <v>13</v>
      </c>
      <c r="E376" s="3">
        <v>0</v>
      </c>
      <c r="F376" s="3">
        <v>0</v>
      </c>
      <c r="G376" s="3">
        <v>0</v>
      </c>
      <c r="H376" s="3">
        <v>11739.02</v>
      </c>
      <c r="I376" s="3">
        <v>6130.31</v>
      </c>
      <c r="J376" s="1" t="s">
        <v>106</v>
      </c>
      <c r="K376" s="28"/>
      <c r="L376" s="28"/>
    </row>
    <row r="377" spans="1:12" s="2" customFormat="1" ht="24.95" customHeight="1" x14ac:dyDescent="0.25">
      <c r="A377" s="31" t="s">
        <v>1118</v>
      </c>
      <c r="B377" s="1" t="s">
        <v>1119</v>
      </c>
      <c r="C377" s="1" t="s">
        <v>1120</v>
      </c>
      <c r="D377" s="1" t="s">
        <v>23</v>
      </c>
      <c r="E377" s="3">
        <v>6677.62</v>
      </c>
      <c r="F377" s="3">
        <v>4955.88</v>
      </c>
      <c r="G377" s="3">
        <v>0</v>
      </c>
      <c r="H377" s="3">
        <v>4958.42</v>
      </c>
      <c r="I377" s="3">
        <v>8386.7000000000007</v>
      </c>
      <c r="J377" s="1" t="s">
        <v>14</v>
      </c>
      <c r="K377" s="28"/>
      <c r="L377" s="28"/>
    </row>
    <row r="378" spans="1:12" s="2" customFormat="1" ht="24.95" customHeight="1" x14ac:dyDescent="0.25">
      <c r="A378" s="31" t="s">
        <v>1121</v>
      </c>
      <c r="B378" s="1" t="s">
        <v>1122</v>
      </c>
      <c r="C378" s="1" t="s">
        <v>1123</v>
      </c>
      <c r="D378" s="1" t="s">
        <v>18</v>
      </c>
      <c r="E378" s="3">
        <v>0</v>
      </c>
      <c r="F378" s="3">
        <v>0</v>
      </c>
      <c r="G378" s="3">
        <v>2587.0700000000002</v>
      </c>
      <c r="H378" s="3">
        <v>4759.21</v>
      </c>
      <c r="I378" s="3">
        <v>1838.69</v>
      </c>
      <c r="J378" s="1" t="s">
        <v>4</v>
      </c>
      <c r="K378" s="28"/>
      <c r="L378" s="28"/>
    </row>
    <row r="379" spans="1:12" s="2" customFormat="1" ht="24.95" customHeight="1" x14ac:dyDescent="0.25">
      <c r="A379" s="31" t="s">
        <v>1124</v>
      </c>
      <c r="B379" s="1" t="s">
        <v>1125</v>
      </c>
      <c r="C379" s="1" t="s">
        <v>1126</v>
      </c>
      <c r="D379" s="1" t="s">
        <v>3</v>
      </c>
      <c r="E379" s="3">
        <v>2155.5700000000002</v>
      </c>
      <c r="F379" s="3">
        <v>0</v>
      </c>
      <c r="G379" s="3">
        <v>2094.48</v>
      </c>
      <c r="H379" s="3">
        <v>5579.13</v>
      </c>
      <c r="I379" s="3">
        <v>11616.66</v>
      </c>
      <c r="J379" s="1" t="s">
        <v>37</v>
      </c>
      <c r="K379" s="28"/>
      <c r="L379" s="28"/>
    </row>
    <row r="380" spans="1:12" s="2" customFormat="1" ht="24.95" customHeight="1" x14ac:dyDescent="0.25">
      <c r="A380" s="31" t="s">
        <v>1127</v>
      </c>
      <c r="B380" s="1" t="s">
        <v>1128</v>
      </c>
      <c r="C380" s="1" t="s">
        <v>1129</v>
      </c>
      <c r="D380" s="1" t="s">
        <v>8</v>
      </c>
      <c r="E380" s="3">
        <v>2325.54</v>
      </c>
      <c r="F380" s="3">
        <v>2711.15</v>
      </c>
      <c r="G380" s="3">
        <v>0</v>
      </c>
      <c r="H380" s="3">
        <v>0</v>
      </c>
      <c r="I380" s="3">
        <v>14094.61</v>
      </c>
      <c r="J380" s="1" t="s">
        <v>9</v>
      </c>
      <c r="K380" s="28"/>
      <c r="L380" s="28"/>
    </row>
    <row r="381" spans="1:12" s="2" customFormat="1" ht="24.95" customHeight="1" x14ac:dyDescent="0.25">
      <c r="A381" s="31" t="s">
        <v>1130</v>
      </c>
      <c r="B381" s="1" t="s">
        <v>1131</v>
      </c>
      <c r="C381" s="1" t="s">
        <v>1132</v>
      </c>
      <c r="D381" s="1" t="s">
        <v>3</v>
      </c>
      <c r="E381" s="3">
        <v>7597.65</v>
      </c>
      <c r="F381" s="3">
        <v>0</v>
      </c>
      <c r="G381" s="3">
        <v>0</v>
      </c>
      <c r="H381" s="3">
        <v>0</v>
      </c>
      <c r="I381" s="3">
        <v>8754.2999999999993</v>
      </c>
      <c r="J381" s="1" t="s">
        <v>86</v>
      </c>
      <c r="K381" s="28"/>
      <c r="L381" s="28"/>
    </row>
    <row r="382" spans="1:12" s="2" customFormat="1" ht="24.95" customHeight="1" x14ac:dyDescent="0.25">
      <c r="A382" s="31" t="s">
        <v>1133</v>
      </c>
      <c r="B382" s="1" t="s">
        <v>1134</v>
      </c>
      <c r="C382" s="1" t="s">
        <v>1135</v>
      </c>
      <c r="D382" s="1" t="s">
        <v>3027</v>
      </c>
      <c r="E382" s="3">
        <v>878.45</v>
      </c>
      <c r="F382" s="3">
        <v>4228.5200000000004</v>
      </c>
      <c r="G382" s="3">
        <v>562.11</v>
      </c>
      <c r="H382" s="3">
        <v>0</v>
      </c>
      <c r="I382" s="3">
        <v>0</v>
      </c>
      <c r="J382" s="1" t="s">
        <v>48</v>
      </c>
      <c r="K382" s="28"/>
      <c r="L382" s="28"/>
    </row>
    <row r="383" spans="1:12" s="2" customFormat="1" ht="24.95" customHeight="1" x14ac:dyDescent="0.25">
      <c r="A383" s="31" t="s">
        <v>1136</v>
      </c>
      <c r="B383" s="1" t="s">
        <v>1137</v>
      </c>
      <c r="C383" s="1" t="s">
        <v>1138</v>
      </c>
      <c r="D383" s="1" t="s">
        <v>13</v>
      </c>
      <c r="E383" s="3">
        <v>3250.89</v>
      </c>
      <c r="F383" s="3">
        <v>0</v>
      </c>
      <c r="G383" s="3">
        <v>0</v>
      </c>
      <c r="H383" s="3">
        <v>0</v>
      </c>
      <c r="I383" s="3">
        <v>0</v>
      </c>
      <c r="J383" s="1" t="s">
        <v>79</v>
      </c>
      <c r="K383" s="28"/>
      <c r="L383" s="28"/>
    </row>
    <row r="384" spans="1:12" s="2" customFormat="1" ht="24.95" customHeight="1" x14ac:dyDescent="0.25">
      <c r="A384" s="31" t="s">
        <v>1139</v>
      </c>
      <c r="B384" s="1" t="s">
        <v>1140</v>
      </c>
      <c r="C384" s="1" t="s">
        <v>1141</v>
      </c>
      <c r="D384" s="1" t="s">
        <v>3027</v>
      </c>
      <c r="E384" s="3">
        <v>2541.2399999999998</v>
      </c>
      <c r="F384" s="3">
        <v>0</v>
      </c>
      <c r="G384" s="3">
        <v>0</v>
      </c>
      <c r="H384" s="3">
        <v>2802.88</v>
      </c>
      <c r="I384" s="3">
        <v>0</v>
      </c>
      <c r="J384" s="1" t="s">
        <v>24</v>
      </c>
      <c r="K384" s="28"/>
      <c r="L384" s="28"/>
    </row>
    <row r="385" spans="1:12" s="2" customFormat="1" ht="24.95" customHeight="1" x14ac:dyDescent="0.25">
      <c r="A385" s="31" t="s">
        <v>1142</v>
      </c>
      <c r="B385" s="1" t="s">
        <v>1143</v>
      </c>
      <c r="C385" s="1" t="s">
        <v>1144</v>
      </c>
      <c r="D385" s="1" t="s">
        <v>18</v>
      </c>
      <c r="E385" s="3">
        <v>986.44</v>
      </c>
      <c r="F385" s="3">
        <v>0</v>
      </c>
      <c r="G385" s="3">
        <v>0</v>
      </c>
      <c r="H385" s="3">
        <v>0</v>
      </c>
      <c r="I385" s="3">
        <v>0</v>
      </c>
      <c r="J385" s="1" t="s">
        <v>19</v>
      </c>
      <c r="K385" s="28"/>
      <c r="L385" s="28"/>
    </row>
    <row r="386" spans="1:12" s="2" customFormat="1" ht="24.95" customHeight="1" x14ac:dyDescent="0.25">
      <c r="A386" s="31" t="s">
        <v>1145</v>
      </c>
      <c r="B386" s="1" t="s">
        <v>1146</v>
      </c>
      <c r="C386" s="1" t="s">
        <v>1147</v>
      </c>
      <c r="D386" s="1" t="s">
        <v>3</v>
      </c>
      <c r="E386" s="3">
        <v>4775.37</v>
      </c>
      <c r="F386" s="3">
        <v>0</v>
      </c>
      <c r="G386" s="3">
        <v>0</v>
      </c>
      <c r="H386" s="3">
        <v>0</v>
      </c>
      <c r="I386" s="3">
        <v>0</v>
      </c>
      <c r="J386" s="1" t="s">
        <v>24</v>
      </c>
      <c r="K386" s="28"/>
      <c r="L386" s="28"/>
    </row>
    <row r="387" spans="1:12" s="2" customFormat="1" ht="24.95" customHeight="1" x14ac:dyDescent="0.25">
      <c r="A387" s="31" t="s">
        <v>1148</v>
      </c>
      <c r="B387" s="1" t="s">
        <v>1149</v>
      </c>
      <c r="C387" s="1" t="s">
        <v>1150</v>
      </c>
      <c r="D387" s="1" t="s">
        <v>23</v>
      </c>
      <c r="E387" s="3">
        <v>5718.88</v>
      </c>
      <c r="F387" s="3">
        <v>0</v>
      </c>
      <c r="G387" s="3">
        <v>2903.37</v>
      </c>
      <c r="H387" s="3">
        <v>8322.67</v>
      </c>
      <c r="I387" s="3">
        <v>0</v>
      </c>
      <c r="J387" s="1" t="s">
        <v>24</v>
      </c>
      <c r="K387" s="28"/>
      <c r="L387" s="28"/>
    </row>
    <row r="388" spans="1:12" s="2" customFormat="1" ht="24.95" customHeight="1" x14ac:dyDescent="0.25">
      <c r="A388" s="31" t="s">
        <v>1151</v>
      </c>
      <c r="B388" s="1" t="s">
        <v>1152</v>
      </c>
      <c r="C388" s="1" t="s">
        <v>1153</v>
      </c>
      <c r="D388" s="1" t="s">
        <v>13</v>
      </c>
      <c r="E388" s="3">
        <v>0</v>
      </c>
      <c r="F388" s="3">
        <v>1219.04</v>
      </c>
      <c r="G388" s="3">
        <v>0</v>
      </c>
      <c r="H388" s="3">
        <v>0</v>
      </c>
      <c r="I388" s="3">
        <v>0</v>
      </c>
      <c r="J388" s="1" t="s">
        <v>106</v>
      </c>
      <c r="K388" s="28"/>
      <c r="L388" s="28"/>
    </row>
    <row r="389" spans="1:12" s="2" customFormat="1" ht="24.95" customHeight="1" x14ac:dyDescent="0.25">
      <c r="A389" s="31" t="s">
        <v>1154</v>
      </c>
      <c r="B389" s="1" t="s">
        <v>1155</v>
      </c>
      <c r="C389" s="1" t="s">
        <v>1156</v>
      </c>
      <c r="D389" s="1" t="s">
        <v>23</v>
      </c>
      <c r="E389" s="3">
        <v>0</v>
      </c>
      <c r="F389" s="3">
        <v>0</v>
      </c>
      <c r="G389" s="3">
        <v>0</v>
      </c>
      <c r="H389" s="3">
        <v>7275.62</v>
      </c>
      <c r="I389" s="3">
        <v>12014.34</v>
      </c>
      <c r="J389" s="1" t="s">
        <v>37</v>
      </c>
      <c r="K389" s="28"/>
      <c r="L389" s="28"/>
    </row>
    <row r="390" spans="1:12" s="2" customFormat="1" ht="24.95" customHeight="1" x14ac:dyDescent="0.25">
      <c r="A390" s="31" t="s">
        <v>1157</v>
      </c>
      <c r="B390" s="1" t="s">
        <v>1158</v>
      </c>
      <c r="C390" s="1" t="s">
        <v>1159</v>
      </c>
      <c r="D390" s="1" t="s">
        <v>18</v>
      </c>
      <c r="E390" s="3">
        <v>3362.37</v>
      </c>
      <c r="F390" s="3">
        <v>845.87</v>
      </c>
      <c r="G390" s="3">
        <v>0</v>
      </c>
      <c r="H390" s="3">
        <v>6678.22</v>
      </c>
      <c r="I390" s="3">
        <v>0</v>
      </c>
      <c r="J390" s="1" t="s">
        <v>24</v>
      </c>
      <c r="K390" s="28"/>
      <c r="L390" s="28"/>
    </row>
    <row r="391" spans="1:12" s="2" customFormat="1" ht="24.95" customHeight="1" x14ac:dyDescent="0.25">
      <c r="A391" s="31" t="s">
        <v>1160</v>
      </c>
      <c r="B391" s="1" t="s">
        <v>1161</v>
      </c>
      <c r="C391" s="1" t="s">
        <v>1162</v>
      </c>
      <c r="D391" s="1" t="s">
        <v>8</v>
      </c>
      <c r="E391" s="3">
        <v>4362.6000000000004</v>
      </c>
      <c r="F391" s="3">
        <v>0</v>
      </c>
      <c r="G391" s="3">
        <v>0</v>
      </c>
      <c r="H391" s="3">
        <v>0</v>
      </c>
      <c r="I391" s="3">
        <v>0</v>
      </c>
      <c r="J391" s="1" t="s">
        <v>79</v>
      </c>
      <c r="K391" s="28"/>
      <c r="L391" s="28"/>
    </row>
    <row r="392" spans="1:12" s="2" customFormat="1" ht="24.95" customHeight="1" x14ac:dyDescent="0.25">
      <c r="A392" s="31" t="s">
        <v>1163</v>
      </c>
      <c r="B392" s="1" t="s">
        <v>1164</v>
      </c>
      <c r="C392" s="1" t="s">
        <v>1165</v>
      </c>
      <c r="D392" s="1" t="s">
        <v>18</v>
      </c>
      <c r="E392" s="3">
        <v>0</v>
      </c>
      <c r="F392" s="3">
        <v>2344.0700000000002</v>
      </c>
      <c r="G392" s="3">
        <v>2017.88</v>
      </c>
      <c r="H392" s="3">
        <v>3917.26</v>
      </c>
      <c r="I392" s="3">
        <v>4018.97</v>
      </c>
      <c r="J392" s="1" t="s">
        <v>37</v>
      </c>
      <c r="K392" s="28"/>
      <c r="L392" s="28"/>
    </row>
    <row r="393" spans="1:12" s="2" customFormat="1" ht="24.95" customHeight="1" x14ac:dyDescent="0.25">
      <c r="A393" s="31" t="s">
        <v>1166</v>
      </c>
      <c r="B393" s="1" t="s">
        <v>1167</v>
      </c>
      <c r="C393" s="1" t="s">
        <v>1168</v>
      </c>
      <c r="D393" s="1" t="s">
        <v>3027</v>
      </c>
      <c r="E393" s="3">
        <v>2600.17</v>
      </c>
      <c r="F393" s="3">
        <v>0</v>
      </c>
      <c r="G393" s="3">
        <v>0</v>
      </c>
      <c r="H393" s="3">
        <v>0</v>
      </c>
      <c r="I393" s="3">
        <v>6539.14</v>
      </c>
      <c r="J393" s="1" t="s">
        <v>37</v>
      </c>
      <c r="K393" s="28"/>
      <c r="L393" s="28"/>
    </row>
    <row r="394" spans="1:12" s="2" customFormat="1" ht="24.95" customHeight="1" x14ac:dyDescent="0.25">
      <c r="A394" s="31" t="s">
        <v>1169</v>
      </c>
      <c r="B394" s="1" t="s">
        <v>1170</v>
      </c>
      <c r="C394" s="1" t="s">
        <v>1171</v>
      </c>
      <c r="D394" s="1" t="s">
        <v>18</v>
      </c>
      <c r="E394" s="3">
        <v>1979.75</v>
      </c>
      <c r="F394" s="3">
        <v>0</v>
      </c>
      <c r="G394" s="3">
        <v>2561.2800000000002</v>
      </c>
      <c r="H394" s="3">
        <v>0</v>
      </c>
      <c r="I394" s="3">
        <v>0</v>
      </c>
      <c r="J394" s="1" t="s">
        <v>9</v>
      </c>
      <c r="K394" s="28"/>
      <c r="L394" s="28"/>
    </row>
    <row r="395" spans="1:12" s="2" customFormat="1" ht="24.95" customHeight="1" x14ac:dyDescent="0.25">
      <c r="A395" s="31" t="s">
        <v>1172</v>
      </c>
      <c r="B395" s="1" t="s">
        <v>1173</v>
      </c>
      <c r="C395" s="1" t="s">
        <v>1174</v>
      </c>
      <c r="D395" s="1" t="s">
        <v>3</v>
      </c>
      <c r="E395" s="3">
        <v>0</v>
      </c>
      <c r="F395" s="3">
        <v>1880.3</v>
      </c>
      <c r="G395" s="3">
        <v>2741.96</v>
      </c>
      <c r="H395" s="3">
        <v>0</v>
      </c>
      <c r="I395" s="3">
        <v>6932.29</v>
      </c>
      <c r="J395" s="1" t="s">
        <v>19</v>
      </c>
      <c r="K395" s="28"/>
      <c r="L395" s="28"/>
    </row>
    <row r="396" spans="1:12" s="2" customFormat="1" ht="24.95" customHeight="1" x14ac:dyDescent="0.25">
      <c r="A396" s="31" t="s">
        <v>1175</v>
      </c>
      <c r="B396" s="1" t="s">
        <v>1176</v>
      </c>
      <c r="C396" s="1" t="s">
        <v>1177</v>
      </c>
      <c r="D396" s="1" t="s">
        <v>3</v>
      </c>
      <c r="E396" s="3">
        <v>5187.3100000000004</v>
      </c>
      <c r="F396" s="3">
        <v>0</v>
      </c>
      <c r="G396" s="3">
        <v>0</v>
      </c>
      <c r="H396" s="3">
        <v>0</v>
      </c>
      <c r="I396" s="3">
        <v>8084.94</v>
      </c>
      <c r="J396" s="1" t="s">
        <v>9</v>
      </c>
      <c r="K396" s="28"/>
      <c r="L396" s="28"/>
    </row>
    <row r="397" spans="1:12" s="2" customFormat="1" ht="24.95" customHeight="1" x14ac:dyDescent="0.25">
      <c r="A397" s="31" t="s">
        <v>1178</v>
      </c>
      <c r="B397" s="1" t="s">
        <v>1179</v>
      </c>
      <c r="C397" s="1" t="s">
        <v>1180</v>
      </c>
      <c r="D397" s="1" t="s">
        <v>18</v>
      </c>
      <c r="E397" s="3">
        <v>1958.55</v>
      </c>
      <c r="F397" s="3">
        <v>4094.26</v>
      </c>
      <c r="G397" s="3">
        <v>1873.9</v>
      </c>
      <c r="H397" s="3">
        <v>0</v>
      </c>
      <c r="I397" s="3">
        <v>0</v>
      </c>
      <c r="J397" s="1" t="s">
        <v>14</v>
      </c>
      <c r="K397" s="28"/>
      <c r="L397" s="28"/>
    </row>
    <row r="398" spans="1:12" s="2" customFormat="1" ht="24.95" customHeight="1" x14ac:dyDescent="0.25">
      <c r="A398" s="31" t="s">
        <v>1181</v>
      </c>
      <c r="B398" s="1" t="s">
        <v>1182</v>
      </c>
      <c r="C398" s="1" t="s">
        <v>1183</v>
      </c>
      <c r="D398" s="1" t="s">
        <v>3027</v>
      </c>
      <c r="E398" s="3">
        <v>0</v>
      </c>
      <c r="F398" s="3">
        <v>1808.78</v>
      </c>
      <c r="G398" s="3">
        <v>0</v>
      </c>
      <c r="H398" s="3">
        <v>3865.83</v>
      </c>
      <c r="I398" s="3">
        <v>1036.32</v>
      </c>
      <c r="J398" s="1" t="s">
        <v>106</v>
      </c>
      <c r="K398" s="28"/>
      <c r="L398" s="28"/>
    </row>
    <row r="399" spans="1:12" s="2" customFormat="1" ht="24.95" customHeight="1" x14ac:dyDescent="0.25">
      <c r="A399" s="31" t="s">
        <v>1184</v>
      </c>
      <c r="B399" s="1" t="s">
        <v>1185</v>
      </c>
      <c r="C399" s="1" t="s">
        <v>1186</v>
      </c>
      <c r="D399" s="1" t="s">
        <v>8</v>
      </c>
      <c r="E399" s="3">
        <v>0</v>
      </c>
      <c r="F399" s="3">
        <v>0</v>
      </c>
      <c r="G399" s="3">
        <v>0</v>
      </c>
      <c r="H399" s="3">
        <v>11793.56</v>
      </c>
      <c r="I399" s="3">
        <v>0</v>
      </c>
      <c r="J399" s="1" t="s">
        <v>93</v>
      </c>
      <c r="K399" s="28"/>
      <c r="L399" s="28"/>
    </row>
    <row r="400" spans="1:12" s="2" customFormat="1" ht="24.95" customHeight="1" x14ac:dyDescent="0.25">
      <c r="A400" s="31" t="s">
        <v>1187</v>
      </c>
      <c r="B400" s="1" t="s">
        <v>1188</v>
      </c>
      <c r="C400" s="1" t="s">
        <v>1189</v>
      </c>
      <c r="D400" s="1" t="s">
        <v>8</v>
      </c>
      <c r="E400" s="3">
        <v>6143.1</v>
      </c>
      <c r="F400" s="3">
        <v>0</v>
      </c>
      <c r="G400" s="3">
        <v>0</v>
      </c>
      <c r="H400" s="3">
        <v>0</v>
      </c>
      <c r="I400" s="3">
        <v>12863.37</v>
      </c>
      <c r="J400" s="1" t="s">
        <v>48</v>
      </c>
      <c r="K400" s="28"/>
      <c r="L400" s="28"/>
    </row>
    <row r="401" spans="1:12" s="2" customFormat="1" ht="24.95" customHeight="1" x14ac:dyDescent="0.25">
      <c r="A401" s="31" t="s">
        <v>1190</v>
      </c>
      <c r="B401" s="1" t="s">
        <v>1191</v>
      </c>
      <c r="C401" s="1" t="s">
        <v>1192</v>
      </c>
      <c r="D401" s="1" t="s">
        <v>8</v>
      </c>
      <c r="E401" s="3">
        <v>3359.98</v>
      </c>
      <c r="F401" s="3">
        <v>0</v>
      </c>
      <c r="G401" s="3">
        <v>0</v>
      </c>
      <c r="H401" s="3">
        <v>0</v>
      </c>
      <c r="I401" s="3">
        <v>0</v>
      </c>
      <c r="J401" s="1" t="s">
        <v>4</v>
      </c>
      <c r="K401" s="28"/>
      <c r="L401" s="28"/>
    </row>
    <row r="402" spans="1:12" s="2" customFormat="1" ht="24.95" customHeight="1" x14ac:dyDescent="0.25">
      <c r="A402" s="31" t="s">
        <v>1193</v>
      </c>
      <c r="B402" s="1" t="s">
        <v>1194</v>
      </c>
      <c r="C402" s="1" t="s">
        <v>1195</v>
      </c>
      <c r="D402" s="1" t="s">
        <v>23</v>
      </c>
      <c r="E402" s="3">
        <v>2315.5100000000002</v>
      </c>
      <c r="F402" s="3">
        <v>0</v>
      </c>
      <c r="G402" s="3">
        <v>2691.66</v>
      </c>
      <c r="H402" s="3">
        <v>0</v>
      </c>
      <c r="I402" s="3">
        <v>0</v>
      </c>
      <c r="J402" s="1" t="s">
        <v>79</v>
      </c>
      <c r="K402" s="28"/>
      <c r="L402" s="28"/>
    </row>
    <row r="403" spans="1:12" s="2" customFormat="1" ht="24.95" customHeight="1" x14ac:dyDescent="0.25">
      <c r="A403" s="31" t="s">
        <v>1196</v>
      </c>
      <c r="B403" s="1" t="s">
        <v>1197</v>
      </c>
      <c r="C403" s="1" t="s">
        <v>1198</v>
      </c>
      <c r="D403" s="1" t="s">
        <v>13</v>
      </c>
      <c r="E403" s="3">
        <v>0</v>
      </c>
      <c r="F403" s="3">
        <v>0</v>
      </c>
      <c r="G403" s="3">
        <v>0</v>
      </c>
      <c r="H403" s="3">
        <v>0</v>
      </c>
      <c r="I403" s="3">
        <v>9406.52</v>
      </c>
      <c r="J403" s="1" t="s">
        <v>4</v>
      </c>
      <c r="K403" s="28"/>
      <c r="L403" s="28"/>
    </row>
    <row r="404" spans="1:12" s="2" customFormat="1" ht="24.95" customHeight="1" x14ac:dyDescent="0.25">
      <c r="A404" s="31" t="s">
        <v>1199</v>
      </c>
      <c r="B404" s="1" t="s">
        <v>1200</v>
      </c>
      <c r="C404" s="1" t="s">
        <v>1201</v>
      </c>
      <c r="D404" s="1" t="s">
        <v>18</v>
      </c>
      <c r="E404" s="3">
        <v>0</v>
      </c>
      <c r="F404" s="3">
        <v>0</v>
      </c>
      <c r="G404" s="3">
        <v>2238.35</v>
      </c>
      <c r="H404" s="3">
        <v>0</v>
      </c>
      <c r="I404" s="3">
        <v>0</v>
      </c>
      <c r="J404" s="1" t="s">
        <v>9</v>
      </c>
      <c r="K404" s="28"/>
      <c r="L404" s="28"/>
    </row>
    <row r="405" spans="1:12" s="2" customFormat="1" ht="24.95" customHeight="1" x14ac:dyDescent="0.25">
      <c r="A405" s="31" t="s">
        <v>1202</v>
      </c>
      <c r="B405" s="1" t="s">
        <v>1203</v>
      </c>
      <c r="C405" s="1" t="s">
        <v>1204</v>
      </c>
      <c r="D405" s="1" t="s">
        <v>13</v>
      </c>
      <c r="E405" s="3">
        <v>0</v>
      </c>
      <c r="F405" s="3">
        <v>0</v>
      </c>
      <c r="G405" s="3">
        <v>925.77</v>
      </c>
      <c r="H405" s="3">
        <v>0</v>
      </c>
      <c r="I405" s="3">
        <v>0</v>
      </c>
      <c r="J405" s="1" t="s">
        <v>4</v>
      </c>
      <c r="K405" s="28"/>
      <c r="L405" s="28"/>
    </row>
    <row r="406" spans="1:12" s="2" customFormat="1" ht="24.95" customHeight="1" x14ac:dyDescent="0.25">
      <c r="A406" s="31" t="s">
        <v>1205</v>
      </c>
      <c r="B406" s="1" t="s">
        <v>1206</v>
      </c>
      <c r="C406" s="1" t="s">
        <v>1207</v>
      </c>
      <c r="D406" s="1" t="s">
        <v>3</v>
      </c>
      <c r="E406" s="3">
        <v>3901.78</v>
      </c>
      <c r="F406" s="3">
        <v>4341.04</v>
      </c>
      <c r="G406" s="3">
        <v>0</v>
      </c>
      <c r="H406" s="3">
        <v>0</v>
      </c>
      <c r="I406" s="3">
        <v>0</v>
      </c>
      <c r="J406" s="1" t="s">
        <v>4</v>
      </c>
      <c r="K406" s="28"/>
      <c r="L406" s="28"/>
    </row>
    <row r="407" spans="1:12" s="2" customFormat="1" ht="24.95" customHeight="1" x14ac:dyDescent="0.25">
      <c r="A407" s="31" t="s">
        <v>1208</v>
      </c>
      <c r="B407" s="1" t="s">
        <v>1209</v>
      </c>
      <c r="C407" s="1" t="s">
        <v>1210</v>
      </c>
      <c r="D407" s="1" t="s">
        <v>13</v>
      </c>
      <c r="E407" s="3">
        <v>0</v>
      </c>
      <c r="F407" s="3">
        <v>617.92999999999995</v>
      </c>
      <c r="G407" s="3">
        <v>1963.53</v>
      </c>
      <c r="H407" s="3">
        <v>3317.81</v>
      </c>
      <c r="I407" s="3">
        <v>0</v>
      </c>
      <c r="J407" s="1" t="s">
        <v>41</v>
      </c>
      <c r="K407" s="28"/>
      <c r="L407" s="28"/>
    </row>
    <row r="408" spans="1:12" s="2" customFormat="1" ht="24.95" customHeight="1" x14ac:dyDescent="0.25">
      <c r="A408" s="31" t="s">
        <v>1211</v>
      </c>
      <c r="B408" s="1" t="s">
        <v>1212</v>
      </c>
      <c r="C408" s="1" t="s">
        <v>1213</v>
      </c>
      <c r="D408" s="1" t="s">
        <v>23</v>
      </c>
      <c r="E408" s="3">
        <v>5835.73</v>
      </c>
      <c r="F408" s="3">
        <v>0</v>
      </c>
      <c r="G408" s="3">
        <v>0</v>
      </c>
      <c r="H408" s="3">
        <v>9645.8700000000008</v>
      </c>
      <c r="I408" s="3">
        <v>0</v>
      </c>
      <c r="J408" s="1" t="s">
        <v>24</v>
      </c>
      <c r="K408" s="28"/>
      <c r="L408" s="28"/>
    </row>
    <row r="409" spans="1:12" s="2" customFormat="1" ht="24.95" customHeight="1" x14ac:dyDescent="0.25">
      <c r="A409" s="31" t="s">
        <v>1214</v>
      </c>
      <c r="B409" s="1" t="s">
        <v>1215</v>
      </c>
      <c r="C409" s="1" t="s">
        <v>1216</v>
      </c>
      <c r="D409" s="1" t="s">
        <v>8</v>
      </c>
      <c r="E409" s="3">
        <v>0</v>
      </c>
      <c r="F409" s="3">
        <v>0</v>
      </c>
      <c r="G409" s="3">
        <v>874.85</v>
      </c>
      <c r="H409" s="3">
        <v>0</v>
      </c>
      <c r="I409" s="3">
        <v>0</v>
      </c>
      <c r="J409" s="1" t="s">
        <v>14</v>
      </c>
      <c r="K409" s="28"/>
      <c r="L409" s="28"/>
    </row>
    <row r="410" spans="1:12" s="2" customFormat="1" ht="24.95" customHeight="1" x14ac:dyDescent="0.25">
      <c r="A410" s="31" t="s">
        <v>1217</v>
      </c>
      <c r="B410" s="1" t="s">
        <v>1218</v>
      </c>
      <c r="C410" s="1" t="s">
        <v>1219</v>
      </c>
      <c r="D410" s="1" t="s">
        <v>8</v>
      </c>
      <c r="E410" s="3">
        <v>0</v>
      </c>
      <c r="F410" s="3">
        <v>2388.34</v>
      </c>
      <c r="G410" s="3">
        <v>260.10000000000002</v>
      </c>
      <c r="H410" s="3">
        <v>4045.24</v>
      </c>
      <c r="I410" s="3">
        <v>0</v>
      </c>
      <c r="J410" s="1" t="s">
        <v>86</v>
      </c>
      <c r="K410" s="28"/>
      <c r="L410" s="28"/>
    </row>
    <row r="411" spans="1:12" s="2" customFormat="1" ht="24.95" customHeight="1" x14ac:dyDescent="0.25">
      <c r="A411" s="31" t="s">
        <v>1220</v>
      </c>
      <c r="B411" s="1" t="s">
        <v>1221</v>
      </c>
      <c r="C411" s="1" t="s">
        <v>1222</v>
      </c>
      <c r="D411" s="1" t="s">
        <v>3027</v>
      </c>
      <c r="E411" s="3">
        <v>0</v>
      </c>
      <c r="F411" s="3">
        <v>0</v>
      </c>
      <c r="G411" s="3">
        <v>453.92</v>
      </c>
      <c r="H411" s="3">
        <v>7842.85</v>
      </c>
      <c r="I411" s="3">
        <v>0</v>
      </c>
      <c r="J411" s="1" t="s">
        <v>41</v>
      </c>
      <c r="K411" s="28"/>
      <c r="L411" s="28"/>
    </row>
    <row r="412" spans="1:12" s="2" customFormat="1" ht="24.95" customHeight="1" x14ac:dyDescent="0.25">
      <c r="A412" s="31" t="s">
        <v>1223</v>
      </c>
      <c r="B412" s="1" t="s">
        <v>1224</v>
      </c>
      <c r="C412" s="1" t="s">
        <v>1225</v>
      </c>
      <c r="D412" s="1" t="s">
        <v>13</v>
      </c>
      <c r="E412" s="3">
        <v>0</v>
      </c>
      <c r="F412" s="3">
        <v>0</v>
      </c>
      <c r="G412" s="3">
        <v>0</v>
      </c>
      <c r="H412" s="3">
        <v>3891.26</v>
      </c>
      <c r="I412" s="3">
        <v>0</v>
      </c>
      <c r="J412" s="1" t="s">
        <v>4</v>
      </c>
      <c r="K412" s="28"/>
      <c r="L412" s="28"/>
    </row>
    <row r="413" spans="1:12" s="2" customFormat="1" ht="24.95" customHeight="1" x14ac:dyDescent="0.25">
      <c r="A413" s="31" t="s">
        <v>1226</v>
      </c>
      <c r="B413" s="1" t="s">
        <v>1227</v>
      </c>
      <c r="C413" s="1" t="s">
        <v>1228</v>
      </c>
      <c r="D413" s="1" t="s">
        <v>3</v>
      </c>
      <c r="E413" s="3">
        <v>2517.37</v>
      </c>
      <c r="F413" s="3">
        <v>2119.52</v>
      </c>
      <c r="G413" s="3">
        <v>1669.52</v>
      </c>
      <c r="H413" s="3">
        <v>5873.52</v>
      </c>
      <c r="I413" s="3">
        <v>10300.98</v>
      </c>
      <c r="J413" s="1" t="s">
        <v>37</v>
      </c>
      <c r="K413" s="28"/>
      <c r="L413" s="28"/>
    </row>
    <row r="414" spans="1:12" s="2" customFormat="1" ht="24.95" customHeight="1" x14ac:dyDescent="0.25">
      <c r="A414" s="31" t="s">
        <v>1229</v>
      </c>
      <c r="B414" s="1" t="s">
        <v>1230</v>
      </c>
      <c r="C414" s="1" t="s">
        <v>1231</v>
      </c>
      <c r="D414" s="1" t="s">
        <v>3027</v>
      </c>
      <c r="E414" s="3">
        <v>0</v>
      </c>
      <c r="F414" s="3">
        <v>0</v>
      </c>
      <c r="G414" s="3">
        <v>1261.3599999999999</v>
      </c>
      <c r="H414" s="3">
        <v>10732.61</v>
      </c>
      <c r="I414" s="3">
        <v>11606.44</v>
      </c>
      <c r="J414" s="1" t="s">
        <v>93</v>
      </c>
      <c r="K414" s="28"/>
      <c r="L414" s="28"/>
    </row>
    <row r="415" spans="1:12" s="2" customFormat="1" ht="24.95" customHeight="1" x14ac:dyDescent="0.25">
      <c r="A415" s="31" t="s">
        <v>1232</v>
      </c>
      <c r="B415" s="1" t="s">
        <v>1233</v>
      </c>
      <c r="C415" s="1" t="s">
        <v>1234</v>
      </c>
      <c r="D415" s="1" t="s">
        <v>13</v>
      </c>
      <c r="E415" s="3">
        <v>7361.15</v>
      </c>
      <c r="F415" s="3">
        <v>0</v>
      </c>
      <c r="G415" s="3">
        <v>0</v>
      </c>
      <c r="H415" s="3">
        <v>1823.4</v>
      </c>
      <c r="I415" s="3">
        <v>11805.79</v>
      </c>
      <c r="J415" s="1" t="s">
        <v>41</v>
      </c>
      <c r="K415" s="28"/>
      <c r="L415" s="28"/>
    </row>
    <row r="416" spans="1:12" s="2" customFormat="1" ht="24.95" customHeight="1" x14ac:dyDescent="0.25">
      <c r="A416" s="31" t="s">
        <v>1235</v>
      </c>
      <c r="B416" s="1" t="s">
        <v>1236</v>
      </c>
      <c r="C416" s="1" t="s">
        <v>1237</v>
      </c>
      <c r="D416" s="1" t="s">
        <v>18</v>
      </c>
      <c r="E416" s="3">
        <v>2093.6799999999998</v>
      </c>
      <c r="F416" s="3">
        <v>2234.9899999999998</v>
      </c>
      <c r="G416" s="3">
        <v>0</v>
      </c>
      <c r="H416" s="3">
        <v>0</v>
      </c>
      <c r="I416" s="3">
        <v>2383.69</v>
      </c>
      <c r="J416" s="1" t="s">
        <v>86</v>
      </c>
      <c r="K416" s="28"/>
      <c r="L416" s="28"/>
    </row>
    <row r="417" spans="1:12" s="2" customFormat="1" ht="24.95" customHeight="1" x14ac:dyDescent="0.25">
      <c r="A417" s="31" t="s">
        <v>1238</v>
      </c>
      <c r="B417" s="1" t="s">
        <v>1239</v>
      </c>
      <c r="C417" s="1" t="s">
        <v>1240</v>
      </c>
      <c r="D417" s="1" t="s">
        <v>23</v>
      </c>
      <c r="E417" s="3">
        <v>0</v>
      </c>
      <c r="F417" s="3">
        <v>4220.93</v>
      </c>
      <c r="G417" s="3">
        <v>2271.56</v>
      </c>
      <c r="H417" s="3">
        <v>6532.93</v>
      </c>
      <c r="I417" s="3">
        <v>5541.83</v>
      </c>
      <c r="J417" s="1" t="s">
        <v>37</v>
      </c>
      <c r="K417" s="28"/>
      <c r="L417" s="28"/>
    </row>
    <row r="418" spans="1:12" s="2" customFormat="1" ht="24.95" customHeight="1" x14ac:dyDescent="0.25">
      <c r="A418" s="31" t="s">
        <v>1241</v>
      </c>
      <c r="B418" s="1" t="s">
        <v>1242</v>
      </c>
      <c r="C418" s="1" t="s">
        <v>1243</v>
      </c>
      <c r="D418" s="1" t="s">
        <v>3027</v>
      </c>
      <c r="E418" s="3">
        <v>7509.43</v>
      </c>
      <c r="F418" s="3">
        <v>0</v>
      </c>
      <c r="G418" s="3">
        <v>0</v>
      </c>
      <c r="H418" s="3">
        <v>10247.36</v>
      </c>
      <c r="I418" s="3">
        <v>11295.48</v>
      </c>
      <c r="J418" s="1" t="s">
        <v>9</v>
      </c>
      <c r="K418" s="28"/>
      <c r="L418" s="28"/>
    </row>
    <row r="419" spans="1:12" s="2" customFormat="1" ht="24.95" customHeight="1" x14ac:dyDescent="0.25">
      <c r="A419" s="31" t="s">
        <v>1244</v>
      </c>
      <c r="B419" s="1" t="s">
        <v>1245</v>
      </c>
      <c r="C419" s="1" t="s">
        <v>1246</v>
      </c>
      <c r="D419" s="1" t="s">
        <v>3</v>
      </c>
      <c r="E419" s="3">
        <v>0</v>
      </c>
      <c r="F419" s="3">
        <v>0</v>
      </c>
      <c r="G419" s="3">
        <v>135.16</v>
      </c>
      <c r="H419" s="3">
        <v>4087.1</v>
      </c>
      <c r="I419" s="3">
        <v>7208.04</v>
      </c>
      <c r="J419" s="1" t="s">
        <v>86</v>
      </c>
      <c r="K419" s="28"/>
      <c r="L419" s="28"/>
    </row>
    <row r="420" spans="1:12" s="2" customFormat="1" ht="24.95" customHeight="1" x14ac:dyDescent="0.25">
      <c r="A420" s="31" t="s">
        <v>1247</v>
      </c>
      <c r="B420" s="1" t="s">
        <v>1248</v>
      </c>
      <c r="C420" s="1" t="s">
        <v>1249</v>
      </c>
      <c r="D420" s="1" t="s">
        <v>3027</v>
      </c>
      <c r="E420" s="3">
        <v>0</v>
      </c>
      <c r="F420" s="3">
        <v>0</v>
      </c>
      <c r="G420" s="3">
        <v>1995.06</v>
      </c>
      <c r="H420" s="3">
        <v>0</v>
      </c>
      <c r="I420" s="3">
        <v>0</v>
      </c>
      <c r="J420" s="1" t="s">
        <v>106</v>
      </c>
      <c r="K420" s="28"/>
      <c r="L420" s="28"/>
    </row>
    <row r="421" spans="1:12" s="2" customFormat="1" ht="24.95" customHeight="1" x14ac:dyDescent="0.25">
      <c r="A421" s="31" t="s">
        <v>1250</v>
      </c>
      <c r="B421" s="1" t="s">
        <v>1251</v>
      </c>
      <c r="C421" s="1" t="s">
        <v>1252</v>
      </c>
      <c r="D421" s="1" t="s">
        <v>3</v>
      </c>
      <c r="E421" s="3">
        <v>0</v>
      </c>
      <c r="F421" s="3">
        <v>4523.6099999999997</v>
      </c>
      <c r="G421" s="3">
        <v>0</v>
      </c>
      <c r="H421" s="3">
        <v>10714.71</v>
      </c>
      <c r="I421" s="3">
        <v>10592.61</v>
      </c>
      <c r="J421" s="1" t="s">
        <v>93</v>
      </c>
      <c r="K421" s="28"/>
      <c r="L421" s="28"/>
    </row>
    <row r="422" spans="1:12" s="2" customFormat="1" ht="24.95" customHeight="1" x14ac:dyDescent="0.25">
      <c r="A422" s="31" t="s">
        <v>1253</v>
      </c>
      <c r="B422" s="1" t="s">
        <v>1254</v>
      </c>
      <c r="C422" s="1" t="s">
        <v>1255</v>
      </c>
      <c r="D422" s="1" t="s">
        <v>13</v>
      </c>
      <c r="E422" s="3">
        <v>0</v>
      </c>
      <c r="F422" s="3">
        <v>4955.57</v>
      </c>
      <c r="G422" s="3">
        <v>0</v>
      </c>
      <c r="H422" s="3">
        <v>0</v>
      </c>
      <c r="I422" s="3">
        <v>0</v>
      </c>
      <c r="J422" s="1" t="s">
        <v>19</v>
      </c>
      <c r="K422" s="28"/>
      <c r="L422" s="28"/>
    </row>
    <row r="423" spans="1:12" s="2" customFormat="1" ht="24.95" customHeight="1" x14ac:dyDescent="0.25">
      <c r="A423" s="31" t="s">
        <v>1256</v>
      </c>
      <c r="B423" s="1" t="s">
        <v>1257</v>
      </c>
      <c r="C423" s="1" t="s">
        <v>1258</v>
      </c>
      <c r="D423" s="1" t="s">
        <v>3027</v>
      </c>
      <c r="E423" s="3">
        <v>0</v>
      </c>
      <c r="F423" s="3">
        <v>0</v>
      </c>
      <c r="G423" s="3">
        <v>1126.97</v>
      </c>
      <c r="H423" s="3">
        <v>0</v>
      </c>
      <c r="I423" s="3">
        <v>0</v>
      </c>
      <c r="J423" s="1" t="s">
        <v>86</v>
      </c>
      <c r="K423" s="28"/>
      <c r="L423" s="28"/>
    </row>
    <row r="424" spans="1:12" s="2" customFormat="1" ht="24.95" customHeight="1" x14ac:dyDescent="0.25">
      <c r="A424" s="31" t="s">
        <v>1259</v>
      </c>
      <c r="B424" s="1" t="s">
        <v>1260</v>
      </c>
      <c r="C424" s="1" t="s">
        <v>1261</v>
      </c>
      <c r="D424" s="1" t="s">
        <v>18</v>
      </c>
      <c r="E424" s="3">
        <v>0</v>
      </c>
      <c r="F424" s="3">
        <v>0</v>
      </c>
      <c r="G424" s="3">
        <v>0</v>
      </c>
      <c r="H424" s="3">
        <v>0</v>
      </c>
      <c r="I424" s="3">
        <v>3652.67</v>
      </c>
      <c r="J424" s="1" t="s">
        <v>37</v>
      </c>
      <c r="K424" s="28"/>
      <c r="L424" s="28"/>
    </row>
    <row r="425" spans="1:12" s="2" customFormat="1" ht="24.95" customHeight="1" x14ac:dyDescent="0.25">
      <c r="A425" s="31" t="s">
        <v>1262</v>
      </c>
      <c r="B425" s="1" t="s">
        <v>1263</v>
      </c>
      <c r="C425" s="1" t="s">
        <v>1264</v>
      </c>
      <c r="D425" s="1" t="s">
        <v>13</v>
      </c>
      <c r="E425" s="3">
        <v>3921.65</v>
      </c>
      <c r="F425" s="3">
        <v>2850.24</v>
      </c>
      <c r="G425" s="3">
        <v>2176.2199999999998</v>
      </c>
      <c r="H425" s="3">
        <v>0</v>
      </c>
      <c r="I425" s="3">
        <v>4161.57</v>
      </c>
      <c r="J425" s="1" t="s">
        <v>93</v>
      </c>
      <c r="K425" s="28"/>
      <c r="L425" s="28"/>
    </row>
    <row r="426" spans="1:12" s="2" customFormat="1" ht="24.95" customHeight="1" x14ac:dyDescent="0.25">
      <c r="A426" s="31" t="s">
        <v>1265</v>
      </c>
      <c r="B426" s="1" t="s">
        <v>1266</v>
      </c>
      <c r="C426" s="1" t="s">
        <v>1267</v>
      </c>
      <c r="D426" s="1" t="s">
        <v>8</v>
      </c>
      <c r="E426" s="3">
        <v>0</v>
      </c>
      <c r="F426" s="3">
        <v>0</v>
      </c>
      <c r="G426" s="3">
        <v>1677.46</v>
      </c>
      <c r="H426" s="3">
        <v>0</v>
      </c>
      <c r="I426" s="3">
        <v>2932.8</v>
      </c>
      <c r="J426" s="1" t="s">
        <v>24</v>
      </c>
      <c r="K426" s="28"/>
      <c r="L426" s="28"/>
    </row>
    <row r="427" spans="1:12" s="2" customFormat="1" ht="24.95" customHeight="1" x14ac:dyDescent="0.25">
      <c r="A427" s="31" t="s">
        <v>1268</v>
      </c>
      <c r="B427" s="1" t="s">
        <v>1269</v>
      </c>
      <c r="C427" s="1" t="s">
        <v>1270</v>
      </c>
      <c r="D427" s="1" t="s">
        <v>13</v>
      </c>
      <c r="E427" s="3">
        <v>6799.51</v>
      </c>
      <c r="F427" s="3">
        <v>4078.85</v>
      </c>
      <c r="G427" s="3">
        <v>1575.64</v>
      </c>
      <c r="H427" s="3">
        <v>0</v>
      </c>
      <c r="I427" s="3">
        <v>0</v>
      </c>
      <c r="J427" s="1" t="s">
        <v>86</v>
      </c>
      <c r="K427" s="28"/>
      <c r="L427" s="28"/>
    </row>
    <row r="428" spans="1:12" s="2" customFormat="1" ht="24.95" customHeight="1" x14ac:dyDescent="0.25">
      <c r="A428" s="31" t="s">
        <v>1271</v>
      </c>
      <c r="B428" s="1" t="s">
        <v>1272</v>
      </c>
      <c r="C428" s="1" t="s">
        <v>1273</v>
      </c>
      <c r="D428" s="1" t="s">
        <v>23</v>
      </c>
      <c r="E428" s="3">
        <v>0</v>
      </c>
      <c r="F428" s="3">
        <v>0</v>
      </c>
      <c r="G428" s="3">
        <v>2744.68</v>
      </c>
      <c r="H428" s="3">
        <v>0</v>
      </c>
      <c r="I428" s="3">
        <v>0</v>
      </c>
      <c r="J428" s="1" t="s">
        <v>24</v>
      </c>
      <c r="K428" s="28"/>
      <c r="L428" s="28"/>
    </row>
    <row r="429" spans="1:12" s="2" customFormat="1" ht="24.95" customHeight="1" x14ac:dyDescent="0.25">
      <c r="A429" s="31" t="s">
        <v>1274</v>
      </c>
      <c r="B429" s="1" t="s">
        <v>1275</v>
      </c>
      <c r="C429" s="1" t="s">
        <v>1276</v>
      </c>
      <c r="D429" s="1" t="s">
        <v>3</v>
      </c>
      <c r="E429" s="3">
        <v>0</v>
      </c>
      <c r="F429" s="3">
        <v>2448.77</v>
      </c>
      <c r="G429" s="3">
        <v>1625.34</v>
      </c>
      <c r="H429" s="3">
        <v>4868.17</v>
      </c>
      <c r="I429" s="3">
        <v>0</v>
      </c>
      <c r="J429" s="1" t="s">
        <v>24</v>
      </c>
      <c r="K429" s="28"/>
      <c r="L429" s="28"/>
    </row>
    <row r="430" spans="1:12" s="2" customFormat="1" ht="24.95" customHeight="1" x14ac:dyDescent="0.25">
      <c r="A430" s="31" t="s">
        <v>1277</v>
      </c>
      <c r="B430" s="1" t="s">
        <v>1278</v>
      </c>
      <c r="C430" s="1" t="s">
        <v>1279</v>
      </c>
      <c r="D430" s="1" t="s">
        <v>13</v>
      </c>
      <c r="E430" s="3">
        <v>0</v>
      </c>
      <c r="F430" s="3">
        <v>4423.1499999999996</v>
      </c>
      <c r="G430" s="3">
        <v>2183.6799999999998</v>
      </c>
      <c r="H430" s="3">
        <v>0</v>
      </c>
      <c r="I430" s="3">
        <v>14108.76</v>
      </c>
      <c r="J430" s="1" t="s">
        <v>86</v>
      </c>
      <c r="K430" s="28"/>
      <c r="L430" s="28"/>
    </row>
    <row r="431" spans="1:12" s="2" customFormat="1" ht="24.95" customHeight="1" x14ac:dyDescent="0.25">
      <c r="A431" s="31" t="s">
        <v>1280</v>
      </c>
      <c r="B431" s="1" t="s">
        <v>1281</v>
      </c>
      <c r="C431" s="1" t="s">
        <v>1282</v>
      </c>
      <c r="D431" s="1" t="s">
        <v>18</v>
      </c>
      <c r="E431" s="3">
        <v>0</v>
      </c>
      <c r="F431" s="3">
        <v>0</v>
      </c>
      <c r="G431" s="3">
        <v>236.14</v>
      </c>
      <c r="H431" s="3">
        <v>1910.16</v>
      </c>
      <c r="I431" s="3">
        <v>0</v>
      </c>
      <c r="J431" s="1" t="s">
        <v>19</v>
      </c>
      <c r="K431" s="28"/>
      <c r="L431" s="28"/>
    </row>
    <row r="432" spans="1:12" s="2" customFormat="1" ht="24.95" customHeight="1" x14ac:dyDescent="0.25">
      <c r="A432" s="31" t="s">
        <v>1283</v>
      </c>
      <c r="B432" s="1" t="s">
        <v>1284</v>
      </c>
      <c r="C432" s="1" t="s">
        <v>1285</v>
      </c>
      <c r="D432" s="1" t="s">
        <v>3027</v>
      </c>
      <c r="E432" s="3">
        <v>0</v>
      </c>
      <c r="F432" s="3">
        <v>0</v>
      </c>
      <c r="G432" s="3">
        <v>0</v>
      </c>
      <c r="H432" s="3">
        <v>0</v>
      </c>
      <c r="I432" s="3">
        <v>14773.57</v>
      </c>
      <c r="J432" s="1" t="s">
        <v>19</v>
      </c>
      <c r="K432" s="28"/>
      <c r="L432" s="28"/>
    </row>
    <row r="433" spans="1:12" s="2" customFormat="1" ht="24.95" customHeight="1" x14ac:dyDescent="0.25">
      <c r="A433" s="31" t="s">
        <v>1286</v>
      </c>
      <c r="B433" s="1" t="s">
        <v>1287</v>
      </c>
      <c r="C433" s="1" t="s">
        <v>1288</v>
      </c>
      <c r="D433" s="1" t="s">
        <v>3027</v>
      </c>
      <c r="E433" s="3">
        <v>6686.36</v>
      </c>
      <c r="F433" s="3">
        <v>0</v>
      </c>
      <c r="G433" s="3">
        <v>0</v>
      </c>
      <c r="H433" s="3">
        <v>0</v>
      </c>
      <c r="I433" s="3">
        <v>14052.74</v>
      </c>
      <c r="J433" s="1" t="s">
        <v>79</v>
      </c>
      <c r="K433" s="28"/>
      <c r="L433" s="28"/>
    </row>
    <row r="434" spans="1:12" s="2" customFormat="1" ht="24.95" customHeight="1" x14ac:dyDescent="0.25">
      <c r="A434" s="31" t="s">
        <v>1289</v>
      </c>
      <c r="B434" s="1" t="s">
        <v>1290</v>
      </c>
      <c r="C434" s="1" t="s">
        <v>1291</v>
      </c>
      <c r="D434" s="1" t="s">
        <v>8</v>
      </c>
      <c r="E434" s="3">
        <v>2325.66</v>
      </c>
      <c r="F434" s="3">
        <v>0</v>
      </c>
      <c r="G434" s="3">
        <v>0</v>
      </c>
      <c r="H434" s="3">
        <v>4571.6099999999997</v>
      </c>
      <c r="I434" s="3">
        <v>0</v>
      </c>
      <c r="J434" s="1" t="s">
        <v>41</v>
      </c>
      <c r="K434" s="28"/>
      <c r="L434" s="28"/>
    </row>
    <row r="435" spans="1:12" s="2" customFormat="1" ht="24.95" customHeight="1" x14ac:dyDescent="0.25">
      <c r="A435" s="31" t="s">
        <v>1292</v>
      </c>
      <c r="B435" s="1" t="s">
        <v>1293</v>
      </c>
      <c r="C435" s="1" t="s">
        <v>1294</v>
      </c>
      <c r="D435" s="1" t="s">
        <v>8</v>
      </c>
      <c r="E435" s="3">
        <v>4281.62</v>
      </c>
      <c r="F435" s="3">
        <v>910.09</v>
      </c>
      <c r="G435" s="3">
        <v>862.86</v>
      </c>
      <c r="H435" s="3">
        <v>0</v>
      </c>
      <c r="I435" s="3">
        <v>0</v>
      </c>
      <c r="J435" s="1" t="s">
        <v>93</v>
      </c>
      <c r="K435" s="28"/>
      <c r="L435" s="28"/>
    </row>
    <row r="436" spans="1:12" s="2" customFormat="1" ht="24.95" customHeight="1" x14ac:dyDescent="0.25">
      <c r="A436" s="31" t="s">
        <v>1295</v>
      </c>
      <c r="B436" s="1" t="s">
        <v>1296</v>
      </c>
      <c r="C436" s="1" t="s">
        <v>1297</v>
      </c>
      <c r="D436" s="1" t="s">
        <v>13</v>
      </c>
      <c r="E436" s="3">
        <v>0</v>
      </c>
      <c r="F436" s="3">
        <v>0</v>
      </c>
      <c r="G436" s="3">
        <v>0</v>
      </c>
      <c r="H436" s="3">
        <v>11058.91</v>
      </c>
      <c r="I436" s="3">
        <v>4490.45</v>
      </c>
      <c r="J436" s="1" t="s">
        <v>37</v>
      </c>
      <c r="K436" s="28"/>
      <c r="L436" s="28"/>
    </row>
    <row r="437" spans="1:12" s="2" customFormat="1" ht="24.95" customHeight="1" x14ac:dyDescent="0.25">
      <c r="A437" s="31" t="s">
        <v>1298</v>
      </c>
      <c r="B437" s="1" t="s">
        <v>1299</v>
      </c>
      <c r="C437" s="1" t="s">
        <v>1300</v>
      </c>
      <c r="D437" s="1" t="s">
        <v>18</v>
      </c>
      <c r="E437" s="3">
        <v>6235.37</v>
      </c>
      <c r="F437" s="3">
        <v>0</v>
      </c>
      <c r="G437" s="3">
        <v>0</v>
      </c>
      <c r="H437" s="3">
        <v>6430.18</v>
      </c>
      <c r="I437" s="3">
        <v>0</v>
      </c>
      <c r="J437" s="1" t="s">
        <v>79</v>
      </c>
      <c r="K437" s="28"/>
      <c r="L437" s="28"/>
    </row>
    <row r="438" spans="1:12" s="2" customFormat="1" ht="24.95" customHeight="1" x14ac:dyDescent="0.25">
      <c r="A438" s="31" t="s">
        <v>1301</v>
      </c>
      <c r="B438" s="1" t="s">
        <v>1302</v>
      </c>
      <c r="C438" s="1" t="s">
        <v>1303</v>
      </c>
      <c r="D438" s="1" t="s">
        <v>13</v>
      </c>
      <c r="E438" s="3">
        <v>3471.11</v>
      </c>
      <c r="F438" s="3">
        <v>0</v>
      </c>
      <c r="G438" s="3">
        <v>0</v>
      </c>
      <c r="H438" s="3">
        <v>7727.55</v>
      </c>
      <c r="I438" s="3">
        <v>0</v>
      </c>
      <c r="J438" s="1" t="s">
        <v>41</v>
      </c>
      <c r="K438" s="28"/>
      <c r="L438" s="28"/>
    </row>
    <row r="439" spans="1:12" s="2" customFormat="1" ht="24.95" customHeight="1" x14ac:dyDescent="0.25">
      <c r="A439" s="31" t="s">
        <v>1304</v>
      </c>
      <c r="B439" s="1" t="s">
        <v>1305</v>
      </c>
      <c r="C439" s="1" t="s">
        <v>1306</v>
      </c>
      <c r="D439" s="1" t="s">
        <v>13</v>
      </c>
      <c r="E439" s="3">
        <v>0</v>
      </c>
      <c r="F439" s="3">
        <v>2010.58</v>
      </c>
      <c r="G439" s="3">
        <v>1554</v>
      </c>
      <c r="H439" s="3">
        <v>0</v>
      </c>
      <c r="I439" s="3">
        <v>0</v>
      </c>
      <c r="J439" s="1" t="s">
        <v>106</v>
      </c>
      <c r="K439" s="28"/>
      <c r="L439" s="28"/>
    </row>
    <row r="440" spans="1:12" s="2" customFormat="1" ht="24.95" customHeight="1" x14ac:dyDescent="0.25">
      <c r="A440" s="31" t="s">
        <v>1307</v>
      </c>
      <c r="B440" s="1" t="s">
        <v>1308</v>
      </c>
      <c r="C440" s="1" t="s">
        <v>1309</v>
      </c>
      <c r="D440" s="1" t="s">
        <v>3</v>
      </c>
      <c r="E440" s="3">
        <v>0</v>
      </c>
      <c r="F440" s="3">
        <v>1668.66</v>
      </c>
      <c r="G440" s="3">
        <v>0</v>
      </c>
      <c r="H440" s="3">
        <v>3386.39</v>
      </c>
      <c r="I440" s="3">
        <v>292.08999999999997</v>
      </c>
      <c r="J440" s="1" t="s">
        <v>37</v>
      </c>
      <c r="K440" s="28"/>
      <c r="L440" s="28"/>
    </row>
    <row r="441" spans="1:12" s="2" customFormat="1" ht="24.95" customHeight="1" x14ac:dyDescent="0.25">
      <c r="A441" s="31" t="s">
        <v>1310</v>
      </c>
      <c r="B441" s="1" t="s">
        <v>1311</v>
      </c>
      <c r="C441" s="1" t="s">
        <v>1312</v>
      </c>
      <c r="D441" s="1" t="s">
        <v>3</v>
      </c>
      <c r="E441" s="3">
        <v>2213.4699999999998</v>
      </c>
      <c r="F441" s="3">
        <v>0</v>
      </c>
      <c r="G441" s="3">
        <v>1399.95</v>
      </c>
      <c r="H441" s="3">
        <v>0</v>
      </c>
      <c r="I441" s="3">
        <v>0</v>
      </c>
      <c r="J441" s="1" t="s">
        <v>4</v>
      </c>
      <c r="K441" s="28"/>
      <c r="L441" s="28"/>
    </row>
    <row r="442" spans="1:12" s="2" customFormat="1" ht="24.95" customHeight="1" x14ac:dyDescent="0.25">
      <c r="A442" s="31" t="s">
        <v>1313</v>
      </c>
      <c r="B442" s="1" t="s">
        <v>1314</v>
      </c>
      <c r="C442" s="1" t="s">
        <v>1315</v>
      </c>
      <c r="D442" s="1" t="s">
        <v>13</v>
      </c>
      <c r="E442" s="3">
        <v>0</v>
      </c>
      <c r="F442" s="3">
        <v>0</v>
      </c>
      <c r="G442" s="3">
        <v>1925.17</v>
      </c>
      <c r="H442" s="3">
        <v>0</v>
      </c>
      <c r="I442" s="3">
        <v>0</v>
      </c>
      <c r="J442" s="1" t="s">
        <v>37</v>
      </c>
      <c r="K442" s="28"/>
      <c r="L442" s="28"/>
    </row>
    <row r="443" spans="1:12" s="2" customFormat="1" ht="24.95" customHeight="1" x14ac:dyDescent="0.25">
      <c r="A443" s="31" t="s">
        <v>1316</v>
      </c>
      <c r="B443" s="1" t="s">
        <v>1317</v>
      </c>
      <c r="C443" s="1" t="s">
        <v>1318</v>
      </c>
      <c r="D443" s="1" t="s">
        <v>23</v>
      </c>
      <c r="E443" s="3">
        <v>0</v>
      </c>
      <c r="F443" s="3">
        <v>1003.36</v>
      </c>
      <c r="G443" s="3">
        <v>0</v>
      </c>
      <c r="H443" s="3">
        <v>0</v>
      </c>
      <c r="I443" s="3">
        <v>0</v>
      </c>
      <c r="J443" s="1" t="s">
        <v>93</v>
      </c>
      <c r="K443" s="28"/>
      <c r="L443" s="28"/>
    </row>
    <row r="444" spans="1:12" s="2" customFormat="1" ht="24.95" customHeight="1" x14ac:dyDescent="0.25">
      <c r="A444" s="31" t="s">
        <v>1319</v>
      </c>
      <c r="B444" s="1" t="s">
        <v>1320</v>
      </c>
      <c r="C444" s="1" t="s">
        <v>1321</v>
      </c>
      <c r="D444" s="1" t="s">
        <v>8</v>
      </c>
      <c r="E444" s="3">
        <v>6349.35</v>
      </c>
      <c r="F444" s="3">
        <v>1227.51</v>
      </c>
      <c r="G444" s="3">
        <v>0</v>
      </c>
      <c r="H444" s="3">
        <v>6849.41</v>
      </c>
      <c r="I444" s="3">
        <v>0</v>
      </c>
      <c r="J444" s="1" t="s">
        <v>14</v>
      </c>
      <c r="K444" s="28"/>
      <c r="L444" s="28"/>
    </row>
    <row r="445" spans="1:12" s="2" customFormat="1" ht="24.95" customHeight="1" x14ac:dyDescent="0.25">
      <c r="A445" s="31" t="s">
        <v>1322</v>
      </c>
      <c r="B445" s="1" t="s">
        <v>1323</v>
      </c>
      <c r="C445" s="1" t="s">
        <v>1324</v>
      </c>
      <c r="D445" s="1" t="s">
        <v>3027</v>
      </c>
      <c r="E445" s="3">
        <v>2337.0500000000002</v>
      </c>
      <c r="F445" s="3">
        <v>0</v>
      </c>
      <c r="G445" s="3">
        <v>0</v>
      </c>
      <c r="H445" s="3">
        <v>0</v>
      </c>
      <c r="I445" s="3">
        <v>0</v>
      </c>
      <c r="J445" s="1" t="s">
        <v>9</v>
      </c>
      <c r="K445" s="28"/>
      <c r="L445" s="28"/>
    </row>
    <row r="446" spans="1:12" s="2" customFormat="1" ht="24.95" customHeight="1" x14ac:dyDescent="0.25">
      <c r="A446" s="31" t="s">
        <v>1325</v>
      </c>
      <c r="B446" s="1" t="s">
        <v>1326</v>
      </c>
      <c r="C446" s="1" t="s">
        <v>1327</v>
      </c>
      <c r="D446" s="1" t="s">
        <v>3027</v>
      </c>
      <c r="E446" s="3">
        <v>0</v>
      </c>
      <c r="F446" s="3">
        <v>4065.32</v>
      </c>
      <c r="G446" s="3">
        <v>0</v>
      </c>
      <c r="H446" s="3">
        <v>6149.32</v>
      </c>
      <c r="I446" s="3">
        <v>1488.29</v>
      </c>
      <c r="J446" s="1" t="s">
        <v>24</v>
      </c>
      <c r="K446" s="28"/>
      <c r="L446" s="28"/>
    </row>
    <row r="447" spans="1:12" s="2" customFormat="1" ht="24.95" customHeight="1" x14ac:dyDescent="0.25">
      <c r="A447" s="31" t="s">
        <v>1328</v>
      </c>
      <c r="B447" s="1" t="s">
        <v>1329</v>
      </c>
      <c r="C447" s="1" t="s">
        <v>1330</v>
      </c>
      <c r="D447" s="1" t="s">
        <v>18</v>
      </c>
      <c r="E447" s="3">
        <v>0</v>
      </c>
      <c r="F447" s="3">
        <v>0</v>
      </c>
      <c r="G447" s="3">
        <v>1685.2</v>
      </c>
      <c r="H447" s="3">
        <v>0</v>
      </c>
      <c r="I447" s="3">
        <v>0</v>
      </c>
      <c r="J447" s="1" t="s">
        <v>48</v>
      </c>
      <c r="K447" s="28"/>
      <c r="L447" s="28"/>
    </row>
    <row r="448" spans="1:12" s="2" customFormat="1" ht="24.95" customHeight="1" x14ac:dyDescent="0.25">
      <c r="A448" s="31" t="s">
        <v>1331</v>
      </c>
      <c r="B448" s="1" t="s">
        <v>1332</v>
      </c>
      <c r="C448" s="1" t="s">
        <v>1333</v>
      </c>
      <c r="D448" s="1" t="s">
        <v>23</v>
      </c>
      <c r="E448" s="3">
        <v>7653.17</v>
      </c>
      <c r="F448" s="3">
        <v>373.98</v>
      </c>
      <c r="G448" s="3">
        <v>2878.98</v>
      </c>
      <c r="H448" s="3">
        <v>5433.91</v>
      </c>
      <c r="I448" s="3">
        <v>0</v>
      </c>
      <c r="J448" s="1" t="s">
        <v>79</v>
      </c>
      <c r="K448" s="28"/>
      <c r="L448" s="28"/>
    </row>
    <row r="449" spans="1:12" s="2" customFormat="1" ht="24.95" customHeight="1" x14ac:dyDescent="0.25">
      <c r="A449" s="31" t="s">
        <v>1334</v>
      </c>
      <c r="B449" s="1" t="s">
        <v>1335</v>
      </c>
      <c r="C449" s="1" t="s">
        <v>1336</v>
      </c>
      <c r="D449" s="1" t="s">
        <v>18</v>
      </c>
      <c r="E449" s="3">
        <v>0</v>
      </c>
      <c r="F449" s="3">
        <v>0</v>
      </c>
      <c r="G449" s="3">
        <v>0</v>
      </c>
      <c r="H449" s="3">
        <v>10456.219999999999</v>
      </c>
      <c r="I449" s="3">
        <v>9245.8700000000008</v>
      </c>
      <c r="J449" s="1" t="s">
        <v>19</v>
      </c>
      <c r="K449" s="28"/>
      <c r="L449" s="28"/>
    </row>
    <row r="450" spans="1:12" s="2" customFormat="1" ht="24.95" customHeight="1" x14ac:dyDescent="0.25">
      <c r="A450" s="31" t="s">
        <v>1337</v>
      </c>
      <c r="B450" s="1" t="s">
        <v>1338</v>
      </c>
      <c r="C450" s="1" t="s">
        <v>1339</v>
      </c>
      <c r="D450" s="1" t="s">
        <v>3</v>
      </c>
      <c r="E450" s="3">
        <v>0</v>
      </c>
      <c r="F450" s="3">
        <v>2209.37</v>
      </c>
      <c r="G450" s="3">
        <v>0</v>
      </c>
      <c r="H450" s="3">
        <v>0</v>
      </c>
      <c r="I450" s="3">
        <v>8523.4</v>
      </c>
      <c r="J450" s="1" t="s">
        <v>79</v>
      </c>
      <c r="K450" s="28"/>
      <c r="L450" s="28"/>
    </row>
    <row r="451" spans="1:12" s="2" customFormat="1" ht="24.95" customHeight="1" x14ac:dyDescent="0.25">
      <c r="A451" s="31" t="s">
        <v>1340</v>
      </c>
      <c r="B451" s="1" t="s">
        <v>1341</v>
      </c>
      <c r="C451" s="1" t="s">
        <v>1342</v>
      </c>
      <c r="D451" s="1" t="s">
        <v>3</v>
      </c>
      <c r="E451" s="3">
        <v>0</v>
      </c>
      <c r="F451" s="3">
        <v>0</v>
      </c>
      <c r="G451" s="3">
        <v>1526.37</v>
      </c>
      <c r="H451" s="3">
        <v>0</v>
      </c>
      <c r="I451" s="3">
        <v>13393.79</v>
      </c>
      <c r="J451" s="1" t="s">
        <v>79</v>
      </c>
      <c r="K451" s="28"/>
      <c r="L451" s="28"/>
    </row>
    <row r="452" spans="1:12" s="2" customFormat="1" ht="24.95" customHeight="1" x14ac:dyDescent="0.25">
      <c r="A452" s="31" t="s">
        <v>1343</v>
      </c>
      <c r="B452" s="1" t="s">
        <v>1344</v>
      </c>
      <c r="C452" s="1" t="s">
        <v>1345</v>
      </c>
      <c r="D452" s="1" t="s">
        <v>13</v>
      </c>
      <c r="E452" s="3">
        <v>3859.14</v>
      </c>
      <c r="F452" s="3">
        <v>2154.08</v>
      </c>
      <c r="G452" s="3">
        <v>565.91</v>
      </c>
      <c r="H452" s="3">
        <v>3295.29</v>
      </c>
      <c r="I452" s="3">
        <v>3667.79</v>
      </c>
      <c r="J452" s="1" t="s">
        <v>93</v>
      </c>
      <c r="K452" s="28"/>
      <c r="L452" s="28"/>
    </row>
    <row r="453" spans="1:12" s="2" customFormat="1" ht="24.95" customHeight="1" x14ac:dyDescent="0.25">
      <c r="A453" s="31" t="s">
        <v>1346</v>
      </c>
      <c r="B453" s="1" t="s">
        <v>1347</v>
      </c>
      <c r="C453" s="1" t="s">
        <v>1348</v>
      </c>
      <c r="D453" s="1" t="s">
        <v>13</v>
      </c>
      <c r="E453" s="3">
        <v>0</v>
      </c>
      <c r="F453" s="3">
        <v>0</v>
      </c>
      <c r="G453" s="3">
        <v>2018.16</v>
      </c>
      <c r="H453" s="3">
        <v>7355.72</v>
      </c>
      <c r="I453" s="3">
        <v>1263.78</v>
      </c>
      <c r="J453" s="1" t="s">
        <v>4</v>
      </c>
      <c r="K453" s="28"/>
      <c r="L453" s="28"/>
    </row>
    <row r="454" spans="1:12" s="2" customFormat="1" ht="24.95" customHeight="1" x14ac:dyDescent="0.25">
      <c r="A454" s="31" t="s">
        <v>1349</v>
      </c>
      <c r="B454" s="1" t="s">
        <v>1350</v>
      </c>
      <c r="C454" s="1" t="s">
        <v>1351</v>
      </c>
      <c r="D454" s="1" t="s">
        <v>3027</v>
      </c>
      <c r="E454" s="3">
        <v>121.97</v>
      </c>
      <c r="F454" s="3">
        <v>0</v>
      </c>
      <c r="G454" s="3">
        <v>0</v>
      </c>
      <c r="H454" s="3">
        <v>3544.13</v>
      </c>
      <c r="I454" s="3">
        <v>0</v>
      </c>
      <c r="J454" s="1" t="s">
        <v>14</v>
      </c>
      <c r="K454" s="28"/>
      <c r="L454" s="28"/>
    </row>
    <row r="455" spans="1:12" s="2" customFormat="1" ht="24.95" customHeight="1" x14ac:dyDescent="0.25">
      <c r="A455" s="31" t="s">
        <v>1352</v>
      </c>
      <c r="B455" s="1" t="s">
        <v>1353</v>
      </c>
      <c r="C455" s="1" t="s">
        <v>1354</v>
      </c>
      <c r="D455" s="1" t="s">
        <v>23</v>
      </c>
      <c r="E455" s="3">
        <v>0</v>
      </c>
      <c r="F455" s="3">
        <v>0</v>
      </c>
      <c r="G455" s="3">
        <v>0</v>
      </c>
      <c r="H455" s="3">
        <v>0</v>
      </c>
      <c r="I455" s="3">
        <v>12706.24</v>
      </c>
      <c r="J455" s="1" t="s">
        <v>19</v>
      </c>
      <c r="K455" s="28"/>
      <c r="L455" s="28"/>
    </row>
    <row r="456" spans="1:12" s="2" customFormat="1" ht="24.95" customHeight="1" x14ac:dyDescent="0.25">
      <c r="A456" s="31" t="s">
        <v>1355</v>
      </c>
      <c r="B456" s="1" t="s">
        <v>1356</v>
      </c>
      <c r="C456" s="1" t="s">
        <v>1357</v>
      </c>
      <c r="D456" s="1" t="s">
        <v>13</v>
      </c>
      <c r="E456" s="3">
        <v>2514.7399999999998</v>
      </c>
      <c r="F456" s="3">
        <v>4501.78</v>
      </c>
      <c r="G456" s="3">
        <v>1570.96</v>
      </c>
      <c r="H456" s="3">
        <v>202.68</v>
      </c>
      <c r="I456" s="3">
        <v>13262.94</v>
      </c>
      <c r="J456" s="1" t="s">
        <v>19</v>
      </c>
      <c r="K456" s="28"/>
      <c r="L456" s="28"/>
    </row>
    <row r="457" spans="1:12" s="2" customFormat="1" ht="24.95" customHeight="1" x14ac:dyDescent="0.25">
      <c r="A457" s="31" t="s">
        <v>1358</v>
      </c>
      <c r="B457" s="1" t="s">
        <v>1359</v>
      </c>
      <c r="C457" s="1" t="s">
        <v>1360</v>
      </c>
      <c r="D457" s="1" t="s">
        <v>18</v>
      </c>
      <c r="E457" s="3">
        <v>0</v>
      </c>
      <c r="F457" s="3">
        <v>1795.7</v>
      </c>
      <c r="G457" s="3">
        <v>1973.5</v>
      </c>
      <c r="H457" s="3">
        <v>0</v>
      </c>
      <c r="I457" s="3">
        <v>0</v>
      </c>
      <c r="J457" s="1" t="s">
        <v>4</v>
      </c>
      <c r="K457" s="28"/>
      <c r="L457" s="28"/>
    </row>
    <row r="458" spans="1:12" s="2" customFormat="1" ht="24.95" customHeight="1" x14ac:dyDescent="0.25">
      <c r="A458" s="31" t="s">
        <v>1361</v>
      </c>
      <c r="B458" s="1" t="s">
        <v>1362</v>
      </c>
      <c r="C458" s="1" t="s">
        <v>1363</v>
      </c>
      <c r="D458" s="1" t="s">
        <v>23</v>
      </c>
      <c r="E458" s="3">
        <v>0</v>
      </c>
      <c r="F458" s="3">
        <v>0</v>
      </c>
      <c r="G458" s="3">
        <v>0</v>
      </c>
      <c r="H458" s="3">
        <v>8279.4699999999993</v>
      </c>
      <c r="I458" s="3">
        <v>5335.09</v>
      </c>
      <c r="J458" s="1" t="s">
        <v>24</v>
      </c>
      <c r="K458" s="28"/>
      <c r="L458" s="28"/>
    </row>
    <row r="459" spans="1:12" s="2" customFormat="1" ht="24.95" customHeight="1" x14ac:dyDescent="0.25">
      <c r="A459" s="31" t="s">
        <v>1364</v>
      </c>
      <c r="B459" s="1" t="s">
        <v>1365</v>
      </c>
      <c r="C459" s="1" t="s">
        <v>1366</v>
      </c>
      <c r="D459" s="1" t="s">
        <v>13</v>
      </c>
      <c r="E459" s="3">
        <v>2822.34</v>
      </c>
      <c r="F459" s="3">
        <v>3024.12</v>
      </c>
      <c r="G459" s="3">
        <v>0</v>
      </c>
      <c r="H459" s="3">
        <v>1832.27</v>
      </c>
      <c r="I459" s="3">
        <v>0</v>
      </c>
      <c r="J459" s="1" t="s">
        <v>4</v>
      </c>
      <c r="K459" s="28"/>
      <c r="L459" s="28"/>
    </row>
    <row r="460" spans="1:12" s="2" customFormat="1" ht="24.95" customHeight="1" x14ac:dyDescent="0.25">
      <c r="A460" s="31" t="s">
        <v>1367</v>
      </c>
      <c r="B460" s="1" t="s">
        <v>1368</v>
      </c>
      <c r="C460" s="1" t="s">
        <v>1369</v>
      </c>
      <c r="D460" s="1" t="s">
        <v>13</v>
      </c>
      <c r="E460" s="3">
        <v>0</v>
      </c>
      <c r="F460" s="3">
        <v>0</v>
      </c>
      <c r="G460" s="3">
        <v>1843.66</v>
      </c>
      <c r="H460" s="3">
        <v>0</v>
      </c>
      <c r="I460" s="3">
        <v>0</v>
      </c>
      <c r="J460" s="1" t="s">
        <v>9</v>
      </c>
      <c r="K460" s="28"/>
      <c r="L460" s="28"/>
    </row>
    <row r="461" spans="1:12" s="2" customFormat="1" ht="24.95" customHeight="1" x14ac:dyDescent="0.25">
      <c r="A461" s="31" t="s">
        <v>1370</v>
      </c>
      <c r="B461" s="1" t="s">
        <v>1371</v>
      </c>
      <c r="C461" s="1" t="s">
        <v>1372</v>
      </c>
      <c r="D461" s="1" t="s">
        <v>13</v>
      </c>
      <c r="E461" s="3">
        <v>7827.36</v>
      </c>
      <c r="F461" s="3">
        <v>4598.08</v>
      </c>
      <c r="G461" s="3">
        <v>676.02</v>
      </c>
      <c r="H461" s="3">
        <v>9423.31</v>
      </c>
      <c r="I461" s="3">
        <v>10977.12</v>
      </c>
      <c r="J461" s="1" t="s">
        <v>48</v>
      </c>
      <c r="K461" s="28"/>
      <c r="L461" s="28"/>
    </row>
    <row r="462" spans="1:12" s="2" customFormat="1" ht="24.95" customHeight="1" x14ac:dyDescent="0.25">
      <c r="A462" s="31" t="s">
        <v>1373</v>
      </c>
      <c r="B462" s="1" t="s">
        <v>1374</v>
      </c>
      <c r="C462" s="1" t="s">
        <v>1375</v>
      </c>
      <c r="D462" s="1" t="s">
        <v>18</v>
      </c>
      <c r="E462" s="3">
        <v>0</v>
      </c>
      <c r="F462" s="3">
        <v>1228.72</v>
      </c>
      <c r="G462" s="3">
        <v>0</v>
      </c>
      <c r="H462" s="3">
        <v>0</v>
      </c>
      <c r="I462" s="3">
        <v>9181.7199999999993</v>
      </c>
      <c r="J462" s="1" t="s">
        <v>37</v>
      </c>
      <c r="K462" s="28"/>
      <c r="L462" s="28"/>
    </row>
    <row r="463" spans="1:12" s="2" customFormat="1" ht="24.95" customHeight="1" x14ac:dyDescent="0.25">
      <c r="A463" s="31" t="s">
        <v>1376</v>
      </c>
      <c r="B463" s="1" t="s">
        <v>1377</v>
      </c>
      <c r="C463" s="1" t="s">
        <v>1378</v>
      </c>
      <c r="D463" s="1" t="s">
        <v>3</v>
      </c>
      <c r="E463" s="3">
        <v>0</v>
      </c>
      <c r="F463" s="3">
        <v>4717.3500000000004</v>
      </c>
      <c r="G463" s="3">
        <v>1244.8699999999999</v>
      </c>
      <c r="H463" s="3">
        <v>4832.7700000000004</v>
      </c>
      <c r="I463" s="3">
        <v>0</v>
      </c>
      <c r="J463" s="1" t="s">
        <v>9</v>
      </c>
      <c r="K463" s="28"/>
      <c r="L463" s="28"/>
    </row>
    <row r="464" spans="1:12" s="2" customFormat="1" ht="24.95" customHeight="1" x14ac:dyDescent="0.25">
      <c r="A464" s="31" t="s">
        <v>1379</v>
      </c>
      <c r="B464" s="1" t="s">
        <v>1380</v>
      </c>
      <c r="C464" s="1" t="s">
        <v>1381</v>
      </c>
      <c r="D464" s="1" t="s">
        <v>8</v>
      </c>
      <c r="E464" s="3">
        <v>1320.07</v>
      </c>
      <c r="F464" s="3">
        <v>0</v>
      </c>
      <c r="G464" s="3">
        <v>0</v>
      </c>
      <c r="H464" s="3">
        <v>0</v>
      </c>
      <c r="I464" s="3">
        <v>4177.3</v>
      </c>
      <c r="J464" s="1" t="s">
        <v>86</v>
      </c>
      <c r="K464" s="28"/>
      <c r="L464" s="28"/>
    </row>
    <row r="465" spans="1:12" s="2" customFormat="1" ht="24.95" customHeight="1" x14ac:dyDescent="0.25">
      <c r="A465" s="31" t="s">
        <v>1382</v>
      </c>
      <c r="B465" s="1" t="s">
        <v>1383</v>
      </c>
      <c r="C465" s="1" t="s">
        <v>1384</v>
      </c>
      <c r="D465" s="1" t="s">
        <v>3</v>
      </c>
      <c r="E465" s="3">
        <v>0</v>
      </c>
      <c r="F465" s="3">
        <v>2951.7</v>
      </c>
      <c r="G465" s="3">
        <v>0</v>
      </c>
      <c r="H465" s="3">
        <v>4261.6400000000003</v>
      </c>
      <c r="I465" s="3">
        <v>14706.66</v>
      </c>
      <c r="J465" s="1" t="s">
        <v>79</v>
      </c>
      <c r="K465" s="28"/>
      <c r="L465" s="28"/>
    </row>
    <row r="466" spans="1:12" s="2" customFormat="1" ht="24.95" customHeight="1" x14ac:dyDescent="0.25">
      <c r="A466" s="31" t="s">
        <v>1385</v>
      </c>
      <c r="B466" s="1" t="s">
        <v>1386</v>
      </c>
      <c r="C466" s="1" t="s">
        <v>1387</v>
      </c>
      <c r="D466" s="1" t="s">
        <v>23</v>
      </c>
      <c r="E466" s="3">
        <v>5526.63</v>
      </c>
      <c r="F466" s="3">
        <v>0</v>
      </c>
      <c r="G466" s="3">
        <v>0</v>
      </c>
      <c r="H466" s="3">
        <v>0</v>
      </c>
      <c r="I466" s="3">
        <v>9865.76</v>
      </c>
      <c r="J466" s="1" t="s">
        <v>4</v>
      </c>
      <c r="K466" s="28"/>
      <c r="L466" s="28"/>
    </row>
    <row r="467" spans="1:12" s="2" customFormat="1" ht="24.95" customHeight="1" x14ac:dyDescent="0.25">
      <c r="A467" s="31" t="s">
        <v>1388</v>
      </c>
      <c r="B467" s="1" t="s">
        <v>1389</v>
      </c>
      <c r="C467" s="1" t="s">
        <v>1390</v>
      </c>
      <c r="D467" s="1" t="s">
        <v>13</v>
      </c>
      <c r="E467" s="3">
        <v>5187.8500000000004</v>
      </c>
      <c r="F467" s="3">
        <v>538.6</v>
      </c>
      <c r="G467" s="3">
        <v>2087.8000000000002</v>
      </c>
      <c r="H467" s="3">
        <v>0</v>
      </c>
      <c r="I467" s="3">
        <v>0</v>
      </c>
      <c r="J467" s="1" t="s">
        <v>79</v>
      </c>
      <c r="K467" s="28"/>
      <c r="L467" s="28"/>
    </row>
    <row r="468" spans="1:12" s="2" customFormat="1" ht="24.95" customHeight="1" x14ac:dyDescent="0.25">
      <c r="A468" s="31" t="s">
        <v>1391</v>
      </c>
      <c r="B468" s="1" t="s">
        <v>1392</v>
      </c>
      <c r="C468" s="1" t="s">
        <v>1393</v>
      </c>
      <c r="D468" s="1" t="s">
        <v>8</v>
      </c>
      <c r="E468" s="3">
        <v>1558.38</v>
      </c>
      <c r="F468" s="3">
        <v>2469.9</v>
      </c>
      <c r="G468" s="3">
        <v>409.28</v>
      </c>
      <c r="H468" s="3">
        <v>0</v>
      </c>
      <c r="I468" s="3">
        <v>0</v>
      </c>
      <c r="J468" s="1" t="s">
        <v>79</v>
      </c>
      <c r="K468" s="28"/>
      <c r="L468" s="28"/>
    </row>
    <row r="469" spans="1:12" s="2" customFormat="1" ht="24.95" customHeight="1" x14ac:dyDescent="0.25">
      <c r="A469" s="31" t="s">
        <v>1394</v>
      </c>
      <c r="B469" s="1" t="s">
        <v>1395</v>
      </c>
      <c r="C469" s="1" t="s">
        <v>1396</v>
      </c>
      <c r="D469" s="1" t="s">
        <v>13</v>
      </c>
      <c r="E469" s="3">
        <v>3787.22</v>
      </c>
      <c r="F469" s="3">
        <v>1204.8399999999999</v>
      </c>
      <c r="G469" s="3">
        <v>0</v>
      </c>
      <c r="H469" s="3">
        <v>0</v>
      </c>
      <c r="I469" s="3">
        <v>14969.44</v>
      </c>
      <c r="J469" s="1" t="s">
        <v>9</v>
      </c>
      <c r="K469" s="28"/>
      <c r="L469" s="28"/>
    </row>
    <row r="470" spans="1:12" s="2" customFormat="1" ht="24.95" customHeight="1" x14ac:dyDescent="0.25">
      <c r="A470" s="31" t="s">
        <v>1397</v>
      </c>
      <c r="B470" s="1" t="s">
        <v>1398</v>
      </c>
      <c r="C470" s="1" t="s">
        <v>1399</v>
      </c>
      <c r="D470" s="1" t="s">
        <v>3027</v>
      </c>
      <c r="E470" s="3">
        <v>4609.17</v>
      </c>
      <c r="F470" s="3">
        <v>4924.8900000000003</v>
      </c>
      <c r="G470" s="3">
        <v>2487.16</v>
      </c>
      <c r="H470" s="3">
        <v>0</v>
      </c>
      <c r="I470" s="3">
        <v>0</v>
      </c>
      <c r="J470" s="1" t="s">
        <v>93</v>
      </c>
      <c r="K470" s="28"/>
      <c r="L470" s="28"/>
    </row>
    <row r="471" spans="1:12" s="2" customFormat="1" ht="24.95" customHeight="1" x14ac:dyDescent="0.25">
      <c r="A471" s="31" t="s">
        <v>1400</v>
      </c>
      <c r="B471" s="1" t="s">
        <v>1401</v>
      </c>
      <c r="C471" s="1" t="s">
        <v>1402</v>
      </c>
      <c r="D471" s="1" t="s">
        <v>18</v>
      </c>
      <c r="E471" s="3">
        <v>576.27</v>
      </c>
      <c r="F471" s="3">
        <v>0</v>
      </c>
      <c r="G471" s="3">
        <v>1371.01</v>
      </c>
      <c r="H471" s="3">
        <v>5348.54</v>
      </c>
      <c r="I471" s="3">
        <v>0</v>
      </c>
      <c r="J471" s="1" t="s">
        <v>48</v>
      </c>
      <c r="K471" s="28"/>
      <c r="L471" s="28"/>
    </row>
    <row r="472" spans="1:12" s="2" customFormat="1" ht="24.95" customHeight="1" x14ac:dyDescent="0.25">
      <c r="A472" s="31" t="s">
        <v>1403</v>
      </c>
      <c r="B472" s="1" t="s">
        <v>1404</v>
      </c>
      <c r="C472" s="1" t="s">
        <v>1405</v>
      </c>
      <c r="D472" s="1" t="s">
        <v>13</v>
      </c>
      <c r="E472" s="3">
        <v>0</v>
      </c>
      <c r="F472" s="3">
        <v>3259.86</v>
      </c>
      <c r="G472" s="3">
        <v>2799.57</v>
      </c>
      <c r="H472" s="3">
        <v>5082.46</v>
      </c>
      <c r="I472" s="3">
        <v>0</v>
      </c>
      <c r="J472" s="1" t="s">
        <v>79</v>
      </c>
      <c r="K472" s="28"/>
      <c r="L472" s="28"/>
    </row>
    <row r="473" spans="1:12" s="2" customFormat="1" ht="24.95" customHeight="1" x14ac:dyDescent="0.25">
      <c r="A473" s="31" t="s">
        <v>1406</v>
      </c>
      <c r="B473" s="1" t="s">
        <v>1407</v>
      </c>
      <c r="C473" s="1" t="s">
        <v>1408</v>
      </c>
      <c r="D473" s="1" t="s">
        <v>18</v>
      </c>
      <c r="E473" s="3">
        <v>7419.74</v>
      </c>
      <c r="F473" s="3">
        <v>2711.27</v>
      </c>
      <c r="G473" s="3">
        <v>919.92</v>
      </c>
      <c r="H473" s="3">
        <v>11341.82</v>
      </c>
      <c r="I473" s="3">
        <v>0</v>
      </c>
      <c r="J473" s="1" t="s">
        <v>48</v>
      </c>
      <c r="K473" s="28"/>
      <c r="L473" s="28"/>
    </row>
    <row r="474" spans="1:12" s="2" customFormat="1" ht="24.95" customHeight="1" x14ac:dyDescent="0.25">
      <c r="A474" s="31" t="s">
        <v>1409</v>
      </c>
      <c r="B474" s="1" t="s">
        <v>1410</v>
      </c>
      <c r="C474" s="1" t="s">
        <v>1411</v>
      </c>
      <c r="D474" s="1" t="s">
        <v>3</v>
      </c>
      <c r="E474" s="3">
        <v>2288.4</v>
      </c>
      <c r="F474" s="3">
        <v>2768.9</v>
      </c>
      <c r="G474" s="3">
        <v>527.24</v>
      </c>
      <c r="H474" s="3">
        <v>7220.75</v>
      </c>
      <c r="I474" s="3">
        <v>4712.3599999999997</v>
      </c>
      <c r="J474" s="1" t="s">
        <v>79</v>
      </c>
      <c r="K474" s="28"/>
      <c r="L474" s="28"/>
    </row>
    <row r="475" spans="1:12" s="2" customFormat="1" ht="24.95" customHeight="1" x14ac:dyDescent="0.25">
      <c r="A475" s="31" t="s">
        <v>1412</v>
      </c>
      <c r="B475" s="1" t="s">
        <v>1413</v>
      </c>
      <c r="C475" s="1" t="s">
        <v>1414</v>
      </c>
      <c r="D475" s="1" t="s">
        <v>3</v>
      </c>
      <c r="E475" s="3">
        <v>0</v>
      </c>
      <c r="F475" s="3">
        <v>3601.56</v>
      </c>
      <c r="G475" s="3">
        <v>0</v>
      </c>
      <c r="H475" s="3">
        <v>0</v>
      </c>
      <c r="I475" s="3">
        <v>0</v>
      </c>
      <c r="J475" s="1" t="s">
        <v>37</v>
      </c>
      <c r="K475" s="28"/>
      <c r="L475" s="28"/>
    </row>
    <row r="476" spans="1:12" s="2" customFormat="1" ht="24.95" customHeight="1" x14ac:dyDescent="0.25">
      <c r="A476" s="31" t="s">
        <v>1415</v>
      </c>
      <c r="B476" s="1" t="s">
        <v>1416</v>
      </c>
      <c r="C476" s="1" t="s">
        <v>1417</v>
      </c>
      <c r="D476" s="1" t="s">
        <v>3027</v>
      </c>
      <c r="E476" s="3">
        <v>5068.91</v>
      </c>
      <c r="F476" s="3">
        <v>0</v>
      </c>
      <c r="G476" s="3">
        <v>0</v>
      </c>
      <c r="H476" s="3">
        <v>0</v>
      </c>
      <c r="I476" s="3">
        <v>0</v>
      </c>
      <c r="J476" s="1" t="s">
        <v>14</v>
      </c>
      <c r="K476" s="28"/>
      <c r="L476" s="28"/>
    </row>
    <row r="477" spans="1:12" s="2" customFormat="1" ht="24.95" customHeight="1" x14ac:dyDescent="0.25">
      <c r="A477" s="31" t="s">
        <v>1418</v>
      </c>
      <c r="B477" s="1" t="s">
        <v>1419</v>
      </c>
      <c r="C477" s="1" t="s">
        <v>1420</v>
      </c>
      <c r="D477" s="1" t="s">
        <v>23</v>
      </c>
      <c r="E477" s="3">
        <v>0</v>
      </c>
      <c r="F477" s="3">
        <v>983.42</v>
      </c>
      <c r="G477" s="3">
        <v>461.27</v>
      </c>
      <c r="H477" s="3">
        <v>11411.45</v>
      </c>
      <c r="I477" s="3">
        <v>2289.41</v>
      </c>
      <c r="J477" s="1" t="s">
        <v>79</v>
      </c>
      <c r="K477" s="28"/>
      <c r="L477" s="28"/>
    </row>
    <row r="478" spans="1:12" s="2" customFormat="1" ht="24.95" customHeight="1" x14ac:dyDescent="0.25">
      <c r="A478" s="31" t="s">
        <v>1421</v>
      </c>
      <c r="B478" s="1" t="s">
        <v>1422</v>
      </c>
      <c r="C478" s="1" t="s">
        <v>1423</v>
      </c>
      <c r="D478" s="1" t="s">
        <v>18</v>
      </c>
      <c r="E478" s="3">
        <v>7217.37</v>
      </c>
      <c r="F478" s="3">
        <v>0</v>
      </c>
      <c r="G478" s="3">
        <v>0</v>
      </c>
      <c r="H478" s="3">
        <v>0</v>
      </c>
      <c r="I478" s="3">
        <v>3433.67</v>
      </c>
      <c r="J478" s="1" t="s">
        <v>19</v>
      </c>
      <c r="K478" s="28"/>
      <c r="L478" s="28"/>
    </row>
    <row r="479" spans="1:12" s="2" customFormat="1" ht="24.95" customHeight="1" x14ac:dyDescent="0.25">
      <c r="A479" s="31" t="s">
        <v>1424</v>
      </c>
      <c r="B479" s="1" t="s">
        <v>1425</v>
      </c>
      <c r="C479" s="1" t="s">
        <v>1426</v>
      </c>
      <c r="D479" s="1" t="s">
        <v>23</v>
      </c>
      <c r="E479" s="3">
        <v>0</v>
      </c>
      <c r="F479" s="3">
        <v>0</v>
      </c>
      <c r="G479" s="3">
        <v>955.87</v>
      </c>
      <c r="H479" s="3">
        <v>0</v>
      </c>
      <c r="I479" s="3">
        <v>0</v>
      </c>
      <c r="J479" s="1" t="s">
        <v>48</v>
      </c>
      <c r="K479" s="28"/>
      <c r="L479" s="28"/>
    </row>
    <row r="480" spans="1:12" s="2" customFormat="1" ht="24.95" customHeight="1" x14ac:dyDescent="0.25">
      <c r="A480" s="31" t="s">
        <v>1427</v>
      </c>
      <c r="B480" s="1" t="s">
        <v>1428</v>
      </c>
      <c r="C480" s="1" t="s">
        <v>1429</v>
      </c>
      <c r="D480" s="1" t="s">
        <v>18</v>
      </c>
      <c r="E480" s="3">
        <v>0</v>
      </c>
      <c r="F480" s="3">
        <v>4001.76</v>
      </c>
      <c r="G480" s="3">
        <v>2357.46</v>
      </c>
      <c r="H480" s="3">
        <v>0</v>
      </c>
      <c r="I480" s="3">
        <v>14256.09</v>
      </c>
      <c r="J480" s="1" t="s">
        <v>24</v>
      </c>
      <c r="K480" s="28"/>
      <c r="L480" s="28"/>
    </row>
    <row r="481" spans="1:12" s="2" customFormat="1" ht="24.95" customHeight="1" x14ac:dyDescent="0.25">
      <c r="A481" s="31" t="s">
        <v>1430</v>
      </c>
      <c r="B481" s="1" t="s">
        <v>1431</v>
      </c>
      <c r="C481" s="1" t="s">
        <v>1432</v>
      </c>
      <c r="D481" s="1" t="s">
        <v>8</v>
      </c>
      <c r="E481" s="3">
        <v>0</v>
      </c>
      <c r="F481" s="3">
        <v>4841.18</v>
      </c>
      <c r="G481" s="3">
        <v>1282.1300000000001</v>
      </c>
      <c r="H481" s="3">
        <v>1805.86</v>
      </c>
      <c r="I481" s="3">
        <v>0</v>
      </c>
      <c r="J481" s="1" t="s">
        <v>79</v>
      </c>
      <c r="K481" s="28"/>
      <c r="L481" s="28"/>
    </row>
    <row r="482" spans="1:12" s="2" customFormat="1" ht="24.95" customHeight="1" x14ac:dyDescent="0.25">
      <c r="A482" s="31" t="s">
        <v>1433</v>
      </c>
      <c r="B482" s="1" t="s">
        <v>1434</v>
      </c>
      <c r="C482" s="1" t="s">
        <v>1435</v>
      </c>
      <c r="D482" s="1" t="s">
        <v>3</v>
      </c>
      <c r="E482" s="3">
        <v>0</v>
      </c>
      <c r="F482" s="3">
        <v>0</v>
      </c>
      <c r="G482" s="3">
        <v>0</v>
      </c>
      <c r="H482" s="3">
        <v>4121.3100000000004</v>
      </c>
      <c r="I482" s="3">
        <v>0</v>
      </c>
      <c r="J482" s="1" t="s">
        <v>14</v>
      </c>
      <c r="K482" s="28"/>
      <c r="L482" s="28"/>
    </row>
    <row r="483" spans="1:12" s="2" customFormat="1" ht="24.95" customHeight="1" x14ac:dyDescent="0.25">
      <c r="A483" s="31" t="s">
        <v>1436</v>
      </c>
      <c r="B483" s="1" t="s">
        <v>1437</v>
      </c>
      <c r="C483" s="1" t="s">
        <v>1438</v>
      </c>
      <c r="D483" s="1" t="s">
        <v>18</v>
      </c>
      <c r="E483" s="3">
        <v>0</v>
      </c>
      <c r="F483" s="3">
        <v>4867.67</v>
      </c>
      <c r="G483" s="3">
        <v>629.65</v>
      </c>
      <c r="H483" s="3">
        <v>0</v>
      </c>
      <c r="I483" s="3">
        <v>10242.26</v>
      </c>
      <c r="J483" s="1" t="s">
        <v>4</v>
      </c>
      <c r="K483" s="28"/>
      <c r="L483" s="28"/>
    </row>
    <row r="484" spans="1:12" s="2" customFormat="1" ht="24.95" customHeight="1" x14ac:dyDescent="0.25">
      <c r="A484" s="31" t="s">
        <v>1439</v>
      </c>
      <c r="B484" s="1" t="s">
        <v>1440</v>
      </c>
      <c r="C484" s="1" t="s">
        <v>1441</v>
      </c>
      <c r="D484" s="1" t="s">
        <v>3</v>
      </c>
      <c r="E484" s="3">
        <v>0</v>
      </c>
      <c r="F484" s="3">
        <v>135.86000000000001</v>
      </c>
      <c r="G484" s="3">
        <v>0</v>
      </c>
      <c r="H484" s="3">
        <v>5582.94</v>
      </c>
      <c r="I484" s="3">
        <v>11623.95</v>
      </c>
      <c r="J484" s="1" t="s">
        <v>86</v>
      </c>
      <c r="K484" s="28"/>
      <c r="L484" s="28"/>
    </row>
    <row r="485" spans="1:12" s="2" customFormat="1" ht="24.95" customHeight="1" x14ac:dyDescent="0.25">
      <c r="A485" s="31" t="s">
        <v>1442</v>
      </c>
      <c r="B485" s="1" t="s">
        <v>1443</v>
      </c>
      <c r="C485" s="1" t="s">
        <v>1444</v>
      </c>
      <c r="D485" s="1" t="s">
        <v>13</v>
      </c>
      <c r="E485" s="3">
        <v>4027.15</v>
      </c>
      <c r="F485" s="3">
        <v>2607.7600000000002</v>
      </c>
      <c r="G485" s="3">
        <v>2817.89</v>
      </c>
      <c r="H485" s="3">
        <v>0</v>
      </c>
      <c r="I485" s="3">
        <v>0</v>
      </c>
      <c r="J485" s="1" t="s">
        <v>79</v>
      </c>
      <c r="K485" s="28"/>
      <c r="L485" s="28"/>
    </row>
    <row r="486" spans="1:12" s="2" customFormat="1" ht="24.95" customHeight="1" x14ac:dyDescent="0.25">
      <c r="A486" s="31" t="s">
        <v>1445</v>
      </c>
      <c r="B486" s="1" t="s">
        <v>1446</v>
      </c>
      <c r="C486" s="1" t="s">
        <v>1447</v>
      </c>
      <c r="D486" s="1" t="s">
        <v>18</v>
      </c>
      <c r="E486" s="3">
        <v>5650.02</v>
      </c>
      <c r="F486" s="3">
        <v>0</v>
      </c>
      <c r="G486" s="3">
        <v>0</v>
      </c>
      <c r="H486" s="3">
        <v>6009.04</v>
      </c>
      <c r="I486" s="3">
        <v>0</v>
      </c>
      <c r="J486" s="1" t="s">
        <v>86</v>
      </c>
      <c r="K486" s="28"/>
      <c r="L486" s="28"/>
    </row>
    <row r="487" spans="1:12" s="2" customFormat="1" ht="24.95" customHeight="1" x14ac:dyDescent="0.25">
      <c r="A487" s="31" t="s">
        <v>1448</v>
      </c>
      <c r="B487" s="1" t="s">
        <v>1449</v>
      </c>
      <c r="C487" s="1" t="s">
        <v>1450</v>
      </c>
      <c r="D487" s="1" t="s">
        <v>3027</v>
      </c>
      <c r="E487" s="3">
        <v>0</v>
      </c>
      <c r="F487" s="3">
        <v>0</v>
      </c>
      <c r="G487" s="3">
        <v>0</v>
      </c>
      <c r="H487" s="3">
        <v>2972.38</v>
      </c>
      <c r="I487" s="3">
        <v>0</v>
      </c>
      <c r="J487" s="1" t="s">
        <v>24</v>
      </c>
      <c r="K487" s="28"/>
      <c r="L487" s="28"/>
    </row>
    <row r="488" spans="1:12" s="2" customFormat="1" ht="24.95" customHeight="1" x14ac:dyDescent="0.25">
      <c r="A488" s="31" t="s">
        <v>1451</v>
      </c>
      <c r="B488" s="1" t="s">
        <v>1452</v>
      </c>
      <c r="C488" s="1" t="s">
        <v>1453</v>
      </c>
      <c r="D488" s="1" t="s">
        <v>23</v>
      </c>
      <c r="E488" s="3">
        <v>7939.46</v>
      </c>
      <c r="F488" s="3">
        <v>0</v>
      </c>
      <c r="G488" s="3">
        <v>0</v>
      </c>
      <c r="H488" s="3">
        <v>8206.58</v>
      </c>
      <c r="I488" s="3">
        <v>0</v>
      </c>
      <c r="J488" s="1" t="s">
        <v>93</v>
      </c>
      <c r="K488" s="28"/>
      <c r="L488" s="28"/>
    </row>
    <row r="489" spans="1:12" s="2" customFormat="1" ht="24.95" customHeight="1" x14ac:dyDescent="0.25">
      <c r="A489" s="31" t="s">
        <v>1454</v>
      </c>
      <c r="B489" s="1" t="s">
        <v>1455</v>
      </c>
      <c r="C489" s="1" t="s">
        <v>1456</v>
      </c>
      <c r="D489" s="1" t="s">
        <v>3</v>
      </c>
      <c r="E489" s="3">
        <v>0</v>
      </c>
      <c r="F489" s="3">
        <v>0</v>
      </c>
      <c r="G489" s="3">
        <v>0</v>
      </c>
      <c r="H489" s="3">
        <v>1757.82</v>
      </c>
      <c r="I489" s="3">
        <v>0</v>
      </c>
      <c r="J489" s="1" t="s">
        <v>19</v>
      </c>
      <c r="K489" s="28"/>
      <c r="L489" s="28"/>
    </row>
    <row r="490" spans="1:12" s="2" customFormat="1" ht="24.95" customHeight="1" x14ac:dyDescent="0.25">
      <c r="A490" s="31" t="s">
        <v>1457</v>
      </c>
      <c r="B490" s="1" t="s">
        <v>1458</v>
      </c>
      <c r="C490" s="1" t="s">
        <v>1459</v>
      </c>
      <c r="D490" s="1" t="s">
        <v>3027</v>
      </c>
      <c r="E490" s="3">
        <v>2984.02</v>
      </c>
      <c r="F490" s="3">
        <v>0</v>
      </c>
      <c r="G490" s="3">
        <v>0</v>
      </c>
      <c r="H490" s="3">
        <v>10125.51</v>
      </c>
      <c r="I490" s="3">
        <v>14135.69</v>
      </c>
      <c r="J490" s="1" t="s">
        <v>41</v>
      </c>
      <c r="K490" s="28"/>
      <c r="L490" s="28"/>
    </row>
    <row r="491" spans="1:12" s="2" customFormat="1" ht="24.95" customHeight="1" x14ac:dyDescent="0.25">
      <c r="A491" s="31" t="s">
        <v>1460</v>
      </c>
      <c r="B491" s="1" t="s">
        <v>1461</v>
      </c>
      <c r="C491" s="1" t="s">
        <v>1462</v>
      </c>
      <c r="D491" s="1" t="s">
        <v>3027</v>
      </c>
      <c r="E491" s="3">
        <v>0</v>
      </c>
      <c r="F491" s="3">
        <v>0</v>
      </c>
      <c r="G491" s="3">
        <v>2166.9299999999998</v>
      </c>
      <c r="H491" s="3">
        <v>0</v>
      </c>
      <c r="I491" s="3">
        <v>7963.51</v>
      </c>
      <c r="J491" s="1" t="s">
        <v>4</v>
      </c>
      <c r="K491" s="28"/>
      <c r="L491" s="28"/>
    </row>
    <row r="492" spans="1:12" s="2" customFormat="1" ht="24.95" customHeight="1" x14ac:dyDescent="0.25">
      <c r="A492" s="31" t="s">
        <v>1463</v>
      </c>
      <c r="B492" s="1" t="s">
        <v>1464</v>
      </c>
      <c r="C492" s="1" t="s">
        <v>1465</v>
      </c>
      <c r="D492" s="1" t="s">
        <v>13</v>
      </c>
      <c r="E492" s="3">
        <v>0</v>
      </c>
      <c r="F492" s="3">
        <v>735.99</v>
      </c>
      <c r="G492" s="3">
        <v>1969.16</v>
      </c>
      <c r="H492" s="3">
        <v>0</v>
      </c>
      <c r="I492" s="3">
        <v>4291.01</v>
      </c>
      <c r="J492" s="1" t="s">
        <v>86</v>
      </c>
      <c r="K492" s="28"/>
      <c r="L492" s="28"/>
    </row>
    <row r="493" spans="1:12" s="2" customFormat="1" ht="24.95" customHeight="1" x14ac:dyDescent="0.25">
      <c r="A493" s="31" t="s">
        <v>1466</v>
      </c>
      <c r="B493" s="1" t="s">
        <v>1467</v>
      </c>
      <c r="C493" s="1" t="s">
        <v>1468</v>
      </c>
      <c r="D493" s="1" t="s">
        <v>8</v>
      </c>
      <c r="E493" s="3">
        <v>0</v>
      </c>
      <c r="F493" s="3">
        <v>787</v>
      </c>
      <c r="G493" s="3">
        <v>2091.8000000000002</v>
      </c>
      <c r="H493" s="3">
        <v>0</v>
      </c>
      <c r="I493" s="3">
        <v>11046.58</v>
      </c>
      <c r="J493" s="1" t="s">
        <v>48</v>
      </c>
      <c r="K493" s="28"/>
      <c r="L493" s="28"/>
    </row>
    <row r="494" spans="1:12" s="2" customFormat="1" ht="24.95" customHeight="1" x14ac:dyDescent="0.25">
      <c r="A494" s="31" t="s">
        <v>1469</v>
      </c>
      <c r="B494" s="1" t="s">
        <v>1470</v>
      </c>
      <c r="C494" s="1" t="s">
        <v>1471</v>
      </c>
      <c r="D494" s="1" t="s">
        <v>3027</v>
      </c>
      <c r="E494" s="3">
        <v>0</v>
      </c>
      <c r="F494" s="3">
        <v>0</v>
      </c>
      <c r="G494" s="3">
        <v>0</v>
      </c>
      <c r="H494" s="3">
        <v>10826.13</v>
      </c>
      <c r="I494" s="3">
        <v>0</v>
      </c>
      <c r="J494" s="1" t="s">
        <v>24</v>
      </c>
      <c r="K494" s="28"/>
      <c r="L494" s="28"/>
    </row>
    <row r="495" spans="1:12" s="2" customFormat="1" ht="24.95" customHeight="1" x14ac:dyDescent="0.25">
      <c r="A495" s="31" t="s">
        <v>1472</v>
      </c>
      <c r="B495" s="1" t="s">
        <v>1473</v>
      </c>
      <c r="C495" s="1" t="s">
        <v>1474</v>
      </c>
      <c r="D495" s="1" t="s">
        <v>3</v>
      </c>
      <c r="E495" s="3">
        <v>0</v>
      </c>
      <c r="F495" s="3">
        <v>0</v>
      </c>
      <c r="G495" s="3">
        <v>1512.48</v>
      </c>
      <c r="H495" s="3">
        <v>4697.25</v>
      </c>
      <c r="I495" s="3">
        <v>0</v>
      </c>
      <c r="J495" s="1" t="s">
        <v>106</v>
      </c>
      <c r="K495" s="28"/>
      <c r="L495" s="28"/>
    </row>
    <row r="496" spans="1:12" s="2" customFormat="1" ht="24.95" customHeight="1" x14ac:dyDescent="0.25">
      <c r="A496" s="31" t="s">
        <v>1475</v>
      </c>
      <c r="B496" s="1" t="s">
        <v>1476</v>
      </c>
      <c r="C496" s="1" t="s">
        <v>1477</v>
      </c>
      <c r="D496" s="1" t="s">
        <v>18</v>
      </c>
      <c r="E496" s="3">
        <v>820.11</v>
      </c>
      <c r="F496" s="3">
        <v>308.25</v>
      </c>
      <c r="G496" s="3">
        <v>0</v>
      </c>
      <c r="H496" s="3">
        <v>5145.03</v>
      </c>
      <c r="I496" s="3">
        <v>0</v>
      </c>
      <c r="J496" s="1" t="s">
        <v>9</v>
      </c>
      <c r="K496" s="28"/>
      <c r="L496" s="28"/>
    </row>
    <row r="497" spans="1:12" s="2" customFormat="1" ht="24.95" customHeight="1" x14ac:dyDescent="0.25">
      <c r="A497" s="31" t="s">
        <v>1478</v>
      </c>
      <c r="B497" s="1" t="s">
        <v>1479</v>
      </c>
      <c r="C497" s="1" t="s">
        <v>1480</v>
      </c>
      <c r="D497" s="1" t="s">
        <v>3</v>
      </c>
      <c r="E497" s="3">
        <v>6905.87</v>
      </c>
      <c r="F497" s="3">
        <v>0</v>
      </c>
      <c r="G497" s="3">
        <v>0</v>
      </c>
      <c r="H497" s="3">
        <v>9345.18</v>
      </c>
      <c r="I497" s="3">
        <v>0</v>
      </c>
      <c r="J497" s="1" t="s">
        <v>24</v>
      </c>
      <c r="K497" s="28"/>
      <c r="L497" s="28"/>
    </row>
    <row r="498" spans="1:12" s="2" customFormat="1" ht="24.95" customHeight="1" x14ac:dyDescent="0.25">
      <c r="A498" s="31" t="s">
        <v>1481</v>
      </c>
      <c r="B498" s="1" t="s">
        <v>1482</v>
      </c>
      <c r="C498" s="1" t="s">
        <v>1483</v>
      </c>
      <c r="D498" s="1" t="s">
        <v>13</v>
      </c>
      <c r="E498" s="3">
        <v>7072.53</v>
      </c>
      <c r="F498" s="3">
        <v>2303.44</v>
      </c>
      <c r="G498" s="3">
        <v>0</v>
      </c>
      <c r="H498" s="3">
        <v>0</v>
      </c>
      <c r="I498" s="3">
        <v>0</v>
      </c>
      <c r="J498" s="1" t="s">
        <v>86</v>
      </c>
      <c r="K498" s="28"/>
      <c r="L498" s="28"/>
    </row>
    <row r="499" spans="1:12" s="2" customFormat="1" ht="24.95" customHeight="1" x14ac:dyDescent="0.25">
      <c r="A499" s="31" t="s">
        <v>1484</v>
      </c>
      <c r="B499" s="1" t="s">
        <v>1485</v>
      </c>
      <c r="C499" s="1" t="s">
        <v>1486</v>
      </c>
      <c r="D499" s="1" t="s">
        <v>18</v>
      </c>
      <c r="E499" s="3">
        <v>4755.03</v>
      </c>
      <c r="F499" s="3">
        <v>3421.88</v>
      </c>
      <c r="G499" s="3">
        <v>0</v>
      </c>
      <c r="H499" s="3">
        <v>0</v>
      </c>
      <c r="I499" s="3">
        <v>0</v>
      </c>
      <c r="J499" s="1" t="s">
        <v>41</v>
      </c>
      <c r="K499" s="28"/>
      <c r="L499" s="28"/>
    </row>
    <row r="500" spans="1:12" s="2" customFormat="1" ht="24.95" customHeight="1" x14ac:dyDescent="0.25">
      <c r="A500" s="31" t="s">
        <v>1487</v>
      </c>
      <c r="B500" s="1" t="s">
        <v>1488</v>
      </c>
      <c r="C500" s="1" t="s">
        <v>1489</v>
      </c>
      <c r="D500" s="1" t="s">
        <v>23</v>
      </c>
      <c r="E500" s="3">
        <v>0</v>
      </c>
      <c r="F500" s="3">
        <v>0</v>
      </c>
      <c r="G500" s="3">
        <v>2284.2600000000002</v>
      </c>
      <c r="H500" s="3">
        <v>0</v>
      </c>
      <c r="I500" s="3">
        <v>0</v>
      </c>
      <c r="J500" s="1" t="s">
        <v>86</v>
      </c>
      <c r="K500" s="28"/>
      <c r="L500" s="28"/>
    </row>
    <row r="501" spans="1:12" s="2" customFormat="1" ht="24.95" customHeight="1" x14ac:dyDescent="0.25">
      <c r="A501" s="31" t="s">
        <v>1490</v>
      </c>
      <c r="B501" s="1" t="s">
        <v>1491</v>
      </c>
      <c r="C501" s="1" t="s">
        <v>1492</v>
      </c>
      <c r="D501" s="1" t="s">
        <v>3027</v>
      </c>
      <c r="E501" s="3">
        <v>0</v>
      </c>
      <c r="F501" s="3">
        <v>0</v>
      </c>
      <c r="G501" s="3">
        <v>0</v>
      </c>
      <c r="H501" s="3">
        <v>4830.5</v>
      </c>
      <c r="I501" s="3">
        <v>0</v>
      </c>
      <c r="J501" s="1" t="s">
        <v>41</v>
      </c>
      <c r="K501" s="28"/>
      <c r="L501" s="28"/>
    </row>
    <row r="502" spans="1:12" s="2" customFormat="1" ht="24.95" customHeight="1" x14ac:dyDescent="0.25">
      <c r="A502" s="31" t="s">
        <v>1493</v>
      </c>
      <c r="B502" s="1" t="s">
        <v>1494</v>
      </c>
      <c r="C502" s="1" t="s">
        <v>1495</v>
      </c>
      <c r="D502" s="1" t="s">
        <v>13</v>
      </c>
      <c r="E502" s="3">
        <v>1609.32</v>
      </c>
      <c r="F502" s="3">
        <v>4589.53</v>
      </c>
      <c r="G502" s="3">
        <v>2685.08</v>
      </c>
      <c r="H502" s="3">
        <v>1673.79</v>
      </c>
      <c r="I502" s="3">
        <v>0</v>
      </c>
      <c r="J502" s="1" t="s">
        <v>48</v>
      </c>
      <c r="K502" s="28"/>
      <c r="L502" s="28"/>
    </row>
    <row r="503" spans="1:12" s="2" customFormat="1" ht="24.95" customHeight="1" x14ac:dyDescent="0.25">
      <c r="A503" s="31" t="s">
        <v>1496</v>
      </c>
      <c r="B503" s="1" t="s">
        <v>1497</v>
      </c>
      <c r="C503" s="1" t="s">
        <v>1498</v>
      </c>
      <c r="D503" s="1" t="s">
        <v>3</v>
      </c>
      <c r="E503" s="3">
        <v>149.35</v>
      </c>
      <c r="F503" s="3">
        <v>208.2</v>
      </c>
      <c r="G503" s="3">
        <v>1247.1500000000001</v>
      </c>
      <c r="H503" s="3">
        <v>0</v>
      </c>
      <c r="I503" s="3">
        <v>5921.74</v>
      </c>
      <c r="J503" s="1" t="s">
        <v>93</v>
      </c>
      <c r="K503" s="28"/>
      <c r="L503" s="28"/>
    </row>
    <row r="504" spans="1:12" s="2" customFormat="1" ht="24.95" customHeight="1" x14ac:dyDescent="0.25">
      <c r="A504" s="31" t="s">
        <v>1499</v>
      </c>
      <c r="B504" s="1" t="s">
        <v>1500</v>
      </c>
      <c r="C504" s="1" t="s">
        <v>1501</v>
      </c>
      <c r="D504" s="1" t="s">
        <v>18</v>
      </c>
      <c r="E504" s="3">
        <v>0</v>
      </c>
      <c r="F504" s="3">
        <v>0</v>
      </c>
      <c r="G504" s="3">
        <v>0</v>
      </c>
      <c r="H504" s="3">
        <v>3537.72</v>
      </c>
      <c r="I504" s="3">
        <v>7739.54</v>
      </c>
      <c r="J504" s="1" t="s">
        <v>14</v>
      </c>
      <c r="K504" s="28"/>
      <c r="L504" s="28"/>
    </row>
    <row r="505" spans="1:12" s="2" customFormat="1" ht="24.95" customHeight="1" x14ac:dyDescent="0.25">
      <c r="A505" s="31" t="s">
        <v>1502</v>
      </c>
      <c r="B505" s="1" t="s">
        <v>1503</v>
      </c>
      <c r="C505" s="1" t="s">
        <v>1504</v>
      </c>
      <c r="D505" s="1" t="s">
        <v>13</v>
      </c>
      <c r="E505" s="3">
        <v>0</v>
      </c>
      <c r="F505" s="3">
        <v>835.44</v>
      </c>
      <c r="G505" s="3">
        <v>0</v>
      </c>
      <c r="H505" s="3">
        <v>0</v>
      </c>
      <c r="I505" s="3">
        <v>0</v>
      </c>
      <c r="J505" s="1" t="s">
        <v>37</v>
      </c>
      <c r="K505" s="28"/>
      <c r="L505" s="28"/>
    </row>
    <row r="506" spans="1:12" s="2" customFormat="1" ht="24.95" customHeight="1" x14ac:dyDescent="0.25">
      <c r="A506" s="31" t="s">
        <v>1505</v>
      </c>
      <c r="B506" s="1" t="s">
        <v>1506</v>
      </c>
      <c r="C506" s="1" t="s">
        <v>1507</v>
      </c>
      <c r="D506" s="1" t="s">
        <v>23</v>
      </c>
      <c r="E506" s="3">
        <v>0</v>
      </c>
      <c r="F506" s="3">
        <v>1954.19</v>
      </c>
      <c r="G506" s="3">
        <v>0</v>
      </c>
      <c r="H506" s="3">
        <v>0</v>
      </c>
      <c r="I506" s="3">
        <v>3429.22</v>
      </c>
      <c r="J506" s="1" t="s">
        <v>24</v>
      </c>
      <c r="K506" s="28"/>
      <c r="L506" s="28"/>
    </row>
    <row r="507" spans="1:12" s="2" customFormat="1" ht="24.95" customHeight="1" x14ac:dyDescent="0.25">
      <c r="A507" s="31" t="s">
        <v>1508</v>
      </c>
      <c r="B507" s="1" t="s">
        <v>1509</v>
      </c>
      <c r="C507" s="1" t="s">
        <v>1510</v>
      </c>
      <c r="D507" s="1" t="s">
        <v>13</v>
      </c>
      <c r="E507" s="3">
        <v>3020.08</v>
      </c>
      <c r="F507" s="3">
        <v>3474.09</v>
      </c>
      <c r="G507" s="3">
        <v>611.91</v>
      </c>
      <c r="H507" s="3">
        <v>0</v>
      </c>
      <c r="I507" s="3">
        <v>0</v>
      </c>
      <c r="J507" s="1" t="s">
        <v>4</v>
      </c>
      <c r="K507" s="28"/>
      <c r="L507" s="28"/>
    </row>
    <row r="508" spans="1:12" s="2" customFormat="1" ht="24.95" customHeight="1" x14ac:dyDescent="0.25">
      <c r="A508" s="31" t="s">
        <v>1511</v>
      </c>
      <c r="B508" s="1" t="s">
        <v>1512</v>
      </c>
      <c r="C508" s="1" t="s">
        <v>1513</v>
      </c>
      <c r="D508" s="1" t="s">
        <v>13</v>
      </c>
      <c r="E508" s="3">
        <v>4820.6400000000003</v>
      </c>
      <c r="F508" s="3">
        <v>0</v>
      </c>
      <c r="G508" s="3">
        <v>2669.94</v>
      </c>
      <c r="H508" s="3">
        <v>2272.91</v>
      </c>
      <c r="I508" s="3">
        <v>8136.37</v>
      </c>
      <c r="J508" s="1" t="s">
        <v>86</v>
      </c>
      <c r="K508" s="28"/>
      <c r="L508" s="28"/>
    </row>
    <row r="509" spans="1:12" s="2" customFormat="1" ht="24.95" customHeight="1" x14ac:dyDescent="0.25">
      <c r="A509" s="31" t="s">
        <v>1514</v>
      </c>
      <c r="B509" s="1" t="s">
        <v>1515</v>
      </c>
      <c r="C509" s="1" t="s">
        <v>1516</v>
      </c>
      <c r="D509" s="1" t="s">
        <v>18</v>
      </c>
      <c r="E509" s="3">
        <v>0</v>
      </c>
      <c r="F509" s="3">
        <v>280.14</v>
      </c>
      <c r="G509" s="3">
        <v>0</v>
      </c>
      <c r="H509" s="3">
        <v>8481.4500000000007</v>
      </c>
      <c r="I509" s="3">
        <v>3415.83</v>
      </c>
      <c r="J509" s="1" t="s">
        <v>93</v>
      </c>
      <c r="K509" s="28"/>
      <c r="L509" s="28"/>
    </row>
    <row r="510" spans="1:12" s="2" customFormat="1" ht="24.95" customHeight="1" x14ac:dyDescent="0.25">
      <c r="A510" s="31" t="s">
        <v>1517</v>
      </c>
      <c r="B510" s="1" t="s">
        <v>1518</v>
      </c>
      <c r="C510" s="1" t="s">
        <v>1519</v>
      </c>
      <c r="D510" s="1" t="s">
        <v>3027</v>
      </c>
      <c r="E510" s="3">
        <v>7925.98</v>
      </c>
      <c r="F510" s="3">
        <v>0</v>
      </c>
      <c r="G510" s="3">
        <v>0</v>
      </c>
      <c r="H510" s="3">
        <v>7985.4</v>
      </c>
      <c r="I510" s="3">
        <v>0</v>
      </c>
      <c r="J510" s="1" t="s">
        <v>24</v>
      </c>
      <c r="K510" s="28"/>
      <c r="L510" s="28"/>
    </row>
    <row r="511" spans="1:12" s="2" customFormat="1" ht="24.95" customHeight="1" x14ac:dyDescent="0.25">
      <c r="A511" s="31" t="s">
        <v>1520</v>
      </c>
      <c r="B511" s="1" t="s">
        <v>1521</v>
      </c>
      <c r="C511" s="1" t="s">
        <v>1522</v>
      </c>
      <c r="D511" s="1" t="s">
        <v>23</v>
      </c>
      <c r="E511" s="3">
        <v>0</v>
      </c>
      <c r="F511" s="3">
        <v>545.78</v>
      </c>
      <c r="G511" s="3">
        <v>0</v>
      </c>
      <c r="H511" s="3">
        <v>7392.96</v>
      </c>
      <c r="I511" s="3">
        <v>13884.12</v>
      </c>
      <c r="J511" s="1" t="s">
        <v>106</v>
      </c>
      <c r="K511" s="28"/>
      <c r="L511" s="28"/>
    </row>
    <row r="512" spans="1:12" s="2" customFormat="1" ht="24.95" customHeight="1" x14ac:dyDescent="0.25">
      <c r="A512" s="31" t="s">
        <v>1523</v>
      </c>
      <c r="B512" s="1" t="s">
        <v>1524</v>
      </c>
      <c r="C512" s="1" t="s">
        <v>1525</v>
      </c>
      <c r="D512" s="1" t="s">
        <v>18</v>
      </c>
      <c r="E512" s="3">
        <v>0</v>
      </c>
      <c r="F512" s="3">
        <v>2447.13</v>
      </c>
      <c r="G512" s="3">
        <v>0</v>
      </c>
      <c r="H512" s="3">
        <v>3240.65</v>
      </c>
      <c r="I512" s="3">
        <v>2490.02</v>
      </c>
      <c r="J512" s="1" t="s">
        <v>106</v>
      </c>
      <c r="K512" s="28"/>
      <c r="L512" s="28"/>
    </row>
    <row r="513" spans="1:12" s="2" customFormat="1" ht="24.95" customHeight="1" x14ac:dyDescent="0.25">
      <c r="A513" s="31" t="s">
        <v>1526</v>
      </c>
      <c r="B513" s="1" t="s">
        <v>1527</v>
      </c>
      <c r="C513" s="1" t="s">
        <v>1528</v>
      </c>
      <c r="D513" s="1" t="s">
        <v>23</v>
      </c>
      <c r="E513" s="3">
        <v>0</v>
      </c>
      <c r="F513" s="3">
        <v>0</v>
      </c>
      <c r="G513" s="3">
        <v>2871.86</v>
      </c>
      <c r="H513" s="3">
        <v>0</v>
      </c>
      <c r="I513" s="3">
        <v>8677.56</v>
      </c>
      <c r="J513" s="1" t="s">
        <v>48</v>
      </c>
      <c r="K513" s="28"/>
      <c r="L513" s="28"/>
    </row>
    <row r="514" spans="1:12" s="2" customFormat="1" ht="24.95" customHeight="1" x14ac:dyDescent="0.25">
      <c r="A514" s="31" t="s">
        <v>1529</v>
      </c>
      <c r="B514" s="1" t="s">
        <v>1530</v>
      </c>
      <c r="C514" s="1" t="s">
        <v>1531</v>
      </c>
      <c r="D514" s="1" t="s">
        <v>3027</v>
      </c>
      <c r="E514" s="3">
        <v>5378.36</v>
      </c>
      <c r="F514" s="3">
        <v>0</v>
      </c>
      <c r="G514" s="3">
        <v>335.4</v>
      </c>
      <c r="H514" s="3">
        <v>0</v>
      </c>
      <c r="I514" s="3">
        <v>0</v>
      </c>
      <c r="J514" s="1" t="s">
        <v>19</v>
      </c>
      <c r="K514" s="28"/>
      <c r="L514" s="28"/>
    </row>
    <row r="515" spans="1:12" s="2" customFormat="1" ht="24.95" customHeight="1" x14ac:dyDescent="0.25">
      <c r="A515" s="31" t="s">
        <v>1532</v>
      </c>
      <c r="B515" s="1" t="s">
        <v>1533</v>
      </c>
      <c r="C515" s="1" t="s">
        <v>1534</v>
      </c>
      <c r="D515" s="1" t="s">
        <v>3</v>
      </c>
      <c r="E515" s="3">
        <v>0</v>
      </c>
      <c r="F515" s="3">
        <v>0</v>
      </c>
      <c r="G515" s="3">
        <v>2711.8</v>
      </c>
      <c r="H515" s="3">
        <v>2305.2399999999998</v>
      </c>
      <c r="I515" s="3">
        <v>12977.52</v>
      </c>
      <c r="J515" s="1" t="s">
        <v>19</v>
      </c>
      <c r="K515" s="28"/>
      <c r="L515" s="28"/>
    </row>
    <row r="516" spans="1:12" s="2" customFormat="1" ht="24.95" customHeight="1" x14ac:dyDescent="0.25">
      <c r="A516" s="31" t="s">
        <v>1535</v>
      </c>
      <c r="B516" s="1" t="s">
        <v>1536</v>
      </c>
      <c r="C516" s="1" t="s">
        <v>1537</v>
      </c>
      <c r="D516" s="1" t="s">
        <v>8</v>
      </c>
      <c r="E516" s="3">
        <v>1321.6</v>
      </c>
      <c r="F516" s="3">
        <v>0</v>
      </c>
      <c r="G516" s="3">
        <v>2516.06</v>
      </c>
      <c r="H516" s="3">
        <v>0</v>
      </c>
      <c r="I516" s="3">
        <v>7480.64</v>
      </c>
      <c r="J516" s="1" t="s">
        <v>86</v>
      </c>
      <c r="K516" s="28"/>
      <c r="L516" s="28"/>
    </row>
    <row r="517" spans="1:12" s="2" customFormat="1" ht="24.95" customHeight="1" x14ac:dyDescent="0.25">
      <c r="A517" s="31" t="s">
        <v>1538</v>
      </c>
      <c r="B517" s="1" t="s">
        <v>1539</v>
      </c>
      <c r="C517" s="1" t="s">
        <v>1540</v>
      </c>
      <c r="D517" s="1" t="s">
        <v>3</v>
      </c>
      <c r="E517" s="3">
        <v>1403.29</v>
      </c>
      <c r="F517" s="3">
        <v>0</v>
      </c>
      <c r="G517" s="3">
        <v>1007.35</v>
      </c>
      <c r="H517" s="3">
        <v>0</v>
      </c>
      <c r="I517" s="3">
        <v>5463.43</v>
      </c>
      <c r="J517" s="1" t="s">
        <v>106</v>
      </c>
      <c r="K517" s="28"/>
      <c r="L517" s="28"/>
    </row>
    <row r="518" spans="1:12" s="2" customFormat="1" ht="24.95" customHeight="1" x14ac:dyDescent="0.25">
      <c r="A518" s="31" t="s">
        <v>1541</v>
      </c>
      <c r="B518" s="1" t="s">
        <v>1542</v>
      </c>
      <c r="C518" s="1" t="s">
        <v>1543</v>
      </c>
      <c r="D518" s="1" t="s">
        <v>3</v>
      </c>
      <c r="E518" s="3">
        <v>1781.85</v>
      </c>
      <c r="F518" s="3">
        <v>1032.74</v>
      </c>
      <c r="G518" s="3">
        <v>0</v>
      </c>
      <c r="H518" s="3">
        <v>3962.03</v>
      </c>
      <c r="I518" s="3">
        <v>9766.5400000000009</v>
      </c>
      <c r="J518" s="1" t="s">
        <v>4</v>
      </c>
      <c r="K518" s="28"/>
      <c r="L518" s="28"/>
    </row>
    <row r="519" spans="1:12" s="2" customFormat="1" ht="24.95" customHeight="1" x14ac:dyDescent="0.25">
      <c r="A519" s="31" t="s">
        <v>1544</v>
      </c>
      <c r="B519" s="1" t="s">
        <v>1545</v>
      </c>
      <c r="C519" s="1" t="s">
        <v>1546</v>
      </c>
      <c r="D519" s="1" t="s">
        <v>18</v>
      </c>
      <c r="E519" s="3">
        <v>0</v>
      </c>
      <c r="F519" s="3">
        <v>2902.82</v>
      </c>
      <c r="G519" s="3">
        <v>0</v>
      </c>
      <c r="H519" s="3">
        <v>11873.39</v>
      </c>
      <c r="I519" s="3">
        <v>14556.52</v>
      </c>
      <c r="J519" s="1" t="s">
        <v>24</v>
      </c>
      <c r="K519" s="28"/>
      <c r="L519" s="28"/>
    </row>
    <row r="520" spans="1:12" s="2" customFormat="1" ht="24.95" customHeight="1" x14ac:dyDescent="0.25">
      <c r="A520" s="31" t="s">
        <v>1547</v>
      </c>
      <c r="B520" s="1" t="s">
        <v>1548</v>
      </c>
      <c r="C520" s="1" t="s">
        <v>1549</v>
      </c>
      <c r="D520" s="1" t="s">
        <v>18</v>
      </c>
      <c r="E520" s="3">
        <v>5167.8</v>
      </c>
      <c r="F520" s="3">
        <v>4518.53</v>
      </c>
      <c r="G520" s="3">
        <v>1078.24</v>
      </c>
      <c r="H520" s="3">
        <v>0</v>
      </c>
      <c r="I520" s="3">
        <v>5432.7</v>
      </c>
      <c r="J520" s="1" t="s">
        <v>93</v>
      </c>
      <c r="K520" s="28"/>
      <c r="L520" s="28"/>
    </row>
    <row r="521" spans="1:12" s="2" customFormat="1" ht="24.95" customHeight="1" x14ac:dyDescent="0.25">
      <c r="A521" s="31" t="s">
        <v>1550</v>
      </c>
      <c r="B521" s="1" t="s">
        <v>1551</v>
      </c>
      <c r="C521" s="1" t="s">
        <v>1552</v>
      </c>
      <c r="D521" s="1" t="s">
        <v>8</v>
      </c>
      <c r="E521" s="3">
        <v>4411.6000000000004</v>
      </c>
      <c r="F521" s="3">
        <v>0</v>
      </c>
      <c r="G521" s="3">
        <v>2454.1999999999998</v>
      </c>
      <c r="H521" s="3">
        <v>10207.32</v>
      </c>
      <c r="I521" s="3">
        <v>0</v>
      </c>
      <c r="J521" s="1" t="s">
        <v>19</v>
      </c>
      <c r="K521" s="28"/>
      <c r="L521" s="28"/>
    </row>
    <row r="522" spans="1:12" s="2" customFormat="1" ht="24.95" customHeight="1" x14ac:dyDescent="0.25">
      <c r="A522" s="31" t="s">
        <v>1553</v>
      </c>
      <c r="B522" s="1" t="s">
        <v>1554</v>
      </c>
      <c r="C522" s="1" t="s">
        <v>1555</v>
      </c>
      <c r="D522" s="1" t="s">
        <v>3</v>
      </c>
      <c r="E522" s="3">
        <v>881.51</v>
      </c>
      <c r="F522" s="3">
        <v>4101.21</v>
      </c>
      <c r="G522" s="3">
        <v>202.1</v>
      </c>
      <c r="H522" s="3">
        <v>0</v>
      </c>
      <c r="I522" s="3">
        <v>0</v>
      </c>
      <c r="J522" s="1" t="s">
        <v>48</v>
      </c>
      <c r="K522" s="28"/>
      <c r="L522" s="28"/>
    </row>
    <row r="523" spans="1:12" s="2" customFormat="1" ht="24.95" customHeight="1" x14ac:dyDescent="0.25">
      <c r="A523" s="31" t="s">
        <v>1556</v>
      </c>
      <c r="B523" s="1" t="s">
        <v>1557</v>
      </c>
      <c r="C523" s="1" t="s">
        <v>1558</v>
      </c>
      <c r="D523" s="1" t="s">
        <v>23</v>
      </c>
      <c r="E523" s="3">
        <v>0</v>
      </c>
      <c r="F523" s="3">
        <v>2063.2199999999998</v>
      </c>
      <c r="G523" s="3">
        <v>0</v>
      </c>
      <c r="H523" s="3">
        <v>0</v>
      </c>
      <c r="I523" s="3">
        <v>0</v>
      </c>
      <c r="J523" s="1" t="s">
        <v>106</v>
      </c>
      <c r="K523" s="28"/>
      <c r="L523" s="28"/>
    </row>
    <row r="524" spans="1:12" s="2" customFormat="1" ht="24.95" customHeight="1" x14ac:dyDescent="0.25">
      <c r="A524" s="31" t="s">
        <v>1559</v>
      </c>
      <c r="B524" s="1" t="s">
        <v>1560</v>
      </c>
      <c r="C524" s="1" t="s">
        <v>1561</v>
      </c>
      <c r="D524" s="1" t="s">
        <v>23</v>
      </c>
      <c r="E524" s="3">
        <v>0</v>
      </c>
      <c r="F524" s="3">
        <v>1050.54</v>
      </c>
      <c r="G524" s="3">
        <v>0</v>
      </c>
      <c r="H524" s="3">
        <v>1232.4000000000001</v>
      </c>
      <c r="I524" s="3">
        <v>0</v>
      </c>
      <c r="J524" s="1" t="s">
        <v>14</v>
      </c>
      <c r="K524" s="28"/>
      <c r="L524" s="28"/>
    </row>
    <row r="525" spans="1:12" s="2" customFormat="1" ht="24.95" customHeight="1" x14ac:dyDescent="0.25">
      <c r="A525" s="31" t="s">
        <v>1562</v>
      </c>
      <c r="B525" s="1" t="s">
        <v>1563</v>
      </c>
      <c r="C525" s="1" t="s">
        <v>1564</v>
      </c>
      <c r="D525" s="1" t="s">
        <v>23</v>
      </c>
      <c r="E525" s="3">
        <v>0</v>
      </c>
      <c r="F525" s="3">
        <v>0</v>
      </c>
      <c r="G525" s="3">
        <v>435.66</v>
      </c>
      <c r="H525" s="3">
        <v>0</v>
      </c>
      <c r="I525" s="3">
        <v>11342.36</v>
      </c>
      <c r="J525" s="1" t="s">
        <v>48</v>
      </c>
      <c r="K525" s="28"/>
      <c r="L525" s="28"/>
    </row>
    <row r="526" spans="1:12" s="2" customFormat="1" ht="24.95" customHeight="1" x14ac:dyDescent="0.25">
      <c r="A526" s="31" t="s">
        <v>1565</v>
      </c>
      <c r="B526" s="1" t="s">
        <v>1566</v>
      </c>
      <c r="C526" s="1" t="s">
        <v>1567</v>
      </c>
      <c r="D526" s="1" t="s">
        <v>23</v>
      </c>
      <c r="E526" s="3">
        <v>0</v>
      </c>
      <c r="F526" s="3">
        <v>4253.62</v>
      </c>
      <c r="G526" s="3">
        <v>0</v>
      </c>
      <c r="H526" s="3">
        <v>0</v>
      </c>
      <c r="I526" s="3">
        <v>1936.53</v>
      </c>
      <c r="J526" s="1" t="s">
        <v>48</v>
      </c>
      <c r="K526" s="28"/>
      <c r="L526" s="28"/>
    </row>
    <row r="527" spans="1:12" s="2" customFormat="1" ht="24.95" customHeight="1" x14ac:dyDescent="0.25">
      <c r="A527" s="31" t="s">
        <v>1568</v>
      </c>
      <c r="B527" s="1" t="s">
        <v>1569</v>
      </c>
      <c r="C527" s="1" t="s">
        <v>1570</v>
      </c>
      <c r="D527" s="1" t="s">
        <v>8</v>
      </c>
      <c r="E527" s="3">
        <v>0</v>
      </c>
      <c r="F527" s="3">
        <v>4522.8</v>
      </c>
      <c r="G527" s="3">
        <v>0</v>
      </c>
      <c r="H527" s="3">
        <v>389.72</v>
      </c>
      <c r="I527" s="3">
        <v>0</v>
      </c>
      <c r="J527" s="1" t="s">
        <v>19</v>
      </c>
      <c r="K527" s="28"/>
      <c r="L527" s="28"/>
    </row>
    <row r="528" spans="1:12" s="2" customFormat="1" ht="24.95" customHeight="1" x14ac:dyDescent="0.25">
      <c r="A528" s="31" t="s">
        <v>1571</v>
      </c>
      <c r="B528" s="1" t="s">
        <v>1572</v>
      </c>
      <c r="C528" s="1" t="s">
        <v>1573</v>
      </c>
      <c r="D528" s="1" t="s">
        <v>3027</v>
      </c>
      <c r="E528" s="3">
        <v>0</v>
      </c>
      <c r="F528" s="3">
        <v>0</v>
      </c>
      <c r="G528" s="3">
        <v>0</v>
      </c>
      <c r="H528" s="3">
        <v>10943.7</v>
      </c>
      <c r="I528" s="3">
        <v>2937.93</v>
      </c>
      <c r="J528" s="1" t="s">
        <v>9</v>
      </c>
      <c r="K528" s="28"/>
      <c r="L528" s="28"/>
    </row>
    <row r="529" spans="1:12" s="2" customFormat="1" ht="24.95" customHeight="1" x14ac:dyDescent="0.25">
      <c r="A529" s="31" t="s">
        <v>1574</v>
      </c>
      <c r="B529" s="1" t="s">
        <v>1575</v>
      </c>
      <c r="C529" s="1" t="s">
        <v>1576</v>
      </c>
      <c r="D529" s="1" t="s">
        <v>23</v>
      </c>
      <c r="E529" s="3">
        <v>6750.77</v>
      </c>
      <c r="F529" s="3">
        <v>4014.47</v>
      </c>
      <c r="G529" s="3">
        <v>0</v>
      </c>
      <c r="H529" s="3">
        <v>0</v>
      </c>
      <c r="I529" s="3">
        <v>0</v>
      </c>
      <c r="J529" s="1" t="s">
        <v>4</v>
      </c>
      <c r="K529" s="28"/>
      <c r="L529" s="28"/>
    </row>
    <row r="530" spans="1:12" s="2" customFormat="1" ht="24.95" customHeight="1" x14ac:dyDescent="0.25">
      <c r="A530" s="31" t="s">
        <v>1577</v>
      </c>
      <c r="B530" s="1" t="s">
        <v>1578</v>
      </c>
      <c r="C530" s="1" t="s">
        <v>1579</v>
      </c>
      <c r="D530" s="1" t="s">
        <v>18</v>
      </c>
      <c r="E530" s="3">
        <v>6506.78</v>
      </c>
      <c r="F530" s="3">
        <v>0</v>
      </c>
      <c r="G530" s="3">
        <v>0</v>
      </c>
      <c r="H530" s="3">
        <v>0</v>
      </c>
      <c r="I530" s="3">
        <v>0</v>
      </c>
      <c r="J530" s="1" t="s">
        <v>41</v>
      </c>
      <c r="K530" s="28"/>
      <c r="L530" s="28"/>
    </row>
    <row r="531" spans="1:12" s="2" customFormat="1" ht="24.95" customHeight="1" x14ac:dyDescent="0.25">
      <c r="A531" s="31" t="s">
        <v>1580</v>
      </c>
      <c r="B531" s="1" t="s">
        <v>1581</v>
      </c>
      <c r="C531" s="1" t="s">
        <v>1582</v>
      </c>
      <c r="D531" s="1" t="s">
        <v>8</v>
      </c>
      <c r="E531" s="3">
        <v>0</v>
      </c>
      <c r="F531" s="3">
        <v>3636.1</v>
      </c>
      <c r="G531" s="3">
        <v>836.08</v>
      </c>
      <c r="H531" s="3">
        <v>7966.51</v>
      </c>
      <c r="I531" s="3">
        <v>6230.84</v>
      </c>
      <c r="J531" s="1" t="s">
        <v>4</v>
      </c>
      <c r="K531" s="28"/>
      <c r="L531" s="28"/>
    </row>
    <row r="532" spans="1:12" s="2" customFormat="1" ht="24.95" customHeight="1" x14ac:dyDescent="0.25">
      <c r="A532" s="31" t="s">
        <v>1583</v>
      </c>
      <c r="B532" s="1" t="s">
        <v>1584</v>
      </c>
      <c r="C532" s="1" t="s">
        <v>1585</v>
      </c>
      <c r="D532" s="1" t="s">
        <v>13</v>
      </c>
      <c r="E532" s="3">
        <v>0</v>
      </c>
      <c r="F532" s="3">
        <v>2629.09</v>
      </c>
      <c r="G532" s="3">
        <v>0</v>
      </c>
      <c r="H532" s="3">
        <v>5615.3</v>
      </c>
      <c r="I532" s="3">
        <v>13052.42</v>
      </c>
      <c r="J532" s="1" t="s">
        <v>93</v>
      </c>
      <c r="K532" s="28"/>
      <c r="L532" s="28"/>
    </row>
    <row r="533" spans="1:12" s="2" customFormat="1" ht="24.95" customHeight="1" x14ac:dyDescent="0.25">
      <c r="A533" s="31" t="s">
        <v>1586</v>
      </c>
      <c r="B533" s="1" t="s">
        <v>1587</v>
      </c>
      <c r="C533" s="1" t="s">
        <v>1588</v>
      </c>
      <c r="D533" s="1" t="s">
        <v>13</v>
      </c>
      <c r="E533" s="3">
        <v>0</v>
      </c>
      <c r="F533" s="3">
        <v>492.18</v>
      </c>
      <c r="G533" s="3">
        <v>0</v>
      </c>
      <c r="H533" s="3">
        <v>4624.3900000000003</v>
      </c>
      <c r="I533" s="3">
        <v>0</v>
      </c>
      <c r="J533" s="1" t="s">
        <v>24</v>
      </c>
      <c r="K533" s="28"/>
      <c r="L533" s="28"/>
    </row>
    <row r="534" spans="1:12" s="2" customFormat="1" ht="24.95" customHeight="1" x14ac:dyDescent="0.25">
      <c r="A534" s="31" t="s">
        <v>1589</v>
      </c>
      <c r="B534" s="1" t="s">
        <v>1590</v>
      </c>
      <c r="C534" s="1" t="s">
        <v>1591</v>
      </c>
      <c r="D534" s="1" t="s">
        <v>8</v>
      </c>
      <c r="E534" s="3">
        <v>6204.44</v>
      </c>
      <c r="F534" s="3">
        <v>0</v>
      </c>
      <c r="G534" s="3">
        <v>1076.1400000000001</v>
      </c>
      <c r="H534" s="3">
        <v>0</v>
      </c>
      <c r="I534" s="3">
        <v>0</v>
      </c>
      <c r="J534" s="1" t="s">
        <v>86</v>
      </c>
      <c r="K534" s="28"/>
      <c r="L534" s="28"/>
    </row>
    <row r="535" spans="1:12" s="2" customFormat="1" ht="24.95" customHeight="1" x14ac:dyDescent="0.25">
      <c r="A535" s="31" t="s">
        <v>1592</v>
      </c>
      <c r="B535" s="1" t="s">
        <v>1593</v>
      </c>
      <c r="C535" s="1" t="s">
        <v>1594</v>
      </c>
      <c r="D535" s="1" t="s">
        <v>3027</v>
      </c>
      <c r="E535" s="3">
        <v>112.58</v>
      </c>
      <c r="F535" s="3">
        <v>0</v>
      </c>
      <c r="G535" s="3">
        <v>656.2</v>
      </c>
      <c r="H535" s="3">
        <v>8095.31</v>
      </c>
      <c r="I535" s="3">
        <v>1847.43</v>
      </c>
      <c r="J535" s="1" t="s">
        <v>4</v>
      </c>
      <c r="K535" s="28"/>
      <c r="L535" s="28"/>
    </row>
    <row r="536" spans="1:12" s="2" customFormat="1" ht="24.95" customHeight="1" x14ac:dyDescent="0.25">
      <c r="A536" s="31" t="s">
        <v>1595</v>
      </c>
      <c r="B536" s="1" t="s">
        <v>1596</v>
      </c>
      <c r="C536" s="1" t="s">
        <v>1597</v>
      </c>
      <c r="D536" s="1" t="s">
        <v>3027</v>
      </c>
      <c r="E536" s="3">
        <v>0</v>
      </c>
      <c r="F536" s="3">
        <v>0</v>
      </c>
      <c r="G536" s="3">
        <v>0</v>
      </c>
      <c r="H536" s="3">
        <v>4856.72</v>
      </c>
      <c r="I536" s="3">
        <v>13768.24</v>
      </c>
      <c r="J536" s="1" t="s">
        <v>24</v>
      </c>
      <c r="K536" s="28"/>
      <c r="L536" s="28"/>
    </row>
    <row r="537" spans="1:12" s="2" customFormat="1" ht="24.95" customHeight="1" x14ac:dyDescent="0.25">
      <c r="A537" s="31" t="s">
        <v>1598</v>
      </c>
      <c r="B537" s="1" t="s">
        <v>1599</v>
      </c>
      <c r="C537" s="1" t="s">
        <v>1600</v>
      </c>
      <c r="D537" s="1" t="s">
        <v>8</v>
      </c>
      <c r="E537" s="3">
        <v>3263.56</v>
      </c>
      <c r="F537" s="3">
        <v>0</v>
      </c>
      <c r="G537" s="3">
        <v>1617.28</v>
      </c>
      <c r="H537" s="3">
        <v>3574.17</v>
      </c>
      <c r="I537" s="3">
        <v>0</v>
      </c>
      <c r="J537" s="1" t="s">
        <v>19</v>
      </c>
      <c r="K537" s="28"/>
      <c r="L537" s="28"/>
    </row>
    <row r="538" spans="1:12" s="2" customFormat="1" ht="24.95" customHeight="1" x14ac:dyDescent="0.25">
      <c r="A538" s="31" t="s">
        <v>1601</v>
      </c>
      <c r="B538" s="1" t="s">
        <v>1602</v>
      </c>
      <c r="C538" s="1" t="s">
        <v>1603</v>
      </c>
      <c r="D538" s="1" t="s">
        <v>8</v>
      </c>
      <c r="E538" s="3">
        <v>0</v>
      </c>
      <c r="F538" s="3">
        <v>0</v>
      </c>
      <c r="G538" s="3">
        <v>0</v>
      </c>
      <c r="H538" s="3">
        <v>0</v>
      </c>
      <c r="I538" s="3">
        <v>10173.61</v>
      </c>
      <c r="J538" s="1" t="s">
        <v>19</v>
      </c>
      <c r="K538" s="28"/>
      <c r="L538" s="28"/>
    </row>
    <row r="539" spans="1:12" s="2" customFormat="1" ht="24.95" customHeight="1" x14ac:dyDescent="0.25">
      <c r="A539" s="31" t="s">
        <v>1604</v>
      </c>
      <c r="B539" s="1" t="s">
        <v>1605</v>
      </c>
      <c r="C539" s="1" t="s">
        <v>1606</v>
      </c>
      <c r="D539" s="1" t="s">
        <v>3</v>
      </c>
      <c r="E539" s="3">
        <v>0</v>
      </c>
      <c r="F539" s="3">
        <v>0</v>
      </c>
      <c r="G539" s="3">
        <v>1641.46</v>
      </c>
      <c r="H539" s="3">
        <v>0</v>
      </c>
      <c r="I539" s="3">
        <v>0</v>
      </c>
      <c r="J539" s="1" t="s">
        <v>24</v>
      </c>
      <c r="K539" s="28"/>
      <c r="L539" s="28"/>
    </row>
    <row r="540" spans="1:12" s="2" customFormat="1" ht="24.95" customHeight="1" x14ac:dyDescent="0.25">
      <c r="A540" s="31" t="s">
        <v>1607</v>
      </c>
      <c r="B540" s="1" t="s">
        <v>1608</v>
      </c>
      <c r="C540" s="1" t="s">
        <v>1609</v>
      </c>
      <c r="D540" s="1" t="s">
        <v>8</v>
      </c>
      <c r="E540" s="3">
        <v>0</v>
      </c>
      <c r="F540" s="3">
        <v>569.4</v>
      </c>
      <c r="G540" s="3">
        <v>0</v>
      </c>
      <c r="H540" s="3">
        <v>0</v>
      </c>
      <c r="I540" s="3">
        <v>0</v>
      </c>
      <c r="J540" s="1" t="s">
        <v>24</v>
      </c>
      <c r="K540" s="28"/>
      <c r="L540" s="28"/>
    </row>
    <row r="541" spans="1:12" s="2" customFormat="1" ht="24.95" customHeight="1" x14ac:dyDescent="0.25">
      <c r="A541" s="31" t="s">
        <v>1610</v>
      </c>
      <c r="B541" s="1" t="s">
        <v>1611</v>
      </c>
      <c r="C541" s="1" t="s">
        <v>1612</v>
      </c>
      <c r="D541" s="1" t="s">
        <v>13</v>
      </c>
      <c r="E541" s="3">
        <v>0</v>
      </c>
      <c r="F541" s="3">
        <v>0</v>
      </c>
      <c r="G541" s="3">
        <v>0</v>
      </c>
      <c r="H541" s="3">
        <v>0</v>
      </c>
      <c r="I541" s="3">
        <v>4300.63</v>
      </c>
      <c r="J541" s="1" t="s">
        <v>48</v>
      </c>
      <c r="K541" s="28"/>
      <c r="L541" s="28"/>
    </row>
    <row r="542" spans="1:12" s="2" customFormat="1" ht="24.95" customHeight="1" x14ac:dyDescent="0.25">
      <c r="A542" s="31" t="s">
        <v>1613</v>
      </c>
      <c r="B542" s="1" t="s">
        <v>1614</v>
      </c>
      <c r="C542" s="1" t="s">
        <v>1615</v>
      </c>
      <c r="D542" s="1" t="s">
        <v>18</v>
      </c>
      <c r="E542" s="3">
        <v>0</v>
      </c>
      <c r="F542" s="3">
        <v>0</v>
      </c>
      <c r="G542" s="3">
        <v>980.63</v>
      </c>
      <c r="H542" s="3">
        <v>0</v>
      </c>
      <c r="I542" s="3">
        <v>0</v>
      </c>
      <c r="J542" s="1" t="s">
        <v>37</v>
      </c>
      <c r="K542" s="28"/>
      <c r="L542" s="28"/>
    </row>
    <row r="543" spans="1:12" s="2" customFormat="1" ht="24.95" customHeight="1" x14ac:dyDescent="0.25">
      <c r="A543" s="31" t="s">
        <v>1616</v>
      </c>
      <c r="B543" s="1" t="s">
        <v>1617</v>
      </c>
      <c r="C543" s="1" t="s">
        <v>1618</v>
      </c>
      <c r="D543" s="1" t="s">
        <v>18</v>
      </c>
      <c r="E543" s="3">
        <v>0</v>
      </c>
      <c r="F543" s="3">
        <v>0</v>
      </c>
      <c r="G543" s="3">
        <v>0</v>
      </c>
      <c r="H543" s="3">
        <v>2195.1999999999998</v>
      </c>
      <c r="I543" s="3">
        <v>0</v>
      </c>
      <c r="J543" s="1" t="s">
        <v>19</v>
      </c>
      <c r="K543" s="28"/>
      <c r="L543" s="28"/>
    </row>
    <row r="544" spans="1:12" s="2" customFormat="1" ht="24.95" customHeight="1" x14ac:dyDescent="0.25">
      <c r="A544" s="31" t="s">
        <v>1619</v>
      </c>
      <c r="B544" s="1" t="s">
        <v>1620</v>
      </c>
      <c r="C544" s="1" t="s">
        <v>1621</v>
      </c>
      <c r="D544" s="1" t="s">
        <v>18</v>
      </c>
      <c r="E544" s="3">
        <v>0</v>
      </c>
      <c r="F544" s="3">
        <v>1434.14</v>
      </c>
      <c r="G544" s="3">
        <v>0</v>
      </c>
      <c r="H544" s="3">
        <v>0</v>
      </c>
      <c r="I544" s="3">
        <v>0</v>
      </c>
      <c r="J544" s="1" t="s">
        <v>41</v>
      </c>
      <c r="K544" s="28"/>
      <c r="L544" s="28"/>
    </row>
    <row r="545" spans="1:12" s="2" customFormat="1" ht="24.95" customHeight="1" x14ac:dyDescent="0.25">
      <c r="A545" s="31" t="s">
        <v>1622</v>
      </c>
      <c r="B545" s="1" t="s">
        <v>1623</v>
      </c>
      <c r="C545" s="1" t="s">
        <v>1624</v>
      </c>
      <c r="D545" s="1" t="s">
        <v>18</v>
      </c>
      <c r="E545" s="3">
        <v>4320.6899999999996</v>
      </c>
      <c r="F545" s="3">
        <v>0</v>
      </c>
      <c r="G545" s="3">
        <v>0</v>
      </c>
      <c r="H545" s="3">
        <v>3961.62</v>
      </c>
      <c r="I545" s="3">
        <v>0</v>
      </c>
      <c r="J545" s="1" t="s">
        <v>24</v>
      </c>
      <c r="K545" s="28"/>
      <c r="L545" s="28"/>
    </row>
    <row r="546" spans="1:12" s="2" customFormat="1" ht="24.95" customHeight="1" x14ac:dyDescent="0.25">
      <c r="A546" s="31" t="s">
        <v>1625</v>
      </c>
      <c r="B546" s="1" t="s">
        <v>1626</v>
      </c>
      <c r="C546" s="1" t="s">
        <v>1627</v>
      </c>
      <c r="D546" s="1" t="s">
        <v>18</v>
      </c>
      <c r="E546" s="3">
        <v>0</v>
      </c>
      <c r="F546" s="3">
        <v>0</v>
      </c>
      <c r="G546" s="3">
        <v>0</v>
      </c>
      <c r="H546" s="3">
        <v>0</v>
      </c>
      <c r="I546" s="3">
        <v>1950.87</v>
      </c>
      <c r="J546" s="1" t="s">
        <v>48</v>
      </c>
      <c r="K546" s="28"/>
      <c r="L546" s="28"/>
    </row>
    <row r="547" spans="1:12" s="2" customFormat="1" ht="24.95" customHeight="1" x14ac:dyDescent="0.25">
      <c r="A547" s="31" t="s">
        <v>1628</v>
      </c>
      <c r="B547" s="1" t="s">
        <v>1629</v>
      </c>
      <c r="C547" s="1" t="s">
        <v>1630</v>
      </c>
      <c r="D547" s="1" t="s">
        <v>3027</v>
      </c>
      <c r="E547" s="3">
        <v>0</v>
      </c>
      <c r="F547" s="3">
        <v>0</v>
      </c>
      <c r="G547" s="3">
        <v>228.61</v>
      </c>
      <c r="H547" s="3">
        <v>0</v>
      </c>
      <c r="I547" s="3">
        <v>275.93</v>
      </c>
      <c r="J547" s="1" t="s">
        <v>14</v>
      </c>
      <c r="K547" s="28"/>
      <c r="L547" s="28"/>
    </row>
    <row r="548" spans="1:12" s="2" customFormat="1" ht="24.95" customHeight="1" x14ac:dyDescent="0.25">
      <c r="A548" s="31" t="s">
        <v>1631</v>
      </c>
      <c r="B548" s="1" t="s">
        <v>1632</v>
      </c>
      <c r="C548" s="1" t="s">
        <v>1633</v>
      </c>
      <c r="D548" s="1" t="s">
        <v>3027</v>
      </c>
      <c r="E548" s="3">
        <v>1269.52</v>
      </c>
      <c r="F548" s="3">
        <v>0</v>
      </c>
      <c r="G548" s="3">
        <v>0</v>
      </c>
      <c r="H548" s="3">
        <v>11435.23</v>
      </c>
      <c r="I548" s="3">
        <v>14108.07</v>
      </c>
      <c r="J548" s="1" t="s">
        <v>19</v>
      </c>
      <c r="K548" s="28"/>
      <c r="L548" s="28"/>
    </row>
    <row r="549" spans="1:12" s="2" customFormat="1" ht="24.95" customHeight="1" x14ac:dyDescent="0.25">
      <c r="A549" s="31" t="s">
        <v>1634</v>
      </c>
      <c r="B549" s="1" t="s">
        <v>1635</v>
      </c>
      <c r="C549" s="1" t="s">
        <v>1636</v>
      </c>
      <c r="D549" s="1" t="s">
        <v>3027</v>
      </c>
      <c r="E549" s="3">
        <v>0</v>
      </c>
      <c r="F549" s="3">
        <v>0</v>
      </c>
      <c r="G549" s="3">
        <v>1975.28</v>
      </c>
      <c r="H549" s="3">
        <v>11761.63</v>
      </c>
      <c r="I549" s="3">
        <v>13459.58</v>
      </c>
      <c r="J549" s="1" t="s">
        <v>48</v>
      </c>
      <c r="K549" s="28"/>
      <c r="L549" s="28"/>
    </row>
    <row r="550" spans="1:12" s="2" customFormat="1" ht="24.95" customHeight="1" x14ac:dyDescent="0.25">
      <c r="A550" s="31" t="s">
        <v>1637</v>
      </c>
      <c r="B550" s="1" t="s">
        <v>1638</v>
      </c>
      <c r="C550" s="1" t="s">
        <v>1639</v>
      </c>
      <c r="D550" s="1" t="s">
        <v>8</v>
      </c>
      <c r="E550" s="3">
        <v>0</v>
      </c>
      <c r="F550" s="3">
        <v>0</v>
      </c>
      <c r="G550" s="3">
        <v>0</v>
      </c>
      <c r="H550" s="3">
        <v>872.58</v>
      </c>
      <c r="I550" s="3">
        <v>0</v>
      </c>
      <c r="J550" s="1" t="s">
        <v>24</v>
      </c>
      <c r="K550" s="28"/>
      <c r="L550" s="28"/>
    </row>
    <row r="551" spans="1:12" s="2" customFormat="1" ht="24.95" customHeight="1" x14ac:dyDescent="0.25">
      <c r="A551" s="31" t="s">
        <v>1640</v>
      </c>
      <c r="B551" s="1" t="s">
        <v>1641</v>
      </c>
      <c r="C551" s="1" t="s">
        <v>1642</v>
      </c>
      <c r="D551" s="1" t="s">
        <v>3</v>
      </c>
      <c r="E551" s="3">
        <v>4243.8900000000003</v>
      </c>
      <c r="F551" s="3">
        <v>1970.46</v>
      </c>
      <c r="G551" s="3">
        <v>0</v>
      </c>
      <c r="H551" s="3">
        <v>7176.2</v>
      </c>
      <c r="I551" s="3">
        <v>7859.7</v>
      </c>
      <c r="J551" s="1" t="s">
        <v>48</v>
      </c>
      <c r="K551" s="28"/>
      <c r="L551" s="28"/>
    </row>
    <row r="552" spans="1:12" s="2" customFormat="1" ht="24.95" customHeight="1" x14ac:dyDescent="0.25">
      <c r="A552" s="31" t="s">
        <v>1643</v>
      </c>
      <c r="B552" s="1" t="s">
        <v>1644</v>
      </c>
      <c r="C552" s="1" t="s">
        <v>1645</v>
      </c>
      <c r="D552" s="1" t="s">
        <v>8</v>
      </c>
      <c r="E552" s="3">
        <v>0</v>
      </c>
      <c r="F552" s="3">
        <v>0</v>
      </c>
      <c r="G552" s="3">
        <v>0</v>
      </c>
      <c r="H552" s="3">
        <v>631.75</v>
      </c>
      <c r="I552" s="3">
        <v>12840.45</v>
      </c>
      <c r="J552" s="1" t="s">
        <v>19</v>
      </c>
      <c r="K552" s="28"/>
      <c r="L552" s="28"/>
    </row>
    <row r="553" spans="1:12" s="2" customFormat="1" ht="24.95" customHeight="1" x14ac:dyDescent="0.25">
      <c r="A553" s="31" t="s">
        <v>1646</v>
      </c>
      <c r="B553" s="1" t="s">
        <v>1647</v>
      </c>
      <c r="C553" s="1" t="s">
        <v>1648</v>
      </c>
      <c r="D553" s="1" t="s">
        <v>18</v>
      </c>
      <c r="E553" s="3">
        <v>5087.29</v>
      </c>
      <c r="F553" s="3">
        <v>1122.57</v>
      </c>
      <c r="G553" s="3">
        <v>2206.15</v>
      </c>
      <c r="H553" s="3">
        <v>11544.59</v>
      </c>
      <c r="I553" s="3">
        <v>12463.93</v>
      </c>
      <c r="J553" s="1" t="s">
        <v>4</v>
      </c>
      <c r="K553" s="28"/>
      <c r="L553" s="28"/>
    </row>
    <row r="554" spans="1:12" s="2" customFormat="1" ht="24.95" customHeight="1" x14ac:dyDescent="0.25">
      <c r="A554" s="31" t="s">
        <v>1649</v>
      </c>
      <c r="B554" s="1" t="s">
        <v>1650</v>
      </c>
      <c r="C554" s="1" t="s">
        <v>1651</v>
      </c>
      <c r="D554" s="1" t="s">
        <v>13</v>
      </c>
      <c r="E554" s="3">
        <v>7450.34</v>
      </c>
      <c r="F554" s="3">
        <v>0</v>
      </c>
      <c r="G554" s="3">
        <v>149.68</v>
      </c>
      <c r="H554" s="3">
        <v>413.29</v>
      </c>
      <c r="I554" s="3">
        <v>0</v>
      </c>
      <c r="J554" s="1" t="s">
        <v>19</v>
      </c>
      <c r="K554" s="28"/>
      <c r="L554" s="28"/>
    </row>
    <row r="555" spans="1:12" s="2" customFormat="1" ht="24.95" customHeight="1" x14ac:dyDescent="0.25">
      <c r="A555" s="31" t="s">
        <v>1652</v>
      </c>
      <c r="B555" s="1" t="s">
        <v>1653</v>
      </c>
      <c r="C555" s="1" t="s">
        <v>1654</v>
      </c>
      <c r="D555" s="1" t="s">
        <v>23</v>
      </c>
      <c r="E555" s="3">
        <v>2058.5300000000002</v>
      </c>
      <c r="F555" s="3">
        <v>2039.14</v>
      </c>
      <c r="G555" s="3">
        <v>0</v>
      </c>
      <c r="H555" s="3">
        <v>10038.67</v>
      </c>
      <c r="I555" s="3">
        <v>0</v>
      </c>
      <c r="J555" s="1" t="s">
        <v>93</v>
      </c>
      <c r="K555" s="28"/>
      <c r="L555" s="28"/>
    </row>
    <row r="556" spans="1:12" s="2" customFormat="1" ht="24.95" customHeight="1" x14ac:dyDescent="0.25">
      <c r="A556" s="31" t="s">
        <v>1655</v>
      </c>
      <c r="B556" s="1" t="s">
        <v>1656</v>
      </c>
      <c r="C556" s="1" t="s">
        <v>1657</v>
      </c>
      <c r="D556" s="1" t="s">
        <v>3</v>
      </c>
      <c r="E556" s="3">
        <v>0</v>
      </c>
      <c r="F556" s="3">
        <v>1940.39</v>
      </c>
      <c r="G556" s="3">
        <v>0</v>
      </c>
      <c r="H556" s="3">
        <v>2073.4499999999998</v>
      </c>
      <c r="I556" s="3">
        <v>0</v>
      </c>
      <c r="J556" s="1" t="s">
        <v>93</v>
      </c>
      <c r="K556" s="28"/>
      <c r="L556" s="28"/>
    </row>
    <row r="557" spans="1:12" s="2" customFormat="1" ht="24.95" customHeight="1" x14ac:dyDescent="0.25">
      <c r="A557" s="31" t="s">
        <v>1658</v>
      </c>
      <c r="B557" s="1" t="s">
        <v>1659</v>
      </c>
      <c r="C557" s="1" t="s">
        <v>1660</v>
      </c>
      <c r="D557" s="1" t="s">
        <v>3</v>
      </c>
      <c r="E557" s="3">
        <v>496.51</v>
      </c>
      <c r="F557" s="3">
        <v>0</v>
      </c>
      <c r="G557" s="3">
        <v>1481.11</v>
      </c>
      <c r="H557" s="3">
        <v>8239.82</v>
      </c>
      <c r="I557" s="3">
        <v>0</v>
      </c>
      <c r="J557" s="1" t="s">
        <v>41</v>
      </c>
      <c r="K557" s="28"/>
      <c r="L557" s="28"/>
    </row>
    <row r="558" spans="1:12" s="2" customFormat="1" ht="24.95" customHeight="1" x14ac:dyDescent="0.25">
      <c r="A558" s="31" t="s">
        <v>1661</v>
      </c>
      <c r="B558" s="1" t="s">
        <v>1662</v>
      </c>
      <c r="C558" s="1" t="s">
        <v>1663</v>
      </c>
      <c r="D558" s="1" t="s">
        <v>23</v>
      </c>
      <c r="E558" s="3">
        <v>2531.75</v>
      </c>
      <c r="F558" s="3">
        <v>0</v>
      </c>
      <c r="G558" s="3">
        <v>305.35000000000002</v>
      </c>
      <c r="H558" s="3">
        <v>6015.23</v>
      </c>
      <c r="I558" s="3">
        <v>0</v>
      </c>
      <c r="J558" s="1" t="s">
        <v>24</v>
      </c>
      <c r="K558" s="28"/>
      <c r="L558" s="28"/>
    </row>
    <row r="559" spans="1:12" s="2" customFormat="1" ht="24.95" customHeight="1" x14ac:dyDescent="0.25">
      <c r="A559" s="31" t="s">
        <v>1664</v>
      </c>
      <c r="B559" s="1" t="s">
        <v>1665</v>
      </c>
      <c r="C559" s="1" t="s">
        <v>1666</v>
      </c>
      <c r="D559" s="1" t="s">
        <v>18</v>
      </c>
      <c r="E559" s="3">
        <v>3172.62</v>
      </c>
      <c r="F559" s="3">
        <v>0</v>
      </c>
      <c r="G559" s="3">
        <v>0</v>
      </c>
      <c r="H559" s="3">
        <v>0</v>
      </c>
      <c r="I559" s="3">
        <v>13113.41</v>
      </c>
      <c r="J559" s="1" t="s">
        <v>106</v>
      </c>
      <c r="K559" s="28"/>
      <c r="L559" s="28"/>
    </row>
    <row r="560" spans="1:12" s="2" customFormat="1" ht="24.95" customHeight="1" x14ac:dyDescent="0.25">
      <c r="A560" s="31" t="s">
        <v>1667</v>
      </c>
      <c r="B560" s="1" t="s">
        <v>1668</v>
      </c>
      <c r="C560" s="1" t="s">
        <v>1669</v>
      </c>
      <c r="D560" s="1" t="s">
        <v>8</v>
      </c>
      <c r="E560" s="3">
        <v>0</v>
      </c>
      <c r="F560" s="3">
        <v>2314.12</v>
      </c>
      <c r="G560" s="3">
        <v>0</v>
      </c>
      <c r="H560" s="3">
        <v>0</v>
      </c>
      <c r="I560" s="3">
        <v>0</v>
      </c>
      <c r="J560" s="1" t="s">
        <v>37</v>
      </c>
      <c r="K560" s="28"/>
      <c r="L560" s="28"/>
    </row>
    <row r="561" spans="1:12" s="2" customFormat="1" ht="24.95" customHeight="1" x14ac:dyDescent="0.25">
      <c r="A561" s="31" t="s">
        <v>1670</v>
      </c>
      <c r="B561" s="1" t="s">
        <v>1671</v>
      </c>
      <c r="C561" s="1" t="s">
        <v>1672</v>
      </c>
      <c r="D561" s="1" t="s">
        <v>3027</v>
      </c>
      <c r="E561" s="3">
        <v>5448.44</v>
      </c>
      <c r="F561" s="3">
        <v>0</v>
      </c>
      <c r="G561" s="3">
        <v>0</v>
      </c>
      <c r="H561" s="3">
        <v>10461.59</v>
      </c>
      <c r="I561" s="3">
        <v>9586.51</v>
      </c>
      <c r="J561" s="1" t="s">
        <v>41</v>
      </c>
      <c r="K561" s="28"/>
      <c r="L561" s="28"/>
    </row>
    <row r="562" spans="1:12" s="2" customFormat="1" ht="24.95" customHeight="1" x14ac:dyDescent="0.25">
      <c r="A562" s="31" t="s">
        <v>1673</v>
      </c>
      <c r="B562" s="1" t="s">
        <v>1674</v>
      </c>
      <c r="C562" s="1" t="s">
        <v>1675</v>
      </c>
      <c r="D562" s="1" t="s">
        <v>8</v>
      </c>
      <c r="E562" s="3">
        <v>0</v>
      </c>
      <c r="F562" s="3">
        <v>1909.37</v>
      </c>
      <c r="G562" s="3">
        <v>2687.79</v>
      </c>
      <c r="H562" s="3">
        <v>1584.17</v>
      </c>
      <c r="I562" s="3">
        <v>0</v>
      </c>
      <c r="J562" s="1" t="s">
        <v>41</v>
      </c>
      <c r="K562" s="28"/>
      <c r="L562" s="28"/>
    </row>
    <row r="563" spans="1:12" s="2" customFormat="1" ht="24.95" customHeight="1" x14ac:dyDescent="0.25">
      <c r="A563" s="31" t="s">
        <v>1676</v>
      </c>
      <c r="B563" s="1" t="s">
        <v>1677</v>
      </c>
      <c r="C563" s="1" t="s">
        <v>1678</v>
      </c>
      <c r="D563" s="1" t="s">
        <v>8</v>
      </c>
      <c r="E563" s="3">
        <v>3158.3</v>
      </c>
      <c r="F563" s="3">
        <v>769.21</v>
      </c>
      <c r="G563" s="3">
        <v>1211.7</v>
      </c>
      <c r="H563" s="3">
        <v>0</v>
      </c>
      <c r="I563" s="3">
        <v>0</v>
      </c>
      <c r="J563" s="1" t="s">
        <v>79</v>
      </c>
      <c r="K563" s="28"/>
      <c r="L563" s="28"/>
    </row>
    <row r="564" spans="1:12" s="2" customFormat="1" ht="24.95" customHeight="1" x14ac:dyDescent="0.25">
      <c r="A564" s="31" t="s">
        <v>1679</v>
      </c>
      <c r="B564" s="1" t="s">
        <v>1680</v>
      </c>
      <c r="C564" s="1" t="s">
        <v>1681</v>
      </c>
      <c r="D564" s="1" t="s">
        <v>23</v>
      </c>
      <c r="E564" s="3">
        <v>3292.78</v>
      </c>
      <c r="F564" s="3">
        <v>0</v>
      </c>
      <c r="G564" s="3">
        <v>320.24</v>
      </c>
      <c r="H564" s="3">
        <v>11480.51</v>
      </c>
      <c r="I564" s="3">
        <v>13208.23</v>
      </c>
      <c r="J564" s="1" t="s">
        <v>106</v>
      </c>
      <c r="K564" s="28"/>
      <c r="L564" s="28"/>
    </row>
    <row r="565" spans="1:12" s="2" customFormat="1" ht="24.95" customHeight="1" x14ac:dyDescent="0.25">
      <c r="A565" s="31" t="s">
        <v>1682</v>
      </c>
      <c r="B565" s="1" t="s">
        <v>1683</v>
      </c>
      <c r="C565" s="1" t="s">
        <v>1684</v>
      </c>
      <c r="D565" s="1" t="s">
        <v>23</v>
      </c>
      <c r="E565" s="3">
        <v>0</v>
      </c>
      <c r="F565" s="3">
        <v>1676.56</v>
      </c>
      <c r="G565" s="3">
        <v>1192.76</v>
      </c>
      <c r="H565" s="3">
        <v>0</v>
      </c>
      <c r="I565" s="3">
        <v>0</v>
      </c>
      <c r="J565" s="1" t="s">
        <v>106</v>
      </c>
      <c r="K565" s="28"/>
      <c r="L565" s="28"/>
    </row>
    <row r="566" spans="1:12" s="2" customFormat="1" ht="24.95" customHeight="1" x14ac:dyDescent="0.25">
      <c r="A566" s="31" t="s">
        <v>1685</v>
      </c>
      <c r="B566" s="1" t="s">
        <v>1686</v>
      </c>
      <c r="C566" s="1" t="s">
        <v>1687</v>
      </c>
      <c r="D566" s="1" t="s">
        <v>3</v>
      </c>
      <c r="E566" s="3">
        <v>2817.03</v>
      </c>
      <c r="F566" s="3">
        <v>0</v>
      </c>
      <c r="G566" s="3">
        <v>2224.7399999999998</v>
      </c>
      <c r="H566" s="3">
        <v>0</v>
      </c>
      <c r="I566" s="3">
        <v>0</v>
      </c>
      <c r="J566" s="1" t="s">
        <v>4</v>
      </c>
      <c r="K566" s="28"/>
      <c r="L566" s="28"/>
    </row>
    <row r="567" spans="1:12" s="2" customFormat="1" ht="24.95" customHeight="1" x14ac:dyDescent="0.25">
      <c r="A567" s="31" t="s">
        <v>1688</v>
      </c>
      <c r="B567" s="1" t="s">
        <v>1689</v>
      </c>
      <c r="C567" s="1" t="s">
        <v>1690</v>
      </c>
      <c r="D567" s="1" t="s">
        <v>8</v>
      </c>
      <c r="E567" s="3">
        <v>0</v>
      </c>
      <c r="F567" s="3">
        <v>0</v>
      </c>
      <c r="G567" s="3">
        <v>0</v>
      </c>
      <c r="H567" s="3">
        <v>0</v>
      </c>
      <c r="I567" s="3">
        <v>12209.59</v>
      </c>
      <c r="J567" s="1" t="s">
        <v>48</v>
      </c>
      <c r="K567" s="28"/>
      <c r="L567" s="28"/>
    </row>
    <row r="568" spans="1:12" s="2" customFormat="1" ht="24.95" customHeight="1" x14ac:dyDescent="0.25">
      <c r="A568" s="31" t="s">
        <v>1691</v>
      </c>
      <c r="B568" s="1" t="s">
        <v>1692</v>
      </c>
      <c r="C568" s="1" t="s">
        <v>1693</v>
      </c>
      <c r="D568" s="1" t="s">
        <v>13</v>
      </c>
      <c r="E568" s="3">
        <v>2982.42</v>
      </c>
      <c r="F568" s="3">
        <v>1652.95</v>
      </c>
      <c r="G568" s="3">
        <v>0</v>
      </c>
      <c r="H568" s="3">
        <v>8832.6</v>
      </c>
      <c r="I568" s="3">
        <v>0</v>
      </c>
      <c r="J568" s="1" t="s">
        <v>19</v>
      </c>
      <c r="K568" s="28"/>
      <c r="L568" s="28"/>
    </row>
    <row r="569" spans="1:12" s="2" customFormat="1" ht="24.95" customHeight="1" x14ac:dyDescent="0.25">
      <c r="A569" s="31" t="s">
        <v>1694</v>
      </c>
      <c r="B569" s="1" t="s">
        <v>1695</v>
      </c>
      <c r="C569" s="1" t="s">
        <v>1696</v>
      </c>
      <c r="D569" s="1" t="s">
        <v>18</v>
      </c>
      <c r="E569" s="3">
        <v>4809.29</v>
      </c>
      <c r="F569" s="3">
        <v>178.88</v>
      </c>
      <c r="G569" s="3">
        <v>1351.57</v>
      </c>
      <c r="H569" s="3">
        <v>0</v>
      </c>
      <c r="I569" s="3">
        <v>0</v>
      </c>
      <c r="J569" s="1" t="s">
        <v>93</v>
      </c>
      <c r="K569" s="28"/>
      <c r="L569" s="28"/>
    </row>
    <row r="570" spans="1:12" s="2" customFormat="1" ht="24.95" customHeight="1" x14ac:dyDescent="0.25">
      <c r="A570" s="31" t="s">
        <v>1697</v>
      </c>
      <c r="B570" s="1" t="s">
        <v>1698</v>
      </c>
      <c r="C570" s="1" t="s">
        <v>1699</v>
      </c>
      <c r="D570" s="1" t="s">
        <v>18</v>
      </c>
      <c r="E570" s="3">
        <v>1011.47</v>
      </c>
      <c r="F570" s="3">
        <v>0</v>
      </c>
      <c r="G570" s="3">
        <v>0</v>
      </c>
      <c r="H570" s="3">
        <v>10836.76</v>
      </c>
      <c r="I570" s="3">
        <v>7142.06</v>
      </c>
      <c r="J570" s="1" t="s">
        <v>14</v>
      </c>
      <c r="K570" s="28"/>
      <c r="L570" s="28"/>
    </row>
    <row r="571" spans="1:12" s="2" customFormat="1" ht="24.95" customHeight="1" x14ac:dyDescent="0.25">
      <c r="A571" s="31" t="s">
        <v>1700</v>
      </c>
      <c r="B571" s="1" t="s">
        <v>1701</v>
      </c>
      <c r="C571" s="1" t="s">
        <v>1702</v>
      </c>
      <c r="D571" s="1" t="s">
        <v>3027</v>
      </c>
      <c r="E571" s="3">
        <v>4978.6499999999996</v>
      </c>
      <c r="F571" s="3">
        <v>4096.0200000000004</v>
      </c>
      <c r="G571" s="3">
        <v>0</v>
      </c>
      <c r="H571" s="3">
        <v>207.64</v>
      </c>
      <c r="I571" s="3">
        <v>0</v>
      </c>
      <c r="J571" s="1" t="s">
        <v>86</v>
      </c>
      <c r="K571" s="28"/>
      <c r="L571" s="28"/>
    </row>
    <row r="572" spans="1:12" s="2" customFormat="1" ht="24.95" customHeight="1" x14ac:dyDescent="0.25">
      <c r="A572" s="31" t="s">
        <v>1703</v>
      </c>
      <c r="B572" s="1" t="s">
        <v>1704</v>
      </c>
      <c r="C572" s="1" t="s">
        <v>1705</v>
      </c>
      <c r="D572" s="1" t="s">
        <v>23</v>
      </c>
      <c r="E572" s="3">
        <v>5713.06</v>
      </c>
      <c r="F572" s="3">
        <v>0</v>
      </c>
      <c r="G572" s="3">
        <v>1325.98</v>
      </c>
      <c r="H572" s="3">
        <v>2958.47</v>
      </c>
      <c r="I572" s="3">
        <v>0</v>
      </c>
      <c r="J572" s="1" t="s">
        <v>24</v>
      </c>
      <c r="K572" s="28"/>
      <c r="L572" s="28"/>
    </row>
    <row r="573" spans="1:12" s="2" customFormat="1" ht="24.95" customHeight="1" x14ac:dyDescent="0.25">
      <c r="A573" s="31" t="s">
        <v>1706</v>
      </c>
      <c r="B573" s="1" t="s">
        <v>1707</v>
      </c>
      <c r="C573" s="1" t="s">
        <v>1708</v>
      </c>
      <c r="D573" s="1" t="s">
        <v>18</v>
      </c>
      <c r="E573" s="3">
        <v>3561.9</v>
      </c>
      <c r="F573" s="3">
        <v>0</v>
      </c>
      <c r="G573" s="3">
        <v>2128.83</v>
      </c>
      <c r="H573" s="3">
        <v>0</v>
      </c>
      <c r="I573" s="3">
        <v>0</v>
      </c>
      <c r="J573" s="1" t="s">
        <v>79</v>
      </c>
      <c r="K573" s="28"/>
      <c r="L573" s="28"/>
    </row>
    <row r="574" spans="1:12" s="2" customFormat="1" ht="24.95" customHeight="1" x14ac:dyDescent="0.25">
      <c r="A574" s="31" t="s">
        <v>1709</v>
      </c>
      <c r="B574" s="1" t="s">
        <v>1710</v>
      </c>
      <c r="C574" s="1" t="s">
        <v>1711</v>
      </c>
      <c r="D574" s="1" t="s">
        <v>8</v>
      </c>
      <c r="E574" s="3">
        <v>5083.49</v>
      </c>
      <c r="F574" s="3">
        <v>4029.87</v>
      </c>
      <c r="G574" s="3">
        <v>0</v>
      </c>
      <c r="H574" s="3">
        <v>10159.48</v>
      </c>
      <c r="I574" s="3">
        <v>0</v>
      </c>
      <c r="J574" s="1" t="s">
        <v>14</v>
      </c>
      <c r="K574" s="28"/>
      <c r="L574" s="28"/>
    </row>
    <row r="575" spans="1:12" s="2" customFormat="1" ht="24.95" customHeight="1" x14ac:dyDescent="0.25">
      <c r="A575" s="31" t="s">
        <v>1712</v>
      </c>
      <c r="B575" s="1" t="s">
        <v>1713</v>
      </c>
      <c r="C575" s="1" t="s">
        <v>1714</v>
      </c>
      <c r="D575" s="1" t="s">
        <v>3027</v>
      </c>
      <c r="E575" s="3">
        <v>0</v>
      </c>
      <c r="F575" s="3">
        <v>0</v>
      </c>
      <c r="G575" s="3">
        <v>0</v>
      </c>
      <c r="H575" s="3">
        <v>0</v>
      </c>
      <c r="I575" s="3">
        <v>2850.74</v>
      </c>
      <c r="J575" s="1" t="s">
        <v>9</v>
      </c>
      <c r="K575" s="28"/>
      <c r="L575" s="28"/>
    </row>
    <row r="576" spans="1:12" s="2" customFormat="1" ht="24.95" customHeight="1" x14ac:dyDescent="0.25">
      <c r="A576" s="31" t="s">
        <v>1715</v>
      </c>
      <c r="B576" s="1" t="s">
        <v>1716</v>
      </c>
      <c r="C576" s="1" t="s">
        <v>1717</v>
      </c>
      <c r="D576" s="1" t="s">
        <v>8</v>
      </c>
      <c r="E576" s="3">
        <v>2014.48</v>
      </c>
      <c r="F576" s="3">
        <v>2288.63</v>
      </c>
      <c r="G576" s="3">
        <v>2246.09</v>
      </c>
      <c r="H576" s="3">
        <v>6932.27</v>
      </c>
      <c r="I576" s="3">
        <v>1664.67</v>
      </c>
      <c r="J576" s="1" t="s">
        <v>19</v>
      </c>
      <c r="K576" s="28"/>
      <c r="L576" s="28"/>
    </row>
    <row r="577" spans="1:12" s="2" customFormat="1" ht="24.95" customHeight="1" x14ac:dyDescent="0.25">
      <c r="A577" s="31" t="s">
        <v>1718</v>
      </c>
      <c r="B577" s="1" t="s">
        <v>1719</v>
      </c>
      <c r="C577" s="1" t="s">
        <v>1720</v>
      </c>
      <c r="D577" s="1" t="s">
        <v>13</v>
      </c>
      <c r="E577" s="3">
        <v>4124.41</v>
      </c>
      <c r="F577" s="3">
        <v>3284.44</v>
      </c>
      <c r="G577" s="3">
        <v>0</v>
      </c>
      <c r="H577" s="3">
        <v>0</v>
      </c>
      <c r="I577" s="3">
        <v>0</v>
      </c>
      <c r="J577" s="1" t="s">
        <v>48</v>
      </c>
      <c r="K577" s="28"/>
      <c r="L577" s="28"/>
    </row>
    <row r="578" spans="1:12" s="2" customFormat="1" ht="24.95" customHeight="1" x14ac:dyDescent="0.25">
      <c r="A578" s="31" t="s">
        <v>1721</v>
      </c>
      <c r="B578" s="1" t="s">
        <v>1722</v>
      </c>
      <c r="C578" s="1" t="s">
        <v>1723</v>
      </c>
      <c r="D578" s="1" t="s">
        <v>8</v>
      </c>
      <c r="E578" s="3">
        <v>7712.31</v>
      </c>
      <c r="F578" s="3">
        <v>0</v>
      </c>
      <c r="G578" s="3">
        <v>0</v>
      </c>
      <c r="H578" s="3">
        <v>0</v>
      </c>
      <c r="I578" s="3">
        <v>0</v>
      </c>
      <c r="J578" s="1" t="s">
        <v>106</v>
      </c>
      <c r="K578" s="28"/>
      <c r="L578" s="28"/>
    </row>
    <row r="579" spans="1:12" s="2" customFormat="1" ht="24.95" customHeight="1" x14ac:dyDescent="0.25">
      <c r="A579" s="31" t="s">
        <v>1724</v>
      </c>
      <c r="B579" s="1" t="s">
        <v>1725</v>
      </c>
      <c r="C579" s="1" t="s">
        <v>1726</v>
      </c>
      <c r="D579" s="1" t="s">
        <v>3027</v>
      </c>
      <c r="E579" s="3">
        <v>473.65</v>
      </c>
      <c r="F579" s="3">
        <v>4367.66</v>
      </c>
      <c r="G579" s="3">
        <v>0</v>
      </c>
      <c r="H579" s="3">
        <v>0</v>
      </c>
      <c r="I579" s="3">
        <v>11077.58</v>
      </c>
      <c r="J579" s="1" t="s">
        <v>37</v>
      </c>
      <c r="K579" s="28"/>
      <c r="L579" s="28"/>
    </row>
    <row r="580" spans="1:12" s="2" customFormat="1" ht="24.95" customHeight="1" x14ac:dyDescent="0.25">
      <c r="A580" s="31" t="s">
        <v>1727</v>
      </c>
      <c r="B580" s="1" t="s">
        <v>1728</v>
      </c>
      <c r="C580" s="1" t="s">
        <v>1729</v>
      </c>
      <c r="D580" s="1" t="s">
        <v>3</v>
      </c>
      <c r="E580" s="3">
        <v>0</v>
      </c>
      <c r="F580" s="3">
        <v>0</v>
      </c>
      <c r="G580" s="3">
        <v>0</v>
      </c>
      <c r="H580" s="3">
        <v>1338.6</v>
      </c>
      <c r="I580" s="3">
        <v>13839.98</v>
      </c>
      <c r="J580" s="1" t="s">
        <v>37</v>
      </c>
      <c r="K580" s="28"/>
      <c r="L580" s="28"/>
    </row>
    <row r="581" spans="1:12" s="2" customFormat="1" ht="24.95" customHeight="1" x14ac:dyDescent="0.25">
      <c r="A581" s="31" t="s">
        <v>1730</v>
      </c>
      <c r="B581" s="1" t="s">
        <v>1731</v>
      </c>
      <c r="C581" s="1" t="s">
        <v>1732</v>
      </c>
      <c r="D581" s="1" t="s">
        <v>3027</v>
      </c>
      <c r="E581" s="3">
        <v>0</v>
      </c>
      <c r="F581" s="3">
        <v>0</v>
      </c>
      <c r="G581" s="3">
        <v>2555.37</v>
      </c>
      <c r="H581" s="3">
        <v>4480.49</v>
      </c>
      <c r="I581" s="3">
        <v>0</v>
      </c>
      <c r="J581" s="1" t="s">
        <v>14</v>
      </c>
      <c r="K581" s="28"/>
      <c r="L581" s="28"/>
    </row>
    <row r="582" spans="1:12" s="2" customFormat="1" ht="24.95" customHeight="1" x14ac:dyDescent="0.25">
      <c r="A582" s="31" t="s">
        <v>1733</v>
      </c>
      <c r="B582" s="1" t="s">
        <v>1734</v>
      </c>
      <c r="C582" s="1" t="s">
        <v>1735</v>
      </c>
      <c r="D582" s="1" t="s">
        <v>13</v>
      </c>
      <c r="E582" s="3">
        <v>2199.91</v>
      </c>
      <c r="F582" s="3">
        <v>0</v>
      </c>
      <c r="G582" s="3">
        <v>0</v>
      </c>
      <c r="H582" s="3">
        <v>1009.18</v>
      </c>
      <c r="I582" s="3">
        <v>0</v>
      </c>
      <c r="J582" s="1" t="s">
        <v>79</v>
      </c>
      <c r="K582" s="28"/>
      <c r="L582" s="28"/>
    </row>
    <row r="583" spans="1:12" s="2" customFormat="1" ht="24.95" customHeight="1" x14ac:dyDescent="0.25">
      <c r="A583" s="31" t="s">
        <v>1736</v>
      </c>
      <c r="B583" s="1" t="s">
        <v>1737</v>
      </c>
      <c r="C583" s="1" t="s">
        <v>1738</v>
      </c>
      <c r="D583" s="1" t="s">
        <v>13</v>
      </c>
      <c r="E583" s="3">
        <v>4049.83</v>
      </c>
      <c r="F583" s="3">
        <v>1020.5</v>
      </c>
      <c r="G583" s="3">
        <v>0</v>
      </c>
      <c r="H583" s="3">
        <v>0</v>
      </c>
      <c r="I583" s="3">
        <v>0</v>
      </c>
      <c r="J583" s="1" t="s">
        <v>14</v>
      </c>
      <c r="K583" s="28"/>
      <c r="L583" s="28"/>
    </row>
    <row r="584" spans="1:12" s="2" customFormat="1" ht="24.95" customHeight="1" x14ac:dyDescent="0.25">
      <c r="A584" s="31" t="s">
        <v>1739</v>
      </c>
      <c r="B584" s="1" t="s">
        <v>1740</v>
      </c>
      <c r="C584" s="1" t="s">
        <v>1741</v>
      </c>
      <c r="D584" s="1" t="s">
        <v>23</v>
      </c>
      <c r="E584" s="3">
        <v>0</v>
      </c>
      <c r="F584" s="3">
        <v>2129.35</v>
      </c>
      <c r="G584" s="3">
        <v>2442.08</v>
      </c>
      <c r="H584" s="3">
        <v>0</v>
      </c>
      <c r="I584" s="3">
        <v>0</v>
      </c>
      <c r="J584" s="1" t="s">
        <v>41</v>
      </c>
      <c r="K584" s="28"/>
      <c r="L584" s="28"/>
    </row>
    <row r="585" spans="1:12" s="2" customFormat="1" ht="24.95" customHeight="1" x14ac:dyDescent="0.25">
      <c r="A585" s="31" t="s">
        <v>1742</v>
      </c>
      <c r="B585" s="1" t="s">
        <v>1743</v>
      </c>
      <c r="C585" s="1" t="s">
        <v>1744</v>
      </c>
      <c r="D585" s="1" t="s">
        <v>8</v>
      </c>
      <c r="E585" s="3">
        <v>0</v>
      </c>
      <c r="F585" s="3">
        <v>0</v>
      </c>
      <c r="G585" s="3">
        <v>935.49</v>
      </c>
      <c r="H585" s="3">
        <v>11141.82</v>
      </c>
      <c r="I585" s="3">
        <v>12403.65</v>
      </c>
      <c r="J585" s="1" t="s">
        <v>93</v>
      </c>
      <c r="K585" s="28"/>
      <c r="L585" s="28"/>
    </row>
    <row r="586" spans="1:12" s="2" customFormat="1" ht="24.95" customHeight="1" x14ac:dyDescent="0.25">
      <c r="A586" s="31" t="s">
        <v>1745</v>
      </c>
      <c r="B586" s="1" t="s">
        <v>1746</v>
      </c>
      <c r="C586" s="1" t="s">
        <v>1747</v>
      </c>
      <c r="D586" s="1" t="s">
        <v>13</v>
      </c>
      <c r="E586" s="3">
        <v>794.98</v>
      </c>
      <c r="F586" s="3">
        <v>0</v>
      </c>
      <c r="G586" s="3">
        <v>686.7</v>
      </c>
      <c r="H586" s="3">
        <v>11986.17</v>
      </c>
      <c r="I586" s="3">
        <v>0</v>
      </c>
      <c r="J586" s="1" t="s">
        <v>86</v>
      </c>
      <c r="K586" s="28"/>
      <c r="L586" s="28"/>
    </row>
    <row r="587" spans="1:12" s="2" customFormat="1" ht="24.95" customHeight="1" x14ac:dyDescent="0.25">
      <c r="A587" s="31" t="s">
        <v>1748</v>
      </c>
      <c r="B587" s="1" t="s">
        <v>1749</v>
      </c>
      <c r="C587" s="1" t="s">
        <v>1750</v>
      </c>
      <c r="D587" s="1" t="s">
        <v>3027</v>
      </c>
      <c r="E587" s="3">
        <v>0</v>
      </c>
      <c r="F587" s="3">
        <v>4562.6400000000003</v>
      </c>
      <c r="G587" s="3">
        <v>0</v>
      </c>
      <c r="H587" s="3">
        <v>3213</v>
      </c>
      <c r="I587" s="3">
        <v>2329.3200000000002</v>
      </c>
      <c r="J587" s="1" t="s">
        <v>41</v>
      </c>
      <c r="K587" s="28"/>
      <c r="L587" s="28"/>
    </row>
    <row r="588" spans="1:12" s="2" customFormat="1" ht="24.95" customHeight="1" x14ac:dyDescent="0.25">
      <c r="A588" s="31" t="s">
        <v>1751</v>
      </c>
      <c r="B588" s="1" t="s">
        <v>1752</v>
      </c>
      <c r="C588" s="1" t="s">
        <v>1753</v>
      </c>
      <c r="D588" s="1" t="s">
        <v>23</v>
      </c>
      <c r="E588" s="3">
        <v>0</v>
      </c>
      <c r="F588" s="3">
        <v>0</v>
      </c>
      <c r="G588" s="3">
        <v>255.41</v>
      </c>
      <c r="H588" s="3">
        <v>3547.84</v>
      </c>
      <c r="I588" s="3">
        <v>0</v>
      </c>
      <c r="J588" s="1" t="s">
        <v>93</v>
      </c>
      <c r="K588" s="28"/>
      <c r="L588" s="28"/>
    </row>
    <row r="589" spans="1:12" s="2" customFormat="1" ht="24.95" customHeight="1" x14ac:dyDescent="0.25">
      <c r="A589" s="31" t="s">
        <v>1754</v>
      </c>
      <c r="B589" s="1" t="s">
        <v>1755</v>
      </c>
      <c r="C589" s="1" t="s">
        <v>1756</v>
      </c>
      <c r="D589" s="1" t="s">
        <v>23</v>
      </c>
      <c r="E589" s="3">
        <v>2740.05</v>
      </c>
      <c r="F589" s="3">
        <v>1643.14</v>
      </c>
      <c r="G589" s="3">
        <v>0</v>
      </c>
      <c r="H589" s="3">
        <v>0</v>
      </c>
      <c r="I589" s="3">
        <v>9510.51</v>
      </c>
      <c r="J589" s="1" t="s">
        <v>14</v>
      </c>
      <c r="K589" s="28"/>
      <c r="L589" s="28"/>
    </row>
    <row r="590" spans="1:12" s="2" customFormat="1" ht="24.95" customHeight="1" x14ac:dyDescent="0.25">
      <c r="A590" s="31" t="s">
        <v>1757</v>
      </c>
      <c r="B590" s="1" t="s">
        <v>1758</v>
      </c>
      <c r="C590" s="1" t="s">
        <v>1759</v>
      </c>
      <c r="D590" s="1" t="s">
        <v>3027</v>
      </c>
      <c r="E590" s="3">
        <v>0</v>
      </c>
      <c r="F590" s="3">
        <v>149.21</v>
      </c>
      <c r="G590" s="3">
        <v>0</v>
      </c>
      <c r="H590" s="3">
        <v>5496</v>
      </c>
      <c r="I590" s="3">
        <v>0</v>
      </c>
      <c r="J590" s="1" t="s">
        <v>48</v>
      </c>
      <c r="K590" s="28"/>
      <c r="L590" s="28"/>
    </row>
    <row r="591" spans="1:12" s="2" customFormat="1" ht="24.95" customHeight="1" x14ac:dyDescent="0.25">
      <c r="A591" s="31" t="s">
        <v>1760</v>
      </c>
      <c r="B591" s="1" t="s">
        <v>1761</v>
      </c>
      <c r="C591" s="1" t="s">
        <v>1762</v>
      </c>
      <c r="D591" s="1" t="s">
        <v>3</v>
      </c>
      <c r="E591" s="3">
        <v>0</v>
      </c>
      <c r="F591" s="3">
        <v>4521.79</v>
      </c>
      <c r="G591" s="3">
        <v>0</v>
      </c>
      <c r="H591" s="3">
        <v>10808.58</v>
      </c>
      <c r="I591" s="3">
        <v>14649.72</v>
      </c>
      <c r="J591" s="1" t="s">
        <v>86</v>
      </c>
      <c r="K591" s="28"/>
      <c r="L591" s="28"/>
    </row>
    <row r="592" spans="1:12" s="2" customFormat="1" ht="24.95" customHeight="1" x14ac:dyDescent="0.25">
      <c r="A592" s="31" t="s">
        <v>1763</v>
      </c>
      <c r="B592" s="1" t="s">
        <v>1764</v>
      </c>
      <c r="C592" s="1" t="s">
        <v>1765</v>
      </c>
      <c r="D592" s="1" t="s">
        <v>18</v>
      </c>
      <c r="E592" s="3">
        <v>2964.82</v>
      </c>
      <c r="F592" s="3">
        <v>0</v>
      </c>
      <c r="G592" s="3">
        <v>1883.26</v>
      </c>
      <c r="H592" s="3">
        <v>0</v>
      </c>
      <c r="I592" s="3">
        <v>0</v>
      </c>
      <c r="J592" s="1" t="s">
        <v>41</v>
      </c>
      <c r="K592" s="28"/>
      <c r="L592" s="28"/>
    </row>
    <row r="593" spans="1:12" s="2" customFormat="1" ht="24.95" customHeight="1" x14ac:dyDescent="0.25">
      <c r="A593" s="31" t="s">
        <v>1766</v>
      </c>
      <c r="B593" s="1" t="s">
        <v>1767</v>
      </c>
      <c r="C593" s="1" t="s">
        <v>1768</v>
      </c>
      <c r="D593" s="1" t="s">
        <v>3027</v>
      </c>
      <c r="E593" s="3">
        <v>1270.3699999999999</v>
      </c>
      <c r="F593" s="3">
        <v>4009.39</v>
      </c>
      <c r="G593" s="3">
        <v>0</v>
      </c>
      <c r="H593" s="3">
        <v>1857.8</v>
      </c>
      <c r="I593" s="3">
        <v>0</v>
      </c>
      <c r="J593" s="1" t="s">
        <v>14</v>
      </c>
      <c r="K593" s="28"/>
      <c r="L593" s="28"/>
    </row>
    <row r="594" spans="1:12" s="2" customFormat="1" ht="24.95" customHeight="1" x14ac:dyDescent="0.25">
      <c r="A594" s="31" t="s">
        <v>1769</v>
      </c>
      <c r="B594" s="1" t="s">
        <v>1770</v>
      </c>
      <c r="C594" s="1" t="s">
        <v>1771</v>
      </c>
      <c r="D594" s="1" t="s">
        <v>3</v>
      </c>
      <c r="E594" s="3">
        <v>0</v>
      </c>
      <c r="F594" s="3">
        <v>0</v>
      </c>
      <c r="G594" s="3">
        <v>0</v>
      </c>
      <c r="H594" s="3">
        <v>6695.45</v>
      </c>
      <c r="I594" s="3">
        <v>5811.82</v>
      </c>
      <c r="J594" s="1" t="s">
        <v>4</v>
      </c>
      <c r="K594" s="28"/>
      <c r="L594" s="28"/>
    </row>
    <row r="595" spans="1:12" s="2" customFormat="1" ht="24.95" customHeight="1" x14ac:dyDescent="0.25">
      <c r="A595" s="31" t="s">
        <v>1772</v>
      </c>
      <c r="B595" s="1" t="s">
        <v>1773</v>
      </c>
      <c r="C595" s="1" t="s">
        <v>1774</v>
      </c>
      <c r="D595" s="1" t="s">
        <v>3027</v>
      </c>
      <c r="E595" s="3">
        <v>6437.56</v>
      </c>
      <c r="F595" s="3">
        <v>761.25</v>
      </c>
      <c r="G595" s="3">
        <v>650.13</v>
      </c>
      <c r="H595" s="3">
        <v>1622.61</v>
      </c>
      <c r="I595" s="3">
        <v>0</v>
      </c>
      <c r="J595" s="1" t="s">
        <v>14</v>
      </c>
      <c r="K595" s="28"/>
      <c r="L595" s="28"/>
    </row>
    <row r="596" spans="1:12" s="2" customFormat="1" ht="24.95" customHeight="1" x14ac:dyDescent="0.25">
      <c r="A596" s="31" t="s">
        <v>1775</v>
      </c>
      <c r="B596" s="1" t="s">
        <v>1776</v>
      </c>
      <c r="C596" s="1" t="s">
        <v>1777</v>
      </c>
      <c r="D596" s="1" t="s">
        <v>13</v>
      </c>
      <c r="E596" s="3">
        <v>758.04</v>
      </c>
      <c r="F596" s="3">
        <v>0</v>
      </c>
      <c r="G596" s="3">
        <v>0</v>
      </c>
      <c r="H596" s="3">
        <v>6789.29</v>
      </c>
      <c r="I596" s="3">
        <v>12134.01</v>
      </c>
      <c r="J596" s="1" t="s">
        <v>37</v>
      </c>
      <c r="K596" s="28"/>
      <c r="L596" s="28"/>
    </row>
    <row r="597" spans="1:12" s="2" customFormat="1" ht="24.95" customHeight="1" x14ac:dyDescent="0.25">
      <c r="A597" s="31" t="s">
        <v>1778</v>
      </c>
      <c r="B597" s="1" t="s">
        <v>1779</v>
      </c>
      <c r="C597" s="1" t="s">
        <v>1780</v>
      </c>
      <c r="D597" s="1" t="s">
        <v>3</v>
      </c>
      <c r="E597" s="3">
        <v>0</v>
      </c>
      <c r="F597" s="3">
        <v>4676.8100000000004</v>
      </c>
      <c r="G597" s="3">
        <v>289.93</v>
      </c>
      <c r="H597" s="3">
        <v>7810.66</v>
      </c>
      <c r="I597" s="3">
        <v>10761.88</v>
      </c>
      <c r="J597" s="1" t="s">
        <v>24</v>
      </c>
      <c r="K597" s="28"/>
      <c r="L597" s="28"/>
    </row>
    <row r="598" spans="1:12" s="2" customFormat="1" ht="24.95" customHeight="1" x14ac:dyDescent="0.25">
      <c r="A598" s="31" t="s">
        <v>1781</v>
      </c>
      <c r="B598" s="1" t="s">
        <v>1782</v>
      </c>
      <c r="C598" s="1" t="s">
        <v>1783</v>
      </c>
      <c r="D598" s="1" t="s">
        <v>3</v>
      </c>
      <c r="E598" s="3">
        <v>6969.2</v>
      </c>
      <c r="F598" s="3">
        <v>0</v>
      </c>
      <c r="G598" s="3">
        <v>0</v>
      </c>
      <c r="H598" s="3">
        <v>7991.45</v>
      </c>
      <c r="I598" s="3">
        <v>0</v>
      </c>
      <c r="J598" s="1" t="s">
        <v>37</v>
      </c>
      <c r="K598" s="28"/>
      <c r="L598" s="28"/>
    </row>
    <row r="599" spans="1:12" s="2" customFormat="1" ht="24.95" customHeight="1" x14ac:dyDescent="0.25">
      <c r="A599" s="31" t="s">
        <v>1784</v>
      </c>
      <c r="B599" s="1" t="s">
        <v>1785</v>
      </c>
      <c r="C599" s="1" t="s">
        <v>1786</v>
      </c>
      <c r="D599" s="1" t="s">
        <v>3027</v>
      </c>
      <c r="E599" s="3">
        <v>0</v>
      </c>
      <c r="F599" s="3">
        <v>4224.41</v>
      </c>
      <c r="G599" s="3">
        <v>2009.26</v>
      </c>
      <c r="H599" s="3">
        <v>0</v>
      </c>
      <c r="I599" s="3">
        <v>0</v>
      </c>
      <c r="J599" s="1" t="s">
        <v>41</v>
      </c>
      <c r="K599" s="28"/>
      <c r="L599" s="28"/>
    </row>
    <row r="600" spans="1:12" s="2" customFormat="1" ht="24.95" customHeight="1" x14ac:dyDescent="0.25">
      <c r="A600" s="31" t="s">
        <v>1787</v>
      </c>
      <c r="B600" s="1" t="s">
        <v>1788</v>
      </c>
      <c r="C600" s="1" t="s">
        <v>1789</v>
      </c>
      <c r="D600" s="1" t="s">
        <v>23</v>
      </c>
      <c r="E600" s="3">
        <v>0</v>
      </c>
      <c r="F600" s="3">
        <v>1260.83</v>
      </c>
      <c r="G600" s="3">
        <v>0</v>
      </c>
      <c r="H600" s="3">
        <v>5421.92</v>
      </c>
      <c r="I600" s="3">
        <v>3533.27</v>
      </c>
      <c r="J600" s="1" t="s">
        <v>24</v>
      </c>
      <c r="K600" s="28"/>
      <c r="L600" s="28"/>
    </row>
    <row r="601" spans="1:12" s="2" customFormat="1" ht="24.95" customHeight="1" x14ac:dyDescent="0.25">
      <c r="A601" s="31" t="s">
        <v>1790</v>
      </c>
      <c r="B601" s="1" t="s">
        <v>1791</v>
      </c>
      <c r="C601" s="1" t="s">
        <v>1792</v>
      </c>
      <c r="D601" s="1" t="s">
        <v>13</v>
      </c>
      <c r="E601" s="3">
        <v>6026.29</v>
      </c>
      <c r="F601" s="3">
        <v>4709.32</v>
      </c>
      <c r="G601" s="3">
        <v>1691.96</v>
      </c>
      <c r="H601" s="3">
        <v>9258.33</v>
      </c>
      <c r="I601" s="3">
        <v>0</v>
      </c>
      <c r="J601" s="1" t="s">
        <v>24</v>
      </c>
      <c r="K601" s="28"/>
      <c r="L601" s="28"/>
    </row>
    <row r="602" spans="1:12" s="2" customFormat="1" ht="24.95" customHeight="1" x14ac:dyDescent="0.25">
      <c r="A602" s="31" t="s">
        <v>1793</v>
      </c>
      <c r="B602" s="1" t="s">
        <v>1794</v>
      </c>
      <c r="C602" s="1" t="s">
        <v>1795</v>
      </c>
      <c r="D602" s="1" t="s">
        <v>3027</v>
      </c>
      <c r="E602" s="3">
        <v>0</v>
      </c>
      <c r="F602" s="3">
        <v>0</v>
      </c>
      <c r="G602" s="3">
        <v>2809.89</v>
      </c>
      <c r="H602" s="3">
        <v>0</v>
      </c>
      <c r="I602" s="3">
        <v>0</v>
      </c>
      <c r="J602" s="1" t="s">
        <v>93</v>
      </c>
      <c r="K602" s="28"/>
      <c r="L602" s="28"/>
    </row>
    <row r="603" spans="1:12" s="2" customFormat="1" ht="24.95" customHeight="1" x14ac:dyDescent="0.25">
      <c r="A603" s="31" t="s">
        <v>1796</v>
      </c>
      <c r="B603" s="1" t="s">
        <v>1797</v>
      </c>
      <c r="C603" s="1" t="s">
        <v>1798</v>
      </c>
      <c r="D603" s="1" t="s">
        <v>3027</v>
      </c>
      <c r="E603" s="3">
        <v>3650.89</v>
      </c>
      <c r="F603" s="3">
        <v>0</v>
      </c>
      <c r="G603" s="3">
        <v>0</v>
      </c>
      <c r="H603" s="3">
        <v>0</v>
      </c>
      <c r="I603" s="3">
        <v>0</v>
      </c>
      <c r="J603" s="1" t="s">
        <v>19</v>
      </c>
      <c r="K603" s="28"/>
      <c r="L603" s="28"/>
    </row>
    <row r="604" spans="1:12" s="2" customFormat="1" ht="24.95" customHeight="1" x14ac:dyDescent="0.25">
      <c r="A604" s="31" t="s">
        <v>1799</v>
      </c>
      <c r="B604" s="1" t="s">
        <v>1800</v>
      </c>
      <c r="C604" s="1" t="s">
        <v>1801</v>
      </c>
      <c r="D604" s="1" t="s">
        <v>3</v>
      </c>
      <c r="E604" s="3">
        <v>4323.46</v>
      </c>
      <c r="F604" s="3">
        <v>0</v>
      </c>
      <c r="G604" s="3">
        <v>0</v>
      </c>
      <c r="H604" s="3">
        <v>1526.03</v>
      </c>
      <c r="I604" s="3">
        <v>0</v>
      </c>
      <c r="J604" s="1" t="s">
        <v>14</v>
      </c>
      <c r="K604" s="28"/>
      <c r="L604" s="28"/>
    </row>
    <row r="605" spans="1:12" s="2" customFormat="1" ht="24.95" customHeight="1" x14ac:dyDescent="0.25">
      <c r="A605" s="31" t="s">
        <v>1802</v>
      </c>
      <c r="B605" s="1" t="s">
        <v>1803</v>
      </c>
      <c r="C605" s="1" t="s">
        <v>1804</v>
      </c>
      <c r="D605" s="1" t="s">
        <v>3</v>
      </c>
      <c r="E605" s="3">
        <v>4276.92</v>
      </c>
      <c r="F605" s="3">
        <v>0</v>
      </c>
      <c r="G605" s="3">
        <v>0</v>
      </c>
      <c r="H605" s="3">
        <v>0</v>
      </c>
      <c r="I605" s="3">
        <v>8864.09</v>
      </c>
      <c r="J605" s="1" t="s">
        <v>14</v>
      </c>
      <c r="K605" s="28"/>
      <c r="L605" s="28"/>
    </row>
    <row r="606" spans="1:12" s="2" customFormat="1" ht="24.95" customHeight="1" x14ac:dyDescent="0.25">
      <c r="A606" s="31" t="s">
        <v>1805</v>
      </c>
      <c r="B606" s="1" t="s">
        <v>1806</v>
      </c>
      <c r="C606" s="1" t="s">
        <v>1807</v>
      </c>
      <c r="D606" s="1" t="s">
        <v>3027</v>
      </c>
      <c r="E606" s="3">
        <v>0</v>
      </c>
      <c r="F606" s="3">
        <v>0</v>
      </c>
      <c r="G606" s="3">
        <v>2791.52</v>
      </c>
      <c r="H606" s="3">
        <v>0</v>
      </c>
      <c r="I606" s="3">
        <v>0</v>
      </c>
      <c r="J606" s="1" t="s">
        <v>14</v>
      </c>
      <c r="K606" s="28"/>
      <c r="L606" s="28"/>
    </row>
    <row r="607" spans="1:12" s="2" customFormat="1" ht="24.95" customHeight="1" x14ac:dyDescent="0.25">
      <c r="A607" s="31" t="s">
        <v>1808</v>
      </c>
      <c r="B607" s="1" t="s">
        <v>1809</v>
      </c>
      <c r="C607" s="1" t="s">
        <v>1810</v>
      </c>
      <c r="D607" s="1" t="s">
        <v>3027</v>
      </c>
      <c r="E607" s="3">
        <v>0</v>
      </c>
      <c r="F607" s="3">
        <v>4678.41</v>
      </c>
      <c r="G607" s="3">
        <v>2827.25</v>
      </c>
      <c r="H607" s="3">
        <v>0</v>
      </c>
      <c r="I607" s="3">
        <v>0</v>
      </c>
      <c r="J607" s="1" t="s">
        <v>106</v>
      </c>
      <c r="K607" s="28"/>
      <c r="L607" s="28"/>
    </row>
    <row r="608" spans="1:12" s="2" customFormat="1" ht="24.95" customHeight="1" x14ac:dyDescent="0.25">
      <c r="A608" s="31" t="s">
        <v>1811</v>
      </c>
      <c r="B608" s="1" t="s">
        <v>1812</v>
      </c>
      <c r="C608" s="1" t="s">
        <v>1813</v>
      </c>
      <c r="D608" s="1" t="s">
        <v>3</v>
      </c>
      <c r="E608" s="3">
        <v>0</v>
      </c>
      <c r="F608" s="3">
        <v>0</v>
      </c>
      <c r="G608" s="3">
        <v>0</v>
      </c>
      <c r="H608" s="3">
        <v>0</v>
      </c>
      <c r="I608" s="3">
        <v>671.68</v>
      </c>
      <c r="J608" s="1" t="s">
        <v>14</v>
      </c>
      <c r="K608" s="28"/>
      <c r="L608" s="28"/>
    </row>
    <row r="609" spans="1:12" s="2" customFormat="1" ht="24.95" customHeight="1" x14ac:dyDescent="0.25">
      <c r="A609" s="31" t="s">
        <v>1814</v>
      </c>
      <c r="B609" s="1" t="s">
        <v>1815</v>
      </c>
      <c r="C609" s="1" t="s">
        <v>1816</v>
      </c>
      <c r="D609" s="1" t="s">
        <v>18</v>
      </c>
      <c r="E609" s="3">
        <v>0</v>
      </c>
      <c r="F609" s="3">
        <v>0</v>
      </c>
      <c r="G609" s="3">
        <v>112.59</v>
      </c>
      <c r="H609" s="3">
        <v>6673.09</v>
      </c>
      <c r="I609" s="3">
        <v>0</v>
      </c>
      <c r="J609" s="1" t="s">
        <v>93</v>
      </c>
      <c r="K609" s="28"/>
      <c r="L609" s="28"/>
    </row>
    <row r="610" spans="1:12" s="2" customFormat="1" ht="24.95" customHeight="1" x14ac:dyDescent="0.25">
      <c r="A610" s="31" t="s">
        <v>1817</v>
      </c>
      <c r="B610" s="1" t="s">
        <v>1818</v>
      </c>
      <c r="C610" s="1" t="s">
        <v>1819</v>
      </c>
      <c r="D610" s="1" t="s">
        <v>23</v>
      </c>
      <c r="E610" s="3">
        <v>0</v>
      </c>
      <c r="F610" s="3">
        <v>3113.38</v>
      </c>
      <c r="G610" s="3">
        <v>0</v>
      </c>
      <c r="H610" s="3">
        <v>0</v>
      </c>
      <c r="I610" s="3">
        <v>5036.75</v>
      </c>
      <c r="J610" s="1" t="s">
        <v>93</v>
      </c>
      <c r="K610" s="28"/>
      <c r="L610" s="28"/>
    </row>
    <row r="611" spans="1:12" s="2" customFormat="1" ht="24.95" customHeight="1" x14ac:dyDescent="0.25">
      <c r="A611" s="31" t="s">
        <v>1820</v>
      </c>
      <c r="B611" s="1" t="s">
        <v>1821</v>
      </c>
      <c r="C611" s="1" t="s">
        <v>1822</v>
      </c>
      <c r="D611" s="1" t="s">
        <v>23</v>
      </c>
      <c r="E611" s="3">
        <v>1416.87</v>
      </c>
      <c r="F611" s="3">
        <v>0</v>
      </c>
      <c r="G611" s="3">
        <v>0</v>
      </c>
      <c r="H611" s="3">
        <v>0</v>
      </c>
      <c r="I611" s="3">
        <v>0</v>
      </c>
      <c r="J611" s="1" t="s">
        <v>48</v>
      </c>
      <c r="K611" s="28"/>
      <c r="L611" s="28"/>
    </row>
    <row r="612" spans="1:12" s="2" customFormat="1" ht="24.95" customHeight="1" x14ac:dyDescent="0.25">
      <c r="A612" s="31" t="s">
        <v>1823</v>
      </c>
      <c r="B612" s="1" t="s">
        <v>1824</v>
      </c>
      <c r="C612" s="1" t="s">
        <v>1825</v>
      </c>
      <c r="D612" s="1" t="s">
        <v>3</v>
      </c>
      <c r="E612" s="3">
        <v>503.06</v>
      </c>
      <c r="F612" s="3">
        <v>0</v>
      </c>
      <c r="G612" s="3">
        <v>2397.29</v>
      </c>
      <c r="H612" s="3">
        <v>0</v>
      </c>
      <c r="I612" s="3">
        <v>0</v>
      </c>
      <c r="J612" s="1" t="s">
        <v>48</v>
      </c>
      <c r="K612" s="28"/>
      <c r="L612" s="28"/>
    </row>
    <row r="613" spans="1:12" s="2" customFormat="1" ht="24.95" customHeight="1" x14ac:dyDescent="0.25">
      <c r="A613" s="31" t="s">
        <v>1826</v>
      </c>
      <c r="B613" s="1" t="s">
        <v>1827</v>
      </c>
      <c r="C613" s="1" t="s">
        <v>1828</v>
      </c>
      <c r="D613" s="1" t="s">
        <v>23</v>
      </c>
      <c r="E613" s="3">
        <v>0</v>
      </c>
      <c r="F613" s="3">
        <v>0</v>
      </c>
      <c r="G613" s="3">
        <v>0</v>
      </c>
      <c r="H613" s="3">
        <v>7674.08</v>
      </c>
      <c r="I613" s="3">
        <v>514.65</v>
      </c>
      <c r="J613" s="1" t="s">
        <v>19</v>
      </c>
      <c r="K613" s="28"/>
      <c r="L613" s="28"/>
    </row>
    <row r="614" spans="1:12" s="2" customFormat="1" ht="24.95" customHeight="1" x14ac:dyDescent="0.25">
      <c r="A614" s="31" t="s">
        <v>1829</v>
      </c>
      <c r="B614" s="1" t="s">
        <v>1830</v>
      </c>
      <c r="C614" s="1" t="s">
        <v>1831</v>
      </c>
      <c r="D614" s="1" t="s">
        <v>3027</v>
      </c>
      <c r="E614" s="3">
        <v>0</v>
      </c>
      <c r="F614" s="3">
        <v>0</v>
      </c>
      <c r="G614" s="3">
        <v>1368.73</v>
      </c>
      <c r="H614" s="3">
        <v>0</v>
      </c>
      <c r="I614" s="3">
        <v>0</v>
      </c>
      <c r="J614" s="1" t="s">
        <v>93</v>
      </c>
      <c r="K614" s="28"/>
      <c r="L614" s="28"/>
    </row>
    <row r="615" spans="1:12" s="2" customFormat="1" ht="24.95" customHeight="1" x14ac:dyDescent="0.25">
      <c r="A615" s="31" t="s">
        <v>1832</v>
      </c>
      <c r="B615" s="1" t="s">
        <v>1833</v>
      </c>
      <c r="C615" s="1" t="s">
        <v>1834</v>
      </c>
      <c r="D615" s="1" t="s">
        <v>8</v>
      </c>
      <c r="E615" s="3">
        <v>0</v>
      </c>
      <c r="F615" s="3">
        <v>0</v>
      </c>
      <c r="G615" s="3">
        <v>0</v>
      </c>
      <c r="H615" s="3">
        <v>11120.03</v>
      </c>
      <c r="I615" s="3">
        <v>0</v>
      </c>
      <c r="J615" s="1" t="s">
        <v>93</v>
      </c>
      <c r="K615" s="28"/>
      <c r="L615" s="28"/>
    </row>
    <row r="616" spans="1:12" s="2" customFormat="1" ht="24.95" customHeight="1" x14ac:dyDescent="0.25">
      <c r="A616" s="31" t="s">
        <v>1835</v>
      </c>
      <c r="B616" s="1" t="s">
        <v>1836</v>
      </c>
      <c r="C616" s="1" t="s">
        <v>1837</v>
      </c>
      <c r="D616" s="1" t="s">
        <v>18</v>
      </c>
      <c r="E616" s="3">
        <v>0</v>
      </c>
      <c r="F616" s="3">
        <v>3584.65</v>
      </c>
      <c r="G616" s="3">
        <v>0</v>
      </c>
      <c r="H616" s="3">
        <v>0</v>
      </c>
      <c r="I616" s="3">
        <v>0</v>
      </c>
      <c r="J616" s="1" t="s">
        <v>41</v>
      </c>
      <c r="K616" s="28"/>
      <c r="L616" s="28"/>
    </row>
    <row r="617" spans="1:12" s="2" customFormat="1" ht="24.95" customHeight="1" x14ac:dyDescent="0.25">
      <c r="A617" s="31" t="s">
        <v>1838</v>
      </c>
      <c r="B617" s="1" t="s">
        <v>1839</v>
      </c>
      <c r="C617" s="1" t="s">
        <v>1840</v>
      </c>
      <c r="D617" s="1" t="s">
        <v>13</v>
      </c>
      <c r="E617" s="3">
        <v>0</v>
      </c>
      <c r="F617" s="3">
        <v>3920.07</v>
      </c>
      <c r="G617" s="3">
        <v>0</v>
      </c>
      <c r="H617" s="3">
        <v>0</v>
      </c>
      <c r="I617" s="3">
        <v>0</v>
      </c>
      <c r="J617" s="1" t="s">
        <v>24</v>
      </c>
      <c r="K617" s="28"/>
      <c r="L617" s="28"/>
    </row>
    <row r="618" spans="1:12" s="2" customFormat="1" ht="24.95" customHeight="1" x14ac:dyDescent="0.25">
      <c r="A618" s="31" t="s">
        <v>1841</v>
      </c>
      <c r="B618" s="1" t="s">
        <v>1842</v>
      </c>
      <c r="C618" s="1" t="s">
        <v>1843</v>
      </c>
      <c r="D618" s="1" t="s">
        <v>23</v>
      </c>
      <c r="E618" s="3">
        <v>7014</v>
      </c>
      <c r="F618" s="3">
        <v>0</v>
      </c>
      <c r="G618" s="3">
        <v>2363.4699999999998</v>
      </c>
      <c r="H618" s="3">
        <v>0</v>
      </c>
      <c r="I618" s="3">
        <v>0</v>
      </c>
      <c r="J618" s="1" t="s">
        <v>86</v>
      </c>
      <c r="K618" s="28"/>
      <c r="L618" s="28"/>
    </row>
    <row r="619" spans="1:12" s="2" customFormat="1" ht="24.95" customHeight="1" x14ac:dyDescent="0.25">
      <c r="A619" s="31" t="s">
        <v>1844</v>
      </c>
      <c r="B619" s="1" t="s">
        <v>1845</v>
      </c>
      <c r="C619" s="1" t="s">
        <v>1846</v>
      </c>
      <c r="D619" s="1" t="s">
        <v>13</v>
      </c>
      <c r="E619" s="3">
        <v>0</v>
      </c>
      <c r="F619" s="3">
        <v>0</v>
      </c>
      <c r="G619" s="3">
        <v>1066.01</v>
      </c>
      <c r="H619" s="3">
        <v>0</v>
      </c>
      <c r="I619" s="3">
        <v>0</v>
      </c>
      <c r="J619" s="1" t="s">
        <v>9</v>
      </c>
      <c r="K619" s="28"/>
      <c r="L619" s="28"/>
    </row>
    <row r="620" spans="1:12" s="2" customFormat="1" ht="24.95" customHeight="1" x14ac:dyDescent="0.25">
      <c r="A620" s="31" t="s">
        <v>1847</v>
      </c>
      <c r="B620" s="1" t="s">
        <v>1848</v>
      </c>
      <c r="C620" s="1" t="s">
        <v>1849</v>
      </c>
      <c r="D620" s="1" t="s">
        <v>13</v>
      </c>
      <c r="E620" s="3">
        <v>0</v>
      </c>
      <c r="F620" s="3">
        <v>0</v>
      </c>
      <c r="G620" s="3">
        <v>0</v>
      </c>
      <c r="H620" s="3">
        <v>0</v>
      </c>
      <c r="I620" s="3">
        <v>1412.82</v>
      </c>
      <c r="J620" s="1" t="s">
        <v>9</v>
      </c>
      <c r="K620" s="28"/>
      <c r="L620" s="28"/>
    </row>
    <row r="621" spans="1:12" s="2" customFormat="1" ht="24.95" customHeight="1" x14ac:dyDescent="0.25">
      <c r="A621" s="31" t="s">
        <v>1850</v>
      </c>
      <c r="B621" s="1" t="s">
        <v>1851</v>
      </c>
      <c r="C621" s="1" t="s">
        <v>1852</v>
      </c>
      <c r="D621" s="1" t="s">
        <v>3</v>
      </c>
      <c r="E621" s="3">
        <v>0</v>
      </c>
      <c r="F621" s="3">
        <v>1488.57</v>
      </c>
      <c r="G621" s="3">
        <v>1124.6600000000001</v>
      </c>
      <c r="H621" s="3">
        <v>0</v>
      </c>
      <c r="I621" s="3">
        <v>0</v>
      </c>
      <c r="J621" s="1" t="s">
        <v>79</v>
      </c>
      <c r="K621" s="28"/>
      <c r="L621" s="28"/>
    </row>
    <row r="622" spans="1:12" s="2" customFormat="1" ht="24.95" customHeight="1" x14ac:dyDescent="0.25">
      <c r="A622" s="31" t="s">
        <v>1853</v>
      </c>
      <c r="B622" s="1" t="s">
        <v>1854</v>
      </c>
      <c r="C622" s="1" t="s">
        <v>1855</v>
      </c>
      <c r="D622" s="1" t="s">
        <v>3</v>
      </c>
      <c r="E622" s="3">
        <v>0</v>
      </c>
      <c r="F622" s="3">
        <v>0</v>
      </c>
      <c r="G622" s="3">
        <v>0</v>
      </c>
      <c r="H622" s="3">
        <v>1383.14</v>
      </c>
      <c r="I622" s="3">
        <v>14725.94</v>
      </c>
      <c r="J622" s="1" t="s">
        <v>37</v>
      </c>
      <c r="K622" s="28"/>
      <c r="L622" s="28"/>
    </row>
    <row r="623" spans="1:12" s="2" customFormat="1" ht="24.95" customHeight="1" x14ac:dyDescent="0.25">
      <c r="A623" s="31" t="s">
        <v>1856</v>
      </c>
      <c r="B623" s="1" t="s">
        <v>1857</v>
      </c>
      <c r="C623" s="1" t="s">
        <v>1858</v>
      </c>
      <c r="D623" s="1" t="s">
        <v>3027</v>
      </c>
      <c r="E623" s="3">
        <v>0</v>
      </c>
      <c r="F623" s="3">
        <v>0</v>
      </c>
      <c r="G623" s="3">
        <v>1245.3699999999999</v>
      </c>
      <c r="H623" s="3">
        <v>0</v>
      </c>
      <c r="I623" s="3">
        <v>0</v>
      </c>
      <c r="J623" s="1" t="s">
        <v>37</v>
      </c>
      <c r="K623" s="28"/>
      <c r="L623" s="28"/>
    </row>
    <row r="624" spans="1:12" s="2" customFormat="1" ht="24.95" customHeight="1" x14ac:dyDescent="0.25">
      <c r="A624" s="31" t="s">
        <v>1859</v>
      </c>
      <c r="B624" s="1" t="s">
        <v>1860</v>
      </c>
      <c r="C624" s="1" t="s">
        <v>1861</v>
      </c>
      <c r="D624" s="1" t="s">
        <v>3</v>
      </c>
      <c r="E624" s="3">
        <v>0</v>
      </c>
      <c r="F624" s="3">
        <v>4848.95</v>
      </c>
      <c r="G624" s="3">
        <v>0</v>
      </c>
      <c r="H624" s="3">
        <v>0</v>
      </c>
      <c r="I624" s="3">
        <v>14656.03</v>
      </c>
      <c r="J624" s="1" t="s">
        <v>106</v>
      </c>
      <c r="K624" s="28"/>
      <c r="L624" s="28"/>
    </row>
    <row r="625" spans="1:12" s="2" customFormat="1" ht="24.95" customHeight="1" x14ac:dyDescent="0.25">
      <c r="A625" s="31" t="s">
        <v>1862</v>
      </c>
      <c r="B625" s="1" t="s">
        <v>1863</v>
      </c>
      <c r="C625" s="1" t="s">
        <v>1864</v>
      </c>
      <c r="D625" s="1" t="s">
        <v>13</v>
      </c>
      <c r="E625" s="3">
        <v>5455.02</v>
      </c>
      <c r="F625" s="3">
        <v>0</v>
      </c>
      <c r="G625" s="3">
        <v>0</v>
      </c>
      <c r="H625" s="3">
        <v>0</v>
      </c>
      <c r="I625" s="3">
        <v>0</v>
      </c>
      <c r="J625" s="1" t="s">
        <v>14</v>
      </c>
      <c r="K625" s="28"/>
      <c r="L625" s="28"/>
    </row>
    <row r="626" spans="1:12" s="2" customFormat="1" ht="24.95" customHeight="1" x14ac:dyDescent="0.25">
      <c r="A626" s="31" t="s">
        <v>1865</v>
      </c>
      <c r="B626" s="1" t="s">
        <v>1866</v>
      </c>
      <c r="C626" s="1" t="s">
        <v>1867</v>
      </c>
      <c r="D626" s="1" t="s">
        <v>23</v>
      </c>
      <c r="E626" s="3">
        <v>4704.84</v>
      </c>
      <c r="F626" s="3">
        <v>4442.1899999999996</v>
      </c>
      <c r="G626" s="3">
        <v>0</v>
      </c>
      <c r="H626" s="3">
        <v>6972.2</v>
      </c>
      <c r="I626" s="3">
        <v>0</v>
      </c>
      <c r="J626" s="1" t="s">
        <v>48</v>
      </c>
      <c r="K626" s="28"/>
      <c r="L626" s="28"/>
    </row>
    <row r="627" spans="1:12" s="2" customFormat="1" ht="24.95" customHeight="1" x14ac:dyDescent="0.25">
      <c r="A627" s="31" t="s">
        <v>1868</v>
      </c>
      <c r="B627" s="1" t="s">
        <v>1869</v>
      </c>
      <c r="C627" s="1" t="s">
        <v>1870</v>
      </c>
      <c r="D627" s="1" t="s">
        <v>23</v>
      </c>
      <c r="E627" s="3">
        <v>7591.68</v>
      </c>
      <c r="F627" s="3">
        <v>0</v>
      </c>
      <c r="G627" s="3">
        <v>0</v>
      </c>
      <c r="H627" s="3">
        <v>0</v>
      </c>
      <c r="I627" s="3">
        <v>4651.99</v>
      </c>
      <c r="J627" s="1" t="s">
        <v>19</v>
      </c>
      <c r="K627" s="28"/>
      <c r="L627" s="28"/>
    </row>
    <row r="628" spans="1:12" s="2" customFormat="1" ht="24.95" customHeight="1" x14ac:dyDescent="0.25">
      <c r="A628" s="31" t="s">
        <v>1871</v>
      </c>
      <c r="B628" s="1" t="s">
        <v>1872</v>
      </c>
      <c r="C628" s="1" t="s">
        <v>1873</v>
      </c>
      <c r="D628" s="1" t="s">
        <v>13</v>
      </c>
      <c r="E628" s="3">
        <v>4881.79</v>
      </c>
      <c r="F628" s="3">
        <v>0</v>
      </c>
      <c r="G628" s="3">
        <v>1483.1</v>
      </c>
      <c r="H628" s="3">
        <v>0</v>
      </c>
      <c r="I628" s="3">
        <v>0</v>
      </c>
      <c r="J628" s="1" t="s">
        <v>24</v>
      </c>
      <c r="K628" s="28"/>
      <c r="L628" s="28"/>
    </row>
    <row r="629" spans="1:12" s="2" customFormat="1" ht="24.95" customHeight="1" x14ac:dyDescent="0.25">
      <c r="A629" s="31" t="s">
        <v>1874</v>
      </c>
      <c r="B629" s="1" t="s">
        <v>1875</v>
      </c>
      <c r="C629" s="1" t="s">
        <v>1876</v>
      </c>
      <c r="D629" s="1" t="s">
        <v>8</v>
      </c>
      <c r="E629" s="3">
        <v>0</v>
      </c>
      <c r="F629" s="3">
        <v>3705.88</v>
      </c>
      <c r="G629" s="3">
        <v>283.16000000000003</v>
      </c>
      <c r="H629" s="3">
        <v>0</v>
      </c>
      <c r="I629" s="3">
        <v>9403.6</v>
      </c>
      <c r="J629" s="1" t="s">
        <v>86</v>
      </c>
      <c r="K629" s="28"/>
      <c r="L629" s="28"/>
    </row>
    <row r="630" spans="1:12" s="2" customFormat="1" ht="24.95" customHeight="1" x14ac:dyDescent="0.25">
      <c r="A630" s="31" t="s">
        <v>1877</v>
      </c>
      <c r="B630" s="1" t="s">
        <v>1878</v>
      </c>
      <c r="C630" s="1" t="s">
        <v>1879</v>
      </c>
      <c r="D630" s="1" t="s">
        <v>3027</v>
      </c>
      <c r="E630" s="3">
        <v>4460.5600000000004</v>
      </c>
      <c r="F630" s="3">
        <v>0</v>
      </c>
      <c r="G630" s="3">
        <v>2769.76</v>
      </c>
      <c r="H630" s="3">
        <v>0</v>
      </c>
      <c r="I630" s="3">
        <v>757.55</v>
      </c>
      <c r="J630" s="1" t="s">
        <v>24</v>
      </c>
      <c r="K630" s="28"/>
      <c r="L630" s="28"/>
    </row>
    <row r="631" spans="1:12" s="2" customFormat="1" ht="24.95" customHeight="1" x14ac:dyDescent="0.25">
      <c r="A631" s="31" t="s">
        <v>1880</v>
      </c>
      <c r="B631" s="1" t="s">
        <v>1881</v>
      </c>
      <c r="C631" s="1" t="s">
        <v>1882</v>
      </c>
      <c r="D631" s="1" t="s">
        <v>18</v>
      </c>
      <c r="E631" s="3">
        <v>0</v>
      </c>
      <c r="F631" s="3">
        <v>0</v>
      </c>
      <c r="G631" s="3">
        <v>342.82</v>
      </c>
      <c r="H631" s="3">
        <v>522.27</v>
      </c>
      <c r="I631" s="3">
        <v>5405.71</v>
      </c>
      <c r="J631" s="1" t="s">
        <v>106</v>
      </c>
      <c r="K631" s="28"/>
      <c r="L631" s="28"/>
    </row>
    <row r="632" spans="1:12" s="2" customFormat="1" ht="24.95" customHeight="1" x14ac:dyDescent="0.25">
      <c r="A632" s="31" t="s">
        <v>1883</v>
      </c>
      <c r="B632" s="1" t="s">
        <v>1884</v>
      </c>
      <c r="C632" s="1" t="s">
        <v>1885</v>
      </c>
      <c r="D632" s="1" t="s">
        <v>13</v>
      </c>
      <c r="E632" s="3">
        <v>7594.05</v>
      </c>
      <c r="F632" s="3">
        <v>0</v>
      </c>
      <c r="G632" s="3">
        <v>0</v>
      </c>
      <c r="H632" s="3">
        <v>9716.19</v>
      </c>
      <c r="I632" s="3">
        <v>5599.45</v>
      </c>
      <c r="J632" s="1" t="s">
        <v>106</v>
      </c>
      <c r="K632" s="28"/>
      <c r="L632" s="28"/>
    </row>
    <row r="633" spans="1:12" s="2" customFormat="1" ht="24.95" customHeight="1" x14ac:dyDescent="0.25">
      <c r="A633" s="31" t="s">
        <v>1886</v>
      </c>
      <c r="B633" s="1" t="s">
        <v>1887</v>
      </c>
      <c r="C633" s="1" t="s">
        <v>1888</v>
      </c>
      <c r="D633" s="1" t="s">
        <v>8</v>
      </c>
      <c r="E633" s="3">
        <v>2739.55</v>
      </c>
      <c r="F633" s="3">
        <v>3136.8</v>
      </c>
      <c r="G633" s="3">
        <v>0</v>
      </c>
      <c r="H633" s="3">
        <v>4597.3999999999996</v>
      </c>
      <c r="I633" s="3">
        <v>0</v>
      </c>
      <c r="J633" s="1" t="s">
        <v>93</v>
      </c>
      <c r="K633" s="28"/>
      <c r="L633" s="28"/>
    </row>
    <row r="634" spans="1:12" s="2" customFormat="1" ht="24.95" customHeight="1" x14ac:dyDescent="0.25">
      <c r="A634" s="31" t="s">
        <v>1889</v>
      </c>
      <c r="B634" s="1" t="s">
        <v>1890</v>
      </c>
      <c r="C634" s="1" t="s">
        <v>1891</v>
      </c>
      <c r="D634" s="1" t="s">
        <v>23</v>
      </c>
      <c r="E634" s="3">
        <v>0</v>
      </c>
      <c r="F634" s="3">
        <v>0</v>
      </c>
      <c r="G634" s="3">
        <v>0</v>
      </c>
      <c r="H634" s="3">
        <v>7275.12</v>
      </c>
      <c r="I634" s="3">
        <v>0</v>
      </c>
      <c r="J634" s="1" t="s">
        <v>24</v>
      </c>
      <c r="K634" s="28"/>
      <c r="L634" s="28"/>
    </row>
    <row r="635" spans="1:12" s="2" customFormat="1" ht="24.95" customHeight="1" x14ac:dyDescent="0.25">
      <c r="A635" s="31" t="s">
        <v>1892</v>
      </c>
      <c r="B635" s="1" t="s">
        <v>1893</v>
      </c>
      <c r="C635" s="1" t="s">
        <v>1894</v>
      </c>
      <c r="D635" s="1" t="s">
        <v>18</v>
      </c>
      <c r="E635" s="3">
        <v>1806.57</v>
      </c>
      <c r="F635" s="3">
        <v>0</v>
      </c>
      <c r="G635" s="3">
        <v>2384.14</v>
      </c>
      <c r="H635" s="3">
        <v>3771.58</v>
      </c>
      <c r="I635" s="3">
        <v>7121.54</v>
      </c>
      <c r="J635" s="1" t="s">
        <v>79</v>
      </c>
      <c r="K635" s="28"/>
      <c r="L635" s="28"/>
    </row>
    <row r="636" spans="1:12" s="2" customFormat="1" ht="24.95" customHeight="1" x14ac:dyDescent="0.25">
      <c r="A636" s="31" t="s">
        <v>1895</v>
      </c>
      <c r="B636" s="1" t="s">
        <v>1896</v>
      </c>
      <c r="C636" s="1" t="s">
        <v>1897</v>
      </c>
      <c r="D636" s="1" t="s">
        <v>13</v>
      </c>
      <c r="E636" s="3">
        <v>1448.85</v>
      </c>
      <c r="F636" s="3">
        <v>748.19</v>
      </c>
      <c r="G636" s="3">
        <v>0</v>
      </c>
      <c r="H636" s="3">
        <v>5355.63</v>
      </c>
      <c r="I636" s="3">
        <v>0</v>
      </c>
      <c r="J636" s="1" t="s">
        <v>41</v>
      </c>
      <c r="K636" s="28"/>
      <c r="L636" s="28"/>
    </row>
    <row r="637" spans="1:12" s="2" customFormat="1" ht="24.95" customHeight="1" x14ac:dyDescent="0.25">
      <c r="A637" s="31" t="s">
        <v>1898</v>
      </c>
      <c r="B637" s="1" t="s">
        <v>1899</v>
      </c>
      <c r="C637" s="1" t="s">
        <v>1900</v>
      </c>
      <c r="D637" s="1" t="s">
        <v>18</v>
      </c>
      <c r="E637" s="3">
        <v>0</v>
      </c>
      <c r="F637" s="3">
        <v>0</v>
      </c>
      <c r="G637" s="3">
        <v>2626.75</v>
      </c>
      <c r="H637" s="3">
        <v>0</v>
      </c>
      <c r="I637" s="3">
        <v>0</v>
      </c>
      <c r="J637" s="1" t="s">
        <v>41</v>
      </c>
      <c r="K637" s="28"/>
      <c r="L637" s="28"/>
    </row>
    <row r="638" spans="1:12" s="2" customFormat="1" ht="24.95" customHeight="1" x14ac:dyDescent="0.25">
      <c r="A638" s="31" t="s">
        <v>1901</v>
      </c>
      <c r="B638" s="1" t="s">
        <v>1902</v>
      </c>
      <c r="C638" s="1" t="s">
        <v>1903</v>
      </c>
      <c r="D638" s="1" t="s">
        <v>18</v>
      </c>
      <c r="E638" s="3">
        <v>0</v>
      </c>
      <c r="F638" s="3">
        <v>0</v>
      </c>
      <c r="G638" s="3">
        <v>2258.9299999999998</v>
      </c>
      <c r="H638" s="3">
        <v>1425.28</v>
      </c>
      <c r="I638" s="3">
        <v>12909.82</v>
      </c>
      <c r="J638" s="1" t="s">
        <v>14</v>
      </c>
      <c r="K638" s="28"/>
      <c r="L638" s="28"/>
    </row>
    <row r="639" spans="1:12" s="2" customFormat="1" ht="24.95" customHeight="1" x14ac:dyDescent="0.25">
      <c r="A639" s="31" t="s">
        <v>1904</v>
      </c>
      <c r="B639" s="1" t="s">
        <v>1905</v>
      </c>
      <c r="C639" s="1" t="s">
        <v>1906</v>
      </c>
      <c r="D639" s="1" t="s">
        <v>3027</v>
      </c>
      <c r="E639" s="3">
        <v>0</v>
      </c>
      <c r="F639" s="3">
        <v>0</v>
      </c>
      <c r="G639" s="3">
        <v>0</v>
      </c>
      <c r="H639" s="3">
        <v>10847.25</v>
      </c>
      <c r="I639" s="3">
        <v>5831.73</v>
      </c>
      <c r="J639" s="1" t="s">
        <v>4</v>
      </c>
      <c r="K639" s="28"/>
      <c r="L639" s="28"/>
    </row>
    <row r="640" spans="1:12" s="2" customFormat="1" ht="24.95" customHeight="1" x14ac:dyDescent="0.25">
      <c r="A640" s="31" t="s">
        <v>1907</v>
      </c>
      <c r="B640" s="1" t="s">
        <v>1908</v>
      </c>
      <c r="C640" s="1" t="s">
        <v>1909</v>
      </c>
      <c r="D640" s="1" t="s">
        <v>13</v>
      </c>
      <c r="E640" s="3">
        <v>0</v>
      </c>
      <c r="F640" s="3">
        <v>268.82</v>
      </c>
      <c r="G640" s="3">
        <v>773.36</v>
      </c>
      <c r="H640" s="3">
        <v>251.72</v>
      </c>
      <c r="I640" s="3">
        <v>9546.15</v>
      </c>
      <c r="J640" s="1" t="s">
        <v>19</v>
      </c>
      <c r="K640" s="28"/>
      <c r="L640" s="28"/>
    </row>
    <row r="641" spans="1:12" s="2" customFormat="1" ht="24.95" customHeight="1" x14ac:dyDescent="0.25">
      <c r="A641" s="31" t="s">
        <v>1910</v>
      </c>
      <c r="B641" s="1" t="s">
        <v>1911</v>
      </c>
      <c r="C641" s="1" t="s">
        <v>1912</v>
      </c>
      <c r="D641" s="1" t="s">
        <v>3027</v>
      </c>
      <c r="E641" s="3">
        <v>3257.45</v>
      </c>
      <c r="F641" s="3">
        <v>4641.21</v>
      </c>
      <c r="G641" s="3">
        <v>0</v>
      </c>
      <c r="H641" s="3">
        <v>0</v>
      </c>
      <c r="I641" s="3">
        <v>7226.42</v>
      </c>
      <c r="J641" s="1" t="s">
        <v>48</v>
      </c>
      <c r="K641" s="28"/>
      <c r="L641" s="28"/>
    </row>
    <row r="642" spans="1:12" s="2" customFormat="1" ht="24.95" customHeight="1" x14ac:dyDescent="0.25">
      <c r="A642" s="31" t="s">
        <v>1913</v>
      </c>
      <c r="B642" s="1" t="s">
        <v>1914</v>
      </c>
      <c r="C642" s="1" t="s">
        <v>1915</v>
      </c>
      <c r="D642" s="1" t="s">
        <v>3</v>
      </c>
      <c r="E642" s="3">
        <v>1639.48</v>
      </c>
      <c r="F642" s="3">
        <v>4397.3999999999996</v>
      </c>
      <c r="G642" s="3">
        <v>0</v>
      </c>
      <c r="H642" s="3">
        <v>0</v>
      </c>
      <c r="I642" s="3">
        <v>0</v>
      </c>
      <c r="J642" s="1" t="s">
        <v>106</v>
      </c>
      <c r="K642" s="28"/>
      <c r="L642" s="28"/>
    </row>
    <row r="643" spans="1:12" s="2" customFormat="1" ht="24.95" customHeight="1" x14ac:dyDescent="0.25">
      <c r="A643" s="31" t="s">
        <v>1916</v>
      </c>
      <c r="B643" s="1" t="s">
        <v>1917</v>
      </c>
      <c r="C643" s="1" t="s">
        <v>1918</v>
      </c>
      <c r="D643" s="1" t="s">
        <v>23</v>
      </c>
      <c r="E643" s="3">
        <v>0</v>
      </c>
      <c r="F643" s="3">
        <v>4899.3500000000004</v>
      </c>
      <c r="G643" s="3">
        <v>250.2</v>
      </c>
      <c r="H643" s="3">
        <v>2337.0300000000002</v>
      </c>
      <c r="I643" s="3">
        <v>9906.02</v>
      </c>
      <c r="J643" s="1" t="s">
        <v>14</v>
      </c>
      <c r="K643" s="28"/>
      <c r="L643" s="28"/>
    </row>
    <row r="644" spans="1:12" s="2" customFormat="1" ht="24.95" customHeight="1" x14ac:dyDescent="0.25">
      <c r="A644" s="31" t="s">
        <v>1919</v>
      </c>
      <c r="B644" s="1" t="s">
        <v>1920</v>
      </c>
      <c r="C644" s="1" t="s">
        <v>1921</v>
      </c>
      <c r="D644" s="1" t="s">
        <v>3</v>
      </c>
      <c r="E644" s="3">
        <v>7569.73</v>
      </c>
      <c r="F644" s="3">
        <v>4598.49</v>
      </c>
      <c r="G644" s="3">
        <v>0</v>
      </c>
      <c r="H644" s="3">
        <v>0</v>
      </c>
      <c r="I644" s="3">
        <v>0</v>
      </c>
      <c r="J644" s="1" t="s">
        <v>4</v>
      </c>
      <c r="K644" s="28"/>
      <c r="L644" s="28"/>
    </row>
    <row r="645" spans="1:12" s="2" customFormat="1" ht="24.95" customHeight="1" x14ac:dyDescent="0.25">
      <c r="A645" s="31" t="s">
        <v>1922</v>
      </c>
      <c r="B645" s="1" t="s">
        <v>1923</v>
      </c>
      <c r="C645" s="1" t="s">
        <v>1924</v>
      </c>
      <c r="D645" s="1" t="s">
        <v>23</v>
      </c>
      <c r="E645" s="3">
        <v>1540.1</v>
      </c>
      <c r="F645" s="3">
        <v>2341.9699999999998</v>
      </c>
      <c r="G645" s="3">
        <v>0</v>
      </c>
      <c r="H645" s="3">
        <v>0</v>
      </c>
      <c r="I645" s="3">
        <v>0</v>
      </c>
      <c r="J645" s="1" t="s">
        <v>93</v>
      </c>
      <c r="K645" s="28"/>
      <c r="L645" s="28"/>
    </row>
    <row r="646" spans="1:12" s="2" customFormat="1" ht="24.95" customHeight="1" x14ac:dyDescent="0.25">
      <c r="A646" s="31" t="s">
        <v>1925</v>
      </c>
      <c r="B646" s="1" t="s">
        <v>1926</v>
      </c>
      <c r="C646" s="1" t="s">
        <v>1927</v>
      </c>
      <c r="D646" s="1" t="s">
        <v>23</v>
      </c>
      <c r="E646" s="3">
        <v>0</v>
      </c>
      <c r="F646" s="3">
        <v>1432.2</v>
      </c>
      <c r="G646" s="3">
        <v>987.62</v>
      </c>
      <c r="H646" s="3">
        <v>3115.12</v>
      </c>
      <c r="I646" s="3">
        <v>2556.86</v>
      </c>
      <c r="J646" s="1" t="s">
        <v>4</v>
      </c>
      <c r="K646" s="28"/>
      <c r="L646" s="28"/>
    </row>
    <row r="647" spans="1:12" s="2" customFormat="1" ht="24.95" customHeight="1" x14ac:dyDescent="0.25">
      <c r="A647" s="31" t="s">
        <v>1928</v>
      </c>
      <c r="B647" s="1" t="s">
        <v>1929</v>
      </c>
      <c r="C647" s="1" t="s">
        <v>1930</v>
      </c>
      <c r="D647" s="1" t="s">
        <v>3</v>
      </c>
      <c r="E647" s="3">
        <v>0</v>
      </c>
      <c r="F647" s="3">
        <v>3750.75</v>
      </c>
      <c r="G647" s="3">
        <v>0</v>
      </c>
      <c r="H647" s="3">
        <v>0</v>
      </c>
      <c r="I647" s="3">
        <v>0</v>
      </c>
      <c r="J647" s="1" t="s">
        <v>79</v>
      </c>
      <c r="K647" s="28"/>
      <c r="L647" s="28"/>
    </row>
    <row r="648" spans="1:12" s="2" customFormat="1" ht="24.95" customHeight="1" x14ac:dyDescent="0.25">
      <c r="A648" s="31" t="s">
        <v>1931</v>
      </c>
      <c r="B648" s="1" t="s">
        <v>1932</v>
      </c>
      <c r="C648" s="1" t="s">
        <v>1933</v>
      </c>
      <c r="D648" s="1" t="s">
        <v>3027</v>
      </c>
      <c r="E648" s="3">
        <v>2071.56</v>
      </c>
      <c r="F648" s="3">
        <v>2334.96</v>
      </c>
      <c r="G648" s="3">
        <v>0</v>
      </c>
      <c r="H648" s="3">
        <v>0</v>
      </c>
      <c r="I648" s="3">
        <v>0</v>
      </c>
      <c r="J648" s="1" t="s">
        <v>41</v>
      </c>
      <c r="K648" s="28"/>
      <c r="L648" s="28"/>
    </row>
    <row r="649" spans="1:12" s="2" customFormat="1" ht="24.95" customHeight="1" x14ac:dyDescent="0.25">
      <c r="A649" s="31" t="s">
        <v>1934</v>
      </c>
      <c r="B649" s="1" t="s">
        <v>1935</v>
      </c>
      <c r="C649" s="1" t="s">
        <v>1936</v>
      </c>
      <c r="D649" s="1" t="s">
        <v>23</v>
      </c>
      <c r="E649" s="3">
        <v>0</v>
      </c>
      <c r="F649" s="3">
        <v>4326.7</v>
      </c>
      <c r="G649" s="3">
        <v>0</v>
      </c>
      <c r="H649" s="3">
        <v>3963.04</v>
      </c>
      <c r="I649" s="3">
        <v>0</v>
      </c>
      <c r="J649" s="1" t="s">
        <v>4</v>
      </c>
      <c r="K649" s="28"/>
      <c r="L649" s="28"/>
    </row>
    <row r="650" spans="1:12" s="2" customFormat="1" ht="24.95" customHeight="1" x14ac:dyDescent="0.25">
      <c r="A650" s="31" t="s">
        <v>1937</v>
      </c>
      <c r="B650" s="1" t="s">
        <v>1938</v>
      </c>
      <c r="C650" s="1" t="s">
        <v>1939</v>
      </c>
      <c r="D650" s="1" t="s">
        <v>3027</v>
      </c>
      <c r="E650" s="3">
        <v>978.45</v>
      </c>
      <c r="F650" s="3">
        <v>0</v>
      </c>
      <c r="G650" s="3">
        <v>0</v>
      </c>
      <c r="H650" s="3">
        <v>0</v>
      </c>
      <c r="I650" s="3">
        <v>0</v>
      </c>
      <c r="J650" s="1" t="s">
        <v>9</v>
      </c>
      <c r="K650" s="28"/>
      <c r="L650" s="28"/>
    </row>
    <row r="651" spans="1:12" s="2" customFormat="1" ht="24.95" customHeight="1" x14ac:dyDescent="0.25">
      <c r="A651" s="31" t="s">
        <v>1940</v>
      </c>
      <c r="B651" s="1" t="s">
        <v>1941</v>
      </c>
      <c r="C651" s="1" t="s">
        <v>1942</v>
      </c>
      <c r="D651" s="1" t="s">
        <v>13</v>
      </c>
      <c r="E651" s="3">
        <v>1546.12</v>
      </c>
      <c r="F651" s="3">
        <v>0</v>
      </c>
      <c r="G651" s="3">
        <v>1063.3900000000001</v>
      </c>
      <c r="H651" s="3">
        <v>3309.76</v>
      </c>
      <c r="I651" s="3">
        <v>0</v>
      </c>
      <c r="J651" s="1" t="s">
        <v>9</v>
      </c>
      <c r="K651" s="28"/>
      <c r="L651" s="28"/>
    </row>
    <row r="652" spans="1:12" s="2" customFormat="1" ht="24.95" customHeight="1" x14ac:dyDescent="0.25">
      <c r="A652" s="31" t="s">
        <v>1943</v>
      </c>
      <c r="B652" s="1" t="s">
        <v>1944</v>
      </c>
      <c r="C652" s="1" t="s">
        <v>1945</v>
      </c>
      <c r="D652" s="1" t="s">
        <v>3027</v>
      </c>
      <c r="E652" s="3">
        <v>0</v>
      </c>
      <c r="F652" s="3">
        <v>0</v>
      </c>
      <c r="G652" s="3">
        <v>1319.55</v>
      </c>
      <c r="H652" s="3">
        <v>0</v>
      </c>
      <c r="I652" s="3">
        <v>0</v>
      </c>
      <c r="J652" s="1" t="s">
        <v>24</v>
      </c>
      <c r="K652" s="28"/>
      <c r="L652" s="28"/>
    </row>
    <row r="653" spans="1:12" s="2" customFormat="1" ht="24.95" customHeight="1" x14ac:dyDescent="0.25">
      <c r="A653" s="31" t="s">
        <v>1946</v>
      </c>
      <c r="B653" s="1" t="s">
        <v>1947</v>
      </c>
      <c r="C653" s="1" t="s">
        <v>1948</v>
      </c>
      <c r="D653" s="1" t="s">
        <v>3027</v>
      </c>
      <c r="E653" s="3">
        <v>5950.28</v>
      </c>
      <c r="F653" s="3">
        <v>0</v>
      </c>
      <c r="G653" s="3">
        <v>0</v>
      </c>
      <c r="H653" s="3">
        <v>0</v>
      </c>
      <c r="I653" s="3">
        <v>0</v>
      </c>
      <c r="J653" s="1" t="s">
        <v>106</v>
      </c>
      <c r="K653" s="28"/>
      <c r="L653" s="28"/>
    </row>
    <row r="654" spans="1:12" s="2" customFormat="1" ht="24.95" customHeight="1" x14ac:dyDescent="0.25">
      <c r="A654" s="31" t="s">
        <v>1949</v>
      </c>
      <c r="B654" s="1" t="s">
        <v>1950</v>
      </c>
      <c r="C654" s="1" t="s">
        <v>1951</v>
      </c>
      <c r="D654" s="1" t="s">
        <v>8</v>
      </c>
      <c r="E654" s="3">
        <v>5490.05</v>
      </c>
      <c r="F654" s="3">
        <v>0</v>
      </c>
      <c r="G654" s="3">
        <v>0</v>
      </c>
      <c r="H654" s="3">
        <v>0</v>
      </c>
      <c r="I654" s="3">
        <v>9845.15</v>
      </c>
      <c r="J654" s="1" t="s">
        <v>14</v>
      </c>
      <c r="K654" s="28"/>
      <c r="L654" s="28"/>
    </row>
    <row r="655" spans="1:12" s="2" customFormat="1" ht="24.95" customHeight="1" x14ac:dyDescent="0.25">
      <c r="A655" s="31" t="s">
        <v>1952</v>
      </c>
      <c r="B655" s="1" t="s">
        <v>1953</v>
      </c>
      <c r="C655" s="1" t="s">
        <v>1954</v>
      </c>
      <c r="D655" s="1" t="s">
        <v>8</v>
      </c>
      <c r="E655" s="3">
        <v>1143.19</v>
      </c>
      <c r="F655" s="3">
        <v>476.92</v>
      </c>
      <c r="G655" s="3">
        <v>1297</v>
      </c>
      <c r="H655" s="3">
        <v>7335.89</v>
      </c>
      <c r="I655" s="3">
        <v>0</v>
      </c>
      <c r="J655" s="1" t="s">
        <v>79</v>
      </c>
      <c r="K655" s="28"/>
      <c r="L655" s="28"/>
    </row>
    <row r="656" spans="1:12" s="2" customFormat="1" ht="24.95" customHeight="1" x14ac:dyDescent="0.25">
      <c r="A656" s="31" t="s">
        <v>1955</v>
      </c>
      <c r="B656" s="1" t="s">
        <v>1956</v>
      </c>
      <c r="C656" s="1" t="s">
        <v>1957</v>
      </c>
      <c r="D656" s="1" t="s">
        <v>23</v>
      </c>
      <c r="E656" s="3">
        <v>0</v>
      </c>
      <c r="F656" s="3">
        <v>1715.82</v>
      </c>
      <c r="G656" s="3">
        <v>0</v>
      </c>
      <c r="H656" s="3">
        <v>0</v>
      </c>
      <c r="I656" s="3">
        <v>0</v>
      </c>
      <c r="J656" s="1" t="s">
        <v>48</v>
      </c>
      <c r="K656" s="28"/>
      <c r="L656" s="28"/>
    </row>
    <row r="657" spans="1:12" s="2" customFormat="1" ht="24.95" customHeight="1" x14ac:dyDescent="0.25">
      <c r="A657" s="31" t="s">
        <v>1958</v>
      </c>
      <c r="B657" s="1" t="s">
        <v>1959</v>
      </c>
      <c r="C657" s="1" t="s">
        <v>1960</v>
      </c>
      <c r="D657" s="1" t="s">
        <v>13</v>
      </c>
      <c r="E657" s="3">
        <v>3756.21</v>
      </c>
      <c r="F657" s="3">
        <v>0</v>
      </c>
      <c r="G657" s="3">
        <v>0</v>
      </c>
      <c r="H657" s="3">
        <v>2821.43</v>
      </c>
      <c r="I657" s="3">
        <v>0</v>
      </c>
      <c r="J657" s="1" t="s">
        <v>14</v>
      </c>
      <c r="K657" s="28"/>
      <c r="L657" s="28"/>
    </row>
    <row r="658" spans="1:12" s="2" customFormat="1" ht="24.95" customHeight="1" x14ac:dyDescent="0.25">
      <c r="A658" s="31" t="s">
        <v>1961</v>
      </c>
      <c r="B658" s="1" t="s">
        <v>1962</v>
      </c>
      <c r="C658" s="1" t="s">
        <v>1963</v>
      </c>
      <c r="D658" s="1" t="s">
        <v>8</v>
      </c>
      <c r="E658" s="3">
        <v>7746.12</v>
      </c>
      <c r="F658" s="3">
        <v>2086.8000000000002</v>
      </c>
      <c r="G658" s="3">
        <v>1747.31</v>
      </c>
      <c r="H658" s="3">
        <v>0</v>
      </c>
      <c r="I658" s="3">
        <v>1757.13</v>
      </c>
      <c r="J658" s="1" t="s">
        <v>37</v>
      </c>
      <c r="K658" s="28"/>
      <c r="L658" s="28"/>
    </row>
    <row r="659" spans="1:12" s="2" customFormat="1" ht="24.95" customHeight="1" x14ac:dyDescent="0.25">
      <c r="A659" s="31" t="s">
        <v>1964</v>
      </c>
      <c r="B659" s="1" t="s">
        <v>1965</v>
      </c>
      <c r="C659" s="1" t="s">
        <v>1966</v>
      </c>
      <c r="D659" s="1" t="s">
        <v>3027</v>
      </c>
      <c r="E659" s="3">
        <v>0</v>
      </c>
      <c r="F659" s="3">
        <v>4402.62</v>
      </c>
      <c r="G659" s="3">
        <v>763.32</v>
      </c>
      <c r="H659" s="3">
        <v>0</v>
      </c>
      <c r="I659" s="3">
        <v>0</v>
      </c>
      <c r="J659" s="1" t="s">
        <v>9</v>
      </c>
      <c r="K659" s="28"/>
      <c r="L659" s="28"/>
    </row>
    <row r="660" spans="1:12" s="2" customFormat="1" ht="24.95" customHeight="1" x14ac:dyDescent="0.25">
      <c r="A660" s="31" t="s">
        <v>1967</v>
      </c>
      <c r="B660" s="1" t="s">
        <v>1968</v>
      </c>
      <c r="C660" s="1" t="s">
        <v>1969</v>
      </c>
      <c r="D660" s="1" t="s">
        <v>13</v>
      </c>
      <c r="E660" s="3">
        <v>0</v>
      </c>
      <c r="F660" s="3">
        <v>507.69</v>
      </c>
      <c r="G660" s="3">
        <v>0</v>
      </c>
      <c r="H660" s="3">
        <v>0</v>
      </c>
      <c r="I660" s="3">
        <v>0</v>
      </c>
      <c r="J660" s="1" t="s">
        <v>86</v>
      </c>
      <c r="K660" s="28"/>
      <c r="L660" s="28"/>
    </row>
    <row r="661" spans="1:12" s="2" customFormat="1" ht="24.95" customHeight="1" x14ac:dyDescent="0.25">
      <c r="A661" s="31" t="s">
        <v>1970</v>
      </c>
      <c r="B661" s="1" t="s">
        <v>1971</v>
      </c>
      <c r="C661" s="1" t="s">
        <v>1972</v>
      </c>
      <c r="D661" s="1" t="s">
        <v>18</v>
      </c>
      <c r="E661" s="3">
        <v>0</v>
      </c>
      <c r="F661" s="3">
        <v>4683.2</v>
      </c>
      <c r="G661" s="3">
        <v>0</v>
      </c>
      <c r="H661" s="3">
        <v>0</v>
      </c>
      <c r="I661" s="3">
        <v>0</v>
      </c>
      <c r="J661" s="1" t="s">
        <v>106</v>
      </c>
      <c r="K661" s="28"/>
      <c r="L661" s="28"/>
    </row>
    <row r="662" spans="1:12" s="2" customFormat="1" ht="24.95" customHeight="1" x14ac:dyDescent="0.25">
      <c r="A662" s="31" t="s">
        <v>1973</v>
      </c>
      <c r="B662" s="1" t="s">
        <v>1974</v>
      </c>
      <c r="C662" s="1" t="s">
        <v>1975</v>
      </c>
      <c r="D662" s="1" t="s">
        <v>3027</v>
      </c>
      <c r="E662" s="3">
        <v>0</v>
      </c>
      <c r="F662" s="3">
        <v>2102.92</v>
      </c>
      <c r="G662" s="3">
        <v>1516.08</v>
      </c>
      <c r="H662" s="3">
        <v>0</v>
      </c>
      <c r="I662" s="3">
        <v>1422.01</v>
      </c>
      <c r="J662" s="1" t="s">
        <v>79</v>
      </c>
      <c r="K662" s="28"/>
      <c r="L662" s="28"/>
    </row>
    <row r="663" spans="1:12" s="2" customFormat="1" ht="24.95" customHeight="1" x14ac:dyDescent="0.25">
      <c r="A663" s="31" t="s">
        <v>1976</v>
      </c>
      <c r="B663" s="1" t="s">
        <v>1977</v>
      </c>
      <c r="C663" s="1" t="s">
        <v>1978</v>
      </c>
      <c r="D663" s="1" t="s">
        <v>23</v>
      </c>
      <c r="E663" s="3">
        <v>0</v>
      </c>
      <c r="F663" s="3">
        <v>0</v>
      </c>
      <c r="G663" s="3">
        <v>1964.44</v>
      </c>
      <c r="H663" s="3">
        <v>0</v>
      </c>
      <c r="I663" s="3">
        <v>0</v>
      </c>
      <c r="J663" s="1" t="s">
        <v>9</v>
      </c>
      <c r="K663" s="28"/>
      <c r="L663" s="28"/>
    </row>
    <row r="664" spans="1:12" s="2" customFormat="1" ht="24.95" customHeight="1" x14ac:dyDescent="0.25">
      <c r="A664" s="31" t="s">
        <v>1979</v>
      </c>
      <c r="B664" s="1" t="s">
        <v>1980</v>
      </c>
      <c r="C664" s="1" t="s">
        <v>1981</v>
      </c>
      <c r="D664" s="1" t="s">
        <v>3</v>
      </c>
      <c r="E664" s="3">
        <v>0</v>
      </c>
      <c r="F664" s="3">
        <v>3440.57</v>
      </c>
      <c r="G664" s="3">
        <v>0</v>
      </c>
      <c r="H664" s="3">
        <v>0</v>
      </c>
      <c r="I664" s="3">
        <v>8997.42</v>
      </c>
      <c r="J664" s="1" t="s">
        <v>48</v>
      </c>
      <c r="K664" s="28"/>
      <c r="L664" s="28"/>
    </row>
    <row r="665" spans="1:12" s="2" customFormat="1" ht="24.95" customHeight="1" x14ac:dyDescent="0.25">
      <c r="A665" s="31" t="s">
        <v>1982</v>
      </c>
      <c r="B665" s="1" t="s">
        <v>1983</v>
      </c>
      <c r="C665" s="1" t="s">
        <v>1984</v>
      </c>
      <c r="D665" s="1" t="s">
        <v>23</v>
      </c>
      <c r="E665" s="3">
        <v>0</v>
      </c>
      <c r="F665" s="3">
        <v>0</v>
      </c>
      <c r="G665" s="3">
        <v>0</v>
      </c>
      <c r="H665" s="3">
        <v>8730.32</v>
      </c>
      <c r="I665" s="3">
        <v>6367.34</v>
      </c>
      <c r="J665" s="1" t="s">
        <v>37</v>
      </c>
      <c r="K665" s="28"/>
      <c r="L665" s="28"/>
    </row>
    <row r="666" spans="1:12" s="2" customFormat="1" ht="24.95" customHeight="1" x14ac:dyDescent="0.25">
      <c r="A666" s="31" t="s">
        <v>1985</v>
      </c>
      <c r="B666" s="1" t="s">
        <v>1986</v>
      </c>
      <c r="C666" s="1" t="s">
        <v>1987</v>
      </c>
      <c r="D666" s="1" t="s">
        <v>3027</v>
      </c>
      <c r="E666" s="3">
        <v>0</v>
      </c>
      <c r="F666" s="3">
        <v>0</v>
      </c>
      <c r="G666" s="3">
        <v>2621.13</v>
      </c>
      <c r="H666" s="3">
        <v>0</v>
      </c>
      <c r="I666" s="3">
        <v>0</v>
      </c>
      <c r="J666" s="1" t="s">
        <v>37</v>
      </c>
      <c r="K666" s="28"/>
      <c r="L666" s="28"/>
    </row>
    <row r="667" spans="1:12" s="2" customFormat="1" ht="24.95" customHeight="1" x14ac:dyDescent="0.25">
      <c r="A667" s="31" t="s">
        <v>1988</v>
      </c>
      <c r="B667" s="1" t="s">
        <v>1989</v>
      </c>
      <c r="C667" s="1" t="s">
        <v>1990</v>
      </c>
      <c r="D667" s="1" t="s">
        <v>23</v>
      </c>
      <c r="E667" s="3">
        <v>0</v>
      </c>
      <c r="F667" s="3">
        <v>4716.97</v>
      </c>
      <c r="G667" s="3">
        <v>0</v>
      </c>
      <c r="H667" s="3">
        <v>0</v>
      </c>
      <c r="I667" s="3">
        <v>10227.709999999999</v>
      </c>
      <c r="J667" s="1" t="s">
        <v>106</v>
      </c>
      <c r="K667" s="28"/>
      <c r="L667" s="28"/>
    </row>
    <row r="668" spans="1:12" s="2" customFormat="1" ht="24.95" customHeight="1" x14ac:dyDescent="0.25">
      <c r="A668" s="31" t="s">
        <v>1991</v>
      </c>
      <c r="B668" s="1" t="s">
        <v>1992</v>
      </c>
      <c r="C668" s="1" t="s">
        <v>1993</v>
      </c>
      <c r="D668" s="1" t="s">
        <v>18</v>
      </c>
      <c r="E668" s="3">
        <v>5927.02</v>
      </c>
      <c r="F668" s="3">
        <v>0</v>
      </c>
      <c r="G668" s="3">
        <v>325.36</v>
      </c>
      <c r="H668" s="3">
        <v>10681.46</v>
      </c>
      <c r="I668" s="3">
        <v>0</v>
      </c>
      <c r="J668" s="1" t="s">
        <v>14</v>
      </c>
      <c r="K668" s="28"/>
      <c r="L668" s="28"/>
    </row>
    <row r="669" spans="1:12" s="2" customFormat="1" ht="24.95" customHeight="1" x14ac:dyDescent="0.25">
      <c r="A669" s="31" t="s">
        <v>1994</v>
      </c>
      <c r="B669" s="1" t="s">
        <v>1995</v>
      </c>
      <c r="C669" s="1" t="s">
        <v>1996</v>
      </c>
      <c r="D669" s="1" t="s">
        <v>3027</v>
      </c>
      <c r="E669" s="3">
        <v>7471.15</v>
      </c>
      <c r="F669" s="3">
        <v>2497.96</v>
      </c>
      <c r="G669" s="3">
        <v>0</v>
      </c>
      <c r="H669" s="3">
        <v>8925.2199999999993</v>
      </c>
      <c r="I669" s="3">
        <v>12751.76</v>
      </c>
      <c r="J669" s="1" t="s">
        <v>37</v>
      </c>
      <c r="K669" s="28"/>
      <c r="L669" s="28"/>
    </row>
    <row r="670" spans="1:12" s="2" customFormat="1" ht="24.95" customHeight="1" x14ac:dyDescent="0.25">
      <c r="A670" s="31" t="s">
        <v>1997</v>
      </c>
      <c r="B670" s="1" t="s">
        <v>1998</v>
      </c>
      <c r="C670" s="1" t="s">
        <v>1999</v>
      </c>
      <c r="D670" s="1" t="s">
        <v>13</v>
      </c>
      <c r="E670" s="3">
        <v>7427.24</v>
      </c>
      <c r="F670" s="3">
        <v>0</v>
      </c>
      <c r="G670" s="3">
        <v>0</v>
      </c>
      <c r="H670" s="3">
        <v>0</v>
      </c>
      <c r="I670" s="3">
        <v>0</v>
      </c>
      <c r="J670" s="1" t="s">
        <v>24</v>
      </c>
      <c r="K670" s="28"/>
      <c r="L670" s="28"/>
    </row>
    <row r="671" spans="1:12" s="2" customFormat="1" ht="24.95" customHeight="1" x14ac:dyDescent="0.25">
      <c r="A671" s="31" t="s">
        <v>2000</v>
      </c>
      <c r="B671" s="1" t="s">
        <v>2001</v>
      </c>
      <c r="C671" s="1" t="s">
        <v>2002</v>
      </c>
      <c r="D671" s="1" t="s">
        <v>13</v>
      </c>
      <c r="E671" s="3">
        <v>7314.14</v>
      </c>
      <c r="F671" s="3">
        <v>1920.88</v>
      </c>
      <c r="G671" s="3">
        <v>2651.31</v>
      </c>
      <c r="H671" s="3">
        <v>0</v>
      </c>
      <c r="I671" s="3">
        <v>0</v>
      </c>
      <c r="J671" s="1" t="s">
        <v>93</v>
      </c>
      <c r="K671" s="28"/>
      <c r="L671" s="28"/>
    </row>
    <row r="672" spans="1:12" s="2" customFormat="1" ht="24.95" customHeight="1" x14ac:dyDescent="0.25">
      <c r="A672" s="31" t="s">
        <v>2003</v>
      </c>
      <c r="B672" s="1" t="s">
        <v>2004</v>
      </c>
      <c r="C672" s="1" t="s">
        <v>2005</v>
      </c>
      <c r="D672" s="1" t="s">
        <v>23</v>
      </c>
      <c r="E672" s="3">
        <v>800.85</v>
      </c>
      <c r="F672" s="3">
        <v>0</v>
      </c>
      <c r="G672" s="3">
        <v>0</v>
      </c>
      <c r="H672" s="3">
        <v>858.97</v>
      </c>
      <c r="I672" s="3">
        <v>0</v>
      </c>
      <c r="J672" s="1" t="s">
        <v>79</v>
      </c>
      <c r="K672" s="28"/>
      <c r="L672" s="28"/>
    </row>
    <row r="673" spans="1:12" s="2" customFormat="1" ht="24.95" customHeight="1" x14ac:dyDescent="0.25">
      <c r="A673" s="31" t="s">
        <v>2006</v>
      </c>
      <c r="B673" s="1" t="s">
        <v>2007</v>
      </c>
      <c r="C673" s="1" t="s">
        <v>2008</v>
      </c>
      <c r="D673" s="1" t="s">
        <v>23</v>
      </c>
      <c r="E673" s="3">
        <v>0</v>
      </c>
      <c r="F673" s="3">
        <v>2483.41</v>
      </c>
      <c r="G673" s="3">
        <v>624.15</v>
      </c>
      <c r="H673" s="3">
        <v>0</v>
      </c>
      <c r="I673" s="3">
        <v>6546.78</v>
      </c>
      <c r="J673" s="1" t="s">
        <v>37</v>
      </c>
      <c r="K673" s="28"/>
      <c r="L673" s="28"/>
    </row>
    <row r="674" spans="1:12" s="2" customFormat="1" ht="24.95" customHeight="1" x14ac:dyDescent="0.25">
      <c r="A674" s="31" t="s">
        <v>2009</v>
      </c>
      <c r="B674" s="1" t="s">
        <v>2010</v>
      </c>
      <c r="C674" s="1" t="s">
        <v>2011</v>
      </c>
      <c r="D674" s="1" t="s">
        <v>3</v>
      </c>
      <c r="E674" s="3">
        <v>0</v>
      </c>
      <c r="F674" s="3">
        <v>0</v>
      </c>
      <c r="G674" s="3">
        <v>0</v>
      </c>
      <c r="H674" s="3">
        <v>7675.16</v>
      </c>
      <c r="I674" s="3">
        <v>0</v>
      </c>
      <c r="J674" s="1" t="s">
        <v>14</v>
      </c>
      <c r="K674" s="28"/>
      <c r="L674" s="28"/>
    </row>
    <row r="675" spans="1:12" s="2" customFormat="1" ht="24.95" customHeight="1" x14ac:dyDescent="0.25">
      <c r="A675" s="31" t="s">
        <v>2012</v>
      </c>
      <c r="B675" s="1" t="s">
        <v>2013</v>
      </c>
      <c r="C675" s="1" t="s">
        <v>2014</v>
      </c>
      <c r="D675" s="1" t="s">
        <v>8</v>
      </c>
      <c r="E675" s="3">
        <v>0</v>
      </c>
      <c r="F675" s="3">
        <v>0</v>
      </c>
      <c r="G675" s="3">
        <v>0</v>
      </c>
      <c r="H675" s="3">
        <v>1916.99</v>
      </c>
      <c r="I675" s="3">
        <v>1611.61</v>
      </c>
      <c r="J675" s="1" t="s">
        <v>19</v>
      </c>
      <c r="K675" s="28"/>
      <c r="L675" s="28"/>
    </row>
    <row r="676" spans="1:12" s="2" customFormat="1" ht="24.95" customHeight="1" x14ac:dyDescent="0.25">
      <c r="A676" s="31" t="s">
        <v>2015</v>
      </c>
      <c r="B676" s="1" t="s">
        <v>2016</v>
      </c>
      <c r="C676" s="1" t="s">
        <v>2017</v>
      </c>
      <c r="D676" s="1" t="s">
        <v>3</v>
      </c>
      <c r="E676" s="3">
        <v>0</v>
      </c>
      <c r="F676" s="3">
        <v>4410.6000000000004</v>
      </c>
      <c r="G676" s="3">
        <v>2283.8000000000002</v>
      </c>
      <c r="H676" s="3">
        <v>6692.03</v>
      </c>
      <c r="I676" s="3">
        <v>13871.99</v>
      </c>
      <c r="J676" s="1" t="s">
        <v>9</v>
      </c>
      <c r="K676" s="28"/>
      <c r="L676" s="28"/>
    </row>
    <row r="677" spans="1:12" s="2" customFormat="1" ht="24.95" customHeight="1" x14ac:dyDescent="0.25">
      <c r="A677" s="31" t="s">
        <v>2018</v>
      </c>
      <c r="B677" s="1" t="s">
        <v>2019</v>
      </c>
      <c r="C677" s="1" t="s">
        <v>2020</v>
      </c>
      <c r="D677" s="1" t="s">
        <v>8</v>
      </c>
      <c r="E677" s="3">
        <v>6040.56</v>
      </c>
      <c r="F677" s="3">
        <v>0</v>
      </c>
      <c r="G677" s="3">
        <v>0</v>
      </c>
      <c r="H677" s="3">
        <v>356.09</v>
      </c>
      <c r="I677" s="3">
        <v>13401.05</v>
      </c>
      <c r="J677" s="1" t="s">
        <v>79</v>
      </c>
      <c r="K677" s="28"/>
      <c r="L677" s="28"/>
    </row>
    <row r="678" spans="1:12" s="2" customFormat="1" ht="24.95" customHeight="1" x14ac:dyDescent="0.25">
      <c r="A678" s="31" t="s">
        <v>2021</v>
      </c>
      <c r="B678" s="1" t="s">
        <v>2022</v>
      </c>
      <c r="C678" s="1" t="s">
        <v>2023</v>
      </c>
      <c r="D678" s="1" t="s">
        <v>13</v>
      </c>
      <c r="E678" s="3">
        <v>0</v>
      </c>
      <c r="F678" s="3">
        <v>699.73</v>
      </c>
      <c r="G678" s="3">
        <v>127.2</v>
      </c>
      <c r="H678" s="3">
        <v>9688.4599999999991</v>
      </c>
      <c r="I678" s="3">
        <v>7490.07</v>
      </c>
      <c r="J678" s="1" t="s">
        <v>24</v>
      </c>
      <c r="K678" s="28"/>
      <c r="L678" s="28"/>
    </row>
    <row r="679" spans="1:12" s="2" customFormat="1" ht="24.95" customHeight="1" x14ac:dyDescent="0.25">
      <c r="A679" s="31" t="s">
        <v>2024</v>
      </c>
      <c r="B679" s="1" t="s">
        <v>2025</v>
      </c>
      <c r="C679" s="1" t="s">
        <v>2026</v>
      </c>
      <c r="D679" s="1" t="s">
        <v>3027</v>
      </c>
      <c r="E679" s="3">
        <v>7257.4</v>
      </c>
      <c r="F679" s="3">
        <v>1319.14</v>
      </c>
      <c r="G679" s="3">
        <v>0</v>
      </c>
      <c r="H679" s="3">
        <v>0</v>
      </c>
      <c r="I679" s="3">
        <v>0</v>
      </c>
      <c r="J679" s="1" t="s">
        <v>86</v>
      </c>
      <c r="K679" s="28"/>
      <c r="L679" s="28"/>
    </row>
    <row r="680" spans="1:12" s="2" customFormat="1" ht="24.95" customHeight="1" x14ac:dyDescent="0.25">
      <c r="A680" s="31" t="s">
        <v>2027</v>
      </c>
      <c r="B680" s="1" t="s">
        <v>2028</v>
      </c>
      <c r="C680" s="1" t="s">
        <v>2029</v>
      </c>
      <c r="D680" s="1" t="s">
        <v>8</v>
      </c>
      <c r="E680" s="3">
        <v>2646.74</v>
      </c>
      <c r="F680" s="3">
        <v>0</v>
      </c>
      <c r="G680" s="3">
        <v>0</v>
      </c>
      <c r="H680" s="3">
        <v>0</v>
      </c>
      <c r="I680" s="3">
        <v>4067.17</v>
      </c>
      <c r="J680" s="1" t="s">
        <v>19</v>
      </c>
      <c r="K680" s="28"/>
      <c r="L680" s="28"/>
    </row>
    <row r="681" spans="1:12" s="2" customFormat="1" ht="24.95" customHeight="1" x14ac:dyDescent="0.25">
      <c r="A681" s="31" t="s">
        <v>2030</v>
      </c>
      <c r="B681" s="1" t="s">
        <v>2031</v>
      </c>
      <c r="C681" s="1" t="s">
        <v>2032</v>
      </c>
      <c r="D681" s="1" t="s">
        <v>3027</v>
      </c>
      <c r="E681" s="3">
        <v>5474.87</v>
      </c>
      <c r="F681" s="3">
        <v>0</v>
      </c>
      <c r="G681" s="3">
        <v>639.76</v>
      </c>
      <c r="H681" s="3">
        <v>4147.95</v>
      </c>
      <c r="I681" s="3">
        <v>2037.77</v>
      </c>
      <c r="J681" s="1" t="s">
        <v>9</v>
      </c>
      <c r="K681" s="28"/>
      <c r="L681" s="28"/>
    </row>
    <row r="682" spans="1:12" s="2" customFormat="1" ht="24.95" customHeight="1" x14ac:dyDescent="0.25">
      <c r="A682" s="31" t="s">
        <v>2033</v>
      </c>
      <c r="B682" s="1" t="s">
        <v>2034</v>
      </c>
      <c r="C682" s="1" t="s">
        <v>2035</v>
      </c>
      <c r="D682" s="1" t="s">
        <v>3027</v>
      </c>
      <c r="E682" s="3">
        <v>1750.12</v>
      </c>
      <c r="F682" s="3">
        <v>1699.68</v>
      </c>
      <c r="G682" s="3">
        <v>0</v>
      </c>
      <c r="H682" s="3">
        <v>1233.45</v>
      </c>
      <c r="I682" s="3">
        <v>0</v>
      </c>
      <c r="J682" s="1" t="s">
        <v>4</v>
      </c>
      <c r="K682" s="28"/>
      <c r="L682" s="28"/>
    </row>
    <row r="683" spans="1:12" s="2" customFormat="1" ht="24.95" customHeight="1" x14ac:dyDescent="0.25">
      <c r="A683" s="31" t="s">
        <v>2036</v>
      </c>
      <c r="B683" s="1" t="s">
        <v>2037</v>
      </c>
      <c r="C683" s="1" t="s">
        <v>2038</v>
      </c>
      <c r="D683" s="1" t="s">
        <v>13</v>
      </c>
      <c r="E683" s="3">
        <v>0</v>
      </c>
      <c r="F683" s="3">
        <v>1687.01</v>
      </c>
      <c r="G683" s="3">
        <v>2306.81</v>
      </c>
      <c r="H683" s="3">
        <v>0</v>
      </c>
      <c r="I683" s="3">
        <v>0</v>
      </c>
      <c r="J683" s="1" t="s">
        <v>48</v>
      </c>
      <c r="K683" s="28"/>
      <c r="L683" s="28"/>
    </row>
    <row r="684" spans="1:12" s="2" customFormat="1" ht="24.95" customHeight="1" x14ac:dyDescent="0.25">
      <c r="A684" s="31" t="s">
        <v>2039</v>
      </c>
      <c r="B684" s="1" t="s">
        <v>2040</v>
      </c>
      <c r="C684" s="1" t="s">
        <v>2041</v>
      </c>
      <c r="D684" s="1" t="s">
        <v>23</v>
      </c>
      <c r="E684" s="3">
        <v>0</v>
      </c>
      <c r="F684" s="3">
        <v>0</v>
      </c>
      <c r="G684" s="3">
        <v>1321.72</v>
      </c>
      <c r="H684" s="3">
        <v>0</v>
      </c>
      <c r="I684" s="3">
        <v>0</v>
      </c>
      <c r="J684" s="1" t="s">
        <v>24</v>
      </c>
      <c r="K684" s="28"/>
      <c r="L684" s="28"/>
    </row>
    <row r="685" spans="1:12" s="2" customFormat="1" ht="24.95" customHeight="1" x14ac:dyDescent="0.25">
      <c r="A685" s="31" t="s">
        <v>2042</v>
      </c>
      <c r="B685" s="1" t="s">
        <v>2043</v>
      </c>
      <c r="C685" s="1" t="s">
        <v>2044</v>
      </c>
      <c r="D685" s="1" t="s">
        <v>18</v>
      </c>
      <c r="E685" s="3">
        <v>2113.33</v>
      </c>
      <c r="F685" s="3">
        <v>0</v>
      </c>
      <c r="G685" s="3">
        <v>0</v>
      </c>
      <c r="H685" s="3">
        <v>0</v>
      </c>
      <c r="I685" s="3">
        <v>13722.73</v>
      </c>
      <c r="J685" s="1" t="s">
        <v>86</v>
      </c>
      <c r="K685" s="28"/>
      <c r="L685" s="28"/>
    </row>
    <row r="686" spans="1:12" s="2" customFormat="1" ht="24.95" customHeight="1" x14ac:dyDescent="0.25">
      <c r="A686" s="31" t="s">
        <v>2045</v>
      </c>
      <c r="B686" s="1" t="s">
        <v>2046</v>
      </c>
      <c r="C686" s="1" t="s">
        <v>2047</v>
      </c>
      <c r="D686" s="1" t="s">
        <v>3027</v>
      </c>
      <c r="E686" s="3">
        <v>4474.46</v>
      </c>
      <c r="F686" s="3">
        <v>0</v>
      </c>
      <c r="G686" s="3">
        <v>0</v>
      </c>
      <c r="H686" s="3">
        <v>0</v>
      </c>
      <c r="I686" s="3">
        <v>14125.95</v>
      </c>
      <c r="J686" s="1" t="s">
        <v>106</v>
      </c>
      <c r="K686" s="28"/>
      <c r="L686" s="28"/>
    </row>
    <row r="687" spans="1:12" s="2" customFormat="1" ht="24.95" customHeight="1" x14ac:dyDescent="0.25">
      <c r="A687" s="31" t="s">
        <v>2048</v>
      </c>
      <c r="B687" s="1" t="s">
        <v>2049</v>
      </c>
      <c r="C687" s="1" t="s">
        <v>2050</v>
      </c>
      <c r="D687" s="1" t="s">
        <v>18</v>
      </c>
      <c r="E687" s="3">
        <v>0</v>
      </c>
      <c r="F687" s="3">
        <v>1650.22</v>
      </c>
      <c r="G687" s="3">
        <v>0</v>
      </c>
      <c r="H687" s="3">
        <v>8163.2</v>
      </c>
      <c r="I687" s="3">
        <v>403.68</v>
      </c>
      <c r="J687" s="1" t="s">
        <v>14</v>
      </c>
      <c r="K687" s="28"/>
      <c r="L687" s="28"/>
    </row>
    <row r="688" spans="1:12" s="2" customFormat="1" ht="24.95" customHeight="1" x14ac:dyDescent="0.25">
      <c r="A688" s="31" t="s">
        <v>2051</v>
      </c>
      <c r="B688" s="1" t="s">
        <v>2052</v>
      </c>
      <c r="C688" s="1" t="s">
        <v>2053</v>
      </c>
      <c r="D688" s="1" t="s">
        <v>3027</v>
      </c>
      <c r="E688" s="3">
        <v>0</v>
      </c>
      <c r="F688" s="3">
        <v>0</v>
      </c>
      <c r="G688" s="3">
        <v>563.95000000000005</v>
      </c>
      <c r="H688" s="3">
        <v>0</v>
      </c>
      <c r="I688" s="3">
        <v>3777.23</v>
      </c>
      <c r="J688" s="1" t="s">
        <v>19</v>
      </c>
      <c r="K688" s="28"/>
      <c r="L688" s="28"/>
    </row>
    <row r="689" spans="1:12" s="2" customFormat="1" ht="24.95" customHeight="1" x14ac:dyDescent="0.25">
      <c r="A689" s="31" t="s">
        <v>2054</v>
      </c>
      <c r="B689" s="1" t="s">
        <v>2055</v>
      </c>
      <c r="C689" s="1" t="s">
        <v>2056</v>
      </c>
      <c r="D689" s="1" t="s">
        <v>18</v>
      </c>
      <c r="E689" s="3">
        <v>4982.3900000000003</v>
      </c>
      <c r="F689" s="3">
        <v>0</v>
      </c>
      <c r="G689" s="3">
        <v>406.18</v>
      </c>
      <c r="H689" s="3">
        <v>9251.14</v>
      </c>
      <c r="I689" s="3">
        <v>1751.8</v>
      </c>
      <c r="J689" s="1" t="s">
        <v>41</v>
      </c>
      <c r="K689" s="28"/>
      <c r="L689" s="28"/>
    </row>
    <row r="690" spans="1:12" s="2" customFormat="1" ht="24.95" customHeight="1" x14ac:dyDescent="0.25">
      <c r="A690" s="31" t="s">
        <v>2057</v>
      </c>
      <c r="B690" s="1" t="s">
        <v>2058</v>
      </c>
      <c r="C690" s="1" t="s">
        <v>2059</v>
      </c>
      <c r="D690" s="1" t="s">
        <v>8</v>
      </c>
      <c r="E690" s="3">
        <v>0</v>
      </c>
      <c r="F690" s="3">
        <v>0</v>
      </c>
      <c r="G690" s="3">
        <v>2586.9499999999998</v>
      </c>
      <c r="H690" s="3">
        <v>3812.01</v>
      </c>
      <c r="I690" s="3">
        <v>13647.87</v>
      </c>
      <c r="J690" s="1" t="s">
        <v>106</v>
      </c>
      <c r="K690" s="28"/>
      <c r="L690" s="28"/>
    </row>
    <row r="691" spans="1:12" s="2" customFormat="1" ht="24.95" customHeight="1" x14ac:dyDescent="0.25">
      <c r="A691" s="31" t="s">
        <v>2060</v>
      </c>
      <c r="B691" s="1" t="s">
        <v>2061</v>
      </c>
      <c r="C691" s="1" t="s">
        <v>2062</v>
      </c>
      <c r="D691" s="1" t="s">
        <v>3027</v>
      </c>
      <c r="E691" s="3">
        <v>1896.01</v>
      </c>
      <c r="F691" s="3">
        <v>4746.33</v>
      </c>
      <c r="G691" s="3">
        <v>0</v>
      </c>
      <c r="H691" s="3">
        <v>0</v>
      </c>
      <c r="I691" s="3">
        <v>0</v>
      </c>
      <c r="J691" s="1" t="s">
        <v>14</v>
      </c>
      <c r="K691" s="28"/>
      <c r="L691" s="28"/>
    </row>
    <row r="692" spans="1:12" s="2" customFormat="1" ht="24.95" customHeight="1" x14ac:dyDescent="0.25">
      <c r="A692" s="31" t="s">
        <v>2063</v>
      </c>
      <c r="B692" s="1" t="s">
        <v>2064</v>
      </c>
      <c r="C692" s="1" t="s">
        <v>2065</v>
      </c>
      <c r="D692" s="1" t="s">
        <v>3</v>
      </c>
      <c r="E692" s="3">
        <v>7562.84</v>
      </c>
      <c r="F692" s="3">
        <v>618.61</v>
      </c>
      <c r="G692" s="3">
        <v>0</v>
      </c>
      <c r="H692" s="3">
        <v>9897.5499999999993</v>
      </c>
      <c r="I692" s="3">
        <v>0</v>
      </c>
      <c r="J692" s="1" t="s">
        <v>4</v>
      </c>
      <c r="K692" s="28"/>
      <c r="L692" s="28"/>
    </row>
    <row r="693" spans="1:12" s="2" customFormat="1" ht="24.95" customHeight="1" x14ac:dyDescent="0.25">
      <c r="A693" s="31" t="s">
        <v>2066</v>
      </c>
      <c r="B693" s="1" t="s">
        <v>2067</v>
      </c>
      <c r="C693" s="1" t="s">
        <v>2068</v>
      </c>
      <c r="D693" s="1" t="s">
        <v>8</v>
      </c>
      <c r="E693" s="3">
        <v>0</v>
      </c>
      <c r="F693" s="3">
        <v>0</v>
      </c>
      <c r="G693" s="3">
        <v>605.41</v>
      </c>
      <c r="H693" s="3">
        <v>7120.39</v>
      </c>
      <c r="I693" s="3">
        <v>0</v>
      </c>
      <c r="J693" s="1" t="s">
        <v>93</v>
      </c>
      <c r="K693" s="28"/>
      <c r="L693" s="28"/>
    </row>
    <row r="694" spans="1:12" s="2" customFormat="1" ht="24.95" customHeight="1" x14ac:dyDescent="0.25">
      <c r="A694" s="31" t="s">
        <v>2069</v>
      </c>
      <c r="B694" s="1" t="s">
        <v>2070</v>
      </c>
      <c r="C694" s="1" t="s">
        <v>2071</v>
      </c>
      <c r="D694" s="1" t="s">
        <v>13</v>
      </c>
      <c r="E694" s="3">
        <v>6721.69</v>
      </c>
      <c r="F694" s="3">
        <v>0</v>
      </c>
      <c r="G694" s="3">
        <v>0</v>
      </c>
      <c r="H694" s="3">
        <v>0</v>
      </c>
      <c r="I694" s="3">
        <v>2612.19</v>
      </c>
      <c r="J694" s="1" t="s">
        <v>48</v>
      </c>
      <c r="K694" s="28"/>
      <c r="L694" s="28"/>
    </row>
    <row r="695" spans="1:12" s="2" customFormat="1" ht="24.95" customHeight="1" x14ac:dyDescent="0.25">
      <c r="A695" s="31" t="s">
        <v>2072</v>
      </c>
      <c r="B695" s="1" t="s">
        <v>2073</v>
      </c>
      <c r="C695" s="1" t="s">
        <v>2074</v>
      </c>
      <c r="D695" s="1" t="s">
        <v>3027</v>
      </c>
      <c r="E695" s="3">
        <v>0</v>
      </c>
      <c r="F695" s="3">
        <v>0</v>
      </c>
      <c r="G695" s="3">
        <v>1811.1</v>
      </c>
      <c r="H695" s="3">
        <v>7402.34</v>
      </c>
      <c r="I695" s="3">
        <v>4639.3999999999996</v>
      </c>
      <c r="J695" s="1" t="s">
        <v>37</v>
      </c>
      <c r="K695" s="28"/>
      <c r="L695" s="28"/>
    </row>
    <row r="696" spans="1:12" s="2" customFormat="1" ht="24.95" customHeight="1" x14ac:dyDescent="0.25">
      <c r="A696" s="31" t="s">
        <v>2075</v>
      </c>
      <c r="B696" s="1" t="s">
        <v>2076</v>
      </c>
      <c r="C696" s="1" t="s">
        <v>2077</v>
      </c>
      <c r="D696" s="1" t="s">
        <v>13</v>
      </c>
      <c r="E696" s="3">
        <v>379.34</v>
      </c>
      <c r="F696" s="3">
        <v>2276.19</v>
      </c>
      <c r="G696" s="3">
        <v>1870.16</v>
      </c>
      <c r="H696" s="3">
        <v>0</v>
      </c>
      <c r="I696" s="3">
        <v>12524.05</v>
      </c>
      <c r="J696" s="1" t="s">
        <v>48</v>
      </c>
      <c r="K696" s="28"/>
      <c r="L696" s="28"/>
    </row>
    <row r="697" spans="1:12" s="2" customFormat="1" ht="24.95" customHeight="1" x14ac:dyDescent="0.25">
      <c r="A697" s="31" t="s">
        <v>2078</v>
      </c>
      <c r="B697" s="1" t="s">
        <v>2079</v>
      </c>
      <c r="C697" s="1" t="s">
        <v>2080</v>
      </c>
      <c r="D697" s="1" t="s">
        <v>8</v>
      </c>
      <c r="E697" s="3">
        <v>0</v>
      </c>
      <c r="F697" s="3">
        <v>3281.78</v>
      </c>
      <c r="G697" s="3">
        <v>1225.72</v>
      </c>
      <c r="H697" s="3">
        <v>0</v>
      </c>
      <c r="I697" s="3">
        <v>8398.65</v>
      </c>
      <c r="J697" s="1" t="s">
        <v>86</v>
      </c>
      <c r="K697" s="28"/>
      <c r="L697" s="28"/>
    </row>
    <row r="698" spans="1:12" s="2" customFormat="1" ht="24.95" customHeight="1" x14ac:dyDescent="0.25">
      <c r="A698" s="31" t="s">
        <v>2081</v>
      </c>
      <c r="B698" s="1" t="s">
        <v>2082</v>
      </c>
      <c r="C698" s="1" t="s">
        <v>2083</v>
      </c>
      <c r="D698" s="1" t="s">
        <v>3027</v>
      </c>
      <c r="E698" s="3">
        <v>3457.9</v>
      </c>
      <c r="F698" s="3">
        <v>2874.15</v>
      </c>
      <c r="G698" s="3">
        <v>0</v>
      </c>
      <c r="H698" s="3">
        <v>11587.22</v>
      </c>
      <c r="I698" s="3">
        <v>288.11</v>
      </c>
      <c r="J698" s="1" t="s">
        <v>9</v>
      </c>
      <c r="K698" s="28"/>
      <c r="L698" s="28"/>
    </row>
    <row r="699" spans="1:12" s="2" customFormat="1" ht="24.95" customHeight="1" x14ac:dyDescent="0.25">
      <c r="A699" s="31" t="s">
        <v>2084</v>
      </c>
      <c r="B699" s="1" t="s">
        <v>2085</v>
      </c>
      <c r="C699" s="1" t="s">
        <v>2086</v>
      </c>
      <c r="D699" s="1" t="s">
        <v>3</v>
      </c>
      <c r="E699" s="3">
        <v>0</v>
      </c>
      <c r="F699" s="3">
        <v>0</v>
      </c>
      <c r="G699" s="3">
        <v>2219.1</v>
      </c>
      <c r="H699" s="3">
        <v>7649.7</v>
      </c>
      <c r="I699" s="3">
        <v>0</v>
      </c>
      <c r="J699" s="1" t="s">
        <v>37</v>
      </c>
      <c r="K699" s="28"/>
      <c r="L699" s="28"/>
    </row>
    <row r="700" spans="1:12" s="2" customFormat="1" ht="24.95" customHeight="1" x14ac:dyDescent="0.25">
      <c r="A700" s="31" t="s">
        <v>2087</v>
      </c>
      <c r="B700" s="1" t="s">
        <v>2088</v>
      </c>
      <c r="C700" s="1" t="s">
        <v>2089</v>
      </c>
      <c r="D700" s="1" t="s">
        <v>8</v>
      </c>
      <c r="E700" s="3">
        <v>0</v>
      </c>
      <c r="F700" s="3">
        <v>0</v>
      </c>
      <c r="G700" s="3">
        <v>748.42</v>
      </c>
      <c r="H700" s="3">
        <v>7427</v>
      </c>
      <c r="I700" s="3">
        <v>5922.03</v>
      </c>
      <c r="J700" s="1" t="s">
        <v>41</v>
      </c>
      <c r="K700" s="28"/>
      <c r="L700" s="28"/>
    </row>
    <row r="701" spans="1:12" s="2" customFormat="1" ht="24.95" customHeight="1" x14ac:dyDescent="0.25">
      <c r="A701" s="31" t="s">
        <v>2090</v>
      </c>
      <c r="B701" s="1" t="s">
        <v>2091</v>
      </c>
      <c r="C701" s="1" t="s">
        <v>2092</v>
      </c>
      <c r="D701" s="1" t="s">
        <v>18</v>
      </c>
      <c r="E701" s="3">
        <v>258.98</v>
      </c>
      <c r="F701" s="3">
        <v>2841.43</v>
      </c>
      <c r="G701" s="3">
        <v>871.62</v>
      </c>
      <c r="H701" s="3">
        <v>5608.48</v>
      </c>
      <c r="I701" s="3">
        <v>0</v>
      </c>
      <c r="J701" s="1" t="s">
        <v>79</v>
      </c>
      <c r="K701" s="28"/>
      <c r="L701" s="28"/>
    </row>
    <row r="702" spans="1:12" s="2" customFormat="1" ht="24.95" customHeight="1" x14ac:dyDescent="0.25">
      <c r="A702" s="31" t="s">
        <v>2093</v>
      </c>
      <c r="B702" s="1" t="s">
        <v>2094</v>
      </c>
      <c r="C702" s="1" t="s">
        <v>2095</v>
      </c>
      <c r="D702" s="1" t="s">
        <v>13</v>
      </c>
      <c r="E702" s="3">
        <v>6206.69</v>
      </c>
      <c r="F702" s="3">
        <v>0</v>
      </c>
      <c r="G702" s="3">
        <v>1965.05</v>
      </c>
      <c r="H702" s="3">
        <v>0</v>
      </c>
      <c r="I702" s="3">
        <v>4567.28</v>
      </c>
      <c r="J702" s="1" t="s">
        <v>9</v>
      </c>
      <c r="K702" s="28"/>
      <c r="L702" s="28"/>
    </row>
    <row r="703" spans="1:12" s="2" customFormat="1" ht="24.95" customHeight="1" x14ac:dyDescent="0.25">
      <c r="A703" s="31" t="s">
        <v>2096</v>
      </c>
      <c r="B703" s="1" t="s">
        <v>2097</v>
      </c>
      <c r="C703" s="1" t="s">
        <v>2098</v>
      </c>
      <c r="D703" s="1" t="s">
        <v>13</v>
      </c>
      <c r="E703" s="3">
        <v>7328.43</v>
      </c>
      <c r="F703" s="3">
        <v>0</v>
      </c>
      <c r="G703" s="3">
        <v>0</v>
      </c>
      <c r="H703" s="3">
        <v>6148.2</v>
      </c>
      <c r="I703" s="3">
        <v>1708.04</v>
      </c>
      <c r="J703" s="1" t="s">
        <v>9</v>
      </c>
      <c r="K703" s="28"/>
      <c r="L703" s="28"/>
    </row>
    <row r="704" spans="1:12" s="2" customFormat="1" ht="24.95" customHeight="1" x14ac:dyDescent="0.25">
      <c r="A704" s="31" t="s">
        <v>2099</v>
      </c>
      <c r="B704" s="1" t="s">
        <v>2100</v>
      </c>
      <c r="C704" s="1" t="s">
        <v>2101</v>
      </c>
      <c r="D704" s="1" t="s">
        <v>3</v>
      </c>
      <c r="E704" s="3">
        <v>0</v>
      </c>
      <c r="F704" s="3">
        <v>0</v>
      </c>
      <c r="G704" s="3">
        <v>1322.71</v>
      </c>
      <c r="H704" s="3">
        <v>0</v>
      </c>
      <c r="I704" s="3">
        <v>6469.61</v>
      </c>
      <c r="J704" s="1" t="s">
        <v>37</v>
      </c>
      <c r="K704" s="28"/>
      <c r="L704" s="28"/>
    </row>
    <row r="705" spans="1:12" s="2" customFormat="1" ht="24.95" customHeight="1" x14ac:dyDescent="0.25">
      <c r="A705" s="31" t="s">
        <v>2102</v>
      </c>
      <c r="B705" s="1" t="s">
        <v>2103</v>
      </c>
      <c r="C705" s="1" t="s">
        <v>2104</v>
      </c>
      <c r="D705" s="1" t="s">
        <v>23</v>
      </c>
      <c r="E705" s="3">
        <v>2861.86</v>
      </c>
      <c r="F705" s="3">
        <v>4642.7</v>
      </c>
      <c r="G705" s="3">
        <v>0</v>
      </c>
      <c r="H705" s="3">
        <v>0</v>
      </c>
      <c r="I705" s="3">
        <v>5901.57</v>
      </c>
      <c r="J705" s="1" t="s">
        <v>86</v>
      </c>
      <c r="K705" s="28"/>
      <c r="L705" s="28"/>
    </row>
    <row r="706" spans="1:12" s="2" customFormat="1" ht="24.95" customHeight="1" x14ac:dyDescent="0.25">
      <c r="A706" s="31" t="s">
        <v>2105</v>
      </c>
      <c r="B706" s="1" t="s">
        <v>2106</v>
      </c>
      <c r="C706" s="1" t="s">
        <v>2107</v>
      </c>
      <c r="D706" s="1" t="s">
        <v>23</v>
      </c>
      <c r="E706" s="3">
        <v>0</v>
      </c>
      <c r="F706" s="3">
        <v>846.91</v>
      </c>
      <c r="G706" s="3">
        <v>0</v>
      </c>
      <c r="H706" s="3">
        <v>0</v>
      </c>
      <c r="I706" s="3">
        <v>0</v>
      </c>
      <c r="J706" s="1" t="s">
        <v>24</v>
      </c>
      <c r="K706" s="28"/>
      <c r="L706" s="28"/>
    </row>
    <row r="707" spans="1:12" s="2" customFormat="1" ht="24.95" customHeight="1" x14ac:dyDescent="0.25">
      <c r="A707" s="31" t="s">
        <v>2108</v>
      </c>
      <c r="B707" s="1" t="s">
        <v>2109</v>
      </c>
      <c r="C707" s="1" t="s">
        <v>2110</v>
      </c>
      <c r="D707" s="1" t="s">
        <v>23</v>
      </c>
      <c r="E707" s="3">
        <v>4358.53</v>
      </c>
      <c r="F707" s="3">
        <v>0</v>
      </c>
      <c r="G707" s="3">
        <v>0</v>
      </c>
      <c r="H707" s="3">
        <v>0</v>
      </c>
      <c r="I707" s="3">
        <v>14677.41</v>
      </c>
      <c r="J707" s="1" t="s">
        <v>37</v>
      </c>
      <c r="K707" s="28"/>
      <c r="L707" s="28"/>
    </row>
    <row r="708" spans="1:12" s="2" customFormat="1" ht="24.95" customHeight="1" x14ac:dyDescent="0.25">
      <c r="A708" s="31" t="s">
        <v>2111</v>
      </c>
      <c r="B708" s="1" t="s">
        <v>2112</v>
      </c>
      <c r="C708" s="1" t="s">
        <v>2113</v>
      </c>
      <c r="D708" s="1" t="s">
        <v>8</v>
      </c>
      <c r="E708" s="3">
        <v>0</v>
      </c>
      <c r="F708" s="3">
        <v>919.88</v>
      </c>
      <c r="G708" s="3">
        <v>2090.75</v>
      </c>
      <c r="H708" s="3">
        <v>0</v>
      </c>
      <c r="I708" s="3">
        <v>6709.57</v>
      </c>
      <c r="J708" s="1" t="s">
        <v>79</v>
      </c>
      <c r="K708" s="28"/>
      <c r="L708" s="28"/>
    </row>
    <row r="709" spans="1:12" s="2" customFormat="1" ht="24.95" customHeight="1" x14ac:dyDescent="0.25">
      <c r="A709" s="31" t="s">
        <v>2114</v>
      </c>
      <c r="B709" s="1" t="s">
        <v>2115</v>
      </c>
      <c r="C709" s="1" t="s">
        <v>2116</v>
      </c>
      <c r="D709" s="1" t="s">
        <v>13</v>
      </c>
      <c r="E709" s="3">
        <v>0</v>
      </c>
      <c r="F709" s="3">
        <v>429.55</v>
      </c>
      <c r="G709" s="3">
        <v>1609.37</v>
      </c>
      <c r="H709" s="3">
        <v>0</v>
      </c>
      <c r="I709" s="3">
        <v>13188.94</v>
      </c>
      <c r="J709" s="1" t="s">
        <v>14</v>
      </c>
      <c r="K709" s="28"/>
      <c r="L709" s="28"/>
    </row>
    <row r="710" spans="1:12" s="2" customFormat="1" ht="24.95" customHeight="1" x14ac:dyDescent="0.25">
      <c r="A710" s="31" t="s">
        <v>2117</v>
      </c>
      <c r="B710" s="1" t="s">
        <v>2118</v>
      </c>
      <c r="C710" s="1" t="s">
        <v>2119</v>
      </c>
      <c r="D710" s="1" t="s">
        <v>13</v>
      </c>
      <c r="E710" s="3">
        <v>0</v>
      </c>
      <c r="F710" s="3">
        <v>1238.9100000000001</v>
      </c>
      <c r="G710" s="3">
        <v>0</v>
      </c>
      <c r="H710" s="3">
        <v>0</v>
      </c>
      <c r="I710" s="3">
        <v>1612.93</v>
      </c>
      <c r="J710" s="1" t="s">
        <v>19</v>
      </c>
      <c r="K710" s="28"/>
      <c r="L710" s="28"/>
    </row>
    <row r="711" spans="1:12" s="2" customFormat="1" ht="24.95" customHeight="1" x14ac:dyDescent="0.25">
      <c r="A711" s="31" t="s">
        <v>2120</v>
      </c>
      <c r="B711" s="1" t="s">
        <v>2121</v>
      </c>
      <c r="C711" s="1" t="s">
        <v>2122</v>
      </c>
      <c r="D711" s="1" t="s">
        <v>3</v>
      </c>
      <c r="E711" s="3">
        <v>0</v>
      </c>
      <c r="F711" s="3">
        <v>0</v>
      </c>
      <c r="G711" s="3">
        <v>1414.9</v>
      </c>
      <c r="H711" s="3">
        <v>0</v>
      </c>
      <c r="I711" s="3">
        <v>0</v>
      </c>
      <c r="J711" s="1" t="s">
        <v>4</v>
      </c>
      <c r="K711" s="28"/>
      <c r="L711" s="28"/>
    </row>
    <row r="712" spans="1:12" s="2" customFormat="1" ht="24.95" customHeight="1" x14ac:dyDescent="0.25">
      <c r="A712" s="31" t="s">
        <v>2123</v>
      </c>
      <c r="B712" s="1" t="s">
        <v>2124</v>
      </c>
      <c r="C712" s="1" t="s">
        <v>2125</v>
      </c>
      <c r="D712" s="1" t="s">
        <v>23</v>
      </c>
      <c r="E712" s="3">
        <v>2942.21</v>
      </c>
      <c r="F712" s="3">
        <v>2138.04</v>
      </c>
      <c r="G712" s="3">
        <v>0</v>
      </c>
      <c r="H712" s="3">
        <v>0</v>
      </c>
      <c r="I712" s="3">
        <v>4674.8100000000004</v>
      </c>
      <c r="J712" s="1" t="s">
        <v>14</v>
      </c>
      <c r="K712" s="28"/>
      <c r="L712" s="28"/>
    </row>
    <row r="713" spans="1:12" s="2" customFormat="1" ht="24.95" customHeight="1" x14ac:dyDescent="0.25">
      <c r="A713" s="31" t="s">
        <v>2126</v>
      </c>
      <c r="B713" s="1" t="s">
        <v>2127</v>
      </c>
      <c r="C713" s="1" t="s">
        <v>2128</v>
      </c>
      <c r="D713" s="1" t="s">
        <v>3</v>
      </c>
      <c r="E713" s="3">
        <v>0</v>
      </c>
      <c r="F713" s="3">
        <v>1202.6400000000001</v>
      </c>
      <c r="G713" s="3">
        <v>0</v>
      </c>
      <c r="H713" s="3">
        <v>0</v>
      </c>
      <c r="I713" s="3">
        <v>7176.43</v>
      </c>
      <c r="J713" s="1" t="s">
        <v>9</v>
      </c>
      <c r="K713" s="28"/>
      <c r="L713" s="28"/>
    </row>
    <row r="714" spans="1:12" s="2" customFormat="1" ht="24.95" customHeight="1" x14ac:dyDescent="0.25">
      <c r="A714" s="31" t="s">
        <v>2129</v>
      </c>
      <c r="B714" s="1" t="s">
        <v>2130</v>
      </c>
      <c r="C714" s="1" t="s">
        <v>2131</v>
      </c>
      <c r="D714" s="1" t="s">
        <v>13</v>
      </c>
      <c r="E714" s="3">
        <v>0</v>
      </c>
      <c r="F714" s="3">
        <v>0</v>
      </c>
      <c r="G714" s="3">
        <v>0</v>
      </c>
      <c r="H714" s="3">
        <v>6025.64</v>
      </c>
      <c r="I714" s="3">
        <v>0</v>
      </c>
      <c r="J714" s="1" t="s">
        <v>106</v>
      </c>
      <c r="K714" s="28"/>
      <c r="L714" s="28"/>
    </row>
    <row r="715" spans="1:12" s="2" customFormat="1" ht="24.95" customHeight="1" x14ac:dyDescent="0.25">
      <c r="A715" s="31" t="s">
        <v>2132</v>
      </c>
      <c r="B715" s="1" t="s">
        <v>2133</v>
      </c>
      <c r="C715" s="1" t="s">
        <v>2134</v>
      </c>
      <c r="D715" s="1" t="s">
        <v>23</v>
      </c>
      <c r="E715" s="3">
        <v>0</v>
      </c>
      <c r="F715" s="3">
        <v>2374.66</v>
      </c>
      <c r="G715" s="3">
        <v>0</v>
      </c>
      <c r="H715" s="3">
        <v>10237.120000000001</v>
      </c>
      <c r="I715" s="3">
        <v>0</v>
      </c>
      <c r="J715" s="1" t="s">
        <v>19</v>
      </c>
      <c r="K715" s="28"/>
      <c r="L715" s="28"/>
    </row>
    <row r="716" spans="1:12" s="2" customFormat="1" ht="24.95" customHeight="1" x14ac:dyDescent="0.25">
      <c r="A716" s="31" t="s">
        <v>2135</v>
      </c>
      <c r="B716" s="1" t="s">
        <v>2136</v>
      </c>
      <c r="C716" s="1" t="s">
        <v>2137</v>
      </c>
      <c r="D716" s="1" t="s">
        <v>8</v>
      </c>
      <c r="E716" s="3">
        <v>0</v>
      </c>
      <c r="F716" s="3">
        <v>0</v>
      </c>
      <c r="G716" s="3">
        <v>1481.47</v>
      </c>
      <c r="H716" s="3">
        <v>3995.26</v>
      </c>
      <c r="I716" s="3">
        <v>11392.07</v>
      </c>
      <c r="J716" s="1" t="s">
        <v>14</v>
      </c>
      <c r="K716" s="28"/>
      <c r="L716" s="28"/>
    </row>
    <row r="717" spans="1:12" s="2" customFormat="1" ht="24.95" customHeight="1" x14ac:dyDescent="0.25">
      <c r="A717" s="31" t="s">
        <v>2138</v>
      </c>
      <c r="B717" s="1" t="s">
        <v>2139</v>
      </c>
      <c r="C717" s="1" t="s">
        <v>2140</v>
      </c>
      <c r="D717" s="1" t="s">
        <v>8</v>
      </c>
      <c r="E717" s="3">
        <v>0</v>
      </c>
      <c r="F717" s="3">
        <v>2684.46</v>
      </c>
      <c r="G717" s="3">
        <v>509.98</v>
      </c>
      <c r="H717" s="3">
        <v>0</v>
      </c>
      <c r="I717" s="3">
        <v>4543.21</v>
      </c>
      <c r="J717" s="1" t="s">
        <v>106</v>
      </c>
      <c r="K717" s="28"/>
      <c r="L717" s="28"/>
    </row>
    <row r="718" spans="1:12" s="2" customFormat="1" ht="24.95" customHeight="1" x14ac:dyDescent="0.25">
      <c r="A718" s="31" t="s">
        <v>2141</v>
      </c>
      <c r="B718" s="1" t="s">
        <v>2142</v>
      </c>
      <c r="C718" s="1" t="s">
        <v>2143</v>
      </c>
      <c r="D718" s="1" t="s">
        <v>8</v>
      </c>
      <c r="E718" s="3">
        <v>233.87</v>
      </c>
      <c r="F718" s="3">
        <v>0</v>
      </c>
      <c r="G718" s="3">
        <v>430.48</v>
      </c>
      <c r="H718" s="3">
        <v>0</v>
      </c>
      <c r="I718" s="3">
        <v>9167.58</v>
      </c>
      <c r="J718" s="1" t="s">
        <v>19</v>
      </c>
      <c r="K718" s="28"/>
      <c r="L718" s="28"/>
    </row>
    <row r="719" spans="1:12" s="2" customFormat="1" ht="24.95" customHeight="1" x14ac:dyDescent="0.25">
      <c r="A719" s="31" t="s">
        <v>2144</v>
      </c>
      <c r="B719" s="1" t="s">
        <v>2145</v>
      </c>
      <c r="C719" s="1" t="s">
        <v>2146</v>
      </c>
      <c r="D719" s="1" t="s">
        <v>18</v>
      </c>
      <c r="E719" s="3">
        <v>6645.81</v>
      </c>
      <c r="F719" s="3">
        <v>0</v>
      </c>
      <c r="G719" s="3">
        <v>0</v>
      </c>
      <c r="H719" s="3">
        <v>700.14</v>
      </c>
      <c r="I719" s="3">
        <v>0</v>
      </c>
      <c r="J719" s="1" t="s">
        <v>106</v>
      </c>
      <c r="K719" s="28"/>
      <c r="L719" s="28"/>
    </row>
    <row r="720" spans="1:12" s="2" customFormat="1" ht="24.95" customHeight="1" x14ac:dyDescent="0.25">
      <c r="A720" s="31" t="s">
        <v>2147</v>
      </c>
      <c r="B720" s="1" t="s">
        <v>2148</v>
      </c>
      <c r="C720" s="1" t="s">
        <v>2149</v>
      </c>
      <c r="D720" s="1" t="s">
        <v>3</v>
      </c>
      <c r="E720" s="3">
        <v>1221.44</v>
      </c>
      <c r="F720" s="3">
        <v>0</v>
      </c>
      <c r="G720" s="3">
        <v>0</v>
      </c>
      <c r="H720" s="3">
        <v>0</v>
      </c>
      <c r="I720" s="3">
        <v>0</v>
      </c>
      <c r="J720" s="1" t="s">
        <v>48</v>
      </c>
      <c r="K720" s="28"/>
      <c r="L720" s="28"/>
    </row>
    <row r="721" spans="1:12" s="2" customFormat="1" ht="24.95" customHeight="1" x14ac:dyDescent="0.25">
      <c r="A721" s="31" t="s">
        <v>2150</v>
      </c>
      <c r="B721" s="1" t="s">
        <v>2151</v>
      </c>
      <c r="C721" s="1" t="s">
        <v>2152</v>
      </c>
      <c r="D721" s="1" t="s">
        <v>23</v>
      </c>
      <c r="E721" s="3">
        <v>0</v>
      </c>
      <c r="F721" s="3">
        <v>0</v>
      </c>
      <c r="G721" s="3">
        <v>0</v>
      </c>
      <c r="H721" s="3">
        <v>0</v>
      </c>
      <c r="I721" s="3">
        <v>4833.12</v>
      </c>
      <c r="J721" s="1" t="s">
        <v>14</v>
      </c>
      <c r="K721" s="28"/>
      <c r="L721" s="28"/>
    </row>
    <row r="722" spans="1:12" s="2" customFormat="1" ht="24.95" customHeight="1" x14ac:dyDescent="0.25">
      <c r="A722" s="31" t="s">
        <v>2153</v>
      </c>
      <c r="B722" s="1" t="s">
        <v>2154</v>
      </c>
      <c r="C722" s="1" t="s">
        <v>2155</v>
      </c>
      <c r="D722" s="1" t="s">
        <v>3</v>
      </c>
      <c r="E722" s="3">
        <v>0</v>
      </c>
      <c r="F722" s="3">
        <v>3680.38</v>
      </c>
      <c r="G722" s="3">
        <v>840.64</v>
      </c>
      <c r="H722" s="3">
        <v>4859.42</v>
      </c>
      <c r="I722" s="3">
        <v>11096.49</v>
      </c>
      <c r="J722" s="1" t="s">
        <v>37</v>
      </c>
      <c r="K722" s="28"/>
      <c r="L722" s="28"/>
    </row>
    <row r="723" spans="1:12" s="2" customFormat="1" ht="24.95" customHeight="1" x14ac:dyDescent="0.25">
      <c r="A723" s="31" t="s">
        <v>2156</v>
      </c>
      <c r="B723" s="1" t="s">
        <v>2157</v>
      </c>
      <c r="C723" s="1" t="s">
        <v>2158</v>
      </c>
      <c r="D723" s="1" t="s">
        <v>23</v>
      </c>
      <c r="E723" s="3">
        <v>5217.1499999999996</v>
      </c>
      <c r="F723" s="3">
        <v>0</v>
      </c>
      <c r="G723" s="3">
        <v>0</v>
      </c>
      <c r="H723" s="3">
        <v>0</v>
      </c>
      <c r="I723" s="3">
        <v>6011.83</v>
      </c>
      <c r="J723" s="1" t="s">
        <v>19</v>
      </c>
      <c r="K723" s="28"/>
      <c r="L723" s="28"/>
    </row>
    <row r="724" spans="1:12" s="2" customFormat="1" ht="24.95" customHeight="1" x14ac:dyDescent="0.25">
      <c r="A724" s="31" t="s">
        <v>2159</v>
      </c>
      <c r="B724" s="1" t="s">
        <v>2160</v>
      </c>
      <c r="C724" s="1" t="s">
        <v>2161</v>
      </c>
      <c r="D724" s="1" t="s">
        <v>23</v>
      </c>
      <c r="E724" s="3">
        <v>0</v>
      </c>
      <c r="F724" s="3">
        <v>1871.77</v>
      </c>
      <c r="G724" s="3">
        <v>0</v>
      </c>
      <c r="H724" s="3">
        <v>0</v>
      </c>
      <c r="I724" s="3">
        <v>0</v>
      </c>
      <c r="J724" s="1" t="s">
        <v>93</v>
      </c>
      <c r="K724" s="28"/>
      <c r="L724" s="28"/>
    </row>
    <row r="725" spans="1:12" s="2" customFormat="1" ht="24.95" customHeight="1" x14ac:dyDescent="0.25">
      <c r="A725" s="31" t="s">
        <v>2162</v>
      </c>
      <c r="B725" s="1" t="s">
        <v>2163</v>
      </c>
      <c r="C725" s="1" t="s">
        <v>2164</v>
      </c>
      <c r="D725" s="1" t="s">
        <v>3027</v>
      </c>
      <c r="E725" s="3">
        <v>0</v>
      </c>
      <c r="F725" s="3">
        <v>0</v>
      </c>
      <c r="G725" s="3">
        <v>0</v>
      </c>
      <c r="H725" s="3">
        <v>9949.24</v>
      </c>
      <c r="I725" s="3">
        <v>0</v>
      </c>
      <c r="J725" s="1" t="s">
        <v>93</v>
      </c>
      <c r="K725" s="28"/>
      <c r="L725" s="28"/>
    </row>
    <row r="726" spans="1:12" s="2" customFormat="1" ht="24.95" customHeight="1" x14ac:dyDescent="0.25">
      <c r="A726" s="31" t="s">
        <v>2165</v>
      </c>
      <c r="B726" s="1" t="s">
        <v>2166</v>
      </c>
      <c r="C726" s="1" t="s">
        <v>2167</v>
      </c>
      <c r="D726" s="1" t="s">
        <v>8</v>
      </c>
      <c r="E726" s="3">
        <v>5667.96</v>
      </c>
      <c r="F726" s="3">
        <v>4687.04</v>
      </c>
      <c r="G726" s="3">
        <v>1615.62</v>
      </c>
      <c r="H726" s="3">
        <v>0</v>
      </c>
      <c r="I726" s="3">
        <v>0</v>
      </c>
      <c r="J726" s="1" t="s">
        <v>37</v>
      </c>
      <c r="K726" s="28"/>
      <c r="L726" s="28"/>
    </row>
    <row r="727" spans="1:12" s="2" customFormat="1" ht="24.95" customHeight="1" x14ac:dyDescent="0.25">
      <c r="A727" s="31" t="s">
        <v>2168</v>
      </c>
      <c r="B727" s="1" t="s">
        <v>2169</v>
      </c>
      <c r="C727" s="1" t="s">
        <v>2170</v>
      </c>
      <c r="D727" s="1" t="s">
        <v>8</v>
      </c>
      <c r="E727" s="3">
        <v>1716.58</v>
      </c>
      <c r="F727" s="3">
        <v>4507.9399999999996</v>
      </c>
      <c r="G727" s="3">
        <v>911.7</v>
      </c>
      <c r="H727" s="3">
        <v>0</v>
      </c>
      <c r="I727" s="3">
        <v>0</v>
      </c>
      <c r="J727" s="1" t="s">
        <v>19</v>
      </c>
      <c r="K727" s="28"/>
      <c r="L727" s="28"/>
    </row>
    <row r="728" spans="1:12" s="2" customFormat="1" ht="24.95" customHeight="1" x14ac:dyDescent="0.25">
      <c r="A728" s="31" t="s">
        <v>2171</v>
      </c>
      <c r="B728" s="1" t="s">
        <v>2172</v>
      </c>
      <c r="C728" s="1" t="s">
        <v>2173</v>
      </c>
      <c r="D728" s="1" t="s">
        <v>3027</v>
      </c>
      <c r="E728" s="3">
        <v>0</v>
      </c>
      <c r="F728" s="3">
        <v>0</v>
      </c>
      <c r="G728" s="3">
        <v>4090.68</v>
      </c>
      <c r="H728" s="3">
        <v>0</v>
      </c>
      <c r="I728" s="3">
        <v>0</v>
      </c>
      <c r="J728" s="1" t="s">
        <v>106</v>
      </c>
      <c r="K728" s="28"/>
      <c r="L728" s="28"/>
    </row>
    <row r="729" spans="1:12" s="2" customFormat="1" ht="24.95" customHeight="1" x14ac:dyDescent="0.25">
      <c r="A729" s="31" t="s">
        <v>2174</v>
      </c>
      <c r="B729" s="1" t="s">
        <v>2175</v>
      </c>
      <c r="C729" s="1" t="s">
        <v>2176</v>
      </c>
      <c r="D729" s="1" t="s">
        <v>3</v>
      </c>
      <c r="E729" s="3">
        <v>7340.06</v>
      </c>
      <c r="F729" s="3">
        <v>0</v>
      </c>
      <c r="G729" s="3">
        <v>0</v>
      </c>
      <c r="H729" s="3">
        <v>0</v>
      </c>
      <c r="I729" s="3">
        <v>0</v>
      </c>
      <c r="J729" s="1" t="s">
        <v>86</v>
      </c>
      <c r="K729" s="28"/>
      <c r="L729" s="28"/>
    </row>
    <row r="730" spans="1:12" s="2" customFormat="1" ht="24.95" customHeight="1" x14ac:dyDescent="0.25">
      <c r="A730" s="31" t="s">
        <v>2177</v>
      </c>
      <c r="B730" s="1" t="s">
        <v>2178</v>
      </c>
      <c r="C730" s="1" t="s">
        <v>2179</v>
      </c>
      <c r="D730" s="1" t="s">
        <v>23</v>
      </c>
      <c r="E730" s="3">
        <v>0</v>
      </c>
      <c r="F730" s="3">
        <v>0</v>
      </c>
      <c r="G730" s="3">
        <v>2207.3000000000002</v>
      </c>
      <c r="H730" s="3">
        <v>5519.15</v>
      </c>
      <c r="I730" s="3">
        <v>0</v>
      </c>
      <c r="J730" s="1" t="s">
        <v>19</v>
      </c>
      <c r="K730" s="28"/>
      <c r="L730" s="28"/>
    </row>
    <row r="731" spans="1:12" s="2" customFormat="1" ht="24.95" customHeight="1" x14ac:dyDescent="0.25">
      <c r="A731" s="31" t="s">
        <v>2180</v>
      </c>
      <c r="B731" s="1" t="s">
        <v>2181</v>
      </c>
      <c r="C731" s="1" t="s">
        <v>2182</v>
      </c>
      <c r="D731" s="1" t="s">
        <v>8</v>
      </c>
      <c r="E731" s="3">
        <v>0</v>
      </c>
      <c r="F731" s="3">
        <v>0</v>
      </c>
      <c r="G731" s="3">
        <v>0</v>
      </c>
      <c r="H731" s="3">
        <v>3306.03</v>
      </c>
      <c r="I731" s="3">
        <v>0</v>
      </c>
      <c r="J731" s="1" t="s">
        <v>4</v>
      </c>
      <c r="K731" s="28"/>
      <c r="L731" s="28"/>
    </row>
    <row r="732" spans="1:12" s="2" customFormat="1" ht="24.95" customHeight="1" x14ac:dyDescent="0.25">
      <c r="A732" s="31" t="s">
        <v>2183</v>
      </c>
      <c r="B732" s="1" t="s">
        <v>2184</v>
      </c>
      <c r="C732" s="1" t="s">
        <v>2185</v>
      </c>
      <c r="D732" s="1" t="s">
        <v>3027</v>
      </c>
      <c r="E732" s="3">
        <v>0</v>
      </c>
      <c r="F732" s="3">
        <v>562.19000000000005</v>
      </c>
      <c r="G732" s="3">
        <v>0</v>
      </c>
      <c r="H732" s="3">
        <v>0</v>
      </c>
      <c r="I732" s="3">
        <v>4362.63</v>
      </c>
      <c r="J732" s="1" t="s">
        <v>37</v>
      </c>
      <c r="K732" s="28"/>
      <c r="L732" s="28"/>
    </row>
    <row r="733" spans="1:12" s="2" customFormat="1" ht="24.95" customHeight="1" x14ac:dyDescent="0.25">
      <c r="A733" s="31" t="s">
        <v>2186</v>
      </c>
      <c r="B733" s="1" t="s">
        <v>2187</v>
      </c>
      <c r="C733" s="1" t="s">
        <v>2188</v>
      </c>
      <c r="D733" s="1" t="s">
        <v>3027</v>
      </c>
      <c r="E733" s="3">
        <v>2150</v>
      </c>
      <c r="F733" s="3">
        <v>4028.15</v>
      </c>
      <c r="G733" s="3">
        <v>2315.04</v>
      </c>
      <c r="H733" s="3">
        <v>0</v>
      </c>
      <c r="I733" s="3">
        <v>4884.8900000000003</v>
      </c>
      <c r="J733" s="1" t="s">
        <v>41</v>
      </c>
      <c r="K733" s="28"/>
      <c r="L733" s="28"/>
    </row>
    <row r="734" spans="1:12" s="2" customFormat="1" ht="24.95" customHeight="1" x14ac:dyDescent="0.25">
      <c r="A734" s="31" t="s">
        <v>2189</v>
      </c>
      <c r="B734" s="1" t="s">
        <v>2190</v>
      </c>
      <c r="C734" s="1" t="s">
        <v>2191</v>
      </c>
      <c r="D734" s="1" t="s">
        <v>18</v>
      </c>
      <c r="E734" s="3">
        <v>7935.72</v>
      </c>
      <c r="F734" s="3">
        <v>1629.02</v>
      </c>
      <c r="G734" s="3">
        <v>2313.8000000000002</v>
      </c>
      <c r="H734" s="3">
        <v>1899.61</v>
      </c>
      <c r="I734" s="3">
        <v>0</v>
      </c>
      <c r="J734" s="1" t="s">
        <v>41</v>
      </c>
      <c r="K734" s="28"/>
      <c r="L734" s="28"/>
    </row>
    <row r="735" spans="1:12" s="2" customFormat="1" ht="24.95" customHeight="1" x14ac:dyDescent="0.25">
      <c r="A735" s="31" t="s">
        <v>2192</v>
      </c>
      <c r="B735" s="1" t="s">
        <v>2193</v>
      </c>
      <c r="C735" s="1" t="s">
        <v>2194</v>
      </c>
      <c r="D735" s="1" t="s">
        <v>13</v>
      </c>
      <c r="E735" s="3">
        <v>0</v>
      </c>
      <c r="F735" s="3">
        <v>2119.11</v>
      </c>
      <c r="G735" s="3">
        <v>0</v>
      </c>
      <c r="H735" s="3">
        <v>0</v>
      </c>
      <c r="I735" s="3">
        <v>4670.2700000000004</v>
      </c>
      <c r="J735" s="1" t="s">
        <v>19</v>
      </c>
      <c r="K735" s="28"/>
      <c r="L735" s="28"/>
    </row>
    <row r="736" spans="1:12" s="2" customFormat="1" ht="24.95" customHeight="1" x14ac:dyDescent="0.25">
      <c r="A736" s="31" t="s">
        <v>2195</v>
      </c>
      <c r="B736" s="1" t="s">
        <v>2196</v>
      </c>
      <c r="C736" s="1" t="s">
        <v>2197</v>
      </c>
      <c r="D736" s="1" t="s">
        <v>18</v>
      </c>
      <c r="E736" s="3">
        <v>0</v>
      </c>
      <c r="F736" s="3">
        <v>4553</v>
      </c>
      <c r="G736" s="3">
        <v>0</v>
      </c>
      <c r="H736" s="3">
        <v>0</v>
      </c>
      <c r="I736" s="3">
        <v>0</v>
      </c>
      <c r="J736" s="1" t="s">
        <v>19</v>
      </c>
      <c r="K736" s="28"/>
      <c r="L736" s="28"/>
    </row>
    <row r="737" spans="1:12" s="2" customFormat="1" ht="24.95" customHeight="1" x14ac:dyDescent="0.25">
      <c r="A737" s="31" t="s">
        <v>2198</v>
      </c>
      <c r="B737" s="1" t="s">
        <v>2199</v>
      </c>
      <c r="C737" s="1" t="s">
        <v>2200</v>
      </c>
      <c r="D737" s="1" t="s">
        <v>13</v>
      </c>
      <c r="E737" s="3">
        <v>0</v>
      </c>
      <c r="F737" s="3">
        <v>0</v>
      </c>
      <c r="G737" s="3">
        <v>2686.17</v>
      </c>
      <c r="H737" s="3">
        <v>6999.14</v>
      </c>
      <c r="I737" s="3">
        <v>9224.65</v>
      </c>
      <c r="J737" s="1" t="s">
        <v>93</v>
      </c>
      <c r="K737" s="28"/>
      <c r="L737" s="28"/>
    </row>
    <row r="738" spans="1:12" s="2" customFormat="1" ht="24.95" customHeight="1" x14ac:dyDescent="0.25">
      <c r="A738" s="31" t="s">
        <v>2201</v>
      </c>
      <c r="B738" s="1" t="s">
        <v>2202</v>
      </c>
      <c r="C738" s="1" t="s">
        <v>2203</v>
      </c>
      <c r="D738" s="1" t="s">
        <v>23</v>
      </c>
      <c r="E738" s="3">
        <v>3659.19</v>
      </c>
      <c r="F738" s="3">
        <v>0</v>
      </c>
      <c r="G738" s="3">
        <v>283.82</v>
      </c>
      <c r="H738" s="3">
        <v>1471.3</v>
      </c>
      <c r="I738" s="3">
        <v>0</v>
      </c>
      <c r="J738" s="1" t="s">
        <v>4</v>
      </c>
      <c r="K738" s="28"/>
      <c r="L738" s="28"/>
    </row>
    <row r="739" spans="1:12" s="2" customFormat="1" ht="24.95" customHeight="1" x14ac:dyDescent="0.25">
      <c r="A739" s="31" t="s">
        <v>2204</v>
      </c>
      <c r="B739" s="1" t="s">
        <v>2205</v>
      </c>
      <c r="C739" s="1" t="s">
        <v>2206</v>
      </c>
      <c r="D739" s="1" t="s">
        <v>18</v>
      </c>
      <c r="E739" s="3">
        <v>0</v>
      </c>
      <c r="F739" s="3">
        <v>2423.38</v>
      </c>
      <c r="G739" s="3">
        <v>0</v>
      </c>
      <c r="H739" s="3">
        <v>0</v>
      </c>
      <c r="I739" s="3">
        <v>1428.38</v>
      </c>
      <c r="J739" s="1" t="s">
        <v>14</v>
      </c>
      <c r="K739" s="28"/>
      <c r="L739" s="28"/>
    </row>
    <row r="740" spans="1:12" s="2" customFormat="1" ht="24.95" customHeight="1" x14ac:dyDescent="0.25">
      <c r="A740" s="31" t="s">
        <v>2207</v>
      </c>
      <c r="B740" s="1" t="s">
        <v>2208</v>
      </c>
      <c r="C740" s="1" t="s">
        <v>2209</v>
      </c>
      <c r="D740" s="1" t="s">
        <v>18</v>
      </c>
      <c r="E740" s="3">
        <v>0</v>
      </c>
      <c r="F740" s="3">
        <v>1449.61</v>
      </c>
      <c r="G740" s="3">
        <v>0</v>
      </c>
      <c r="H740" s="3">
        <v>364.78</v>
      </c>
      <c r="I740" s="3">
        <v>6948.24</v>
      </c>
      <c r="J740" s="1" t="s">
        <v>106</v>
      </c>
      <c r="K740" s="28"/>
      <c r="L740" s="28"/>
    </row>
    <row r="741" spans="1:12" s="2" customFormat="1" ht="24.95" customHeight="1" x14ac:dyDescent="0.25">
      <c r="A741" s="31" t="s">
        <v>2210</v>
      </c>
      <c r="B741" s="1" t="s">
        <v>2211</v>
      </c>
      <c r="C741" s="1" t="s">
        <v>2212</v>
      </c>
      <c r="D741" s="1" t="s">
        <v>3027</v>
      </c>
      <c r="E741" s="3">
        <v>3392.02</v>
      </c>
      <c r="F741" s="3">
        <v>0</v>
      </c>
      <c r="G741" s="3">
        <v>0</v>
      </c>
      <c r="H741" s="3">
        <v>0</v>
      </c>
      <c r="I741" s="3">
        <v>0</v>
      </c>
      <c r="J741" s="1" t="s">
        <v>93</v>
      </c>
      <c r="K741" s="28"/>
      <c r="L741" s="28"/>
    </row>
    <row r="742" spans="1:12" s="2" customFormat="1" ht="24.95" customHeight="1" x14ac:dyDescent="0.25">
      <c r="A742" s="31" t="s">
        <v>2213</v>
      </c>
      <c r="B742" s="1" t="s">
        <v>2214</v>
      </c>
      <c r="C742" s="1" t="s">
        <v>2215</v>
      </c>
      <c r="D742" s="1" t="s">
        <v>13</v>
      </c>
      <c r="E742" s="3">
        <v>0</v>
      </c>
      <c r="F742" s="3">
        <v>0</v>
      </c>
      <c r="G742" s="3">
        <v>895.83</v>
      </c>
      <c r="H742" s="3">
        <v>3425.09</v>
      </c>
      <c r="I742" s="3">
        <v>0</v>
      </c>
      <c r="J742" s="1" t="s">
        <v>4</v>
      </c>
      <c r="K742" s="28"/>
      <c r="L742" s="28"/>
    </row>
    <row r="743" spans="1:12" s="2" customFormat="1" ht="24.95" customHeight="1" x14ac:dyDescent="0.25">
      <c r="A743" s="31" t="s">
        <v>2216</v>
      </c>
      <c r="B743" s="1" t="s">
        <v>2217</v>
      </c>
      <c r="C743" s="1" t="s">
        <v>2218</v>
      </c>
      <c r="D743" s="1" t="s">
        <v>13</v>
      </c>
      <c r="E743" s="3">
        <v>5557.23</v>
      </c>
      <c r="F743" s="3">
        <v>0</v>
      </c>
      <c r="G743" s="3">
        <v>1166.78</v>
      </c>
      <c r="H743" s="3">
        <v>0</v>
      </c>
      <c r="I743" s="3">
        <v>0</v>
      </c>
      <c r="J743" s="1" t="s">
        <v>14</v>
      </c>
      <c r="K743" s="28"/>
      <c r="L743" s="28"/>
    </row>
    <row r="744" spans="1:12" s="2" customFormat="1" ht="24.95" customHeight="1" x14ac:dyDescent="0.25">
      <c r="A744" s="31" t="s">
        <v>2219</v>
      </c>
      <c r="B744" s="1" t="s">
        <v>2220</v>
      </c>
      <c r="C744" s="1" t="s">
        <v>2221</v>
      </c>
      <c r="D744" s="1" t="s">
        <v>23</v>
      </c>
      <c r="E744" s="3">
        <v>0</v>
      </c>
      <c r="F744" s="3">
        <v>0</v>
      </c>
      <c r="G744" s="3">
        <v>1694.18</v>
      </c>
      <c r="H744" s="3">
        <v>0</v>
      </c>
      <c r="I744" s="3">
        <v>0</v>
      </c>
      <c r="J744" s="1" t="s">
        <v>41</v>
      </c>
      <c r="K744" s="28"/>
      <c r="L744" s="28"/>
    </row>
    <row r="745" spans="1:12" s="2" customFormat="1" ht="24.95" customHeight="1" x14ac:dyDescent="0.25">
      <c r="A745" s="31" t="s">
        <v>2222</v>
      </c>
      <c r="B745" s="1" t="s">
        <v>2223</v>
      </c>
      <c r="C745" s="1" t="s">
        <v>2224</v>
      </c>
      <c r="D745" s="1" t="s">
        <v>23</v>
      </c>
      <c r="E745" s="3">
        <v>0</v>
      </c>
      <c r="F745" s="3">
        <v>3964.95</v>
      </c>
      <c r="G745" s="3">
        <v>1975.92</v>
      </c>
      <c r="H745" s="3">
        <v>7965.52</v>
      </c>
      <c r="I745" s="3">
        <v>0</v>
      </c>
      <c r="J745" s="1" t="s">
        <v>48</v>
      </c>
      <c r="K745" s="28"/>
      <c r="L745" s="28"/>
    </row>
    <row r="746" spans="1:12" s="2" customFormat="1" ht="24.95" customHeight="1" x14ac:dyDescent="0.25">
      <c r="A746" s="31" t="s">
        <v>2225</v>
      </c>
      <c r="B746" s="1" t="s">
        <v>2226</v>
      </c>
      <c r="C746" s="1" t="s">
        <v>2227</v>
      </c>
      <c r="D746" s="1" t="s">
        <v>13</v>
      </c>
      <c r="E746" s="3">
        <v>0</v>
      </c>
      <c r="F746" s="3">
        <v>3320.68</v>
      </c>
      <c r="G746" s="3">
        <v>699.87</v>
      </c>
      <c r="H746" s="3">
        <v>0</v>
      </c>
      <c r="I746" s="3">
        <v>7535.59</v>
      </c>
      <c r="J746" s="1" t="s">
        <v>9</v>
      </c>
      <c r="K746" s="28"/>
      <c r="L746" s="28"/>
    </row>
    <row r="747" spans="1:12" s="2" customFormat="1" ht="24.95" customHeight="1" x14ac:dyDescent="0.25">
      <c r="A747" s="31" t="s">
        <v>2228</v>
      </c>
      <c r="B747" s="1" t="s">
        <v>2229</v>
      </c>
      <c r="C747" s="1" t="s">
        <v>2230</v>
      </c>
      <c r="D747" s="1" t="s">
        <v>8</v>
      </c>
      <c r="E747" s="3">
        <v>5757.62</v>
      </c>
      <c r="F747" s="3">
        <v>676.97</v>
      </c>
      <c r="G747" s="3">
        <v>1558.98</v>
      </c>
      <c r="H747" s="3">
        <v>0</v>
      </c>
      <c r="I747" s="3">
        <v>6068.01</v>
      </c>
      <c r="J747" s="1" t="s">
        <v>19</v>
      </c>
      <c r="K747" s="28"/>
      <c r="L747" s="28"/>
    </row>
    <row r="748" spans="1:12" s="2" customFormat="1" ht="24.95" customHeight="1" x14ac:dyDescent="0.25">
      <c r="A748" s="31" t="s">
        <v>2231</v>
      </c>
      <c r="B748" s="1" t="s">
        <v>2232</v>
      </c>
      <c r="C748" s="1" t="s">
        <v>2233</v>
      </c>
      <c r="D748" s="1" t="s">
        <v>18</v>
      </c>
      <c r="E748" s="3">
        <v>2707.94</v>
      </c>
      <c r="F748" s="3">
        <v>0</v>
      </c>
      <c r="G748" s="3">
        <v>1917.5</v>
      </c>
      <c r="H748" s="3">
        <v>8266.7000000000007</v>
      </c>
      <c r="I748" s="3">
        <v>567.64</v>
      </c>
      <c r="J748" s="1" t="s">
        <v>93</v>
      </c>
      <c r="K748" s="28"/>
      <c r="L748" s="28"/>
    </row>
    <row r="749" spans="1:12" s="2" customFormat="1" ht="24.95" customHeight="1" x14ac:dyDescent="0.25">
      <c r="A749" s="31" t="s">
        <v>2234</v>
      </c>
      <c r="B749" s="1" t="s">
        <v>2235</v>
      </c>
      <c r="C749" s="1" t="s">
        <v>2236</v>
      </c>
      <c r="D749" s="1" t="s">
        <v>8</v>
      </c>
      <c r="E749" s="3">
        <v>0</v>
      </c>
      <c r="F749" s="3">
        <v>0</v>
      </c>
      <c r="G749" s="3">
        <v>481.97</v>
      </c>
      <c r="H749" s="3">
        <v>0</v>
      </c>
      <c r="I749" s="3">
        <v>0</v>
      </c>
      <c r="J749" s="1" t="s">
        <v>9</v>
      </c>
      <c r="K749" s="28"/>
      <c r="L749" s="28"/>
    </row>
    <row r="750" spans="1:12" s="2" customFormat="1" ht="24.95" customHeight="1" x14ac:dyDescent="0.25">
      <c r="A750" s="31" t="s">
        <v>2237</v>
      </c>
      <c r="B750" s="1" t="s">
        <v>2238</v>
      </c>
      <c r="C750" s="1" t="s">
        <v>2239</v>
      </c>
      <c r="D750" s="1" t="s">
        <v>3</v>
      </c>
      <c r="E750" s="3">
        <v>4126.22</v>
      </c>
      <c r="F750" s="3">
        <v>0</v>
      </c>
      <c r="G750" s="3">
        <v>0</v>
      </c>
      <c r="H750" s="3">
        <v>0</v>
      </c>
      <c r="I750" s="3">
        <v>0</v>
      </c>
      <c r="J750" s="1" t="s">
        <v>4</v>
      </c>
      <c r="K750" s="28"/>
      <c r="L750" s="28"/>
    </row>
    <row r="751" spans="1:12" s="2" customFormat="1" ht="24.95" customHeight="1" x14ac:dyDescent="0.25">
      <c r="A751" s="31" t="s">
        <v>2240</v>
      </c>
      <c r="B751" s="1" t="s">
        <v>2241</v>
      </c>
      <c r="C751" s="1" t="s">
        <v>2242</v>
      </c>
      <c r="D751" s="1" t="s">
        <v>3027</v>
      </c>
      <c r="E751" s="3">
        <v>5489.89</v>
      </c>
      <c r="F751" s="3">
        <v>0</v>
      </c>
      <c r="G751" s="3">
        <v>0</v>
      </c>
      <c r="H751" s="3">
        <v>10874.57</v>
      </c>
      <c r="I751" s="3">
        <v>7415.1</v>
      </c>
      <c r="J751" s="1" t="s">
        <v>19</v>
      </c>
      <c r="K751" s="28"/>
      <c r="L751" s="28"/>
    </row>
    <row r="752" spans="1:12" s="2" customFormat="1" ht="24.95" customHeight="1" x14ac:dyDescent="0.25">
      <c r="A752" s="31" t="s">
        <v>2243</v>
      </c>
      <c r="B752" s="1" t="s">
        <v>2244</v>
      </c>
      <c r="C752" s="1" t="s">
        <v>2245</v>
      </c>
      <c r="D752" s="1" t="s">
        <v>13</v>
      </c>
      <c r="E752" s="3">
        <v>0</v>
      </c>
      <c r="F752" s="3">
        <v>0</v>
      </c>
      <c r="G752" s="3">
        <v>1426.61</v>
      </c>
      <c r="H752" s="3">
        <v>9685.2000000000007</v>
      </c>
      <c r="I752" s="3">
        <v>0</v>
      </c>
      <c r="J752" s="1" t="s">
        <v>41</v>
      </c>
      <c r="K752" s="28"/>
      <c r="L752" s="28"/>
    </row>
    <row r="753" spans="1:12" s="2" customFormat="1" ht="24.95" customHeight="1" x14ac:dyDescent="0.25">
      <c r="A753" s="31" t="s">
        <v>2246</v>
      </c>
      <c r="B753" s="1" t="s">
        <v>2247</v>
      </c>
      <c r="C753" s="1" t="s">
        <v>2248</v>
      </c>
      <c r="D753" s="1" t="s">
        <v>3027</v>
      </c>
      <c r="E753" s="3">
        <v>3732.33</v>
      </c>
      <c r="F753" s="3">
        <v>2380.2399999999998</v>
      </c>
      <c r="G753" s="3">
        <v>0</v>
      </c>
      <c r="H753" s="3">
        <v>1923.57</v>
      </c>
      <c r="I753" s="3">
        <v>5317.03</v>
      </c>
      <c r="J753" s="1" t="s">
        <v>79</v>
      </c>
      <c r="K753" s="28"/>
      <c r="L753" s="28"/>
    </row>
    <row r="754" spans="1:12" s="2" customFormat="1" ht="24.95" customHeight="1" x14ac:dyDescent="0.25">
      <c r="A754" s="31" t="s">
        <v>2249</v>
      </c>
      <c r="B754" s="1" t="s">
        <v>2250</v>
      </c>
      <c r="C754" s="1" t="s">
        <v>2251</v>
      </c>
      <c r="D754" s="1" t="s">
        <v>3027</v>
      </c>
      <c r="E754" s="3">
        <v>0</v>
      </c>
      <c r="F754" s="3">
        <v>3600.84</v>
      </c>
      <c r="G754" s="3">
        <v>980.4</v>
      </c>
      <c r="H754" s="3">
        <v>0</v>
      </c>
      <c r="I754" s="3">
        <v>0</v>
      </c>
      <c r="J754" s="1" t="s">
        <v>48</v>
      </c>
      <c r="K754" s="28"/>
      <c r="L754" s="28"/>
    </row>
    <row r="755" spans="1:12" s="2" customFormat="1" ht="24.95" customHeight="1" x14ac:dyDescent="0.25">
      <c r="A755" s="31" t="s">
        <v>2252</v>
      </c>
      <c r="B755" s="1" t="s">
        <v>2253</v>
      </c>
      <c r="C755" s="1" t="s">
        <v>2254</v>
      </c>
      <c r="D755" s="1" t="s">
        <v>3</v>
      </c>
      <c r="E755" s="3">
        <v>0</v>
      </c>
      <c r="F755" s="3">
        <v>4361.54</v>
      </c>
      <c r="G755" s="3">
        <v>0</v>
      </c>
      <c r="H755" s="3">
        <v>0</v>
      </c>
      <c r="I755" s="3">
        <v>14597.39</v>
      </c>
      <c r="J755" s="1" t="s">
        <v>19</v>
      </c>
      <c r="K755" s="28"/>
      <c r="L755" s="28"/>
    </row>
    <row r="756" spans="1:12" s="2" customFormat="1" ht="24.95" customHeight="1" x14ac:dyDescent="0.25">
      <c r="A756" s="31" t="s">
        <v>2255</v>
      </c>
      <c r="B756" s="1" t="s">
        <v>2256</v>
      </c>
      <c r="C756" s="1" t="s">
        <v>2257</v>
      </c>
      <c r="D756" s="1" t="s">
        <v>3027</v>
      </c>
      <c r="E756" s="3">
        <v>7380.77</v>
      </c>
      <c r="F756" s="3">
        <v>0</v>
      </c>
      <c r="G756" s="3">
        <v>0</v>
      </c>
      <c r="H756" s="3">
        <v>0</v>
      </c>
      <c r="I756" s="3">
        <v>0</v>
      </c>
      <c r="J756" s="1" t="s">
        <v>4</v>
      </c>
      <c r="K756" s="28"/>
      <c r="L756" s="28"/>
    </row>
    <row r="757" spans="1:12" s="2" customFormat="1" ht="24.95" customHeight="1" x14ac:dyDescent="0.25">
      <c r="A757" s="31" t="s">
        <v>2258</v>
      </c>
      <c r="B757" s="1" t="s">
        <v>2259</v>
      </c>
      <c r="C757" s="1" t="s">
        <v>2260</v>
      </c>
      <c r="D757" s="1" t="s">
        <v>18</v>
      </c>
      <c r="E757" s="3">
        <v>2724.42</v>
      </c>
      <c r="F757" s="3">
        <v>830.52</v>
      </c>
      <c r="G757" s="3">
        <v>0</v>
      </c>
      <c r="H757" s="3">
        <v>0</v>
      </c>
      <c r="I757" s="3">
        <v>0</v>
      </c>
      <c r="J757" s="1" t="s">
        <v>4</v>
      </c>
      <c r="K757" s="28"/>
      <c r="L757" s="28"/>
    </row>
    <row r="758" spans="1:12" s="2" customFormat="1" ht="24.95" customHeight="1" x14ac:dyDescent="0.25">
      <c r="A758" s="31" t="s">
        <v>2261</v>
      </c>
      <c r="B758" s="1" t="s">
        <v>2262</v>
      </c>
      <c r="C758" s="1" t="s">
        <v>2263</v>
      </c>
      <c r="D758" s="1" t="s">
        <v>3</v>
      </c>
      <c r="E758" s="3">
        <v>0</v>
      </c>
      <c r="F758" s="3">
        <v>0</v>
      </c>
      <c r="G758" s="3">
        <v>723.61</v>
      </c>
      <c r="H758" s="3">
        <v>6304.88</v>
      </c>
      <c r="I758" s="3">
        <v>0</v>
      </c>
      <c r="J758" s="1" t="s">
        <v>86</v>
      </c>
      <c r="K758" s="28"/>
      <c r="L758" s="28"/>
    </row>
    <row r="759" spans="1:12" s="2" customFormat="1" ht="24.95" customHeight="1" x14ac:dyDescent="0.25">
      <c r="A759" s="31" t="s">
        <v>2264</v>
      </c>
      <c r="B759" s="1" t="s">
        <v>2265</v>
      </c>
      <c r="C759" s="1" t="s">
        <v>2266</v>
      </c>
      <c r="D759" s="1" t="s">
        <v>18</v>
      </c>
      <c r="E759" s="3">
        <v>5387.11</v>
      </c>
      <c r="F759" s="3">
        <v>4340.26</v>
      </c>
      <c r="G759" s="3">
        <v>2806.28</v>
      </c>
      <c r="H759" s="3">
        <v>0</v>
      </c>
      <c r="I759" s="3">
        <v>0</v>
      </c>
      <c r="J759" s="1" t="s">
        <v>4</v>
      </c>
      <c r="K759" s="28"/>
      <c r="L759" s="28"/>
    </row>
    <row r="760" spans="1:12" s="2" customFormat="1" ht="24.95" customHeight="1" x14ac:dyDescent="0.25">
      <c r="A760" s="31" t="s">
        <v>2267</v>
      </c>
      <c r="B760" s="1" t="s">
        <v>2268</v>
      </c>
      <c r="C760" s="1" t="s">
        <v>2269</v>
      </c>
      <c r="D760" s="1" t="s">
        <v>23</v>
      </c>
      <c r="E760" s="3">
        <v>0</v>
      </c>
      <c r="F760" s="3">
        <v>0</v>
      </c>
      <c r="G760" s="3">
        <v>500.84</v>
      </c>
      <c r="H760" s="3">
        <v>0</v>
      </c>
      <c r="I760" s="3">
        <v>0</v>
      </c>
      <c r="J760" s="1" t="s">
        <v>24</v>
      </c>
      <c r="K760" s="28"/>
      <c r="L760" s="28"/>
    </row>
    <row r="761" spans="1:12" s="2" customFormat="1" ht="24.95" customHeight="1" x14ac:dyDescent="0.25">
      <c r="A761" s="31" t="s">
        <v>2270</v>
      </c>
      <c r="B761" s="1" t="s">
        <v>2271</v>
      </c>
      <c r="C761" s="1" t="s">
        <v>2272</v>
      </c>
      <c r="D761" s="1" t="s">
        <v>8</v>
      </c>
      <c r="E761" s="3">
        <v>0</v>
      </c>
      <c r="F761" s="3">
        <v>0</v>
      </c>
      <c r="G761" s="3">
        <v>2950.8</v>
      </c>
      <c r="H761" s="3">
        <v>4908.3599999999997</v>
      </c>
      <c r="I761" s="3">
        <v>10902.07</v>
      </c>
      <c r="J761" s="1" t="s">
        <v>19</v>
      </c>
      <c r="K761" s="28"/>
      <c r="L761" s="28"/>
    </row>
    <row r="762" spans="1:12" s="2" customFormat="1" ht="24.95" customHeight="1" x14ac:dyDescent="0.25">
      <c r="A762" s="31" t="s">
        <v>2273</v>
      </c>
      <c r="B762" s="1" t="s">
        <v>2274</v>
      </c>
      <c r="C762" s="1" t="s">
        <v>2275</v>
      </c>
      <c r="D762" s="1" t="s">
        <v>18</v>
      </c>
      <c r="E762" s="3">
        <v>7621.9</v>
      </c>
      <c r="F762" s="3">
        <v>0</v>
      </c>
      <c r="G762" s="3">
        <v>0</v>
      </c>
      <c r="H762" s="3">
        <v>9282.17</v>
      </c>
      <c r="I762" s="3">
        <v>13156.14</v>
      </c>
      <c r="J762" s="1" t="s">
        <v>41</v>
      </c>
      <c r="K762" s="28"/>
      <c r="L762" s="28"/>
    </row>
    <row r="763" spans="1:12" s="2" customFormat="1" ht="24.95" customHeight="1" x14ac:dyDescent="0.25">
      <c r="A763" s="31" t="s">
        <v>2276</v>
      </c>
      <c r="B763" s="1" t="s">
        <v>2277</v>
      </c>
      <c r="C763" s="1" t="s">
        <v>2278</v>
      </c>
      <c r="D763" s="1" t="s">
        <v>23</v>
      </c>
      <c r="E763" s="3">
        <v>6672.93</v>
      </c>
      <c r="F763" s="3">
        <v>1822.04</v>
      </c>
      <c r="G763" s="3">
        <v>2755.1</v>
      </c>
      <c r="H763" s="3">
        <v>9376.23</v>
      </c>
      <c r="I763" s="3">
        <v>1018.2</v>
      </c>
      <c r="J763" s="1" t="s">
        <v>4</v>
      </c>
      <c r="K763" s="28"/>
      <c r="L763" s="28"/>
    </row>
    <row r="764" spans="1:12" s="2" customFormat="1" ht="24.95" customHeight="1" x14ac:dyDescent="0.25">
      <c r="A764" s="31" t="s">
        <v>2279</v>
      </c>
      <c r="B764" s="1" t="s">
        <v>2280</v>
      </c>
      <c r="C764" s="1" t="s">
        <v>2281</v>
      </c>
      <c r="D764" s="1" t="s">
        <v>3027</v>
      </c>
      <c r="E764" s="3">
        <v>3016.74</v>
      </c>
      <c r="F764" s="3">
        <v>1254.58</v>
      </c>
      <c r="G764" s="3">
        <v>822.55</v>
      </c>
      <c r="H764" s="3">
        <v>0</v>
      </c>
      <c r="I764" s="3">
        <v>7137.48</v>
      </c>
      <c r="J764" s="1" t="s">
        <v>14</v>
      </c>
      <c r="K764" s="28"/>
      <c r="L764" s="28"/>
    </row>
    <row r="765" spans="1:12" s="2" customFormat="1" ht="24.95" customHeight="1" x14ac:dyDescent="0.25">
      <c r="A765" s="31" t="s">
        <v>2282</v>
      </c>
      <c r="B765" s="1" t="s">
        <v>2283</v>
      </c>
      <c r="C765" s="1" t="s">
        <v>2284</v>
      </c>
      <c r="D765" s="1" t="s">
        <v>23</v>
      </c>
      <c r="E765" s="3">
        <v>6335.88</v>
      </c>
      <c r="F765" s="3">
        <v>0</v>
      </c>
      <c r="G765" s="3">
        <v>0</v>
      </c>
      <c r="H765" s="3">
        <v>0</v>
      </c>
      <c r="I765" s="3">
        <v>12399.88</v>
      </c>
      <c r="J765" s="1" t="s">
        <v>86</v>
      </c>
      <c r="K765" s="28"/>
      <c r="L765" s="28"/>
    </row>
    <row r="766" spans="1:12" s="2" customFormat="1" ht="24.95" customHeight="1" x14ac:dyDescent="0.25">
      <c r="A766" s="31" t="s">
        <v>2285</v>
      </c>
      <c r="B766" s="1" t="s">
        <v>2286</v>
      </c>
      <c r="C766" s="1" t="s">
        <v>2287</v>
      </c>
      <c r="D766" s="1" t="s">
        <v>18</v>
      </c>
      <c r="E766" s="3">
        <v>0</v>
      </c>
      <c r="F766" s="3">
        <v>0</v>
      </c>
      <c r="G766" s="3">
        <v>0</v>
      </c>
      <c r="H766" s="3">
        <v>0</v>
      </c>
      <c r="I766" s="3">
        <v>13957.92</v>
      </c>
      <c r="J766" s="1" t="s">
        <v>41</v>
      </c>
      <c r="K766" s="28"/>
      <c r="L766" s="28"/>
    </row>
    <row r="767" spans="1:12" s="2" customFormat="1" ht="24.95" customHeight="1" x14ac:dyDescent="0.25">
      <c r="A767" s="31" t="s">
        <v>2288</v>
      </c>
      <c r="B767" s="1" t="s">
        <v>2289</v>
      </c>
      <c r="C767" s="1" t="s">
        <v>2290</v>
      </c>
      <c r="D767" s="1" t="s">
        <v>18</v>
      </c>
      <c r="E767" s="3">
        <v>0</v>
      </c>
      <c r="F767" s="3">
        <v>0</v>
      </c>
      <c r="G767" s="3">
        <v>0</v>
      </c>
      <c r="H767" s="3">
        <v>0</v>
      </c>
      <c r="I767" s="3">
        <v>14895.49</v>
      </c>
      <c r="J767" s="1" t="s">
        <v>14</v>
      </c>
      <c r="K767" s="28"/>
      <c r="L767" s="28"/>
    </row>
    <row r="768" spans="1:12" s="2" customFormat="1" ht="24.95" customHeight="1" x14ac:dyDescent="0.25">
      <c r="A768" s="31" t="s">
        <v>2291</v>
      </c>
      <c r="B768" s="1" t="s">
        <v>2292</v>
      </c>
      <c r="C768" s="1" t="s">
        <v>2293</v>
      </c>
      <c r="D768" s="1" t="s">
        <v>3027</v>
      </c>
      <c r="E768" s="3">
        <v>7475.65</v>
      </c>
      <c r="F768" s="3">
        <v>0</v>
      </c>
      <c r="G768" s="3">
        <v>1359.77</v>
      </c>
      <c r="H768" s="3">
        <v>766.88</v>
      </c>
      <c r="I768" s="3">
        <v>0</v>
      </c>
      <c r="J768" s="1" t="s">
        <v>41</v>
      </c>
      <c r="K768" s="28"/>
      <c r="L768" s="28"/>
    </row>
    <row r="769" spans="1:12" s="2" customFormat="1" ht="24.95" customHeight="1" x14ac:dyDescent="0.25">
      <c r="A769" s="31" t="s">
        <v>2294</v>
      </c>
      <c r="B769" s="1" t="s">
        <v>2295</v>
      </c>
      <c r="C769" s="1" t="s">
        <v>2296</v>
      </c>
      <c r="D769" s="1" t="s">
        <v>23</v>
      </c>
      <c r="E769" s="3">
        <v>0</v>
      </c>
      <c r="F769" s="3">
        <v>0</v>
      </c>
      <c r="G769" s="3">
        <v>2043.39</v>
      </c>
      <c r="H769" s="3">
        <v>5702.81</v>
      </c>
      <c r="I769" s="3">
        <v>2691.26</v>
      </c>
      <c r="J769" s="1" t="s">
        <v>9</v>
      </c>
      <c r="K769" s="28"/>
      <c r="L769" s="28"/>
    </row>
    <row r="770" spans="1:12" s="2" customFormat="1" ht="24.95" customHeight="1" x14ac:dyDescent="0.25">
      <c r="A770" s="31" t="s">
        <v>2297</v>
      </c>
      <c r="B770" s="1" t="s">
        <v>2298</v>
      </c>
      <c r="C770" s="1" t="s">
        <v>2299</v>
      </c>
      <c r="D770" s="1" t="s">
        <v>18</v>
      </c>
      <c r="E770" s="3">
        <v>0</v>
      </c>
      <c r="F770" s="3">
        <v>1993.31</v>
      </c>
      <c r="G770" s="3">
        <v>2636.79</v>
      </c>
      <c r="H770" s="3">
        <v>0</v>
      </c>
      <c r="I770" s="3">
        <v>0</v>
      </c>
      <c r="J770" s="1" t="s">
        <v>24</v>
      </c>
      <c r="K770" s="28"/>
      <c r="L770" s="28"/>
    </row>
    <row r="771" spans="1:12" s="2" customFormat="1" ht="24.95" customHeight="1" x14ac:dyDescent="0.25">
      <c r="A771" s="31" t="s">
        <v>2300</v>
      </c>
      <c r="B771" s="1" t="s">
        <v>2301</v>
      </c>
      <c r="C771" s="1" t="s">
        <v>2302</v>
      </c>
      <c r="D771" s="1" t="s">
        <v>23</v>
      </c>
      <c r="E771" s="3">
        <v>2687.99</v>
      </c>
      <c r="F771" s="3">
        <v>250.51</v>
      </c>
      <c r="G771" s="3">
        <v>0</v>
      </c>
      <c r="H771" s="3">
        <v>472.1</v>
      </c>
      <c r="I771" s="3">
        <v>10702.04</v>
      </c>
      <c r="J771" s="1" t="s">
        <v>19</v>
      </c>
      <c r="K771" s="28"/>
      <c r="L771" s="28"/>
    </row>
    <row r="772" spans="1:12" s="2" customFormat="1" ht="24.95" customHeight="1" x14ac:dyDescent="0.25">
      <c r="A772" s="31" t="s">
        <v>2303</v>
      </c>
      <c r="B772" s="1" t="s">
        <v>2304</v>
      </c>
      <c r="C772" s="1" t="s">
        <v>2305</v>
      </c>
      <c r="D772" s="1" t="s">
        <v>18</v>
      </c>
      <c r="E772" s="3">
        <v>0</v>
      </c>
      <c r="F772" s="3">
        <v>0</v>
      </c>
      <c r="G772" s="3">
        <v>2615.41</v>
      </c>
      <c r="H772" s="3">
        <v>621.89</v>
      </c>
      <c r="I772" s="3">
        <v>8834.69</v>
      </c>
      <c r="J772" s="1" t="s">
        <v>79</v>
      </c>
      <c r="K772" s="28"/>
      <c r="L772" s="28"/>
    </row>
    <row r="773" spans="1:12" s="2" customFormat="1" ht="24.95" customHeight="1" x14ac:dyDescent="0.25">
      <c r="A773" s="31" t="s">
        <v>2306</v>
      </c>
      <c r="B773" s="1" t="s">
        <v>2307</v>
      </c>
      <c r="C773" s="1" t="s">
        <v>2308</v>
      </c>
      <c r="D773" s="1" t="s">
        <v>18</v>
      </c>
      <c r="E773" s="3">
        <v>0</v>
      </c>
      <c r="F773" s="3">
        <v>0</v>
      </c>
      <c r="G773" s="3">
        <v>2915.04</v>
      </c>
      <c r="H773" s="3">
        <v>0</v>
      </c>
      <c r="I773" s="3">
        <v>0</v>
      </c>
      <c r="J773" s="1" t="s">
        <v>79</v>
      </c>
      <c r="K773" s="28"/>
      <c r="L773" s="28"/>
    </row>
    <row r="774" spans="1:12" s="2" customFormat="1" ht="24.95" customHeight="1" x14ac:dyDescent="0.25">
      <c r="A774" s="31" t="s">
        <v>2309</v>
      </c>
      <c r="B774" s="1" t="s">
        <v>2310</v>
      </c>
      <c r="C774" s="1" t="s">
        <v>2311</v>
      </c>
      <c r="D774" s="1" t="s">
        <v>18</v>
      </c>
      <c r="E774" s="3">
        <v>697.89</v>
      </c>
      <c r="F774" s="3">
        <v>0</v>
      </c>
      <c r="G774" s="3">
        <v>0</v>
      </c>
      <c r="H774" s="3">
        <v>10687.52</v>
      </c>
      <c r="I774" s="3">
        <v>0</v>
      </c>
      <c r="J774" s="1" t="s">
        <v>48</v>
      </c>
      <c r="K774" s="28"/>
      <c r="L774" s="28"/>
    </row>
    <row r="775" spans="1:12" s="2" customFormat="1" ht="24.95" customHeight="1" x14ac:dyDescent="0.25">
      <c r="A775" s="31" t="s">
        <v>2312</v>
      </c>
      <c r="B775" s="1" t="s">
        <v>2313</v>
      </c>
      <c r="C775" s="1" t="s">
        <v>2314</v>
      </c>
      <c r="D775" s="1" t="s">
        <v>8</v>
      </c>
      <c r="E775" s="3">
        <v>0</v>
      </c>
      <c r="F775" s="3">
        <v>0</v>
      </c>
      <c r="G775" s="3">
        <v>440</v>
      </c>
      <c r="H775" s="3">
        <v>0</v>
      </c>
      <c r="I775" s="3">
        <v>4093.79</v>
      </c>
      <c r="J775" s="1" t="s">
        <v>86</v>
      </c>
      <c r="K775" s="28"/>
      <c r="L775" s="28"/>
    </row>
    <row r="776" spans="1:12" s="2" customFormat="1" ht="24.95" customHeight="1" x14ac:dyDescent="0.25">
      <c r="A776" s="31" t="s">
        <v>2315</v>
      </c>
      <c r="B776" s="1" t="s">
        <v>2316</v>
      </c>
      <c r="C776" s="1" t="s">
        <v>2317</v>
      </c>
      <c r="D776" s="1" t="s">
        <v>8</v>
      </c>
      <c r="E776" s="3">
        <v>4037.29</v>
      </c>
      <c r="F776" s="3">
        <v>544.63</v>
      </c>
      <c r="G776" s="3">
        <v>0</v>
      </c>
      <c r="H776" s="3">
        <v>4992.3599999999997</v>
      </c>
      <c r="I776" s="3">
        <v>3732.29</v>
      </c>
      <c r="J776" s="1" t="s">
        <v>93</v>
      </c>
      <c r="K776" s="28"/>
      <c r="L776" s="28"/>
    </row>
    <row r="777" spans="1:12" s="2" customFormat="1" ht="24.95" customHeight="1" x14ac:dyDescent="0.25">
      <c r="A777" s="31" t="s">
        <v>2318</v>
      </c>
      <c r="B777" s="1" t="s">
        <v>2319</v>
      </c>
      <c r="C777" s="1" t="s">
        <v>2320</v>
      </c>
      <c r="D777" s="1" t="s">
        <v>23</v>
      </c>
      <c r="E777" s="3">
        <v>7524.05</v>
      </c>
      <c r="F777" s="3">
        <v>0</v>
      </c>
      <c r="G777" s="3">
        <v>0</v>
      </c>
      <c r="H777" s="3">
        <v>4759.54</v>
      </c>
      <c r="I777" s="3">
        <v>5870.3</v>
      </c>
      <c r="J777" s="1" t="s">
        <v>24</v>
      </c>
      <c r="K777" s="28"/>
      <c r="L777" s="28"/>
    </row>
    <row r="778" spans="1:12" s="2" customFormat="1" ht="24.95" customHeight="1" x14ac:dyDescent="0.25">
      <c r="A778" s="31" t="s">
        <v>2321</v>
      </c>
      <c r="B778" s="1" t="s">
        <v>2322</v>
      </c>
      <c r="C778" s="1" t="s">
        <v>2323</v>
      </c>
      <c r="D778" s="1" t="s">
        <v>13</v>
      </c>
      <c r="E778" s="3">
        <v>0</v>
      </c>
      <c r="F778" s="3">
        <v>4663.87</v>
      </c>
      <c r="G778" s="3">
        <v>0</v>
      </c>
      <c r="H778" s="3">
        <v>0</v>
      </c>
      <c r="I778" s="3">
        <v>9731.08</v>
      </c>
      <c r="J778" s="1" t="s">
        <v>93</v>
      </c>
      <c r="K778" s="28"/>
      <c r="L778" s="28"/>
    </row>
    <row r="779" spans="1:12" s="2" customFormat="1" ht="24.95" customHeight="1" x14ac:dyDescent="0.25">
      <c r="A779" s="31" t="s">
        <v>2324</v>
      </c>
      <c r="B779" s="1" t="s">
        <v>2325</v>
      </c>
      <c r="C779" s="1" t="s">
        <v>2326</v>
      </c>
      <c r="D779" s="1" t="s">
        <v>18</v>
      </c>
      <c r="E779" s="3">
        <v>5844.76</v>
      </c>
      <c r="F779" s="3">
        <v>3610.16</v>
      </c>
      <c r="G779" s="3">
        <v>903.74</v>
      </c>
      <c r="H779" s="3">
        <v>5903.5</v>
      </c>
      <c r="I779" s="3">
        <v>771.69</v>
      </c>
      <c r="J779" s="1" t="s">
        <v>9</v>
      </c>
      <c r="K779" s="28"/>
      <c r="L779" s="28"/>
    </row>
    <row r="780" spans="1:12" s="2" customFormat="1" ht="24.95" customHeight="1" x14ac:dyDescent="0.25">
      <c r="A780" s="31" t="s">
        <v>2327</v>
      </c>
      <c r="B780" s="1" t="s">
        <v>2328</v>
      </c>
      <c r="C780" s="1" t="s">
        <v>2329</v>
      </c>
      <c r="D780" s="1" t="s">
        <v>18</v>
      </c>
      <c r="E780" s="3">
        <v>0</v>
      </c>
      <c r="F780" s="3">
        <v>0</v>
      </c>
      <c r="G780" s="3">
        <v>0</v>
      </c>
      <c r="H780" s="3">
        <v>4688.6499999999996</v>
      </c>
      <c r="I780" s="3">
        <v>11398.4</v>
      </c>
      <c r="J780" s="1" t="s">
        <v>48</v>
      </c>
      <c r="K780" s="28"/>
      <c r="L780" s="28"/>
    </row>
    <row r="781" spans="1:12" s="2" customFormat="1" ht="24.95" customHeight="1" x14ac:dyDescent="0.25">
      <c r="A781" s="31" t="s">
        <v>2330</v>
      </c>
      <c r="B781" s="1" t="s">
        <v>2331</v>
      </c>
      <c r="C781" s="1" t="s">
        <v>2332</v>
      </c>
      <c r="D781" s="1" t="s">
        <v>13</v>
      </c>
      <c r="E781" s="3">
        <v>5804.42</v>
      </c>
      <c r="F781" s="3">
        <v>0</v>
      </c>
      <c r="G781" s="3">
        <v>1769.71</v>
      </c>
      <c r="H781" s="3">
        <v>0</v>
      </c>
      <c r="I781" s="3">
        <v>0</v>
      </c>
      <c r="J781" s="1" t="s">
        <v>93</v>
      </c>
      <c r="K781" s="28"/>
      <c r="L781" s="28"/>
    </row>
    <row r="782" spans="1:12" s="2" customFormat="1" ht="24.95" customHeight="1" x14ac:dyDescent="0.25">
      <c r="A782" s="31" t="s">
        <v>2333</v>
      </c>
      <c r="B782" s="1" t="s">
        <v>2334</v>
      </c>
      <c r="C782" s="1" t="s">
        <v>2335</v>
      </c>
      <c r="D782" s="1" t="s">
        <v>8</v>
      </c>
      <c r="E782" s="3">
        <v>0</v>
      </c>
      <c r="F782" s="3">
        <v>0</v>
      </c>
      <c r="G782" s="3">
        <v>2262.56</v>
      </c>
      <c r="H782" s="3">
        <v>7299.41</v>
      </c>
      <c r="I782" s="3">
        <v>0</v>
      </c>
      <c r="J782" s="1" t="s">
        <v>41</v>
      </c>
      <c r="K782" s="28"/>
      <c r="L782" s="28"/>
    </row>
    <row r="783" spans="1:12" s="2" customFormat="1" ht="24.95" customHeight="1" x14ac:dyDescent="0.25">
      <c r="A783" s="31" t="s">
        <v>2336</v>
      </c>
      <c r="B783" s="1" t="s">
        <v>2337</v>
      </c>
      <c r="C783" s="1" t="s">
        <v>2338</v>
      </c>
      <c r="D783" s="1" t="s">
        <v>18</v>
      </c>
      <c r="E783" s="3">
        <v>0</v>
      </c>
      <c r="F783" s="3">
        <v>0</v>
      </c>
      <c r="G783" s="3">
        <v>2382.4499999999998</v>
      </c>
      <c r="H783" s="3">
        <v>4273.5200000000004</v>
      </c>
      <c r="I783" s="3">
        <v>8414.9699999999993</v>
      </c>
      <c r="J783" s="1" t="s">
        <v>48</v>
      </c>
      <c r="K783" s="28"/>
      <c r="L783" s="28"/>
    </row>
    <row r="784" spans="1:12" s="2" customFormat="1" ht="24.95" customHeight="1" x14ac:dyDescent="0.25">
      <c r="A784" s="31" t="s">
        <v>2339</v>
      </c>
      <c r="B784" s="1" t="s">
        <v>2340</v>
      </c>
      <c r="C784" s="1" t="s">
        <v>2341</v>
      </c>
      <c r="D784" s="1" t="s">
        <v>3027</v>
      </c>
      <c r="E784" s="3">
        <v>3729.19</v>
      </c>
      <c r="F784" s="3">
        <v>193.77</v>
      </c>
      <c r="G784" s="3">
        <v>0</v>
      </c>
      <c r="H784" s="3">
        <v>0</v>
      </c>
      <c r="I784" s="3">
        <v>4970.74</v>
      </c>
      <c r="J784" s="1" t="s">
        <v>86</v>
      </c>
      <c r="K784" s="28"/>
      <c r="L784" s="28"/>
    </row>
    <row r="785" spans="1:12" s="2" customFormat="1" ht="24.95" customHeight="1" x14ac:dyDescent="0.25">
      <c r="A785" s="31" t="s">
        <v>2342</v>
      </c>
      <c r="B785" s="1" t="s">
        <v>2343</v>
      </c>
      <c r="C785" s="1" t="s">
        <v>2344</v>
      </c>
      <c r="D785" s="1" t="s">
        <v>13</v>
      </c>
      <c r="E785" s="3">
        <v>4746.1099999999997</v>
      </c>
      <c r="F785" s="3">
        <v>0</v>
      </c>
      <c r="G785" s="3">
        <v>0</v>
      </c>
      <c r="H785" s="3">
        <v>5723.7</v>
      </c>
      <c r="I785" s="3">
        <v>0</v>
      </c>
      <c r="J785" s="1" t="s">
        <v>106</v>
      </c>
      <c r="K785" s="28"/>
      <c r="L785" s="28"/>
    </row>
    <row r="786" spans="1:12" s="2" customFormat="1" ht="24.95" customHeight="1" x14ac:dyDescent="0.25">
      <c r="A786" s="31" t="s">
        <v>2345</v>
      </c>
      <c r="B786" s="1" t="s">
        <v>2346</v>
      </c>
      <c r="C786" s="1" t="s">
        <v>2347</v>
      </c>
      <c r="D786" s="1" t="s">
        <v>3</v>
      </c>
      <c r="E786" s="3">
        <v>6512.49</v>
      </c>
      <c r="F786" s="3">
        <v>1080.27</v>
      </c>
      <c r="G786" s="3">
        <v>1850.32</v>
      </c>
      <c r="H786" s="3">
        <v>0</v>
      </c>
      <c r="I786" s="3">
        <v>0</v>
      </c>
      <c r="J786" s="1" t="s">
        <v>37</v>
      </c>
      <c r="K786" s="28"/>
      <c r="L786" s="28"/>
    </row>
    <row r="787" spans="1:12" s="2" customFormat="1" ht="24.95" customHeight="1" x14ac:dyDescent="0.25">
      <c r="A787" s="31" t="s">
        <v>2348</v>
      </c>
      <c r="B787" s="1" t="s">
        <v>2349</v>
      </c>
      <c r="C787" s="1" t="s">
        <v>2350</v>
      </c>
      <c r="D787" s="1" t="s">
        <v>3027</v>
      </c>
      <c r="E787" s="3">
        <v>7533.66</v>
      </c>
      <c r="F787" s="3">
        <v>1581.42</v>
      </c>
      <c r="G787" s="3">
        <v>1622.98</v>
      </c>
      <c r="H787" s="3">
        <v>4820.25</v>
      </c>
      <c r="I787" s="3">
        <v>0</v>
      </c>
      <c r="J787" s="1" t="s">
        <v>4</v>
      </c>
      <c r="K787" s="28"/>
      <c r="L787" s="28"/>
    </row>
    <row r="788" spans="1:12" s="2" customFormat="1" ht="24.95" customHeight="1" x14ac:dyDescent="0.25">
      <c r="A788" s="31" t="s">
        <v>2351</v>
      </c>
      <c r="B788" s="1" t="s">
        <v>2352</v>
      </c>
      <c r="C788" s="1" t="s">
        <v>2353</v>
      </c>
      <c r="D788" s="1" t="s">
        <v>3</v>
      </c>
      <c r="E788" s="3">
        <v>0</v>
      </c>
      <c r="F788" s="3">
        <v>3891.47</v>
      </c>
      <c r="G788" s="3">
        <v>214.99</v>
      </c>
      <c r="H788" s="3">
        <v>3561.06</v>
      </c>
      <c r="I788" s="3">
        <v>0</v>
      </c>
      <c r="J788" s="1" t="s">
        <v>93</v>
      </c>
      <c r="K788" s="28"/>
      <c r="L788" s="28"/>
    </row>
    <row r="789" spans="1:12" s="2" customFormat="1" ht="24.95" customHeight="1" x14ac:dyDescent="0.25">
      <c r="A789" s="31" t="s">
        <v>2354</v>
      </c>
      <c r="B789" s="1" t="s">
        <v>2355</v>
      </c>
      <c r="C789" s="1" t="s">
        <v>2356</v>
      </c>
      <c r="D789" s="1" t="s">
        <v>18</v>
      </c>
      <c r="E789" s="3">
        <v>7586.78</v>
      </c>
      <c r="F789" s="3">
        <v>4323.7299999999996</v>
      </c>
      <c r="G789" s="3">
        <v>0</v>
      </c>
      <c r="H789" s="3">
        <v>0</v>
      </c>
      <c r="I789" s="3">
        <v>0</v>
      </c>
      <c r="J789" s="1" t="s">
        <v>93</v>
      </c>
      <c r="K789" s="28"/>
      <c r="L789" s="28"/>
    </row>
    <row r="790" spans="1:12" s="2" customFormat="1" ht="24.95" customHeight="1" x14ac:dyDescent="0.25">
      <c r="A790" s="31" t="s">
        <v>2357</v>
      </c>
      <c r="B790" s="1" t="s">
        <v>2358</v>
      </c>
      <c r="C790" s="1" t="s">
        <v>2359</v>
      </c>
      <c r="D790" s="1" t="s">
        <v>18</v>
      </c>
      <c r="E790" s="3">
        <v>7612.9</v>
      </c>
      <c r="F790" s="3">
        <v>0</v>
      </c>
      <c r="G790" s="3">
        <v>1303.42</v>
      </c>
      <c r="H790" s="3">
        <v>0</v>
      </c>
      <c r="I790" s="3">
        <v>0</v>
      </c>
      <c r="J790" s="1" t="s">
        <v>48</v>
      </c>
      <c r="K790" s="28"/>
      <c r="L790" s="28"/>
    </row>
    <row r="791" spans="1:12" s="2" customFormat="1" ht="24.95" customHeight="1" x14ac:dyDescent="0.25">
      <c r="A791" s="31" t="s">
        <v>2360</v>
      </c>
      <c r="B791" s="1" t="s">
        <v>2361</v>
      </c>
      <c r="C791" s="1" t="s">
        <v>2362</v>
      </c>
      <c r="D791" s="1" t="s">
        <v>3027</v>
      </c>
      <c r="E791" s="3">
        <v>0</v>
      </c>
      <c r="F791" s="3">
        <v>2664.67</v>
      </c>
      <c r="G791" s="3">
        <v>0</v>
      </c>
      <c r="H791" s="3">
        <v>10252.370000000001</v>
      </c>
      <c r="I791" s="3">
        <v>0</v>
      </c>
      <c r="J791" s="1" t="s">
        <v>48</v>
      </c>
      <c r="K791" s="28"/>
      <c r="L791" s="28"/>
    </row>
    <row r="792" spans="1:12" s="2" customFormat="1" ht="24.95" customHeight="1" x14ac:dyDescent="0.25">
      <c r="A792" s="31" t="s">
        <v>2363</v>
      </c>
      <c r="B792" s="1" t="s">
        <v>2364</v>
      </c>
      <c r="C792" s="1" t="s">
        <v>2365</v>
      </c>
      <c r="D792" s="1" t="s">
        <v>3</v>
      </c>
      <c r="E792" s="3">
        <v>3109.76</v>
      </c>
      <c r="F792" s="3">
        <v>961.01</v>
      </c>
      <c r="G792" s="3">
        <v>1430.16</v>
      </c>
      <c r="H792" s="3">
        <v>11752.98</v>
      </c>
      <c r="I792" s="3">
        <v>0</v>
      </c>
      <c r="J792" s="1" t="s">
        <v>19</v>
      </c>
      <c r="K792" s="28"/>
      <c r="L792" s="28"/>
    </row>
    <row r="793" spans="1:12" s="2" customFormat="1" ht="24.95" customHeight="1" x14ac:dyDescent="0.25">
      <c r="A793" s="31" t="s">
        <v>2366</v>
      </c>
      <c r="B793" s="1" t="s">
        <v>2367</v>
      </c>
      <c r="C793" s="1" t="s">
        <v>2368</v>
      </c>
      <c r="D793" s="1" t="s">
        <v>3</v>
      </c>
      <c r="E793" s="3">
        <v>5208.26</v>
      </c>
      <c r="F793" s="3">
        <v>3890.2</v>
      </c>
      <c r="G793" s="3">
        <v>307.86</v>
      </c>
      <c r="H793" s="3">
        <v>9615.11</v>
      </c>
      <c r="I793" s="3">
        <v>0</v>
      </c>
      <c r="J793" s="1" t="s">
        <v>106</v>
      </c>
      <c r="K793" s="28"/>
      <c r="L793" s="28"/>
    </row>
    <row r="794" spans="1:12" s="2" customFormat="1" ht="24.95" customHeight="1" x14ac:dyDescent="0.25">
      <c r="A794" s="31" t="s">
        <v>2369</v>
      </c>
      <c r="B794" s="1" t="s">
        <v>2370</v>
      </c>
      <c r="C794" s="1" t="s">
        <v>2371</v>
      </c>
      <c r="D794" s="1" t="s">
        <v>3</v>
      </c>
      <c r="E794" s="3">
        <v>0</v>
      </c>
      <c r="F794" s="3">
        <v>2366.91</v>
      </c>
      <c r="G794" s="3">
        <v>0</v>
      </c>
      <c r="H794" s="3">
        <v>0</v>
      </c>
      <c r="I794" s="3">
        <v>3903.21</v>
      </c>
      <c r="J794" s="1" t="s">
        <v>93</v>
      </c>
      <c r="K794" s="28"/>
      <c r="L794" s="28"/>
    </row>
    <row r="795" spans="1:12" s="2" customFormat="1" ht="24.95" customHeight="1" x14ac:dyDescent="0.25">
      <c r="A795" s="31" t="s">
        <v>2372</v>
      </c>
      <c r="B795" s="1" t="s">
        <v>2373</v>
      </c>
      <c r="C795" s="1" t="s">
        <v>2374</v>
      </c>
      <c r="D795" s="1" t="s">
        <v>3027</v>
      </c>
      <c r="E795" s="3">
        <v>0</v>
      </c>
      <c r="F795" s="3">
        <v>0</v>
      </c>
      <c r="G795" s="3">
        <v>2057.48</v>
      </c>
      <c r="H795" s="3">
        <v>5571.19</v>
      </c>
      <c r="I795" s="3">
        <v>5541.65</v>
      </c>
      <c r="J795" s="1" t="s">
        <v>79</v>
      </c>
      <c r="K795" s="28"/>
      <c r="L795" s="28"/>
    </row>
    <row r="796" spans="1:12" s="2" customFormat="1" ht="24.95" customHeight="1" x14ac:dyDescent="0.25">
      <c r="A796" s="31" t="s">
        <v>2375</v>
      </c>
      <c r="B796" s="1" t="s">
        <v>2376</v>
      </c>
      <c r="C796" s="1" t="s">
        <v>2377</v>
      </c>
      <c r="D796" s="1" t="s">
        <v>18</v>
      </c>
      <c r="E796" s="3">
        <v>2785.89</v>
      </c>
      <c r="F796" s="3">
        <v>0</v>
      </c>
      <c r="G796" s="3">
        <v>1777.99</v>
      </c>
      <c r="H796" s="3">
        <v>0</v>
      </c>
      <c r="I796" s="3">
        <v>0</v>
      </c>
      <c r="J796" s="1" t="s">
        <v>37</v>
      </c>
      <c r="K796" s="28"/>
      <c r="L796" s="28"/>
    </row>
    <row r="797" spans="1:12" s="2" customFormat="1" ht="24.95" customHeight="1" x14ac:dyDescent="0.25">
      <c r="A797" s="31" t="s">
        <v>2378</v>
      </c>
      <c r="B797" s="1" t="s">
        <v>2379</v>
      </c>
      <c r="C797" s="1" t="s">
        <v>2380</v>
      </c>
      <c r="D797" s="1" t="s">
        <v>3</v>
      </c>
      <c r="E797" s="3">
        <v>0</v>
      </c>
      <c r="F797" s="3">
        <v>0</v>
      </c>
      <c r="G797" s="3">
        <v>0</v>
      </c>
      <c r="H797" s="3">
        <v>5221.88</v>
      </c>
      <c r="I797" s="3">
        <v>0</v>
      </c>
      <c r="J797" s="1" t="s">
        <v>37</v>
      </c>
      <c r="K797" s="28"/>
      <c r="L797" s="28"/>
    </row>
    <row r="798" spans="1:12" s="2" customFormat="1" ht="24.95" customHeight="1" x14ac:dyDescent="0.25">
      <c r="A798" s="31" t="s">
        <v>2381</v>
      </c>
      <c r="B798" s="1" t="s">
        <v>2382</v>
      </c>
      <c r="C798" s="1" t="s">
        <v>2383</v>
      </c>
      <c r="D798" s="1" t="s">
        <v>23</v>
      </c>
      <c r="E798" s="3">
        <v>0</v>
      </c>
      <c r="F798" s="3">
        <v>4027.66</v>
      </c>
      <c r="G798" s="3">
        <v>2066.9299999999998</v>
      </c>
      <c r="H798" s="3">
        <v>0</v>
      </c>
      <c r="I798" s="3">
        <v>13236.22</v>
      </c>
      <c r="J798" s="1" t="s">
        <v>24</v>
      </c>
      <c r="K798" s="28"/>
      <c r="L798" s="28"/>
    </row>
    <row r="799" spans="1:12" s="2" customFormat="1" ht="24.95" customHeight="1" x14ac:dyDescent="0.25">
      <c r="A799" s="31" t="s">
        <v>2384</v>
      </c>
      <c r="B799" s="1" t="s">
        <v>2385</v>
      </c>
      <c r="C799" s="1" t="s">
        <v>2386</v>
      </c>
      <c r="D799" s="1" t="s">
        <v>8</v>
      </c>
      <c r="E799" s="3">
        <v>0</v>
      </c>
      <c r="F799" s="3">
        <v>623.88</v>
      </c>
      <c r="G799" s="3">
        <v>0</v>
      </c>
      <c r="H799" s="3">
        <v>0</v>
      </c>
      <c r="I799" s="3">
        <v>0</v>
      </c>
      <c r="J799" s="1" t="s">
        <v>24</v>
      </c>
      <c r="K799" s="28"/>
      <c r="L799" s="28"/>
    </row>
    <row r="800" spans="1:12" s="2" customFormat="1" ht="24.95" customHeight="1" x14ac:dyDescent="0.25">
      <c r="A800" s="31" t="s">
        <v>2387</v>
      </c>
      <c r="B800" s="1" t="s">
        <v>2388</v>
      </c>
      <c r="C800" s="1" t="s">
        <v>2389</v>
      </c>
      <c r="D800" s="1" t="s">
        <v>3027</v>
      </c>
      <c r="E800" s="3">
        <v>0</v>
      </c>
      <c r="F800" s="3">
        <v>0</v>
      </c>
      <c r="G800" s="3">
        <v>2618.7199999999998</v>
      </c>
      <c r="H800" s="3">
        <v>0</v>
      </c>
      <c r="I800" s="3">
        <v>5299.85</v>
      </c>
      <c r="J800" s="1" t="s">
        <v>14</v>
      </c>
      <c r="K800" s="28"/>
      <c r="L800" s="28"/>
    </row>
    <row r="801" spans="1:12" s="2" customFormat="1" ht="24.95" customHeight="1" x14ac:dyDescent="0.25">
      <c r="A801" s="31" t="s">
        <v>2390</v>
      </c>
      <c r="B801" s="1" t="s">
        <v>2391</v>
      </c>
      <c r="C801" s="1" t="s">
        <v>2392</v>
      </c>
      <c r="D801" s="1" t="s">
        <v>3027</v>
      </c>
      <c r="E801" s="3">
        <v>3470.72</v>
      </c>
      <c r="F801" s="3">
        <v>0</v>
      </c>
      <c r="G801" s="3">
        <v>898.42</v>
      </c>
      <c r="H801" s="3">
        <v>0</v>
      </c>
      <c r="I801" s="3">
        <v>0</v>
      </c>
      <c r="J801" s="1" t="s">
        <v>79</v>
      </c>
      <c r="K801" s="28"/>
      <c r="L801" s="28"/>
    </row>
    <row r="802" spans="1:12" s="2" customFormat="1" ht="24.95" customHeight="1" x14ac:dyDescent="0.25">
      <c r="A802" s="31" t="s">
        <v>2393</v>
      </c>
      <c r="B802" s="1" t="s">
        <v>2394</v>
      </c>
      <c r="C802" s="1" t="s">
        <v>2395</v>
      </c>
      <c r="D802" s="1" t="s">
        <v>23</v>
      </c>
      <c r="E802" s="3">
        <v>7120.99</v>
      </c>
      <c r="F802" s="3">
        <v>4291.13</v>
      </c>
      <c r="G802" s="3">
        <v>2071.02</v>
      </c>
      <c r="H802" s="3">
        <v>0</v>
      </c>
      <c r="I802" s="3">
        <v>0</v>
      </c>
      <c r="J802" s="1" t="s">
        <v>24</v>
      </c>
      <c r="K802" s="28"/>
      <c r="L802" s="28"/>
    </row>
    <row r="803" spans="1:12" s="2" customFormat="1" ht="24.95" customHeight="1" x14ac:dyDescent="0.25">
      <c r="A803" s="31" t="s">
        <v>2396</v>
      </c>
      <c r="B803" s="1" t="s">
        <v>2397</v>
      </c>
      <c r="C803" s="1" t="s">
        <v>2398</v>
      </c>
      <c r="D803" s="1" t="s">
        <v>3</v>
      </c>
      <c r="E803" s="3">
        <v>1537.32</v>
      </c>
      <c r="F803" s="3">
        <v>2587.2399999999998</v>
      </c>
      <c r="G803" s="3">
        <v>0</v>
      </c>
      <c r="H803" s="3">
        <v>5830.42</v>
      </c>
      <c r="I803" s="3">
        <v>0</v>
      </c>
      <c r="J803" s="1" t="s">
        <v>19</v>
      </c>
      <c r="K803" s="28"/>
      <c r="L803" s="28"/>
    </row>
    <row r="804" spans="1:12" s="2" customFormat="1" ht="24.95" customHeight="1" x14ac:dyDescent="0.25">
      <c r="A804" s="31" t="s">
        <v>2399</v>
      </c>
      <c r="B804" s="1" t="s">
        <v>2400</v>
      </c>
      <c r="C804" s="1" t="s">
        <v>2401</v>
      </c>
      <c r="D804" s="1" t="s">
        <v>18</v>
      </c>
      <c r="E804" s="3">
        <v>0</v>
      </c>
      <c r="F804" s="3">
        <v>0</v>
      </c>
      <c r="G804" s="3">
        <v>931.1</v>
      </c>
      <c r="H804" s="3">
        <v>2388.9699999999998</v>
      </c>
      <c r="I804" s="3">
        <v>0</v>
      </c>
      <c r="J804" s="1" t="s">
        <v>86</v>
      </c>
      <c r="K804" s="28"/>
      <c r="L804" s="28"/>
    </row>
    <row r="805" spans="1:12" s="2" customFormat="1" ht="24.95" customHeight="1" x14ac:dyDescent="0.25">
      <c r="A805" s="31" t="s">
        <v>2402</v>
      </c>
      <c r="B805" s="1" t="s">
        <v>2403</v>
      </c>
      <c r="C805" s="1" t="s">
        <v>2404</v>
      </c>
      <c r="D805" s="1" t="s">
        <v>18</v>
      </c>
      <c r="E805" s="3">
        <v>0</v>
      </c>
      <c r="F805" s="3">
        <v>364.41</v>
      </c>
      <c r="G805" s="3">
        <v>1648.68</v>
      </c>
      <c r="H805" s="3">
        <v>3856.62</v>
      </c>
      <c r="I805" s="3">
        <v>0</v>
      </c>
      <c r="J805" s="1" t="s">
        <v>48</v>
      </c>
      <c r="K805" s="28"/>
      <c r="L805" s="28"/>
    </row>
    <row r="806" spans="1:12" s="2" customFormat="1" ht="24.95" customHeight="1" x14ac:dyDescent="0.25">
      <c r="A806" s="31" t="s">
        <v>2405</v>
      </c>
      <c r="B806" s="1" t="s">
        <v>2406</v>
      </c>
      <c r="C806" s="1" t="s">
        <v>2407</v>
      </c>
      <c r="D806" s="1" t="s">
        <v>8</v>
      </c>
      <c r="E806" s="3">
        <v>2364.0500000000002</v>
      </c>
      <c r="F806" s="3">
        <v>2254.37</v>
      </c>
      <c r="G806" s="3">
        <v>0</v>
      </c>
      <c r="H806" s="3">
        <v>7002.82</v>
      </c>
      <c r="I806" s="3">
        <v>0</v>
      </c>
      <c r="J806" s="1" t="s">
        <v>14</v>
      </c>
      <c r="K806" s="28"/>
      <c r="L806" s="28"/>
    </row>
    <row r="807" spans="1:12" s="2" customFormat="1" ht="24.95" customHeight="1" x14ac:dyDescent="0.25">
      <c r="A807" s="31" t="s">
        <v>2408</v>
      </c>
      <c r="B807" s="1" t="s">
        <v>2409</v>
      </c>
      <c r="C807" s="1" t="s">
        <v>2410</v>
      </c>
      <c r="D807" s="1" t="s">
        <v>23</v>
      </c>
      <c r="E807" s="3">
        <v>0</v>
      </c>
      <c r="F807" s="3">
        <v>0</v>
      </c>
      <c r="G807" s="3">
        <v>1856.95</v>
      </c>
      <c r="H807" s="3">
        <v>0</v>
      </c>
      <c r="I807" s="3">
        <v>7401.78</v>
      </c>
      <c r="J807" s="1" t="s">
        <v>106</v>
      </c>
      <c r="K807" s="28"/>
      <c r="L807" s="28"/>
    </row>
    <row r="808" spans="1:12" s="2" customFormat="1" ht="24.95" customHeight="1" x14ac:dyDescent="0.25">
      <c r="A808" s="31" t="s">
        <v>2411</v>
      </c>
      <c r="B808" s="1" t="s">
        <v>2412</v>
      </c>
      <c r="C808" s="1" t="s">
        <v>2413</v>
      </c>
      <c r="D808" s="1" t="s">
        <v>18</v>
      </c>
      <c r="E808" s="3">
        <v>0</v>
      </c>
      <c r="F808" s="3">
        <v>0</v>
      </c>
      <c r="G808" s="3">
        <v>0</v>
      </c>
      <c r="H808" s="3">
        <v>0</v>
      </c>
      <c r="I808" s="3">
        <v>3764.52</v>
      </c>
      <c r="J808" s="1" t="s">
        <v>4</v>
      </c>
      <c r="K808" s="28"/>
      <c r="L808" s="28"/>
    </row>
    <row r="809" spans="1:12" s="2" customFormat="1" ht="24.95" customHeight="1" x14ac:dyDescent="0.25">
      <c r="A809" s="31" t="s">
        <v>2414</v>
      </c>
      <c r="B809" s="1" t="s">
        <v>2415</v>
      </c>
      <c r="C809" s="1" t="s">
        <v>2416</v>
      </c>
      <c r="D809" s="1" t="s">
        <v>3027</v>
      </c>
      <c r="E809" s="3">
        <v>0</v>
      </c>
      <c r="F809" s="3">
        <v>0</v>
      </c>
      <c r="G809" s="3">
        <v>0</v>
      </c>
      <c r="H809" s="3">
        <v>3646.51</v>
      </c>
      <c r="I809" s="3">
        <v>0</v>
      </c>
      <c r="J809" s="1" t="s">
        <v>79</v>
      </c>
      <c r="K809" s="28"/>
      <c r="L809" s="28"/>
    </row>
    <row r="810" spans="1:12" s="2" customFormat="1" ht="24.95" customHeight="1" x14ac:dyDescent="0.25">
      <c r="A810" s="31" t="s">
        <v>2417</v>
      </c>
      <c r="B810" s="1" t="s">
        <v>2418</v>
      </c>
      <c r="C810" s="1" t="s">
        <v>2419</v>
      </c>
      <c r="D810" s="1" t="s">
        <v>3027</v>
      </c>
      <c r="E810" s="3">
        <v>0</v>
      </c>
      <c r="F810" s="3">
        <v>0</v>
      </c>
      <c r="G810" s="3">
        <v>0</v>
      </c>
      <c r="H810" s="3">
        <v>11482.72</v>
      </c>
      <c r="I810" s="3">
        <v>0</v>
      </c>
      <c r="J810" s="1" t="s">
        <v>41</v>
      </c>
      <c r="K810" s="28"/>
      <c r="L810" s="28"/>
    </row>
    <row r="811" spans="1:12" s="2" customFormat="1" ht="24.95" customHeight="1" x14ac:dyDescent="0.25">
      <c r="A811" s="31" t="s">
        <v>2420</v>
      </c>
      <c r="B811" s="1" t="s">
        <v>2421</v>
      </c>
      <c r="C811" s="1" t="s">
        <v>2422</v>
      </c>
      <c r="D811" s="1" t="s">
        <v>8</v>
      </c>
      <c r="E811" s="3">
        <v>0</v>
      </c>
      <c r="F811" s="3">
        <v>4096.4399999999996</v>
      </c>
      <c r="G811" s="3">
        <v>0</v>
      </c>
      <c r="H811" s="3">
        <v>0</v>
      </c>
      <c r="I811" s="3">
        <v>0</v>
      </c>
      <c r="J811" s="1" t="s">
        <v>106</v>
      </c>
      <c r="K811" s="28"/>
      <c r="L811" s="28"/>
    </row>
    <row r="812" spans="1:12" s="2" customFormat="1" ht="24.95" customHeight="1" x14ac:dyDescent="0.25">
      <c r="A812" s="31" t="s">
        <v>2423</v>
      </c>
      <c r="B812" s="1" t="s">
        <v>2424</v>
      </c>
      <c r="C812" s="1" t="s">
        <v>2425</v>
      </c>
      <c r="D812" s="1" t="s">
        <v>8</v>
      </c>
      <c r="E812" s="3">
        <v>2052.87</v>
      </c>
      <c r="F812" s="3">
        <v>4081.04</v>
      </c>
      <c r="G812" s="3">
        <v>0</v>
      </c>
      <c r="H812" s="3">
        <v>7507.37</v>
      </c>
      <c r="I812" s="3">
        <v>2699.09</v>
      </c>
      <c r="J812" s="1" t="s">
        <v>14</v>
      </c>
      <c r="K812" s="28"/>
      <c r="L812" s="28"/>
    </row>
    <row r="813" spans="1:12" s="2" customFormat="1" ht="24.95" customHeight="1" x14ac:dyDescent="0.25">
      <c r="A813" s="31" t="s">
        <v>2426</v>
      </c>
      <c r="B813" s="1" t="s">
        <v>2427</v>
      </c>
      <c r="C813" s="1" t="s">
        <v>2428</v>
      </c>
      <c r="D813" s="1" t="s">
        <v>13</v>
      </c>
      <c r="E813" s="3">
        <v>0</v>
      </c>
      <c r="F813" s="3">
        <v>0</v>
      </c>
      <c r="G813" s="3">
        <v>0</v>
      </c>
      <c r="H813" s="3">
        <v>0</v>
      </c>
      <c r="I813" s="3">
        <v>4666.0600000000004</v>
      </c>
      <c r="J813" s="1" t="s">
        <v>79</v>
      </c>
      <c r="K813" s="28"/>
      <c r="L813" s="28"/>
    </row>
    <row r="814" spans="1:12" s="2" customFormat="1" ht="24.95" customHeight="1" x14ac:dyDescent="0.25">
      <c r="A814" s="31" t="s">
        <v>2429</v>
      </c>
      <c r="B814" s="1" t="s">
        <v>2430</v>
      </c>
      <c r="C814" s="1" t="s">
        <v>2431</v>
      </c>
      <c r="D814" s="1" t="s">
        <v>23</v>
      </c>
      <c r="E814" s="3">
        <v>0</v>
      </c>
      <c r="F814" s="3">
        <v>1878.35</v>
      </c>
      <c r="G814" s="3">
        <v>1353.09</v>
      </c>
      <c r="H814" s="3">
        <v>243.3</v>
      </c>
      <c r="I814" s="3">
        <v>0</v>
      </c>
      <c r="J814" s="1" t="s">
        <v>93</v>
      </c>
      <c r="K814" s="28"/>
      <c r="L814" s="28"/>
    </row>
    <row r="815" spans="1:12" s="2" customFormat="1" ht="24.95" customHeight="1" x14ac:dyDescent="0.25">
      <c r="A815" s="31" t="s">
        <v>2432</v>
      </c>
      <c r="B815" s="1" t="s">
        <v>2433</v>
      </c>
      <c r="C815" s="1" t="s">
        <v>2434</v>
      </c>
      <c r="D815" s="1" t="s">
        <v>3</v>
      </c>
      <c r="E815" s="3">
        <v>7052.67</v>
      </c>
      <c r="F815" s="3">
        <v>4069.34</v>
      </c>
      <c r="G815" s="3">
        <v>0</v>
      </c>
      <c r="H815" s="3">
        <v>2954.37</v>
      </c>
      <c r="I815" s="3">
        <v>0</v>
      </c>
      <c r="J815" s="1" t="s">
        <v>37</v>
      </c>
      <c r="K815" s="28"/>
      <c r="L815" s="28"/>
    </row>
    <row r="816" spans="1:12" s="2" customFormat="1" ht="24.95" customHeight="1" x14ac:dyDescent="0.25">
      <c r="A816" s="31" t="s">
        <v>2435</v>
      </c>
      <c r="B816" s="1" t="s">
        <v>2436</v>
      </c>
      <c r="C816" s="1" t="s">
        <v>2437</v>
      </c>
      <c r="D816" s="1" t="s">
        <v>3</v>
      </c>
      <c r="E816" s="3">
        <v>2393.65</v>
      </c>
      <c r="F816" s="3">
        <v>4215.91</v>
      </c>
      <c r="G816" s="3">
        <v>136.19</v>
      </c>
      <c r="H816" s="3">
        <v>0</v>
      </c>
      <c r="I816" s="3">
        <v>0</v>
      </c>
      <c r="J816" s="1" t="s">
        <v>79</v>
      </c>
      <c r="K816" s="28"/>
      <c r="L816" s="28"/>
    </row>
    <row r="817" spans="1:12" s="2" customFormat="1" ht="24.95" customHeight="1" x14ac:dyDescent="0.25">
      <c r="A817" s="31" t="s">
        <v>2438</v>
      </c>
      <c r="B817" s="1" t="s">
        <v>2439</v>
      </c>
      <c r="C817" s="1" t="s">
        <v>2440</v>
      </c>
      <c r="D817" s="1" t="s">
        <v>3027</v>
      </c>
      <c r="E817" s="3">
        <v>6318.52</v>
      </c>
      <c r="F817" s="3">
        <v>0</v>
      </c>
      <c r="G817" s="3">
        <v>383.73</v>
      </c>
      <c r="H817" s="3">
        <v>0</v>
      </c>
      <c r="I817" s="3">
        <v>4500.13</v>
      </c>
      <c r="J817" s="1" t="s">
        <v>86</v>
      </c>
      <c r="K817" s="28"/>
      <c r="L817" s="28"/>
    </row>
    <row r="818" spans="1:12" s="2" customFormat="1" ht="24.95" customHeight="1" x14ac:dyDescent="0.25">
      <c r="A818" s="31" t="s">
        <v>2441</v>
      </c>
      <c r="B818" s="1" t="s">
        <v>2442</v>
      </c>
      <c r="C818" s="1" t="s">
        <v>2443</v>
      </c>
      <c r="D818" s="1" t="s">
        <v>3</v>
      </c>
      <c r="E818" s="3">
        <v>6626.5</v>
      </c>
      <c r="F818" s="3">
        <v>0</v>
      </c>
      <c r="G818" s="3">
        <v>0</v>
      </c>
      <c r="H818" s="3">
        <v>0</v>
      </c>
      <c r="I818" s="3">
        <v>10690.33</v>
      </c>
      <c r="J818" s="1" t="s">
        <v>86</v>
      </c>
      <c r="K818" s="28"/>
      <c r="L818" s="28"/>
    </row>
    <row r="819" spans="1:12" s="2" customFormat="1" ht="24.95" customHeight="1" x14ac:dyDescent="0.25">
      <c r="A819" s="31" t="s">
        <v>2444</v>
      </c>
      <c r="B819" s="1" t="s">
        <v>2445</v>
      </c>
      <c r="C819" s="1" t="s">
        <v>2446</v>
      </c>
      <c r="D819" s="1" t="s">
        <v>8</v>
      </c>
      <c r="E819" s="3">
        <v>0</v>
      </c>
      <c r="F819" s="3">
        <v>2897.66</v>
      </c>
      <c r="G819" s="3">
        <v>0</v>
      </c>
      <c r="H819" s="3">
        <v>2068.4499999999998</v>
      </c>
      <c r="I819" s="3">
        <v>0</v>
      </c>
      <c r="J819" s="1" t="s">
        <v>24</v>
      </c>
      <c r="K819" s="28"/>
      <c r="L819" s="28"/>
    </row>
    <row r="820" spans="1:12" s="2" customFormat="1" ht="24.95" customHeight="1" x14ac:dyDescent="0.25">
      <c r="A820" s="31" t="s">
        <v>2447</v>
      </c>
      <c r="B820" s="1" t="s">
        <v>2448</v>
      </c>
      <c r="C820" s="1" t="s">
        <v>2449</v>
      </c>
      <c r="D820" s="1" t="s">
        <v>3027</v>
      </c>
      <c r="E820" s="3">
        <v>0</v>
      </c>
      <c r="F820" s="3">
        <v>263.33999999999997</v>
      </c>
      <c r="G820" s="3">
        <v>0</v>
      </c>
      <c r="H820" s="3">
        <v>10766.46</v>
      </c>
      <c r="I820" s="3">
        <v>0</v>
      </c>
      <c r="J820" s="1" t="s">
        <v>106</v>
      </c>
      <c r="K820" s="28"/>
      <c r="L820" s="28"/>
    </row>
    <row r="821" spans="1:12" s="2" customFormat="1" ht="24.95" customHeight="1" x14ac:dyDescent="0.25">
      <c r="A821" s="31" t="s">
        <v>2450</v>
      </c>
      <c r="B821" s="1" t="s">
        <v>2451</v>
      </c>
      <c r="C821" s="1" t="s">
        <v>2452</v>
      </c>
      <c r="D821" s="1" t="s">
        <v>8</v>
      </c>
      <c r="E821" s="3">
        <v>0</v>
      </c>
      <c r="F821" s="3">
        <v>0</v>
      </c>
      <c r="G821" s="3">
        <v>2481.96</v>
      </c>
      <c r="H821" s="3">
        <v>0</v>
      </c>
      <c r="I821" s="3">
        <v>0</v>
      </c>
      <c r="J821" s="1" t="s">
        <v>93</v>
      </c>
      <c r="K821" s="28"/>
      <c r="L821" s="28"/>
    </row>
    <row r="822" spans="1:12" s="2" customFormat="1" ht="24.95" customHeight="1" x14ac:dyDescent="0.25">
      <c r="A822" s="31" t="s">
        <v>2453</v>
      </c>
      <c r="B822" s="1" t="s">
        <v>2454</v>
      </c>
      <c r="C822" s="1" t="s">
        <v>2455</v>
      </c>
      <c r="D822" s="1" t="s">
        <v>13</v>
      </c>
      <c r="E822" s="3">
        <v>0</v>
      </c>
      <c r="F822" s="3">
        <v>1559.42</v>
      </c>
      <c r="G822" s="3">
        <v>567.38</v>
      </c>
      <c r="H822" s="3">
        <v>6768.42</v>
      </c>
      <c r="I822" s="3">
        <v>0</v>
      </c>
      <c r="J822" s="1" t="s">
        <v>14</v>
      </c>
      <c r="K822" s="28"/>
      <c r="L822" s="28"/>
    </row>
    <row r="823" spans="1:12" s="2" customFormat="1" ht="24.95" customHeight="1" x14ac:dyDescent="0.25">
      <c r="A823" s="31" t="s">
        <v>2456</v>
      </c>
      <c r="B823" s="1" t="s">
        <v>2457</v>
      </c>
      <c r="C823" s="1" t="s">
        <v>2458</v>
      </c>
      <c r="D823" s="1" t="s">
        <v>23</v>
      </c>
      <c r="E823" s="3">
        <v>0</v>
      </c>
      <c r="F823" s="3">
        <v>3163.3</v>
      </c>
      <c r="G823" s="3">
        <v>0</v>
      </c>
      <c r="H823" s="3">
        <v>0</v>
      </c>
      <c r="I823" s="3">
        <v>3265.05</v>
      </c>
      <c r="J823" s="1" t="s">
        <v>19</v>
      </c>
      <c r="K823" s="28"/>
      <c r="L823" s="28"/>
    </row>
    <row r="824" spans="1:12" s="2" customFormat="1" ht="24.95" customHeight="1" x14ac:dyDescent="0.25">
      <c r="A824" s="31" t="s">
        <v>2459</v>
      </c>
      <c r="B824" s="1" t="s">
        <v>2460</v>
      </c>
      <c r="C824" s="1" t="s">
        <v>2461</v>
      </c>
      <c r="D824" s="1" t="s">
        <v>3</v>
      </c>
      <c r="E824" s="3">
        <v>0</v>
      </c>
      <c r="F824" s="3">
        <v>352.8</v>
      </c>
      <c r="G824" s="3">
        <v>2196.9499999999998</v>
      </c>
      <c r="H824" s="3">
        <v>11136.32</v>
      </c>
      <c r="I824" s="3">
        <v>8537.3700000000008</v>
      </c>
      <c r="J824" s="1" t="s">
        <v>79</v>
      </c>
      <c r="K824" s="28"/>
      <c r="L824" s="28"/>
    </row>
    <row r="825" spans="1:12" s="2" customFormat="1" ht="24.95" customHeight="1" x14ac:dyDescent="0.25">
      <c r="A825" s="31" t="s">
        <v>2462</v>
      </c>
      <c r="B825" s="1" t="s">
        <v>2463</v>
      </c>
      <c r="C825" s="1" t="s">
        <v>2464</v>
      </c>
      <c r="D825" s="1" t="s">
        <v>3</v>
      </c>
      <c r="E825" s="3">
        <v>6186.85</v>
      </c>
      <c r="F825" s="3">
        <v>0</v>
      </c>
      <c r="G825" s="3">
        <v>104.84</v>
      </c>
      <c r="H825" s="3">
        <v>0</v>
      </c>
      <c r="I825" s="3">
        <v>0</v>
      </c>
      <c r="J825" s="1" t="s">
        <v>106</v>
      </c>
      <c r="K825" s="28"/>
      <c r="L825" s="28"/>
    </row>
    <row r="826" spans="1:12" s="2" customFormat="1" ht="24.95" customHeight="1" x14ac:dyDescent="0.25">
      <c r="A826" s="31" t="s">
        <v>2465</v>
      </c>
      <c r="B826" s="1" t="s">
        <v>2466</v>
      </c>
      <c r="C826" s="1" t="s">
        <v>2467</v>
      </c>
      <c r="D826" s="1" t="s">
        <v>3</v>
      </c>
      <c r="E826" s="3">
        <v>261.72000000000003</v>
      </c>
      <c r="F826" s="3">
        <v>455.16</v>
      </c>
      <c r="G826" s="3">
        <v>0</v>
      </c>
      <c r="H826" s="3">
        <v>5120.79</v>
      </c>
      <c r="I826" s="3">
        <v>0</v>
      </c>
      <c r="J826" s="1" t="s">
        <v>9</v>
      </c>
      <c r="K826" s="28"/>
      <c r="L826" s="28"/>
    </row>
    <row r="827" spans="1:12" s="2" customFormat="1" ht="24.95" customHeight="1" x14ac:dyDescent="0.25">
      <c r="A827" s="31" t="s">
        <v>2468</v>
      </c>
      <c r="B827" s="1" t="s">
        <v>2469</v>
      </c>
      <c r="C827" s="1" t="s">
        <v>2470</v>
      </c>
      <c r="D827" s="1" t="s">
        <v>18</v>
      </c>
      <c r="E827" s="3">
        <v>4471.92</v>
      </c>
      <c r="F827" s="3">
        <v>2985.09</v>
      </c>
      <c r="G827" s="3">
        <v>0</v>
      </c>
      <c r="H827" s="3">
        <v>2625.8</v>
      </c>
      <c r="I827" s="3">
        <v>14035.62</v>
      </c>
      <c r="J827" s="1" t="s">
        <v>37</v>
      </c>
      <c r="K827" s="28"/>
      <c r="L827" s="28"/>
    </row>
    <row r="828" spans="1:12" s="2" customFormat="1" ht="24.95" customHeight="1" x14ac:dyDescent="0.25">
      <c r="A828" s="31" t="s">
        <v>2471</v>
      </c>
      <c r="B828" s="1" t="s">
        <v>2472</v>
      </c>
      <c r="C828" s="1" t="s">
        <v>2473</v>
      </c>
      <c r="D828" s="1" t="s">
        <v>8</v>
      </c>
      <c r="E828" s="3">
        <v>0</v>
      </c>
      <c r="F828" s="3">
        <v>1526.75</v>
      </c>
      <c r="G828" s="3">
        <v>2500.5500000000002</v>
      </c>
      <c r="H828" s="3">
        <v>0</v>
      </c>
      <c r="I828" s="3">
        <v>0</v>
      </c>
      <c r="J828" s="1" t="s">
        <v>4</v>
      </c>
      <c r="K828" s="28"/>
      <c r="L828" s="28"/>
    </row>
    <row r="829" spans="1:12" s="2" customFormat="1" ht="24.95" customHeight="1" x14ac:dyDescent="0.25">
      <c r="A829" s="31" t="s">
        <v>2474</v>
      </c>
      <c r="B829" s="1" t="s">
        <v>2475</v>
      </c>
      <c r="C829" s="1" t="s">
        <v>2476</v>
      </c>
      <c r="D829" s="1" t="s">
        <v>13</v>
      </c>
      <c r="E829" s="3">
        <v>0</v>
      </c>
      <c r="F829" s="3">
        <v>653.29999999999995</v>
      </c>
      <c r="G829" s="3">
        <v>0</v>
      </c>
      <c r="H829" s="3">
        <v>0</v>
      </c>
      <c r="I829" s="3">
        <v>0</v>
      </c>
      <c r="J829" s="1" t="s">
        <v>86</v>
      </c>
      <c r="K829" s="28"/>
      <c r="L829" s="28"/>
    </row>
    <row r="830" spans="1:12" s="2" customFormat="1" ht="24.95" customHeight="1" x14ac:dyDescent="0.25">
      <c r="A830" s="31" t="s">
        <v>2477</v>
      </c>
      <c r="B830" s="1" t="s">
        <v>2478</v>
      </c>
      <c r="C830" s="1" t="s">
        <v>2479</v>
      </c>
      <c r="D830" s="1" t="s">
        <v>18</v>
      </c>
      <c r="E830" s="3">
        <v>7191.84</v>
      </c>
      <c r="F830" s="3">
        <v>0</v>
      </c>
      <c r="G830" s="3">
        <v>0</v>
      </c>
      <c r="H830" s="3">
        <v>4856.79</v>
      </c>
      <c r="I830" s="3">
        <v>13410.33</v>
      </c>
      <c r="J830" s="1" t="s">
        <v>24</v>
      </c>
      <c r="K830" s="28"/>
      <c r="L830" s="28"/>
    </row>
    <row r="831" spans="1:12" s="2" customFormat="1" ht="24.95" customHeight="1" x14ac:dyDescent="0.25">
      <c r="A831" s="31" t="s">
        <v>2480</v>
      </c>
      <c r="B831" s="1" t="s">
        <v>2481</v>
      </c>
      <c r="C831" s="1" t="s">
        <v>2482</v>
      </c>
      <c r="D831" s="1" t="s">
        <v>3</v>
      </c>
      <c r="E831" s="3">
        <v>0</v>
      </c>
      <c r="F831" s="3">
        <v>4314.1499999999996</v>
      </c>
      <c r="G831" s="3">
        <v>114.27</v>
      </c>
      <c r="H831" s="3">
        <v>0</v>
      </c>
      <c r="I831" s="3">
        <v>0</v>
      </c>
      <c r="J831" s="1" t="s">
        <v>4</v>
      </c>
      <c r="K831" s="28"/>
      <c r="L831" s="28"/>
    </row>
    <row r="832" spans="1:12" s="2" customFormat="1" ht="24.95" customHeight="1" x14ac:dyDescent="0.25">
      <c r="A832" s="31" t="s">
        <v>2483</v>
      </c>
      <c r="B832" s="1" t="s">
        <v>2484</v>
      </c>
      <c r="C832" s="1" t="s">
        <v>2485</v>
      </c>
      <c r="D832" s="1" t="s">
        <v>23</v>
      </c>
      <c r="E832" s="3">
        <v>3076.37</v>
      </c>
      <c r="F832" s="3">
        <v>0</v>
      </c>
      <c r="G832" s="3">
        <v>1727.45</v>
      </c>
      <c r="H832" s="3">
        <v>0</v>
      </c>
      <c r="I832" s="3">
        <v>0</v>
      </c>
      <c r="J832" s="1" t="s">
        <v>14</v>
      </c>
      <c r="K832" s="28"/>
      <c r="L832" s="28"/>
    </row>
    <row r="833" spans="1:12" s="2" customFormat="1" ht="24.95" customHeight="1" x14ac:dyDescent="0.25">
      <c r="A833" s="31" t="s">
        <v>2486</v>
      </c>
      <c r="B833" s="1" t="s">
        <v>2487</v>
      </c>
      <c r="C833" s="1" t="s">
        <v>2488</v>
      </c>
      <c r="D833" s="1" t="s">
        <v>3</v>
      </c>
      <c r="E833" s="3">
        <v>0</v>
      </c>
      <c r="F833" s="3">
        <v>2921.42</v>
      </c>
      <c r="G833" s="3">
        <v>2179.5300000000002</v>
      </c>
      <c r="H833" s="3">
        <v>0</v>
      </c>
      <c r="I833" s="3">
        <v>9147.24</v>
      </c>
      <c r="J833" s="1" t="s">
        <v>37</v>
      </c>
      <c r="K833" s="28"/>
      <c r="L833" s="28"/>
    </row>
    <row r="834" spans="1:12" s="2" customFormat="1" ht="24.95" customHeight="1" x14ac:dyDescent="0.25">
      <c r="A834" s="31" t="s">
        <v>2489</v>
      </c>
      <c r="B834" s="1" t="s">
        <v>2490</v>
      </c>
      <c r="C834" s="1" t="s">
        <v>2491</v>
      </c>
      <c r="D834" s="1" t="s">
        <v>3027</v>
      </c>
      <c r="E834" s="3">
        <v>0</v>
      </c>
      <c r="F834" s="3">
        <v>210.29</v>
      </c>
      <c r="G834" s="3">
        <v>0</v>
      </c>
      <c r="H834" s="3">
        <v>0</v>
      </c>
      <c r="I834" s="3">
        <v>0</v>
      </c>
      <c r="J834" s="1" t="s">
        <v>37</v>
      </c>
      <c r="K834" s="28"/>
      <c r="L834" s="28"/>
    </row>
    <row r="835" spans="1:12" s="2" customFormat="1" ht="24.95" customHeight="1" x14ac:dyDescent="0.25">
      <c r="A835" s="31" t="s">
        <v>2492</v>
      </c>
      <c r="B835" s="1" t="s">
        <v>2493</v>
      </c>
      <c r="C835" s="1" t="s">
        <v>2494</v>
      </c>
      <c r="D835" s="1" t="s">
        <v>3</v>
      </c>
      <c r="E835" s="3">
        <v>3069.42</v>
      </c>
      <c r="F835" s="3">
        <v>0</v>
      </c>
      <c r="G835" s="3">
        <v>0</v>
      </c>
      <c r="H835" s="3">
        <v>2355.16</v>
      </c>
      <c r="I835" s="3">
        <v>2366.3200000000002</v>
      </c>
      <c r="J835" s="1" t="s">
        <v>14</v>
      </c>
      <c r="K835" s="28"/>
      <c r="L835" s="28"/>
    </row>
    <row r="836" spans="1:12" s="2" customFormat="1" ht="24.95" customHeight="1" x14ac:dyDescent="0.25">
      <c r="A836" s="31" t="s">
        <v>2495</v>
      </c>
      <c r="B836" s="1" t="s">
        <v>2496</v>
      </c>
      <c r="C836" s="1" t="s">
        <v>2497</v>
      </c>
      <c r="D836" s="1" t="s">
        <v>3027</v>
      </c>
      <c r="E836" s="3">
        <v>6333.37</v>
      </c>
      <c r="F836" s="3">
        <v>0</v>
      </c>
      <c r="G836" s="3">
        <v>304.82</v>
      </c>
      <c r="H836" s="3">
        <v>0</v>
      </c>
      <c r="I836" s="3">
        <v>0</v>
      </c>
      <c r="J836" s="1" t="s">
        <v>48</v>
      </c>
      <c r="K836" s="28"/>
      <c r="L836" s="28"/>
    </row>
    <row r="837" spans="1:12" s="2" customFormat="1" ht="24.95" customHeight="1" x14ac:dyDescent="0.25">
      <c r="A837" s="31" t="s">
        <v>2498</v>
      </c>
      <c r="B837" s="1" t="s">
        <v>2499</v>
      </c>
      <c r="C837" s="1" t="s">
        <v>2500</v>
      </c>
      <c r="D837" s="1" t="s">
        <v>3027</v>
      </c>
      <c r="E837" s="3">
        <v>0</v>
      </c>
      <c r="F837" s="3">
        <v>4899.0600000000004</v>
      </c>
      <c r="G837" s="3">
        <v>1442.14</v>
      </c>
      <c r="H837" s="3">
        <v>7754.31</v>
      </c>
      <c r="I837" s="3">
        <v>0</v>
      </c>
      <c r="J837" s="1" t="s">
        <v>37</v>
      </c>
      <c r="K837" s="28"/>
      <c r="L837" s="28"/>
    </row>
    <row r="838" spans="1:12" s="2" customFormat="1" ht="24.95" customHeight="1" x14ac:dyDescent="0.25">
      <c r="A838" s="31" t="s">
        <v>2501</v>
      </c>
      <c r="B838" s="1" t="s">
        <v>2502</v>
      </c>
      <c r="C838" s="1" t="s">
        <v>2503</v>
      </c>
      <c r="D838" s="1" t="s">
        <v>3027</v>
      </c>
      <c r="E838" s="3">
        <v>7130.9</v>
      </c>
      <c r="F838" s="3">
        <v>0</v>
      </c>
      <c r="G838" s="3">
        <v>514.13</v>
      </c>
      <c r="H838" s="3">
        <v>0</v>
      </c>
      <c r="I838" s="3">
        <v>0</v>
      </c>
      <c r="J838" s="1" t="s">
        <v>86</v>
      </c>
      <c r="K838" s="28"/>
      <c r="L838" s="28"/>
    </row>
    <row r="839" spans="1:12" s="2" customFormat="1" ht="24.95" customHeight="1" x14ac:dyDescent="0.25">
      <c r="A839" s="31" t="s">
        <v>2504</v>
      </c>
      <c r="B839" s="1" t="s">
        <v>2505</v>
      </c>
      <c r="C839" s="1" t="s">
        <v>2506</v>
      </c>
      <c r="D839" s="1" t="s">
        <v>3027</v>
      </c>
      <c r="E839" s="3">
        <v>0</v>
      </c>
      <c r="F839" s="3">
        <v>0</v>
      </c>
      <c r="G839" s="3">
        <v>828.25</v>
      </c>
      <c r="H839" s="3">
        <v>0</v>
      </c>
      <c r="I839" s="3">
        <v>0</v>
      </c>
      <c r="J839" s="1" t="s">
        <v>24</v>
      </c>
      <c r="K839" s="28"/>
      <c r="L839" s="28"/>
    </row>
    <row r="840" spans="1:12" s="2" customFormat="1" ht="24.95" customHeight="1" x14ac:dyDescent="0.25">
      <c r="A840" s="31" t="s">
        <v>2507</v>
      </c>
      <c r="B840" s="1" t="s">
        <v>2508</v>
      </c>
      <c r="C840" s="1" t="s">
        <v>2509</v>
      </c>
      <c r="D840" s="1" t="s">
        <v>3027</v>
      </c>
      <c r="E840" s="3">
        <v>0</v>
      </c>
      <c r="F840" s="3">
        <v>0</v>
      </c>
      <c r="G840" s="3">
        <v>0</v>
      </c>
      <c r="H840" s="3">
        <v>2100.4</v>
      </c>
      <c r="I840" s="3">
        <v>1842.44</v>
      </c>
      <c r="J840" s="1" t="s">
        <v>86</v>
      </c>
      <c r="K840" s="28"/>
      <c r="L840" s="28"/>
    </row>
    <row r="841" spans="1:12" s="2" customFormat="1" ht="24.95" customHeight="1" x14ac:dyDescent="0.25">
      <c r="A841" s="31" t="s">
        <v>2510</v>
      </c>
      <c r="B841" s="1" t="s">
        <v>2511</v>
      </c>
      <c r="C841" s="1" t="s">
        <v>2512</v>
      </c>
      <c r="D841" s="1" t="s">
        <v>8</v>
      </c>
      <c r="E841" s="3">
        <v>3480.33</v>
      </c>
      <c r="F841" s="3">
        <v>0</v>
      </c>
      <c r="G841" s="3">
        <v>0</v>
      </c>
      <c r="H841" s="3">
        <v>7848.92</v>
      </c>
      <c r="I841" s="3">
        <v>0</v>
      </c>
      <c r="J841" s="1" t="s">
        <v>48</v>
      </c>
      <c r="K841" s="28"/>
      <c r="L841" s="28"/>
    </row>
    <row r="842" spans="1:12" s="2" customFormat="1" ht="24.95" customHeight="1" x14ac:dyDescent="0.25">
      <c r="A842" s="31" t="s">
        <v>2513</v>
      </c>
      <c r="B842" s="1" t="s">
        <v>2514</v>
      </c>
      <c r="C842" s="1" t="s">
        <v>2515</v>
      </c>
      <c r="D842" s="1" t="s">
        <v>18</v>
      </c>
      <c r="E842" s="3">
        <v>0</v>
      </c>
      <c r="F842" s="3">
        <v>0</v>
      </c>
      <c r="G842" s="3">
        <v>0</v>
      </c>
      <c r="H842" s="3">
        <v>0</v>
      </c>
      <c r="I842" s="3">
        <v>10209.74</v>
      </c>
      <c r="J842" s="1" t="s">
        <v>93</v>
      </c>
      <c r="K842" s="28"/>
      <c r="L842" s="28"/>
    </row>
    <row r="843" spans="1:12" s="2" customFormat="1" ht="24.95" customHeight="1" x14ac:dyDescent="0.25">
      <c r="A843" s="31" t="s">
        <v>2516</v>
      </c>
      <c r="B843" s="1" t="s">
        <v>2517</v>
      </c>
      <c r="C843" s="1" t="s">
        <v>2518</v>
      </c>
      <c r="D843" s="1" t="s">
        <v>18</v>
      </c>
      <c r="E843" s="3">
        <v>6769.71</v>
      </c>
      <c r="F843" s="3">
        <v>0</v>
      </c>
      <c r="G843" s="3">
        <v>257.58</v>
      </c>
      <c r="H843" s="3">
        <v>2104.19</v>
      </c>
      <c r="I843" s="3">
        <v>9148.58</v>
      </c>
      <c r="J843" s="1" t="s">
        <v>9</v>
      </c>
      <c r="K843" s="28"/>
      <c r="L843" s="28"/>
    </row>
    <row r="844" spans="1:12" s="2" customFormat="1" ht="24.95" customHeight="1" x14ac:dyDescent="0.25">
      <c r="A844" s="31" t="s">
        <v>2519</v>
      </c>
      <c r="B844" s="1" t="s">
        <v>2520</v>
      </c>
      <c r="C844" s="1" t="s">
        <v>2521</v>
      </c>
      <c r="D844" s="1" t="s">
        <v>3</v>
      </c>
      <c r="E844" s="3">
        <v>4703.05</v>
      </c>
      <c r="F844" s="3">
        <v>0</v>
      </c>
      <c r="G844" s="3">
        <v>0</v>
      </c>
      <c r="H844" s="3">
        <v>0</v>
      </c>
      <c r="I844" s="3">
        <v>0</v>
      </c>
      <c r="J844" s="1" t="s">
        <v>24</v>
      </c>
      <c r="K844" s="28"/>
      <c r="L844" s="28"/>
    </row>
    <row r="845" spans="1:12" s="2" customFormat="1" ht="24.95" customHeight="1" x14ac:dyDescent="0.25">
      <c r="A845" s="31" t="s">
        <v>2522</v>
      </c>
      <c r="B845" s="1" t="s">
        <v>2523</v>
      </c>
      <c r="C845" s="1" t="s">
        <v>2524</v>
      </c>
      <c r="D845" s="1" t="s">
        <v>3027</v>
      </c>
      <c r="E845" s="3">
        <v>3401.22</v>
      </c>
      <c r="F845" s="3">
        <v>2918.91</v>
      </c>
      <c r="G845" s="3">
        <v>128.33000000000001</v>
      </c>
      <c r="H845" s="3">
        <v>835.42</v>
      </c>
      <c r="I845" s="3">
        <v>0</v>
      </c>
      <c r="J845" s="1" t="s">
        <v>9</v>
      </c>
      <c r="K845" s="28"/>
      <c r="L845" s="28"/>
    </row>
    <row r="846" spans="1:12" s="2" customFormat="1" ht="24.95" customHeight="1" x14ac:dyDescent="0.25">
      <c r="A846" s="31" t="s">
        <v>2525</v>
      </c>
      <c r="B846" s="1" t="s">
        <v>2526</v>
      </c>
      <c r="C846" s="1" t="s">
        <v>2527</v>
      </c>
      <c r="D846" s="1" t="s">
        <v>23</v>
      </c>
      <c r="E846" s="3">
        <v>0</v>
      </c>
      <c r="F846" s="3">
        <v>0</v>
      </c>
      <c r="G846" s="3">
        <v>0</v>
      </c>
      <c r="H846" s="3">
        <v>5622.03</v>
      </c>
      <c r="I846" s="3">
        <v>0</v>
      </c>
      <c r="J846" s="1" t="s">
        <v>9</v>
      </c>
      <c r="K846" s="28"/>
      <c r="L846" s="28"/>
    </row>
    <row r="847" spans="1:12" s="2" customFormat="1" ht="24.95" customHeight="1" x14ac:dyDescent="0.25">
      <c r="A847" s="31" t="s">
        <v>2528</v>
      </c>
      <c r="B847" s="1" t="s">
        <v>2529</v>
      </c>
      <c r="C847" s="1" t="s">
        <v>2530</v>
      </c>
      <c r="D847" s="1" t="s">
        <v>18</v>
      </c>
      <c r="E847" s="3">
        <v>0</v>
      </c>
      <c r="F847" s="3">
        <v>0</v>
      </c>
      <c r="G847" s="3">
        <v>726.17</v>
      </c>
      <c r="H847" s="3">
        <v>8697.4599999999991</v>
      </c>
      <c r="I847" s="3">
        <v>235.99</v>
      </c>
      <c r="J847" s="1" t="s">
        <v>37</v>
      </c>
      <c r="K847" s="28"/>
      <c r="L847" s="28"/>
    </row>
    <row r="848" spans="1:12" s="2" customFormat="1" ht="24.95" customHeight="1" x14ac:dyDescent="0.25">
      <c r="A848" s="31" t="s">
        <v>2531</v>
      </c>
      <c r="B848" s="1" t="s">
        <v>2532</v>
      </c>
      <c r="C848" s="1" t="s">
        <v>2533</v>
      </c>
      <c r="D848" s="1" t="s">
        <v>23</v>
      </c>
      <c r="E848" s="3">
        <v>0</v>
      </c>
      <c r="F848" s="3">
        <v>3885.14</v>
      </c>
      <c r="G848" s="3">
        <v>2859.16</v>
      </c>
      <c r="H848" s="3">
        <v>2759.39</v>
      </c>
      <c r="I848" s="3">
        <v>11105.16</v>
      </c>
      <c r="J848" s="1" t="s">
        <v>79</v>
      </c>
      <c r="K848" s="28"/>
      <c r="L848" s="28"/>
    </row>
    <row r="849" spans="1:12" s="2" customFormat="1" ht="24.95" customHeight="1" x14ac:dyDescent="0.25">
      <c r="A849" s="31" t="s">
        <v>2534</v>
      </c>
      <c r="B849" s="1" t="s">
        <v>2535</v>
      </c>
      <c r="C849" s="1" t="s">
        <v>2536</v>
      </c>
      <c r="D849" s="1" t="s">
        <v>3</v>
      </c>
      <c r="E849" s="3">
        <v>0</v>
      </c>
      <c r="F849" s="3">
        <v>4408.3999999999996</v>
      </c>
      <c r="G849" s="3">
        <v>2304.54</v>
      </c>
      <c r="H849" s="3">
        <v>10661.75</v>
      </c>
      <c r="I849" s="3">
        <v>0</v>
      </c>
      <c r="J849" s="1" t="s">
        <v>106</v>
      </c>
      <c r="K849" s="28"/>
      <c r="L849" s="28"/>
    </row>
    <row r="850" spans="1:12" s="2" customFormat="1" ht="24.95" customHeight="1" x14ac:dyDescent="0.25">
      <c r="A850" s="31" t="s">
        <v>2537</v>
      </c>
      <c r="B850" s="1" t="s">
        <v>2538</v>
      </c>
      <c r="C850" s="1" t="s">
        <v>2539</v>
      </c>
      <c r="D850" s="1" t="s">
        <v>8</v>
      </c>
      <c r="E850" s="3">
        <v>0</v>
      </c>
      <c r="F850" s="3">
        <v>669.88</v>
      </c>
      <c r="G850" s="3">
        <v>2444.46</v>
      </c>
      <c r="H850" s="3">
        <v>9089.93</v>
      </c>
      <c r="I850" s="3">
        <v>4468.51</v>
      </c>
      <c r="J850" s="1" t="s">
        <v>93</v>
      </c>
      <c r="K850" s="28"/>
      <c r="L850" s="28"/>
    </row>
    <row r="851" spans="1:12" s="2" customFormat="1" ht="24.95" customHeight="1" x14ac:dyDescent="0.25">
      <c r="A851" s="31" t="s">
        <v>2540</v>
      </c>
      <c r="B851" s="1" t="s">
        <v>2541</v>
      </c>
      <c r="C851" s="1" t="s">
        <v>2542</v>
      </c>
      <c r="D851" s="1" t="s">
        <v>8</v>
      </c>
      <c r="E851" s="3">
        <v>7868.97</v>
      </c>
      <c r="F851" s="3">
        <v>0</v>
      </c>
      <c r="G851" s="3">
        <v>0</v>
      </c>
      <c r="H851" s="3">
        <v>10859.92</v>
      </c>
      <c r="I851" s="3">
        <v>1280.53</v>
      </c>
      <c r="J851" s="1" t="s">
        <v>86</v>
      </c>
      <c r="K851" s="28"/>
      <c r="L851" s="28"/>
    </row>
    <row r="852" spans="1:12" s="2" customFormat="1" ht="24.95" customHeight="1" x14ac:dyDescent="0.25">
      <c r="A852" s="31" t="s">
        <v>2543</v>
      </c>
      <c r="B852" s="1" t="s">
        <v>2544</v>
      </c>
      <c r="C852" s="1" t="s">
        <v>2545</v>
      </c>
      <c r="D852" s="1" t="s">
        <v>23</v>
      </c>
      <c r="E852" s="3">
        <v>0</v>
      </c>
      <c r="F852" s="3">
        <v>0</v>
      </c>
      <c r="G852" s="3">
        <v>0</v>
      </c>
      <c r="H852" s="3">
        <v>4042.82</v>
      </c>
      <c r="I852" s="3">
        <v>14077.93</v>
      </c>
      <c r="J852" s="1" t="s">
        <v>37</v>
      </c>
      <c r="K852" s="28"/>
      <c r="L852" s="28"/>
    </row>
    <row r="853" spans="1:12" s="2" customFormat="1" ht="24.95" customHeight="1" x14ac:dyDescent="0.25">
      <c r="A853" s="31" t="s">
        <v>2546</v>
      </c>
      <c r="B853" s="1" t="s">
        <v>2547</v>
      </c>
      <c r="C853" s="1" t="s">
        <v>2548</v>
      </c>
      <c r="D853" s="1" t="s">
        <v>13</v>
      </c>
      <c r="E853" s="3">
        <v>0</v>
      </c>
      <c r="F853" s="3">
        <v>0</v>
      </c>
      <c r="G853" s="3">
        <v>2413.84</v>
      </c>
      <c r="H853" s="3">
        <v>696.65</v>
      </c>
      <c r="I853" s="3">
        <v>13454.6</v>
      </c>
      <c r="J853" s="1" t="s">
        <v>106</v>
      </c>
      <c r="K853" s="28"/>
      <c r="L853" s="28"/>
    </row>
    <row r="854" spans="1:12" s="2" customFormat="1" ht="24.95" customHeight="1" x14ac:dyDescent="0.25">
      <c r="A854" s="31" t="s">
        <v>2549</v>
      </c>
      <c r="B854" s="1" t="s">
        <v>2550</v>
      </c>
      <c r="C854" s="1" t="s">
        <v>2551</v>
      </c>
      <c r="D854" s="1" t="s">
        <v>3027</v>
      </c>
      <c r="E854" s="3">
        <v>6598.1</v>
      </c>
      <c r="F854" s="3">
        <v>2783.76</v>
      </c>
      <c r="G854" s="3">
        <v>2047.75</v>
      </c>
      <c r="H854" s="3">
        <v>0</v>
      </c>
      <c r="I854" s="3">
        <v>0</v>
      </c>
      <c r="J854" s="1" t="s">
        <v>48</v>
      </c>
      <c r="K854" s="28"/>
      <c r="L854" s="28"/>
    </row>
    <row r="855" spans="1:12" s="2" customFormat="1" ht="24.95" customHeight="1" x14ac:dyDescent="0.25">
      <c r="A855" s="31" t="s">
        <v>2552</v>
      </c>
      <c r="B855" s="1" t="s">
        <v>2553</v>
      </c>
      <c r="C855" s="1" t="s">
        <v>2554</v>
      </c>
      <c r="D855" s="1" t="s">
        <v>3</v>
      </c>
      <c r="E855" s="3">
        <v>0</v>
      </c>
      <c r="F855" s="3">
        <v>198.49</v>
      </c>
      <c r="G855" s="3">
        <v>0</v>
      </c>
      <c r="H855" s="3">
        <v>1958.14</v>
      </c>
      <c r="I855" s="3">
        <v>14185.26</v>
      </c>
      <c r="J855" s="1" t="s">
        <v>93</v>
      </c>
      <c r="K855" s="28"/>
      <c r="L855" s="28"/>
    </row>
    <row r="856" spans="1:12" s="2" customFormat="1" ht="24.95" customHeight="1" x14ac:dyDescent="0.25">
      <c r="A856" s="31" t="s">
        <v>2555</v>
      </c>
      <c r="B856" s="1" t="s">
        <v>2556</v>
      </c>
      <c r="C856" s="1" t="s">
        <v>2557</v>
      </c>
      <c r="D856" s="1" t="s">
        <v>23</v>
      </c>
      <c r="E856" s="3">
        <v>0</v>
      </c>
      <c r="F856" s="3">
        <v>4550.04</v>
      </c>
      <c r="G856" s="3">
        <v>0</v>
      </c>
      <c r="H856" s="3">
        <v>0</v>
      </c>
      <c r="I856" s="3">
        <v>0</v>
      </c>
      <c r="J856" s="1" t="s">
        <v>48</v>
      </c>
      <c r="K856" s="28"/>
      <c r="L856" s="28"/>
    </row>
    <row r="857" spans="1:12" s="2" customFormat="1" ht="24.95" customHeight="1" x14ac:dyDescent="0.25">
      <c r="A857" s="31" t="s">
        <v>2558</v>
      </c>
      <c r="B857" s="1" t="s">
        <v>2559</v>
      </c>
      <c r="C857" s="1" t="s">
        <v>2560</v>
      </c>
      <c r="D857" s="1" t="s">
        <v>13</v>
      </c>
      <c r="E857" s="3">
        <v>0</v>
      </c>
      <c r="F857" s="3">
        <v>4722.99</v>
      </c>
      <c r="G857" s="3">
        <v>0</v>
      </c>
      <c r="H857" s="3">
        <v>511.68</v>
      </c>
      <c r="I857" s="3">
        <v>6384.73</v>
      </c>
      <c r="J857" s="1" t="s">
        <v>19</v>
      </c>
      <c r="K857" s="28"/>
      <c r="L857" s="28"/>
    </row>
    <row r="858" spans="1:12" s="2" customFormat="1" ht="24.95" customHeight="1" x14ac:dyDescent="0.25">
      <c r="A858" s="31" t="s">
        <v>2561</v>
      </c>
      <c r="B858" s="1" t="s">
        <v>2562</v>
      </c>
      <c r="C858" s="1" t="s">
        <v>2563</v>
      </c>
      <c r="D858" s="1" t="s">
        <v>13</v>
      </c>
      <c r="E858" s="3">
        <v>0</v>
      </c>
      <c r="F858" s="3">
        <v>4410.38</v>
      </c>
      <c r="G858" s="3">
        <v>425.23</v>
      </c>
      <c r="H858" s="3">
        <v>0</v>
      </c>
      <c r="I858" s="3">
        <v>0</v>
      </c>
      <c r="J858" s="1" t="s">
        <v>14</v>
      </c>
      <c r="K858" s="28"/>
      <c r="L858" s="28"/>
    </row>
    <row r="859" spans="1:12" s="2" customFormat="1" ht="24.95" customHeight="1" x14ac:dyDescent="0.25">
      <c r="A859" s="31" t="s">
        <v>2564</v>
      </c>
      <c r="B859" s="1" t="s">
        <v>2565</v>
      </c>
      <c r="C859" s="1" t="s">
        <v>2566</v>
      </c>
      <c r="D859" s="1" t="s">
        <v>18</v>
      </c>
      <c r="E859" s="3">
        <v>0</v>
      </c>
      <c r="F859" s="3">
        <v>0</v>
      </c>
      <c r="G859" s="3">
        <v>2108.6799999999998</v>
      </c>
      <c r="H859" s="3">
        <v>0</v>
      </c>
      <c r="I859" s="3">
        <v>0</v>
      </c>
      <c r="J859" s="1" t="s">
        <v>48</v>
      </c>
      <c r="K859" s="28"/>
      <c r="L859" s="28"/>
    </row>
    <row r="860" spans="1:12" s="2" customFormat="1" ht="24.95" customHeight="1" x14ac:dyDescent="0.25">
      <c r="A860" s="31" t="s">
        <v>2567</v>
      </c>
      <c r="B860" s="1" t="s">
        <v>2568</v>
      </c>
      <c r="C860" s="1" t="s">
        <v>2569</v>
      </c>
      <c r="D860" s="1" t="s">
        <v>3027</v>
      </c>
      <c r="E860" s="3">
        <v>0</v>
      </c>
      <c r="F860" s="3">
        <v>3421.09</v>
      </c>
      <c r="G860" s="3">
        <v>0</v>
      </c>
      <c r="H860" s="3">
        <v>0</v>
      </c>
      <c r="I860" s="3">
        <v>14916.75</v>
      </c>
      <c r="J860" s="1" t="s">
        <v>79</v>
      </c>
      <c r="K860" s="28"/>
      <c r="L860" s="28"/>
    </row>
    <row r="861" spans="1:12" s="2" customFormat="1" ht="24.95" customHeight="1" x14ac:dyDescent="0.25">
      <c r="A861" s="31" t="s">
        <v>2570</v>
      </c>
      <c r="B861" s="1" t="s">
        <v>2571</v>
      </c>
      <c r="C861" s="1" t="s">
        <v>2572</v>
      </c>
      <c r="D861" s="1" t="s">
        <v>13</v>
      </c>
      <c r="E861" s="3">
        <v>2759.98</v>
      </c>
      <c r="F861" s="3">
        <v>0</v>
      </c>
      <c r="G861" s="3">
        <v>0</v>
      </c>
      <c r="H861" s="3">
        <v>0</v>
      </c>
      <c r="I861" s="3">
        <v>0</v>
      </c>
      <c r="J861" s="1" t="s">
        <v>79</v>
      </c>
      <c r="K861" s="28"/>
      <c r="L861" s="28"/>
    </row>
    <row r="862" spans="1:12" s="2" customFormat="1" ht="24.95" customHeight="1" x14ac:dyDescent="0.25">
      <c r="A862" s="31" t="s">
        <v>2573</v>
      </c>
      <c r="B862" s="1" t="s">
        <v>2574</v>
      </c>
      <c r="C862" s="1" t="s">
        <v>2575</v>
      </c>
      <c r="D862" s="1" t="s">
        <v>13</v>
      </c>
      <c r="E862" s="3">
        <v>0</v>
      </c>
      <c r="F862" s="3">
        <v>0</v>
      </c>
      <c r="G862" s="3">
        <v>1028.32</v>
      </c>
      <c r="H862" s="3">
        <v>6908.91</v>
      </c>
      <c r="I862" s="3">
        <v>4410.05</v>
      </c>
      <c r="J862" s="1" t="s">
        <v>14</v>
      </c>
      <c r="K862" s="28"/>
      <c r="L862" s="28"/>
    </row>
    <row r="863" spans="1:12" s="2" customFormat="1" ht="24.95" customHeight="1" x14ac:dyDescent="0.25">
      <c r="A863" s="31" t="s">
        <v>2576</v>
      </c>
      <c r="B863" s="1" t="s">
        <v>2577</v>
      </c>
      <c r="C863" s="1" t="s">
        <v>2578</v>
      </c>
      <c r="D863" s="1" t="s">
        <v>13</v>
      </c>
      <c r="E863" s="3">
        <v>0</v>
      </c>
      <c r="F863" s="3">
        <v>0</v>
      </c>
      <c r="G863" s="3">
        <v>1434.53</v>
      </c>
      <c r="H863" s="3">
        <v>4698.41</v>
      </c>
      <c r="I863" s="3">
        <v>0</v>
      </c>
      <c r="J863" s="1" t="s">
        <v>93</v>
      </c>
      <c r="K863" s="28"/>
      <c r="L863" s="28"/>
    </row>
    <row r="864" spans="1:12" s="2" customFormat="1" ht="24.95" customHeight="1" x14ac:dyDescent="0.25">
      <c r="A864" s="31" t="s">
        <v>2579</v>
      </c>
      <c r="B864" s="1" t="s">
        <v>2580</v>
      </c>
      <c r="C864" s="1" t="s">
        <v>2581</v>
      </c>
      <c r="D864" s="1" t="s">
        <v>3</v>
      </c>
      <c r="E864" s="3">
        <v>0</v>
      </c>
      <c r="F864" s="3">
        <v>0</v>
      </c>
      <c r="G864" s="3">
        <v>0</v>
      </c>
      <c r="H864" s="3">
        <v>0</v>
      </c>
      <c r="I864" s="3">
        <v>3208.77</v>
      </c>
      <c r="J864" s="1" t="s">
        <v>19</v>
      </c>
      <c r="K864" s="28"/>
      <c r="L864" s="28"/>
    </row>
    <row r="865" spans="1:12" s="2" customFormat="1" ht="24.95" customHeight="1" x14ac:dyDescent="0.25">
      <c r="A865" s="31" t="s">
        <v>2582</v>
      </c>
      <c r="B865" s="1" t="s">
        <v>2583</v>
      </c>
      <c r="C865" s="1" t="s">
        <v>2584</v>
      </c>
      <c r="D865" s="1" t="s">
        <v>23</v>
      </c>
      <c r="E865" s="3">
        <v>0</v>
      </c>
      <c r="F865" s="3">
        <v>0</v>
      </c>
      <c r="G865" s="3">
        <v>990.31</v>
      </c>
      <c r="H865" s="3">
        <v>0</v>
      </c>
      <c r="I865" s="3">
        <v>3946.28</v>
      </c>
      <c r="J865" s="1" t="s">
        <v>4</v>
      </c>
      <c r="K865" s="28"/>
      <c r="L865" s="28"/>
    </row>
    <row r="866" spans="1:12" s="2" customFormat="1" ht="24.95" customHeight="1" x14ac:dyDescent="0.25">
      <c r="A866" s="31" t="s">
        <v>2585</v>
      </c>
      <c r="B866" s="1" t="s">
        <v>2586</v>
      </c>
      <c r="C866" s="1" t="s">
        <v>2587</v>
      </c>
      <c r="D866" s="1" t="s">
        <v>3027</v>
      </c>
      <c r="E866" s="3">
        <v>2299.62</v>
      </c>
      <c r="F866" s="3">
        <v>4530.96</v>
      </c>
      <c r="G866" s="3">
        <v>1947.74</v>
      </c>
      <c r="H866" s="3">
        <v>4519.34</v>
      </c>
      <c r="I866" s="3">
        <v>0</v>
      </c>
      <c r="J866" s="1" t="s">
        <v>48</v>
      </c>
      <c r="K866" s="28"/>
      <c r="L866" s="28"/>
    </row>
    <row r="867" spans="1:12" s="2" customFormat="1" ht="24.95" customHeight="1" x14ac:dyDescent="0.25">
      <c r="A867" s="31" t="s">
        <v>2588</v>
      </c>
      <c r="B867" s="1" t="s">
        <v>2589</v>
      </c>
      <c r="C867" s="1" t="s">
        <v>2590</v>
      </c>
      <c r="D867" s="1" t="s">
        <v>18</v>
      </c>
      <c r="E867" s="3">
        <v>4749.17</v>
      </c>
      <c r="F867" s="3">
        <v>3801.06</v>
      </c>
      <c r="G867" s="3">
        <v>1976.29</v>
      </c>
      <c r="H867" s="3">
        <v>0</v>
      </c>
      <c r="I867" s="3">
        <v>0</v>
      </c>
      <c r="J867" s="1" t="s">
        <v>24</v>
      </c>
      <c r="K867" s="28"/>
      <c r="L867" s="28"/>
    </row>
    <row r="868" spans="1:12" s="2" customFormat="1" ht="24.95" customHeight="1" x14ac:dyDescent="0.25">
      <c r="A868" s="31" t="s">
        <v>2591</v>
      </c>
      <c r="B868" s="1" t="s">
        <v>2592</v>
      </c>
      <c r="C868" s="1" t="s">
        <v>2593</v>
      </c>
      <c r="D868" s="1" t="s">
        <v>3027</v>
      </c>
      <c r="E868" s="3">
        <v>0</v>
      </c>
      <c r="F868" s="3">
        <v>0</v>
      </c>
      <c r="G868" s="3">
        <v>1020.08</v>
      </c>
      <c r="H868" s="3">
        <v>0</v>
      </c>
      <c r="I868" s="3">
        <v>10667.75</v>
      </c>
      <c r="J868" s="1" t="s">
        <v>19</v>
      </c>
      <c r="K868" s="28"/>
      <c r="L868" s="28"/>
    </row>
    <row r="869" spans="1:12" s="2" customFormat="1" ht="24.95" customHeight="1" x14ac:dyDescent="0.25">
      <c r="A869" s="31" t="s">
        <v>2594</v>
      </c>
      <c r="B869" s="1" t="s">
        <v>2595</v>
      </c>
      <c r="C869" s="1" t="s">
        <v>2596</v>
      </c>
      <c r="D869" s="1" t="s">
        <v>18</v>
      </c>
      <c r="E869" s="3">
        <v>0</v>
      </c>
      <c r="F869" s="3">
        <v>0</v>
      </c>
      <c r="G869" s="3">
        <v>546.46</v>
      </c>
      <c r="H869" s="3">
        <v>1427.06</v>
      </c>
      <c r="I869" s="3">
        <v>0</v>
      </c>
      <c r="J869" s="1" t="s">
        <v>9</v>
      </c>
      <c r="K869" s="28"/>
      <c r="L869" s="28"/>
    </row>
    <row r="870" spans="1:12" s="2" customFormat="1" ht="24.95" customHeight="1" x14ac:dyDescent="0.25">
      <c r="A870" s="31" t="s">
        <v>2597</v>
      </c>
      <c r="B870" s="1" t="s">
        <v>2598</v>
      </c>
      <c r="C870" s="1" t="s">
        <v>2599</v>
      </c>
      <c r="D870" s="1" t="s">
        <v>3</v>
      </c>
      <c r="E870" s="3">
        <v>1563.08</v>
      </c>
      <c r="F870" s="3">
        <v>0</v>
      </c>
      <c r="G870" s="3">
        <v>1000.28</v>
      </c>
      <c r="H870" s="3">
        <v>0</v>
      </c>
      <c r="I870" s="3">
        <v>0</v>
      </c>
      <c r="J870" s="1" t="s">
        <v>106</v>
      </c>
      <c r="K870" s="28"/>
      <c r="L870" s="28"/>
    </row>
    <row r="871" spans="1:12" s="2" customFormat="1" ht="24.95" customHeight="1" x14ac:dyDescent="0.25">
      <c r="A871" s="31" t="s">
        <v>2600</v>
      </c>
      <c r="B871" s="1" t="s">
        <v>2601</v>
      </c>
      <c r="C871" s="1" t="s">
        <v>2602</v>
      </c>
      <c r="D871" s="1" t="s">
        <v>8</v>
      </c>
      <c r="E871" s="3">
        <v>4739.66</v>
      </c>
      <c r="F871" s="3">
        <v>4106.12</v>
      </c>
      <c r="G871" s="3">
        <v>872.83</v>
      </c>
      <c r="H871" s="3">
        <v>0</v>
      </c>
      <c r="I871" s="3">
        <v>1185.33</v>
      </c>
      <c r="J871" s="1" t="s">
        <v>4</v>
      </c>
      <c r="K871" s="28"/>
      <c r="L871" s="28"/>
    </row>
    <row r="872" spans="1:12" s="2" customFormat="1" ht="24.95" customHeight="1" x14ac:dyDescent="0.25">
      <c r="A872" s="31" t="s">
        <v>2603</v>
      </c>
      <c r="B872" s="1" t="s">
        <v>2604</v>
      </c>
      <c r="C872" s="1" t="s">
        <v>2605</v>
      </c>
      <c r="D872" s="1" t="s">
        <v>8</v>
      </c>
      <c r="E872" s="3">
        <v>0</v>
      </c>
      <c r="F872" s="3">
        <v>4253.95</v>
      </c>
      <c r="G872" s="3">
        <v>0</v>
      </c>
      <c r="H872" s="3">
        <v>11108.05</v>
      </c>
      <c r="I872" s="3">
        <v>0</v>
      </c>
      <c r="J872" s="1" t="s">
        <v>86</v>
      </c>
      <c r="K872" s="28"/>
      <c r="L872" s="28"/>
    </row>
    <row r="873" spans="1:12" s="2" customFormat="1" ht="24.95" customHeight="1" x14ac:dyDescent="0.25">
      <c r="A873" s="31" t="s">
        <v>2606</v>
      </c>
      <c r="B873" s="1" t="s">
        <v>2607</v>
      </c>
      <c r="C873" s="1" t="s">
        <v>2608</v>
      </c>
      <c r="D873" s="1" t="s">
        <v>8</v>
      </c>
      <c r="E873" s="3">
        <v>0</v>
      </c>
      <c r="F873" s="3">
        <v>0</v>
      </c>
      <c r="G873" s="3">
        <v>0</v>
      </c>
      <c r="H873" s="3">
        <v>0</v>
      </c>
      <c r="I873" s="3">
        <v>14897.62</v>
      </c>
      <c r="J873" s="1" t="s">
        <v>4</v>
      </c>
      <c r="K873" s="28"/>
      <c r="L873" s="28"/>
    </row>
    <row r="874" spans="1:12" s="2" customFormat="1" ht="24.95" customHeight="1" x14ac:dyDescent="0.25">
      <c r="A874" s="31" t="s">
        <v>2609</v>
      </c>
      <c r="B874" s="1" t="s">
        <v>2610</v>
      </c>
      <c r="C874" s="1" t="s">
        <v>2611</v>
      </c>
      <c r="D874" s="1" t="s">
        <v>13</v>
      </c>
      <c r="E874" s="3">
        <v>0</v>
      </c>
      <c r="F874" s="3">
        <v>0</v>
      </c>
      <c r="G874" s="3">
        <v>0</v>
      </c>
      <c r="H874" s="3">
        <v>6454.58</v>
      </c>
      <c r="I874" s="3">
        <v>0</v>
      </c>
      <c r="J874" s="1" t="s">
        <v>37</v>
      </c>
      <c r="K874" s="28"/>
      <c r="L874" s="28"/>
    </row>
    <row r="875" spans="1:12" s="2" customFormat="1" ht="24.95" customHeight="1" x14ac:dyDescent="0.25">
      <c r="A875" s="31" t="s">
        <v>2612</v>
      </c>
      <c r="B875" s="1" t="s">
        <v>2613</v>
      </c>
      <c r="C875" s="1" t="s">
        <v>2614</v>
      </c>
      <c r="D875" s="1" t="s">
        <v>3</v>
      </c>
      <c r="E875" s="3">
        <v>2734.17</v>
      </c>
      <c r="F875" s="3">
        <v>4996.58</v>
      </c>
      <c r="G875" s="3">
        <v>1732.24</v>
      </c>
      <c r="H875" s="3">
        <v>7742.32</v>
      </c>
      <c r="I875" s="3">
        <v>0</v>
      </c>
      <c r="J875" s="1" t="s">
        <v>24</v>
      </c>
      <c r="K875" s="28"/>
      <c r="L875" s="28"/>
    </row>
    <row r="876" spans="1:12" s="2" customFormat="1" ht="24.95" customHeight="1" x14ac:dyDescent="0.25">
      <c r="A876" s="31" t="s">
        <v>2615</v>
      </c>
      <c r="B876" s="1" t="s">
        <v>2616</v>
      </c>
      <c r="C876" s="1" t="s">
        <v>2617</v>
      </c>
      <c r="D876" s="1" t="s">
        <v>18</v>
      </c>
      <c r="E876" s="3">
        <v>5762.31</v>
      </c>
      <c r="F876" s="3">
        <v>0</v>
      </c>
      <c r="G876" s="3">
        <v>0</v>
      </c>
      <c r="H876" s="3">
        <v>0</v>
      </c>
      <c r="I876" s="3">
        <v>0</v>
      </c>
      <c r="J876" s="1" t="s">
        <v>14</v>
      </c>
      <c r="K876" s="28"/>
      <c r="L876" s="28"/>
    </row>
    <row r="877" spans="1:12" s="2" customFormat="1" ht="24.95" customHeight="1" x14ac:dyDescent="0.25">
      <c r="A877" s="31" t="s">
        <v>2618</v>
      </c>
      <c r="B877" s="1" t="s">
        <v>2619</v>
      </c>
      <c r="C877" s="1" t="s">
        <v>2620</v>
      </c>
      <c r="D877" s="1" t="s">
        <v>23</v>
      </c>
      <c r="E877" s="3">
        <v>478.07</v>
      </c>
      <c r="F877" s="3">
        <v>0</v>
      </c>
      <c r="G877" s="3">
        <v>0</v>
      </c>
      <c r="H877" s="3">
        <v>9689.69</v>
      </c>
      <c r="I877" s="3">
        <v>0</v>
      </c>
      <c r="J877" s="1" t="s">
        <v>37</v>
      </c>
      <c r="K877" s="28"/>
      <c r="L877" s="28"/>
    </row>
    <row r="878" spans="1:12" s="2" customFormat="1" ht="24.95" customHeight="1" x14ac:dyDescent="0.25">
      <c r="A878" s="31" t="s">
        <v>2621</v>
      </c>
      <c r="B878" s="1" t="s">
        <v>2622</v>
      </c>
      <c r="C878" s="1" t="s">
        <v>2623</v>
      </c>
      <c r="D878" s="1" t="s">
        <v>13</v>
      </c>
      <c r="E878" s="3">
        <v>4858.3999999999996</v>
      </c>
      <c r="F878" s="3">
        <v>0</v>
      </c>
      <c r="G878" s="3">
        <v>0</v>
      </c>
      <c r="H878" s="3">
        <v>0</v>
      </c>
      <c r="I878" s="3">
        <v>0</v>
      </c>
      <c r="J878" s="1" t="s">
        <v>79</v>
      </c>
      <c r="K878" s="28"/>
      <c r="L878" s="28"/>
    </row>
    <row r="879" spans="1:12" s="2" customFormat="1" ht="24.95" customHeight="1" x14ac:dyDescent="0.25">
      <c r="A879" s="31" t="s">
        <v>2624</v>
      </c>
      <c r="B879" s="1" t="s">
        <v>2625</v>
      </c>
      <c r="C879" s="1" t="s">
        <v>2626</v>
      </c>
      <c r="D879" s="1" t="s">
        <v>13</v>
      </c>
      <c r="E879" s="3">
        <v>0</v>
      </c>
      <c r="F879" s="3">
        <v>1394.81</v>
      </c>
      <c r="G879" s="3">
        <v>0</v>
      </c>
      <c r="H879" s="3">
        <v>3685.86</v>
      </c>
      <c r="I879" s="3">
        <v>0</v>
      </c>
      <c r="J879" s="1" t="s">
        <v>86</v>
      </c>
      <c r="K879" s="28"/>
      <c r="L879" s="28"/>
    </row>
    <row r="880" spans="1:12" s="2" customFormat="1" ht="24.95" customHeight="1" x14ac:dyDescent="0.25">
      <c r="A880" s="31" t="s">
        <v>2627</v>
      </c>
      <c r="B880" s="1" t="s">
        <v>2628</v>
      </c>
      <c r="C880" s="1" t="s">
        <v>2629</v>
      </c>
      <c r="D880" s="1" t="s">
        <v>18</v>
      </c>
      <c r="E880" s="3">
        <v>0</v>
      </c>
      <c r="F880" s="3">
        <v>0</v>
      </c>
      <c r="G880" s="3">
        <v>0</v>
      </c>
      <c r="H880" s="3">
        <v>6663.01</v>
      </c>
      <c r="I880" s="3">
        <v>991.33</v>
      </c>
      <c r="J880" s="1" t="s">
        <v>9</v>
      </c>
      <c r="K880" s="28"/>
      <c r="L880" s="28"/>
    </row>
    <row r="881" spans="1:12" s="2" customFormat="1" ht="24.95" customHeight="1" x14ac:dyDescent="0.25">
      <c r="A881" s="31" t="s">
        <v>2630</v>
      </c>
      <c r="B881" s="1" t="s">
        <v>2631</v>
      </c>
      <c r="C881" s="1" t="s">
        <v>2632</v>
      </c>
      <c r="D881" s="1" t="s">
        <v>3</v>
      </c>
      <c r="E881" s="3">
        <v>2639.49</v>
      </c>
      <c r="F881" s="3">
        <v>930.92</v>
      </c>
      <c r="G881" s="3">
        <v>994.75</v>
      </c>
      <c r="H881" s="3">
        <v>0</v>
      </c>
      <c r="I881" s="3">
        <v>11427.96</v>
      </c>
      <c r="J881" s="1" t="s">
        <v>106</v>
      </c>
      <c r="K881" s="28"/>
      <c r="L881" s="28"/>
    </row>
    <row r="882" spans="1:12" s="2" customFormat="1" ht="24.95" customHeight="1" x14ac:dyDescent="0.25">
      <c r="A882" s="31" t="s">
        <v>2633</v>
      </c>
      <c r="B882" s="1" t="s">
        <v>2634</v>
      </c>
      <c r="C882" s="1" t="s">
        <v>2635</v>
      </c>
      <c r="D882" s="1" t="s">
        <v>3027</v>
      </c>
      <c r="E882" s="3">
        <v>0</v>
      </c>
      <c r="F882" s="3">
        <v>0</v>
      </c>
      <c r="G882" s="3">
        <v>0</v>
      </c>
      <c r="H882" s="3">
        <v>11146.17</v>
      </c>
      <c r="I882" s="3">
        <v>0</v>
      </c>
      <c r="J882" s="1" t="s">
        <v>14</v>
      </c>
      <c r="K882" s="28"/>
      <c r="L882" s="28"/>
    </row>
    <row r="883" spans="1:12" s="2" customFormat="1" ht="24.95" customHeight="1" x14ac:dyDescent="0.25">
      <c r="A883" s="31" t="s">
        <v>2636</v>
      </c>
      <c r="B883" s="1" t="s">
        <v>2637</v>
      </c>
      <c r="C883" s="1" t="s">
        <v>2638</v>
      </c>
      <c r="D883" s="1" t="s">
        <v>8</v>
      </c>
      <c r="E883" s="3">
        <v>0</v>
      </c>
      <c r="F883" s="3">
        <v>0</v>
      </c>
      <c r="G883" s="3">
        <v>2193.37</v>
      </c>
      <c r="H883" s="3">
        <v>0</v>
      </c>
      <c r="I883" s="3">
        <v>0</v>
      </c>
      <c r="J883" s="1" t="s">
        <v>4</v>
      </c>
      <c r="K883" s="28"/>
      <c r="L883" s="28"/>
    </row>
    <row r="884" spans="1:12" s="2" customFormat="1" ht="24.95" customHeight="1" x14ac:dyDescent="0.25">
      <c r="A884" s="31" t="s">
        <v>2639</v>
      </c>
      <c r="B884" s="1" t="s">
        <v>2640</v>
      </c>
      <c r="C884" s="1" t="s">
        <v>2641</v>
      </c>
      <c r="D884" s="1" t="s">
        <v>18</v>
      </c>
      <c r="E884" s="3">
        <v>1978.29</v>
      </c>
      <c r="F884" s="3">
        <v>0</v>
      </c>
      <c r="G884" s="3">
        <v>0</v>
      </c>
      <c r="H884" s="3">
        <v>0</v>
      </c>
      <c r="I884" s="3">
        <v>0</v>
      </c>
      <c r="J884" s="1" t="s">
        <v>86</v>
      </c>
      <c r="K884" s="28"/>
      <c r="L884" s="28"/>
    </row>
    <row r="885" spans="1:12" s="2" customFormat="1" ht="24.95" customHeight="1" x14ac:dyDescent="0.25">
      <c r="A885" s="31" t="s">
        <v>2642</v>
      </c>
      <c r="B885" s="1" t="s">
        <v>2643</v>
      </c>
      <c r="C885" s="1" t="s">
        <v>2644</v>
      </c>
      <c r="D885" s="1" t="s">
        <v>13</v>
      </c>
      <c r="E885" s="3">
        <v>0</v>
      </c>
      <c r="F885" s="3">
        <v>0</v>
      </c>
      <c r="G885" s="3">
        <v>2085.2600000000002</v>
      </c>
      <c r="H885" s="3">
        <v>0</v>
      </c>
      <c r="I885" s="3">
        <v>0</v>
      </c>
      <c r="J885" s="1" t="s">
        <v>19</v>
      </c>
      <c r="K885" s="28"/>
      <c r="L885" s="28"/>
    </row>
    <row r="886" spans="1:12" s="2" customFormat="1" ht="24.95" customHeight="1" x14ac:dyDescent="0.25">
      <c r="A886" s="31" t="s">
        <v>2645</v>
      </c>
      <c r="B886" s="1" t="s">
        <v>2646</v>
      </c>
      <c r="C886" s="1" t="s">
        <v>2647</v>
      </c>
      <c r="D886" s="1" t="s">
        <v>18</v>
      </c>
      <c r="E886" s="3">
        <v>7421.51</v>
      </c>
      <c r="F886" s="3">
        <v>0</v>
      </c>
      <c r="G886" s="3">
        <v>2475.88</v>
      </c>
      <c r="H886" s="3">
        <v>2072.8000000000002</v>
      </c>
      <c r="I886" s="3">
        <v>0</v>
      </c>
      <c r="J886" s="1" t="s">
        <v>4</v>
      </c>
      <c r="K886" s="28"/>
      <c r="L886" s="28"/>
    </row>
    <row r="887" spans="1:12" s="2" customFormat="1" ht="24.95" customHeight="1" x14ac:dyDescent="0.25">
      <c r="A887" s="31" t="s">
        <v>2648</v>
      </c>
      <c r="B887" s="1" t="s">
        <v>2649</v>
      </c>
      <c r="C887" s="1" t="s">
        <v>2650</v>
      </c>
      <c r="D887" s="1" t="s">
        <v>13</v>
      </c>
      <c r="E887" s="3">
        <v>0</v>
      </c>
      <c r="F887" s="3">
        <v>1614.49</v>
      </c>
      <c r="G887" s="3">
        <v>0</v>
      </c>
      <c r="H887" s="3">
        <v>4767.88</v>
      </c>
      <c r="I887" s="3">
        <v>0</v>
      </c>
      <c r="J887" s="1" t="s">
        <v>37</v>
      </c>
      <c r="K887" s="28"/>
      <c r="L887" s="28"/>
    </row>
    <row r="888" spans="1:12" s="2" customFormat="1" ht="24.95" customHeight="1" x14ac:dyDescent="0.25">
      <c r="A888" s="31" t="s">
        <v>2651</v>
      </c>
      <c r="B888" s="1" t="s">
        <v>2652</v>
      </c>
      <c r="C888" s="1" t="s">
        <v>2653</v>
      </c>
      <c r="D888" s="1" t="s">
        <v>8</v>
      </c>
      <c r="E888" s="3">
        <v>0</v>
      </c>
      <c r="F888" s="3">
        <v>0</v>
      </c>
      <c r="G888" s="3">
        <v>0</v>
      </c>
      <c r="H888" s="3">
        <v>7289.78</v>
      </c>
      <c r="I888" s="3">
        <v>0</v>
      </c>
      <c r="J888" s="1" t="s">
        <v>93</v>
      </c>
      <c r="K888" s="28"/>
      <c r="L888" s="28"/>
    </row>
    <row r="889" spans="1:12" s="2" customFormat="1" ht="24.95" customHeight="1" x14ac:dyDescent="0.25">
      <c r="A889" s="31" t="s">
        <v>2654</v>
      </c>
      <c r="B889" s="1" t="s">
        <v>2655</v>
      </c>
      <c r="C889" s="1" t="s">
        <v>2656</v>
      </c>
      <c r="D889" s="1" t="s">
        <v>3</v>
      </c>
      <c r="E889" s="3">
        <v>0</v>
      </c>
      <c r="F889" s="3">
        <v>3494.25</v>
      </c>
      <c r="G889" s="3">
        <v>2642.98</v>
      </c>
      <c r="H889" s="3">
        <v>6793.83</v>
      </c>
      <c r="I889" s="3">
        <v>0</v>
      </c>
      <c r="J889" s="1" t="s">
        <v>79</v>
      </c>
      <c r="K889" s="28"/>
      <c r="L889" s="28"/>
    </row>
    <row r="890" spans="1:12" s="2" customFormat="1" ht="24.95" customHeight="1" x14ac:dyDescent="0.25">
      <c r="A890" s="31" t="s">
        <v>2657</v>
      </c>
      <c r="B890" s="1" t="s">
        <v>2658</v>
      </c>
      <c r="C890" s="1" t="s">
        <v>2659</v>
      </c>
      <c r="D890" s="1" t="s">
        <v>13</v>
      </c>
      <c r="E890" s="3">
        <v>0</v>
      </c>
      <c r="F890" s="3">
        <v>1462.16</v>
      </c>
      <c r="G890" s="3">
        <v>0</v>
      </c>
      <c r="H890" s="3">
        <v>0</v>
      </c>
      <c r="I890" s="3">
        <v>10824.44</v>
      </c>
      <c r="J890" s="1" t="s">
        <v>41</v>
      </c>
      <c r="K890" s="28"/>
      <c r="L890" s="28"/>
    </row>
    <row r="891" spans="1:12" s="2" customFormat="1" ht="24.95" customHeight="1" x14ac:dyDescent="0.25">
      <c r="A891" s="31" t="s">
        <v>2660</v>
      </c>
      <c r="B891" s="1" t="s">
        <v>2661</v>
      </c>
      <c r="C891" s="1" t="s">
        <v>2662</v>
      </c>
      <c r="D891" s="1" t="s">
        <v>3027</v>
      </c>
      <c r="E891" s="3">
        <v>0</v>
      </c>
      <c r="F891" s="3">
        <v>0</v>
      </c>
      <c r="G891" s="3">
        <v>0</v>
      </c>
      <c r="H891" s="3">
        <v>0</v>
      </c>
      <c r="I891" s="3">
        <v>4336.33</v>
      </c>
      <c r="J891" s="1" t="s">
        <v>14</v>
      </c>
      <c r="K891" s="28"/>
      <c r="L891" s="28"/>
    </row>
    <row r="892" spans="1:12" s="2" customFormat="1" ht="24.95" customHeight="1" x14ac:dyDescent="0.25">
      <c r="A892" s="31" t="s">
        <v>2663</v>
      </c>
      <c r="B892" s="1" t="s">
        <v>2664</v>
      </c>
      <c r="C892" s="1" t="s">
        <v>2665</v>
      </c>
      <c r="D892" s="1" t="s">
        <v>23</v>
      </c>
      <c r="E892" s="3">
        <v>790.78</v>
      </c>
      <c r="F892" s="3">
        <v>0</v>
      </c>
      <c r="G892" s="3">
        <v>1821.22</v>
      </c>
      <c r="H892" s="3">
        <v>1371.04</v>
      </c>
      <c r="I892" s="3">
        <v>2701.19</v>
      </c>
      <c r="J892" s="1" t="s">
        <v>37</v>
      </c>
      <c r="K892" s="28"/>
      <c r="L892" s="28"/>
    </row>
    <row r="893" spans="1:12" s="2" customFormat="1" ht="24.95" customHeight="1" x14ac:dyDescent="0.25">
      <c r="A893" s="31" t="s">
        <v>2666</v>
      </c>
      <c r="B893" s="1" t="s">
        <v>2667</v>
      </c>
      <c r="C893" s="1" t="s">
        <v>2668</v>
      </c>
      <c r="D893" s="1" t="s">
        <v>3027</v>
      </c>
      <c r="E893" s="3">
        <v>0</v>
      </c>
      <c r="F893" s="3">
        <v>1222.5999999999999</v>
      </c>
      <c r="G893" s="3">
        <v>2801.94</v>
      </c>
      <c r="H893" s="3">
        <v>6866.61</v>
      </c>
      <c r="I893" s="3">
        <v>0</v>
      </c>
      <c r="J893" s="1" t="s">
        <v>9</v>
      </c>
      <c r="K893" s="28"/>
      <c r="L893" s="28"/>
    </row>
    <row r="894" spans="1:12" s="2" customFormat="1" ht="24.95" customHeight="1" x14ac:dyDescent="0.25">
      <c r="A894" s="31" t="s">
        <v>2669</v>
      </c>
      <c r="B894" s="1" t="s">
        <v>2670</v>
      </c>
      <c r="C894" s="1" t="s">
        <v>2671</v>
      </c>
      <c r="D894" s="1" t="s">
        <v>3</v>
      </c>
      <c r="E894" s="3">
        <v>7699.91</v>
      </c>
      <c r="F894" s="3">
        <v>0</v>
      </c>
      <c r="G894" s="3">
        <v>2223.4299999999998</v>
      </c>
      <c r="H894" s="3">
        <v>3419.71</v>
      </c>
      <c r="I894" s="3">
        <v>0</v>
      </c>
      <c r="J894" s="1" t="s">
        <v>4</v>
      </c>
      <c r="K894" s="28"/>
      <c r="L894" s="28"/>
    </row>
    <row r="895" spans="1:12" s="2" customFormat="1" ht="24.95" customHeight="1" x14ac:dyDescent="0.25">
      <c r="A895" s="31" t="s">
        <v>2672</v>
      </c>
      <c r="B895" s="1" t="s">
        <v>2673</v>
      </c>
      <c r="C895" s="1" t="s">
        <v>2674</v>
      </c>
      <c r="D895" s="1" t="s">
        <v>18</v>
      </c>
      <c r="E895" s="3">
        <v>0</v>
      </c>
      <c r="F895" s="3">
        <v>0</v>
      </c>
      <c r="G895" s="3">
        <v>2260.64</v>
      </c>
      <c r="H895" s="3">
        <v>0</v>
      </c>
      <c r="I895" s="3">
        <v>0</v>
      </c>
      <c r="J895" s="1" t="s">
        <v>79</v>
      </c>
      <c r="K895" s="28"/>
      <c r="L895" s="28"/>
    </row>
    <row r="896" spans="1:12" s="2" customFormat="1" ht="24.95" customHeight="1" x14ac:dyDescent="0.25">
      <c r="A896" s="31" t="s">
        <v>2675</v>
      </c>
      <c r="B896" s="1" t="s">
        <v>2676</v>
      </c>
      <c r="C896" s="1" t="s">
        <v>2677</v>
      </c>
      <c r="D896" s="1" t="s">
        <v>23</v>
      </c>
      <c r="E896" s="3">
        <v>0</v>
      </c>
      <c r="F896" s="3">
        <v>0</v>
      </c>
      <c r="G896" s="3">
        <v>0</v>
      </c>
      <c r="H896" s="3">
        <v>0</v>
      </c>
      <c r="I896" s="3">
        <v>6296.12</v>
      </c>
      <c r="J896" s="1" t="s">
        <v>14</v>
      </c>
      <c r="K896" s="28"/>
      <c r="L896" s="28"/>
    </row>
    <row r="897" spans="1:12" s="2" customFormat="1" ht="24.95" customHeight="1" x14ac:dyDescent="0.25">
      <c r="A897" s="31" t="s">
        <v>2678</v>
      </c>
      <c r="B897" s="1" t="s">
        <v>2679</v>
      </c>
      <c r="C897" s="1" t="s">
        <v>2680</v>
      </c>
      <c r="D897" s="1" t="s">
        <v>13</v>
      </c>
      <c r="E897" s="3">
        <v>0</v>
      </c>
      <c r="F897" s="3">
        <v>3352.62</v>
      </c>
      <c r="G897" s="3">
        <v>1759.12</v>
      </c>
      <c r="H897" s="3">
        <v>0</v>
      </c>
      <c r="I897" s="3">
        <v>1296.23</v>
      </c>
      <c r="J897" s="1" t="s">
        <v>93</v>
      </c>
      <c r="K897" s="28"/>
      <c r="L897" s="28"/>
    </row>
    <row r="898" spans="1:12" s="2" customFormat="1" ht="24.95" customHeight="1" x14ac:dyDescent="0.25">
      <c r="A898" s="31" t="s">
        <v>2681</v>
      </c>
      <c r="B898" s="1" t="s">
        <v>2682</v>
      </c>
      <c r="C898" s="1" t="s">
        <v>2683</v>
      </c>
      <c r="D898" s="1" t="s">
        <v>23</v>
      </c>
      <c r="E898" s="3">
        <v>2113.0300000000002</v>
      </c>
      <c r="F898" s="3">
        <v>0</v>
      </c>
      <c r="G898" s="3">
        <v>0</v>
      </c>
      <c r="H898" s="3">
        <v>0</v>
      </c>
      <c r="I898" s="3">
        <v>0</v>
      </c>
      <c r="J898" s="1" t="s">
        <v>19</v>
      </c>
      <c r="K898" s="28"/>
      <c r="L898" s="28"/>
    </row>
    <row r="899" spans="1:12" s="2" customFormat="1" ht="24.95" customHeight="1" x14ac:dyDescent="0.25">
      <c r="A899" s="31" t="s">
        <v>2684</v>
      </c>
      <c r="B899" s="1" t="s">
        <v>2685</v>
      </c>
      <c r="C899" s="1" t="s">
        <v>2686</v>
      </c>
      <c r="D899" s="1" t="s">
        <v>3027</v>
      </c>
      <c r="E899" s="3">
        <v>7806.12</v>
      </c>
      <c r="F899" s="3">
        <v>0</v>
      </c>
      <c r="G899" s="3">
        <v>0</v>
      </c>
      <c r="H899" s="3">
        <v>0</v>
      </c>
      <c r="I899" s="3">
        <v>5857.67</v>
      </c>
      <c r="J899" s="1" t="s">
        <v>86</v>
      </c>
      <c r="K899" s="28"/>
      <c r="L899" s="28"/>
    </row>
    <row r="900" spans="1:12" s="2" customFormat="1" ht="24.95" customHeight="1" x14ac:dyDescent="0.25">
      <c r="A900" s="31" t="s">
        <v>2687</v>
      </c>
      <c r="B900" s="1" t="s">
        <v>2688</v>
      </c>
      <c r="C900" s="1" t="s">
        <v>2689</v>
      </c>
      <c r="D900" s="1" t="s">
        <v>3</v>
      </c>
      <c r="E900" s="3">
        <v>655.23</v>
      </c>
      <c r="F900" s="3">
        <v>0</v>
      </c>
      <c r="G900" s="3">
        <v>1988.81</v>
      </c>
      <c r="H900" s="3">
        <v>123.58</v>
      </c>
      <c r="I900" s="3">
        <v>0</v>
      </c>
      <c r="J900" s="1" t="s">
        <v>9</v>
      </c>
      <c r="K900" s="28"/>
      <c r="L900" s="28"/>
    </row>
    <row r="901" spans="1:12" s="2" customFormat="1" ht="24.95" customHeight="1" x14ac:dyDescent="0.25">
      <c r="A901" s="31" t="s">
        <v>2690</v>
      </c>
      <c r="B901" s="1" t="s">
        <v>2691</v>
      </c>
      <c r="C901" s="1" t="s">
        <v>2692</v>
      </c>
      <c r="D901" s="1" t="s">
        <v>3</v>
      </c>
      <c r="E901" s="3">
        <v>0</v>
      </c>
      <c r="F901" s="3">
        <v>4088.62</v>
      </c>
      <c r="G901" s="3">
        <v>1112.73</v>
      </c>
      <c r="H901" s="3">
        <v>3218.89</v>
      </c>
      <c r="I901" s="3">
        <v>14719.77</v>
      </c>
      <c r="J901" s="1" t="s">
        <v>93</v>
      </c>
      <c r="K901" s="28"/>
      <c r="L901" s="28"/>
    </row>
    <row r="902" spans="1:12" s="2" customFormat="1" ht="24.95" customHeight="1" x14ac:dyDescent="0.25">
      <c r="A902" s="31" t="s">
        <v>2693</v>
      </c>
      <c r="B902" s="1" t="s">
        <v>2694</v>
      </c>
      <c r="C902" s="1" t="s">
        <v>2695</v>
      </c>
      <c r="D902" s="1" t="s">
        <v>23</v>
      </c>
      <c r="E902" s="3">
        <v>0</v>
      </c>
      <c r="F902" s="3">
        <v>0</v>
      </c>
      <c r="G902" s="3">
        <v>1924.72</v>
      </c>
      <c r="H902" s="3">
        <v>0</v>
      </c>
      <c r="I902" s="3">
        <v>4764.43</v>
      </c>
      <c r="J902" s="1" t="s">
        <v>37</v>
      </c>
      <c r="K902" s="28"/>
      <c r="L902" s="28"/>
    </row>
    <row r="903" spans="1:12" s="2" customFormat="1" ht="24.95" customHeight="1" x14ac:dyDescent="0.25">
      <c r="A903" s="31" t="s">
        <v>2696</v>
      </c>
      <c r="B903" s="1" t="s">
        <v>2697</v>
      </c>
      <c r="C903" s="1" t="s">
        <v>2698</v>
      </c>
      <c r="D903" s="1" t="s">
        <v>3</v>
      </c>
      <c r="E903" s="3">
        <v>4653.3999999999996</v>
      </c>
      <c r="F903" s="3">
        <v>3259.62</v>
      </c>
      <c r="G903" s="3">
        <v>1235.79</v>
      </c>
      <c r="H903" s="3">
        <v>2373.1799999999998</v>
      </c>
      <c r="I903" s="3">
        <v>4310.78</v>
      </c>
      <c r="J903" s="1" t="s">
        <v>4</v>
      </c>
      <c r="K903" s="28"/>
      <c r="L903" s="28"/>
    </row>
    <row r="904" spans="1:12" s="2" customFormat="1" ht="24.95" customHeight="1" x14ac:dyDescent="0.25">
      <c r="A904" s="31" t="s">
        <v>2699</v>
      </c>
      <c r="B904" s="1" t="s">
        <v>2700</v>
      </c>
      <c r="C904" s="1" t="s">
        <v>2701</v>
      </c>
      <c r="D904" s="1" t="s">
        <v>18</v>
      </c>
      <c r="E904" s="3">
        <v>0</v>
      </c>
      <c r="F904" s="3">
        <v>1578.58</v>
      </c>
      <c r="G904" s="3">
        <v>2596.71</v>
      </c>
      <c r="H904" s="3">
        <v>0</v>
      </c>
      <c r="I904" s="3">
        <v>0</v>
      </c>
      <c r="J904" s="1" t="s">
        <v>79</v>
      </c>
      <c r="K904" s="28"/>
      <c r="L904" s="28"/>
    </row>
    <row r="905" spans="1:12" s="2" customFormat="1" ht="24.95" customHeight="1" x14ac:dyDescent="0.25">
      <c r="A905" s="31" t="s">
        <v>2702</v>
      </c>
      <c r="B905" s="1" t="s">
        <v>2703</v>
      </c>
      <c r="C905" s="1" t="s">
        <v>2704</v>
      </c>
      <c r="D905" s="1" t="s">
        <v>3</v>
      </c>
      <c r="E905" s="3">
        <v>6698.09</v>
      </c>
      <c r="F905" s="3">
        <v>0</v>
      </c>
      <c r="G905" s="3">
        <v>0</v>
      </c>
      <c r="H905" s="3">
        <v>0</v>
      </c>
      <c r="I905" s="3">
        <v>2025.07</v>
      </c>
      <c r="J905" s="1" t="s">
        <v>24</v>
      </c>
      <c r="K905" s="28"/>
      <c r="L905" s="28"/>
    </row>
    <row r="906" spans="1:12" s="2" customFormat="1" ht="24.95" customHeight="1" x14ac:dyDescent="0.25">
      <c r="A906" s="31" t="s">
        <v>2705</v>
      </c>
      <c r="B906" s="1" t="s">
        <v>2706</v>
      </c>
      <c r="C906" s="1" t="s">
        <v>2707</v>
      </c>
      <c r="D906" s="1" t="s">
        <v>23</v>
      </c>
      <c r="E906" s="3">
        <v>0</v>
      </c>
      <c r="F906" s="3">
        <v>4724.1400000000003</v>
      </c>
      <c r="G906" s="3">
        <v>0</v>
      </c>
      <c r="H906" s="3">
        <v>0</v>
      </c>
      <c r="I906" s="3">
        <v>0</v>
      </c>
      <c r="J906" s="1" t="s">
        <v>48</v>
      </c>
      <c r="K906" s="28"/>
      <c r="L906" s="28"/>
    </row>
    <row r="907" spans="1:12" s="2" customFormat="1" ht="24.95" customHeight="1" x14ac:dyDescent="0.25">
      <c r="A907" s="31" t="s">
        <v>2708</v>
      </c>
      <c r="B907" s="1" t="s">
        <v>2709</v>
      </c>
      <c r="C907" s="1" t="s">
        <v>2710</v>
      </c>
      <c r="D907" s="1" t="s">
        <v>23</v>
      </c>
      <c r="E907" s="3">
        <v>0</v>
      </c>
      <c r="F907" s="3">
        <v>0</v>
      </c>
      <c r="G907" s="3">
        <v>0</v>
      </c>
      <c r="H907" s="3">
        <v>1926.52</v>
      </c>
      <c r="I907" s="3">
        <v>0</v>
      </c>
      <c r="J907" s="1" t="s">
        <v>79</v>
      </c>
      <c r="K907" s="28"/>
      <c r="L907" s="28"/>
    </row>
    <row r="908" spans="1:12" s="2" customFormat="1" ht="24.95" customHeight="1" x14ac:dyDescent="0.25">
      <c r="A908" s="31" t="s">
        <v>2711</v>
      </c>
      <c r="B908" s="1" t="s">
        <v>2712</v>
      </c>
      <c r="C908" s="1" t="s">
        <v>2713</v>
      </c>
      <c r="D908" s="1" t="s">
        <v>3</v>
      </c>
      <c r="E908" s="3">
        <v>1906.38</v>
      </c>
      <c r="F908" s="3">
        <v>0</v>
      </c>
      <c r="G908" s="3">
        <v>0</v>
      </c>
      <c r="H908" s="3">
        <v>0</v>
      </c>
      <c r="I908" s="3">
        <v>12706.11</v>
      </c>
      <c r="J908" s="1" t="s">
        <v>19</v>
      </c>
      <c r="K908" s="28"/>
      <c r="L908" s="28"/>
    </row>
    <row r="909" spans="1:12" s="2" customFormat="1" ht="24.95" customHeight="1" x14ac:dyDescent="0.25">
      <c r="A909" s="31" t="s">
        <v>2714</v>
      </c>
      <c r="B909" s="1" t="s">
        <v>2715</v>
      </c>
      <c r="C909" s="1" t="s">
        <v>2716</v>
      </c>
      <c r="D909" s="1" t="s">
        <v>13</v>
      </c>
      <c r="E909" s="3">
        <v>1846.34</v>
      </c>
      <c r="F909" s="3">
        <v>0</v>
      </c>
      <c r="G909" s="3">
        <v>939.58</v>
      </c>
      <c r="H909" s="3">
        <v>0</v>
      </c>
      <c r="I909" s="3">
        <v>0</v>
      </c>
      <c r="J909" s="1" t="s">
        <v>106</v>
      </c>
      <c r="K909" s="28"/>
      <c r="L909" s="28"/>
    </row>
    <row r="910" spans="1:12" s="2" customFormat="1" ht="24.95" customHeight="1" x14ac:dyDescent="0.25">
      <c r="A910" s="31" t="s">
        <v>2717</v>
      </c>
      <c r="B910" s="1" t="s">
        <v>2718</v>
      </c>
      <c r="C910" s="1" t="s">
        <v>2719</v>
      </c>
      <c r="D910" s="1" t="s">
        <v>18</v>
      </c>
      <c r="E910" s="3">
        <v>0</v>
      </c>
      <c r="F910" s="3">
        <v>3390.07</v>
      </c>
      <c r="G910" s="3">
        <v>0</v>
      </c>
      <c r="H910" s="3">
        <v>0</v>
      </c>
      <c r="I910" s="3">
        <v>8545.2199999999993</v>
      </c>
      <c r="J910" s="1" t="s">
        <v>48</v>
      </c>
      <c r="K910" s="28"/>
      <c r="L910" s="28"/>
    </row>
    <row r="911" spans="1:12" s="2" customFormat="1" ht="24.95" customHeight="1" x14ac:dyDescent="0.25">
      <c r="A911" s="31" t="s">
        <v>2720</v>
      </c>
      <c r="B911" s="1" t="s">
        <v>2721</v>
      </c>
      <c r="C911" s="1" t="s">
        <v>2722</v>
      </c>
      <c r="D911" s="1" t="s">
        <v>18</v>
      </c>
      <c r="E911" s="3">
        <v>0</v>
      </c>
      <c r="F911" s="3">
        <v>0</v>
      </c>
      <c r="G911" s="3">
        <v>2383.4499999999998</v>
      </c>
      <c r="H911" s="3">
        <v>0</v>
      </c>
      <c r="I911" s="3">
        <v>0</v>
      </c>
      <c r="J911" s="1" t="s">
        <v>79</v>
      </c>
      <c r="K911" s="28"/>
      <c r="L911" s="28"/>
    </row>
    <row r="912" spans="1:12" s="2" customFormat="1" ht="24.95" customHeight="1" x14ac:dyDescent="0.25">
      <c r="A912" s="31" t="s">
        <v>2723</v>
      </c>
      <c r="B912" s="1" t="s">
        <v>2724</v>
      </c>
      <c r="C912" s="1" t="s">
        <v>2725</v>
      </c>
      <c r="D912" s="1" t="s">
        <v>13</v>
      </c>
      <c r="E912" s="3">
        <v>0</v>
      </c>
      <c r="F912" s="3">
        <v>1057.5999999999999</v>
      </c>
      <c r="G912" s="3">
        <v>1188.07</v>
      </c>
      <c r="H912" s="3">
        <v>0</v>
      </c>
      <c r="I912" s="3">
        <v>0</v>
      </c>
      <c r="J912" s="1" t="s">
        <v>93</v>
      </c>
      <c r="K912" s="28"/>
      <c r="L912" s="28"/>
    </row>
    <row r="913" spans="1:12" s="2" customFormat="1" ht="24.95" customHeight="1" x14ac:dyDescent="0.25">
      <c r="A913" s="31" t="s">
        <v>2726</v>
      </c>
      <c r="B913" s="1" t="s">
        <v>2727</v>
      </c>
      <c r="C913" s="1" t="s">
        <v>2728</v>
      </c>
      <c r="D913" s="1" t="s">
        <v>23</v>
      </c>
      <c r="E913" s="3">
        <v>0</v>
      </c>
      <c r="F913" s="3">
        <v>4624.1000000000004</v>
      </c>
      <c r="G913" s="3">
        <v>0</v>
      </c>
      <c r="H913" s="3">
        <v>0</v>
      </c>
      <c r="I913" s="3">
        <v>14880.19</v>
      </c>
      <c r="J913" s="1" t="s">
        <v>93</v>
      </c>
      <c r="K913" s="28"/>
      <c r="L913" s="28"/>
    </row>
    <row r="914" spans="1:12" s="2" customFormat="1" ht="24.95" customHeight="1" x14ac:dyDescent="0.25">
      <c r="A914" s="31" t="s">
        <v>2729</v>
      </c>
      <c r="B914" s="1" t="s">
        <v>2730</v>
      </c>
      <c r="C914" s="1" t="s">
        <v>2731</v>
      </c>
      <c r="D914" s="1" t="s">
        <v>8</v>
      </c>
      <c r="E914" s="3">
        <v>4352.51</v>
      </c>
      <c r="F914" s="3">
        <v>1595.23</v>
      </c>
      <c r="G914" s="3">
        <v>2676.93</v>
      </c>
      <c r="H914" s="3">
        <v>4178.09</v>
      </c>
      <c r="I914" s="3">
        <v>0</v>
      </c>
      <c r="J914" s="1" t="s">
        <v>93</v>
      </c>
      <c r="K914" s="28"/>
      <c r="L914" s="28"/>
    </row>
    <row r="915" spans="1:12" s="2" customFormat="1" ht="24.95" customHeight="1" x14ac:dyDescent="0.25">
      <c r="A915" s="31" t="s">
        <v>2732</v>
      </c>
      <c r="B915" s="1" t="s">
        <v>2733</v>
      </c>
      <c r="C915" s="1" t="s">
        <v>2734</v>
      </c>
      <c r="D915" s="1" t="s">
        <v>13</v>
      </c>
      <c r="E915" s="3">
        <v>5804.28</v>
      </c>
      <c r="F915" s="3">
        <v>0</v>
      </c>
      <c r="G915" s="3">
        <v>199.96</v>
      </c>
      <c r="H915" s="3">
        <v>0</v>
      </c>
      <c r="I915" s="3">
        <v>710.04</v>
      </c>
      <c r="J915" s="1" t="s">
        <v>41</v>
      </c>
      <c r="K915" s="28"/>
      <c r="L915" s="28"/>
    </row>
    <row r="916" spans="1:12" s="2" customFormat="1" ht="24.95" customHeight="1" x14ac:dyDescent="0.25">
      <c r="A916" s="31" t="s">
        <v>2735</v>
      </c>
      <c r="B916" s="1" t="s">
        <v>2736</v>
      </c>
      <c r="C916" s="1" t="s">
        <v>2737</v>
      </c>
      <c r="D916" s="1" t="s">
        <v>3</v>
      </c>
      <c r="E916" s="3">
        <v>0</v>
      </c>
      <c r="F916" s="3">
        <v>2651.96</v>
      </c>
      <c r="G916" s="3">
        <v>660.39</v>
      </c>
      <c r="H916" s="3">
        <v>0</v>
      </c>
      <c r="I916" s="3">
        <v>5452.08</v>
      </c>
      <c r="J916" s="1" t="s">
        <v>19</v>
      </c>
      <c r="K916" s="28"/>
      <c r="L916" s="28"/>
    </row>
    <row r="917" spans="1:12" s="2" customFormat="1" ht="24.95" customHeight="1" x14ac:dyDescent="0.25">
      <c r="A917" s="31" t="s">
        <v>2738</v>
      </c>
      <c r="B917" s="1" t="s">
        <v>2739</v>
      </c>
      <c r="C917" s="1" t="s">
        <v>2740</v>
      </c>
      <c r="D917" s="1" t="s">
        <v>13</v>
      </c>
      <c r="E917" s="3">
        <v>0</v>
      </c>
      <c r="F917" s="3">
        <v>0</v>
      </c>
      <c r="G917" s="3">
        <v>1067.02</v>
      </c>
      <c r="H917" s="3">
        <v>0</v>
      </c>
      <c r="I917" s="3">
        <v>0</v>
      </c>
      <c r="J917" s="1" t="s">
        <v>14</v>
      </c>
      <c r="K917" s="28"/>
      <c r="L917" s="28"/>
    </row>
    <row r="918" spans="1:12" s="2" customFormat="1" ht="24.95" customHeight="1" x14ac:dyDescent="0.25">
      <c r="A918" s="31" t="s">
        <v>2741</v>
      </c>
      <c r="B918" s="1" t="s">
        <v>2742</v>
      </c>
      <c r="C918" s="1" t="s">
        <v>2743</v>
      </c>
      <c r="D918" s="1" t="s">
        <v>3027</v>
      </c>
      <c r="E918" s="3">
        <v>132.12</v>
      </c>
      <c r="F918" s="3">
        <v>710.47</v>
      </c>
      <c r="G918" s="3">
        <v>2221.89</v>
      </c>
      <c r="H918" s="3">
        <v>10390.67</v>
      </c>
      <c r="I918" s="3">
        <v>0</v>
      </c>
      <c r="J918" s="1" t="s">
        <v>106</v>
      </c>
      <c r="K918" s="28"/>
      <c r="L918" s="28"/>
    </row>
    <row r="919" spans="1:12" s="2" customFormat="1" ht="24.95" customHeight="1" x14ac:dyDescent="0.25">
      <c r="A919" s="31" t="s">
        <v>2744</v>
      </c>
      <c r="B919" s="1" t="s">
        <v>2745</v>
      </c>
      <c r="C919" s="1" t="s">
        <v>2746</v>
      </c>
      <c r="D919" s="1" t="s">
        <v>3027</v>
      </c>
      <c r="E919" s="3">
        <v>5002.51</v>
      </c>
      <c r="F919" s="3">
        <v>0</v>
      </c>
      <c r="G919" s="3">
        <v>0</v>
      </c>
      <c r="H919" s="3">
        <v>0</v>
      </c>
      <c r="I919" s="3">
        <v>0</v>
      </c>
      <c r="J919" s="1" t="s">
        <v>24</v>
      </c>
      <c r="K919" s="28"/>
      <c r="L919" s="28"/>
    </row>
    <row r="920" spans="1:12" s="2" customFormat="1" ht="24.95" customHeight="1" x14ac:dyDescent="0.25">
      <c r="A920" s="31" t="s">
        <v>2747</v>
      </c>
      <c r="B920" s="1" t="s">
        <v>2748</v>
      </c>
      <c r="C920" s="1" t="s">
        <v>2749</v>
      </c>
      <c r="D920" s="1" t="s">
        <v>3</v>
      </c>
      <c r="E920" s="3">
        <v>704.1</v>
      </c>
      <c r="F920" s="3">
        <v>2507.1799999999998</v>
      </c>
      <c r="G920" s="3">
        <v>0</v>
      </c>
      <c r="H920" s="3">
        <v>0</v>
      </c>
      <c r="I920" s="3">
        <v>9730.0400000000009</v>
      </c>
      <c r="J920" s="1" t="s">
        <v>4</v>
      </c>
      <c r="K920" s="28"/>
      <c r="L920" s="28"/>
    </row>
    <row r="921" spans="1:12" s="2" customFormat="1" ht="24.95" customHeight="1" x14ac:dyDescent="0.25">
      <c r="A921" s="31" t="s">
        <v>2750</v>
      </c>
      <c r="B921" s="1" t="s">
        <v>2751</v>
      </c>
      <c r="C921" s="1" t="s">
        <v>2752</v>
      </c>
      <c r="D921" s="1" t="s">
        <v>23</v>
      </c>
      <c r="E921" s="3">
        <v>3822.73</v>
      </c>
      <c r="F921" s="3">
        <v>0</v>
      </c>
      <c r="G921" s="3">
        <v>0</v>
      </c>
      <c r="H921" s="3">
        <v>3394.27</v>
      </c>
      <c r="I921" s="3">
        <v>11507.24</v>
      </c>
      <c r="J921" s="1" t="s">
        <v>106</v>
      </c>
      <c r="K921" s="28"/>
      <c r="L921" s="28"/>
    </row>
    <row r="922" spans="1:12" s="2" customFormat="1" ht="24.95" customHeight="1" x14ac:dyDescent="0.25">
      <c r="A922" s="31" t="s">
        <v>2753</v>
      </c>
      <c r="B922" s="1" t="s">
        <v>2754</v>
      </c>
      <c r="C922" s="1" t="s">
        <v>2755</v>
      </c>
      <c r="D922" s="1" t="s">
        <v>23</v>
      </c>
      <c r="E922" s="3">
        <v>4553.8500000000004</v>
      </c>
      <c r="F922" s="3">
        <v>3882.53</v>
      </c>
      <c r="G922" s="3">
        <v>0</v>
      </c>
      <c r="H922" s="3">
        <v>0</v>
      </c>
      <c r="I922" s="3">
        <v>4655.1400000000003</v>
      </c>
      <c r="J922" s="1" t="s">
        <v>19</v>
      </c>
      <c r="K922" s="28"/>
      <c r="L922" s="28"/>
    </row>
    <row r="923" spans="1:12" s="2" customFormat="1" ht="24.95" customHeight="1" x14ac:dyDescent="0.25">
      <c r="A923" s="31" t="s">
        <v>2756</v>
      </c>
      <c r="B923" s="1" t="s">
        <v>2757</v>
      </c>
      <c r="C923" s="1" t="s">
        <v>2758</v>
      </c>
      <c r="D923" s="1" t="s">
        <v>23</v>
      </c>
      <c r="E923" s="3">
        <v>2945.17</v>
      </c>
      <c r="F923" s="3">
        <v>4722.7299999999996</v>
      </c>
      <c r="G923" s="3">
        <v>0</v>
      </c>
      <c r="H923" s="3">
        <v>0</v>
      </c>
      <c r="I923" s="3">
        <v>5044.75</v>
      </c>
      <c r="J923" s="1" t="s">
        <v>14</v>
      </c>
      <c r="K923" s="28"/>
      <c r="L923" s="28"/>
    </row>
    <row r="924" spans="1:12" s="2" customFormat="1" ht="24.95" customHeight="1" x14ac:dyDescent="0.25">
      <c r="A924" s="31" t="s">
        <v>2759</v>
      </c>
      <c r="B924" s="1" t="s">
        <v>2760</v>
      </c>
      <c r="C924" s="1" t="s">
        <v>2761</v>
      </c>
      <c r="D924" s="1" t="s">
        <v>13</v>
      </c>
      <c r="E924" s="3">
        <v>2017.94</v>
      </c>
      <c r="F924" s="3">
        <v>0</v>
      </c>
      <c r="G924" s="3">
        <v>2440.02</v>
      </c>
      <c r="H924" s="3">
        <v>7456.51</v>
      </c>
      <c r="I924" s="3">
        <v>0</v>
      </c>
      <c r="J924" s="1" t="s">
        <v>14</v>
      </c>
      <c r="K924" s="28"/>
      <c r="L924" s="28"/>
    </row>
    <row r="925" spans="1:12" s="2" customFormat="1" ht="24.95" customHeight="1" x14ac:dyDescent="0.25">
      <c r="A925" s="31" t="s">
        <v>2762</v>
      </c>
      <c r="B925" s="1" t="s">
        <v>2763</v>
      </c>
      <c r="C925" s="1" t="s">
        <v>2764</v>
      </c>
      <c r="D925" s="1" t="s">
        <v>8</v>
      </c>
      <c r="E925" s="3">
        <v>0</v>
      </c>
      <c r="F925" s="3">
        <v>3837.14</v>
      </c>
      <c r="G925" s="3">
        <v>597.6</v>
      </c>
      <c r="H925" s="3">
        <v>0</v>
      </c>
      <c r="I925" s="3">
        <v>0</v>
      </c>
      <c r="J925" s="1" t="s">
        <v>9</v>
      </c>
      <c r="K925" s="28"/>
      <c r="L925" s="28"/>
    </row>
    <row r="926" spans="1:12" s="2" customFormat="1" ht="24.95" customHeight="1" x14ac:dyDescent="0.25">
      <c r="A926" s="31" t="s">
        <v>2765</v>
      </c>
      <c r="B926" s="1" t="s">
        <v>2766</v>
      </c>
      <c r="C926" s="1" t="s">
        <v>2767</v>
      </c>
      <c r="D926" s="1" t="s">
        <v>18</v>
      </c>
      <c r="E926" s="3">
        <v>4757.7700000000004</v>
      </c>
      <c r="F926" s="3">
        <v>180.52</v>
      </c>
      <c r="G926" s="3">
        <v>0</v>
      </c>
      <c r="H926" s="3">
        <v>0</v>
      </c>
      <c r="I926" s="3">
        <v>0</v>
      </c>
      <c r="J926" s="1" t="s">
        <v>86</v>
      </c>
      <c r="K926" s="28"/>
      <c r="L926" s="28"/>
    </row>
    <row r="927" spans="1:12" s="2" customFormat="1" ht="24.95" customHeight="1" x14ac:dyDescent="0.25">
      <c r="A927" s="31" t="s">
        <v>2768</v>
      </c>
      <c r="B927" s="1" t="s">
        <v>2769</v>
      </c>
      <c r="C927" s="1" t="s">
        <v>2770</v>
      </c>
      <c r="D927" s="1" t="s">
        <v>3</v>
      </c>
      <c r="E927" s="3">
        <v>3352.98</v>
      </c>
      <c r="F927" s="3">
        <v>0</v>
      </c>
      <c r="G927" s="3">
        <v>2235.12</v>
      </c>
      <c r="H927" s="3">
        <v>0</v>
      </c>
      <c r="I927" s="3">
        <v>0</v>
      </c>
      <c r="J927" s="1" t="s">
        <v>37</v>
      </c>
      <c r="K927" s="28"/>
      <c r="L927" s="28"/>
    </row>
    <row r="928" spans="1:12" s="2" customFormat="1" ht="24.95" customHeight="1" x14ac:dyDescent="0.25">
      <c r="A928" s="31" t="s">
        <v>2771</v>
      </c>
      <c r="B928" s="1" t="s">
        <v>2772</v>
      </c>
      <c r="C928" s="1" t="s">
        <v>2773</v>
      </c>
      <c r="D928" s="1" t="s">
        <v>13</v>
      </c>
      <c r="E928" s="3">
        <v>2860.98</v>
      </c>
      <c r="F928" s="3">
        <v>0</v>
      </c>
      <c r="G928" s="3">
        <v>0</v>
      </c>
      <c r="H928" s="3">
        <v>0</v>
      </c>
      <c r="I928" s="3">
        <v>0</v>
      </c>
      <c r="J928" s="1" t="s">
        <v>37</v>
      </c>
      <c r="K928" s="28"/>
      <c r="L928" s="28"/>
    </row>
    <row r="929" spans="1:12" s="2" customFormat="1" ht="24.95" customHeight="1" x14ac:dyDescent="0.25">
      <c r="A929" s="31" t="s">
        <v>2774</v>
      </c>
      <c r="B929" s="1" t="s">
        <v>2775</v>
      </c>
      <c r="C929" s="1" t="s">
        <v>2776</v>
      </c>
      <c r="D929" s="1" t="s">
        <v>3</v>
      </c>
      <c r="E929" s="3">
        <v>4665.62</v>
      </c>
      <c r="F929" s="3">
        <v>4821.53</v>
      </c>
      <c r="G929" s="3">
        <v>1076.55</v>
      </c>
      <c r="H929" s="3">
        <v>11542.57</v>
      </c>
      <c r="I929" s="3">
        <v>14138.09</v>
      </c>
      <c r="J929" s="1" t="s">
        <v>14</v>
      </c>
      <c r="K929" s="28"/>
      <c r="L929" s="28"/>
    </row>
    <row r="930" spans="1:12" s="2" customFormat="1" ht="24.95" customHeight="1" x14ac:dyDescent="0.25">
      <c r="A930" s="31" t="s">
        <v>2777</v>
      </c>
      <c r="B930" s="1" t="s">
        <v>2778</v>
      </c>
      <c r="C930" s="1" t="s">
        <v>2779</v>
      </c>
      <c r="D930" s="1" t="s">
        <v>13</v>
      </c>
      <c r="E930" s="3">
        <v>0</v>
      </c>
      <c r="F930" s="3">
        <v>0</v>
      </c>
      <c r="G930" s="3">
        <v>0</v>
      </c>
      <c r="H930" s="3">
        <v>10781.14</v>
      </c>
      <c r="I930" s="3">
        <v>0</v>
      </c>
      <c r="J930" s="1" t="s">
        <v>24</v>
      </c>
      <c r="K930" s="28"/>
      <c r="L930" s="28"/>
    </row>
    <row r="931" spans="1:12" s="2" customFormat="1" ht="24.95" customHeight="1" x14ac:dyDescent="0.25">
      <c r="A931" s="31" t="s">
        <v>2780</v>
      </c>
      <c r="B931" s="1" t="s">
        <v>2781</v>
      </c>
      <c r="C931" s="1" t="s">
        <v>2782</v>
      </c>
      <c r="D931" s="1" t="s">
        <v>3027</v>
      </c>
      <c r="E931" s="3">
        <v>6393.24</v>
      </c>
      <c r="F931" s="3">
        <v>0</v>
      </c>
      <c r="G931" s="3">
        <v>0</v>
      </c>
      <c r="H931" s="3">
        <v>0</v>
      </c>
      <c r="I931" s="3">
        <v>0</v>
      </c>
      <c r="J931" s="1" t="s">
        <v>14</v>
      </c>
      <c r="K931" s="28"/>
      <c r="L931" s="28"/>
    </row>
    <row r="932" spans="1:12" s="2" customFormat="1" ht="24.95" customHeight="1" x14ac:dyDescent="0.25">
      <c r="A932" s="31" t="s">
        <v>2783</v>
      </c>
      <c r="B932" s="1" t="s">
        <v>2784</v>
      </c>
      <c r="C932" s="1" t="s">
        <v>2785</v>
      </c>
      <c r="D932" s="1" t="s">
        <v>3027</v>
      </c>
      <c r="E932" s="3">
        <v>2127.04</v>
      </c>
      <c r="F932" s="3">
        <v>2505.37</v>
      </c>
      <c r="G932" s="3">
        <v>1741.22</v>
      </c>
      <c r="H932" s="3">
        <v>0</v>
      </c>
      <c r="I932" s="3">
        <v>0</v>
      </c>
      <c r="J932" s="1" t="s">
        <v>14</v>
      </c>
      <c r="K932" s="28"/>
      <c r="L932" s="28"/>
    </row>
    <row r="933" spans="1:12" s="2" customFormat="1" ht="24.95" customHeight="1" x14ac:dyDescent="0.25">
      <c r="A933" s="31" t="s">
        <v>2786</v>
      </c>
      <c r="B933" s="1" t="s">
        <v>2787</v>
      </c>
      <c r="C933" s="1" t="s">
        <v>2788</v>
      </c>
      <c r="D933" s="1" t="s">
        <v>3027</v>
      </c>
      <c r="E933" s="3">
        <v>0</v>
      </c>
      <c r="F933" s="3">
        <v>0</v>
      </c>
      <c r="G933" s="3">
        <v>0</v>
      </c>
      <c r="H933" s="3">
        <v>7370.69</v>
      </c>
      <c r="I933" s="3">
        <v>12151.6</v>
      </c>
      <c r="J933" s="1" t="s">
        <v>93</v>
      </c>
      <c r="K933" s="28"/>
      <c r="L933" s="28"/>
    </row>
    <row r="934" spans="1:12" s="2" customFormat="1" ht="24.95" customHeight="1" x14ac:dyDescent="0.25">
      <c r="A934" s="31" t="s">
        <v>2789</v>
      </c>
      <c r="B934" s="1" t="s">
        <v>2790</v>
      </c>
      <c r="C934" s="1" t="s">
        <v>2791</v>
      </c>
      <c r="D934" s="1" t="s">
        <v>3</v>
      </c>
      <c r="E934" s="3">
        <v>0</v>
      </c>
      <c r="F934" s="3">
        <v>1314.53</v>
      </c>
      <c r="G934" s="3">
        <v>0</v>
      </c>
      <c r="H934" s="3">
        <v>0</v>
      </c>
      <c r="I934" s="3">
        <v>0</v>
      </c>
      <c r="J934" s="1" t="s">
        <v>106</v>
      </c>
      <c r="K934" s="28"/>
      <c r="L934" s="28"/>
    </row>
    <row r="935" spans="1:12" s="2" customFormat="1" ht="24.95" customHeight="1" x14ac:dyDescent="0.25">
      <c r="A935" s="31" t="s">
        <v>2792</v>
      </c>
      <c r="B935" s="1" t="s">
        <v>2793</v>
      </c>
      <c r="C935" s="1" t="s">
        <v>2794</v>
      </c>
      <c r="D935" s="1" t="s">
        <v>3</v>
      </c>
      <c r="E935" s="3">
        <v>5839.76</v>
      </c>
      <c r="F935" s="3">
        <v>2731.2</v>
      </c>
      <c r="G935" s="3">
        <v>0</v>
      </c>
      <c r="H935" s="3">
        <v>0</v>
      </c>
      <c r="I935" s="3">
        <v>12341.86</v>
      </c>
      <c r="J935" s="1" t="s">
        <v>37</v>
      </c>
      <c r="K935" s="28"/>
      <c r="L935" s="28"/>
    </row>
    <row r="936" spans="1:12" s="2" customFormat="1" ht="24.95" customHeight="1" x14ac:dyDescent="0.25">
      <c r="A936" s="31" t="s">
        <v>2795</v>
      </c>
      <c r="B936" s="1" t="s">
        <v>2796</v>
      </c>
      <c r="C936" s="1" t="s">
        <v>2797</v>
      </c>
      <c r="D936" s="1" t="s">
        <v>8</v>
      </c>
      <c r="E936" s="3">
        <v>0</v>
      </c>
      <c r="F936" s="3">
        <v>1743.81</v>
      </c>
      <c r="G936" s="3">
        <v>0</v>
      </c>
      <c r="H936" s="3">
        <v>0</v>
      </c>
      <c r="I936" s="3">
        <v>4238.78</v>
      </c>
      <c r="J936" s="1" t="s">
        <v>19</v>
      </c>
      <c r="K936" s="28"/>
      <c r="L936" s="28"/>
    </row>
    <row r="937" spans="1:12" s="2" customFormat="1" ht="24.95" customHeight="1" x14ac:dyDescent="0.25">
      <c r="A937" s="31" t="s">
        <v>2798</v>
      </c>
      <c r="B937" s="1" t="s">
        <v>2799</v>
      </c>
      <c r="C937" s="1" t="s">
        <v>2800</v>
      </c>
      <c r="D937" s="1" t="s">
        <v>3027</v>
      </c>
      <c r="E937" s="3">
        <v>2066.15</v>
      </c>
      <c r="F937" s="3">
        <v>425.12</v>
      </c>
      <c r="G937" s="3">
        <v>0</v>
      </c>
      <c r="H937" s="3">
        <v>0</v>
      </c>
      <c r="I937" s="3">
        <v>0</v>
      </c>
      <c r="J937" s="1" t="s">
        <v>93</v>
      </c>
      <c r="K937" s="28"/>
      <c r="L937" s="28"/>
    </row>
    <row r="938" spans="1:12" s="2" customFormat="1" ht="24.95" customHeight="1" x14ac:dyDescent="0.25">
      <c r="A938" s="31" t="s">
        <v>2801</v>
      </c>
      <c r="B938" s="1" t="s">
        <v>2802</v>
      </c>
      <c r="C938" s="1" t="s">
        <v>2803</v>
      </c>
      <c r="D938" s="1" t="s">
        <v>3</v>
      </c>
      <c r="E938" s="3">
        <v>1853.9</v>
      </c>
      <c r="F938" s="3">
        <v>341.35</v>
      </c>
      <c r="G938" s="3">
        <v>0</v>
      </c>
      <c r="H938" s="3">
        <v>2829.92</v>
      </c>
      <c r="I938" s="3">
        <v>0</v>
      </c>
      <c r="J938" s="1" t="s">
        <v>19</v>
      </c>
      <c r="K938" s="28"/>
      <c r="L938" s="28"/>
    </row>
    <row r="939" spans="1:12" s="2" customFormat="1" ht="24.95" customHeight="1" x14ac:dyDescent="0.25">
      <c r="A939" s="31" t="s">
        <v>2804</v>
      </c>
      <c r="B939" s="1" t="s">
        <v>2805</v>
      </c>
      <c r="C939" s="1" t="s">
        <v>2806</v>
      </c>
      <c r="D939" s="1" t="s">
        <v>13</v>
      </c>
      <c r="E939" s="3">
        <v>7636.54</v>
      </c>
      <c r="F939" s="3">
        <v>0</v>
      </c>
      <c r="G939" s="3">
        <v>0</v>
      </c>
      <c r="H939" s="3">
        <v>0</v>
      </c>
      <c r="I939" s="3">
        <v>6455.18</v>
      </c>
      <c r="J939" s="1" t="s">
        <v>41</v>
      </c>
      <c r="K939" s="28"/>
      <c r="L939" s="28"/>
    </row>
    <row r="940" spans="1:12" s="2" customFormat="1" ht="24.95" customHeight="1" x14ac:dyDescent="0.25">
      <c r="A940" s="31" t="s">
        <v>2807</v>
      </c>
      <c r="B940" s="1" t="s">
        <v>2808</v>
      </c>
      <c r="C940" s="1" t="s">
        <v>2809</v>
      </c>
      <c r="D940" s="1" t="s">
        <v>3</v>
      </c>
      <c r="E940" s="3">
        <v>0</v>
      </c>
      <c r="F940" s="3">
        <v>3040.5</v>
      </c>
      <c r="G940" s="3">
        <v>0</v>
      </c>
      <c r="H940" s="3">
        <v>0</v>
      </c>
      <c r="I940" s="3">
        <v>0</v>
      </c>
      <c r="J940" s="1" t="s">
        <v>79</v>
      </c>
      <c r="K940" s="28"/>
      <c r="L940" s="28"/>
    </row>
    <row r="941" spans="1:12" s="2" customFormat="1" ht="24.95" customHeight="1" x14ac:dyDescent="0.25">
      <c r="A941" s="31" t="s">
        <v>2810</v>
      </c>
      <c r="B941" s="1" t="s">
        <v>2811</v>
      </c>
      <c r="C941" s="1" t="s">
        <v>2812</v>
      </c>
      <c r="D941" s="1" t="s">
        <v>3027</v>
      </c>
      <c r="E941" s="3">
        <v>6653.53</v>
      </c>
      <c r="F941" s="3">
        <v>0</v>
      </c>
      <c r="G941" s="3">
        <v>0</v>
      </c>
      <c r="H941" s="3">
        <v>0</v>
      </c>
      <c r="I941" s="3">
        <v>0</v>
      </c>
      <c r="J941" s="1" t="s">
        <v>79</v>
      </c>
      <c r="K941" s="28"/>
      <c r="L941" s="28"/>
    </row>
    <row r="942" spans="1:12" s="2" customFormat="1" ht="24.95" customHeight="1" x14ac:dyDescent="0.25">
      <c r="A942" s="31" t="s">
        <v>2813</v>
      </c>
      <c r="B942" s="1" t="s">
        <v>2814</v>
      </c>
      <c r="C942" s="1" t="s">
        <v>2815</v>
      </c>
      <c r="D942" s="1" t="s">
        <v>3</v>
      </c>
      <c r="E942" s="3">
        <v>0</v>
      </c>
      <c r="F942" s="3">
        <v>0</v>
      </c>
      <c r="G942" s="3">
        <v>0</v>
      </c>
      <c r="H942" s="3">
        <v>0</v>
      </c>
      <c r="I942" s="3">
        <v>12302.83</v>
      </c>
      <c r="J942" s="1" t="s">
        <v>37</v>
      </c>
      <c r="K942" s="28"/>
      <c r="L942" s="28"/>
    </row>
    <row r="943" spans="1:12" s="2" customFormat="1" ht="24.95" customHeight="1" x14ac:dyDescent="0.25">
      <c r="A943" s="31" t="s">
        <v>2816</v>
      </c>
      <c r="B943" s="1" t="s">
        <v>2817</v>
      </c>
      <c r="C943" s="1" t="s">
        <v>2818</v>
      </c>
      <c r="D943" s="1" t="s">
        <v>13</v>
      </c>
      <c r="E943" s="3">
        <v>3796.85</v>
      </c>
      <c r="F943" s="3">
        <v>0</v>
      </c>
      <c r="G943" s="3">
        <v>0</v>
      </c>
      <c r="H943" s="3">
        <v>0</v>
      </c>
      <c r="I943" s="3">
        <v>0</v>
      </c>
      <c r="J943" s="1" t="s">
        <v>79</v>
      </c>
      <c r="K943" s="28"/>
      <c r="L943" s="28"/>
    </row>
    <row r="944" spans="1:12" s="2" customFormat="1" ht="24.95" customHeight="1" x14ac:dyDescent="0.25">
      <c r="A944" s="31" t="s">
        <v>2819</v>
      </c>
      <c r="B944" s="1" t="s">
        <v>2820</v>
      </c>
      <c r="C944" s="1" t="s">
        <v>2821</v>
      </c>
      <c r="D944" s="1" t="s">
        <v>18</v>
      </c>
      <c r="E944" s="3">
        <v>0</v>
      </c>
      <c r="F944" s="3">
        <v>0</v>
      </c>
      <c r="G944" s="3">
        <v>1366.88</v>
      </c>
      <c r="H944" s="3">
        <v>0</v>
      </c>
      <c r="I944" s="3">
        <v>6373.16</v>
      </c>
      <c r="J944" s="1" t="s">
        <v>9</v>
      </c>
      <c r="K944" s="28"/>
      <c r="L944" s="28"/>
    </row>
    <row r="945" spans="1:12" s="2" customFormat="1" ht="24.95" customHeight="1" x14ac:dyDescent="0.25">
      <c r="A945" s="31" t="s">
        <v>2822</v>
      </c>
      <c r="B945" s="1" t="s">
        <v>2823</v>
      </c>
      <c r="C945" s="1" t="s">
        <v>2824</v>
      </c>
      <c r="D945" s="1" t="s">
        <v>18</v>
      </c>
      <c r="E945" s="3">
        <v>7855.86</v>
      </c>
      <c r="F945" s="3">
        <v>0</v>
      </c>
      <c r="G945" s="3">
        <v>0</v>
      </c>
      <c r="H945" s="3">
        <v>7034.17</v>
      </c>
      <c r="I945" s="3">
        <v>11232.31</v>
      </c>
      <c r="J945" s="1" t="s">
        <v>19</v>
      </c>
      <c r="K945" s="28"/>
      <c r="L945" s="28"/>
    </row>
    <row r="946" spans="1:12" s="2" customFormat="1" ht="24.95" customHeight="1" x14ac:dyDescent="0.25">
      <c r="A946" s="31" t="s">
        <v>2825</v>
      </c>
      <c r="B946" s="1" t="s">
        <v>2826</v>
      </c>
      <c r="C946" s="1" t="s">
        <v>2827</v>
      </c>
      <c r="D946" s="1" t="s">
        <v>8</v>
      </c>
      <c r="E946" s="3">
        <v>0</v>
      </c>
      <c r="F946" s="3">
        <v>2349.1</v>
      </c>
      <c r="G946" s="3">
        <v>0</v>
      </c>
      <c r="H946" s="3">
        <v>0</v>
      </c>
      <c r="I946" s="3">
        <v>0</v>
      </c>
      <c r="J946" s="1" t="s">
        <v>24</v>
      </c>
      <c r="K946" s="28"/>
      <c r="L946" s="28"/>
    </row>
    <row r="947" spans="1:12" s="2" customFormat="1" ht="24.95" customHeight="1" x14ac:dyDescent="0.25">
      <c r="A947" s="31" t="s">
        <v>2828</v>
      </c>
      <c r="B947" s="1" t="s">
        <v>2829</v>
      </c>
      <c r="C947" s="1" t="s">
        <v>2830</v>
      </c>
      <c r="D947" s="1" t="s">
        <v>23</v>
      </c>
      <c r="E947" s="3">
        <v>6558.99</v>
      </c>
      <c r="F947" s="3">
        <v>0</v>
      </c>
      <c r="G947" s="3">
        <v>0</v>
      </c>
      <c r="H947" s="3">
        <v>2169.66</v>
      </c>
      <c r="I947" s="3">
        <v>0</v>
      </c>
      <c r="J947" s="1" t="s">
        <v>48</v>
      </c>
      <c r="K947" s="28"/>
      <c r="L947" s="28"/>
    </row>
    <row r="948" spans="1:12" s="2" customFormat="1" ht="24.95" customHeight="1" x14ac:dyDescent="0.25">
      <c r="A948" s="31" t="s">
        <v>2831</v>
      </c>
      <c r="B948" s="1" t="s">
        <v>2832</v>
      </c>
      <c r="C948" s="1" t="s">
        <v>2833</v>
      </c>
      <c r="D948" s="1" t="s">
        <v>3</v>
      </c>
      <c r="E948" s="3">
        <v>0</v>
      </c>
      <c r="F948" s="3">
        <v>0</v>
      </c>
      <c r="G948" s="3">
        <v>0</v>
      </c>
      <c r="H948" s="3">
        <v>0</v>
      </c>
      <c r="I948" s="3">
        <v>4229.09</v>
      </c>
      <c r="J948" s="1" t="s">
        <v>79</v>
      </c>
      <c r="K948" s="28"/>
      <c r="L948" s="28"/>
    </row>
    <row r="949" spans="1:12" s="2" customFormat="1" ht="24.95" customHeight="1" x14ac:dyDescent="0.25">
      <c r="A949" s="31" t="s">
        <v>2834</v>
      </c>
      <c r="B949" s="1" t="s">
        <v>2835</v>
      </c>
      <c r="C949" s="1" t="s">
        <v>2836</v>
      </c>
      <c r="D949" s="1" t="s">
        <v>23</v>
      </c>
      <c r="E949" s="3">
        <v>0</v>
      </c>
      <c r="F949" s="3">
        <v>0</v>
      </c>
      <c r="G949" s="3">
        <v>0</v>
      </c>
      <c r="H949" s="3">
        <v>0</v>
      </c>
      <c r="I949" s="3">
        <v>13311.12</v>
      </c>
      <c r="J949" s="1" t="s">
        <v>93</v>
      </c>
      <c r="K949" s="28"/>
      <c r="L949" s="28"/>
    </row>
    <row r="950" spans="1:12" s="2" customFormat="1" ht="24.95" customHeight="1" x14ac:dyDescent="0.25">
      <c r="A950" s="31" t="s">
        <v>2837</v>
      </c>
      <c r="B950" s="1" t="s">
        <v>2838</v>
      </c>
      <c r="C950" s="1" t="s">
        <v>2839</v>
      </c>
      <c r="D950" s="1" t="s">
        <v>18</v>
      </c>
      <c r="E950" s="3">
        <v>4445.03</v>
      </c>
      <c r="F950" s="3">
        <v>118.37</v>
      </c>
      <c r="G950" s="3">
        <v>1440.9</v>
      </c>
      <c r="H950" s="3">
        <v>0</v>
      </c>
      <c r="I950" s="3">
        <v>2346.7600000000002</v>
      </c>
      <c r="J950" s="1" t="s">
        <v>48</v>
      </c>
      <c r="K950" s="28"/>
      <c r="L950" s="28"/>
    </row>
    <row r="951" spans="1:12" s="2" customFormat="1" ht="24.95" customHeight="1" x14ac:dyDescent="0.25">
      <c r="A951" s="31" t="s">
        <v>2840</v>
      </c>
      <c r="B951" s="1" t="s">
        <v>2841</v>
      </c>
      <c r="C951" s="1" t="s">
        <v>2842</v>
      </c>
      <c r="D951" s="1" t="s">
        <v>13</v>
      </c>
      <c r="E951" s="3">
        <v>0</v>
      </c>
      <c r="F951" s="3">
        <v>4397.38</v>
      </c>
      <c r="G951" s="3">
        <v>0</v>
      </c>
      <c r="H951" s="3">
        <v>0</v>
      </c>
      <c r="I951" s="3">
        <v>2014.48</v>
      </c>
      <c r="J951" s="1" t="s">
        <v>86</v>
      </c>
      <c r="K951" s="28"/>
      <c r="L951" s="28"/>
    </row>
    <row r="952" spans="1:12" s="2" customFormat="1" ht="24.95" customHeight="1" x14ac:dyDescent="0.25">
      <c r="A952" s="31" t="s">
        <v>2843</v>
      </c>
      <c r="B952" s="1" t="s">
        <v>2844</v>
      </c>
      <c r="C952" s="1" t="s">
        <v>2845</v>
      </c>
      <c r="D952" s="1" t="s">
        <v>23</v>
      </c>
      <c r="E952" s="3">
        <v>0</v>
      </c>
      <c r="F952" s="3">
        <v>3373.16</v>
      </c>
      <c r="G952" s="3">
        <v>1511.29</v>
      </c>
      <c r="H952" s="3">
        <v>0</v>
      </c>
      <c r="I952" s="3">
        <v>12304.69</v>
      </c>
      <c r="J952" s="1" t="s">
        <v>48</v>
      </c>
      <c r="K952" s="28"/>
      <c r="L952" s="28"/>
    </row>
    <row r="953" spans="1:12" s="2" customFormat="1" ht="24.95" customHeight="1" x14ac:dyDescent="0.25">
      <c r="A953" s="31" t="s">
        <v>2846</v>
      </c>
      <c r="B953" s="1" t="s">
        <v>2847</v>
      </c>
      <c r="C953" s="1" t="s">
        <v>2848</v>
      </c>
      <c r="D953" s="1" t="s">
        <v>18</v>
      </c>
      <c r="E953" s="3">
        <v>4676.7700000000004</v>
      </c>
      <c r="F953" s="3">
        <v>0</v>
      </c>
      <c r="G953" s="3">
        <v>0</v>
      </c>
      <c r="H953" s="3">
        <v>0</v>
      </c>
      <c r="I953" s="3">
        <v>11582.25</v>
      </c>
      <c r="J953" s="1" t="s">
        <v>41</v>
      </c>
      <c r="K953" s="28"/>
      <c r="L953" s="28"/>
    </row>
    <row r="954" spans="1:12" s="2" customFormat="1" ht="24.95" customHeight="1" x14ac:dyDescent="0.25">
      <c r="A954" s="31" t="s">
        <v>2849</v>
      </c>
      <c r="B954" s="1" t="s">
        <v>2850</v>
      </c>
      <c r="C954" s="1" t="s">
        <v>2851</v>
      </c>
      <c r="D954" s="1" t="s">
        <v>18</v>
      </c>
      <c r="E954" s="3">
        <v>0</v>
      </c>
      <c r="F954" s="3">
        <v>1312.99</v>
      </c>
      <c r="G954" s="3">
        <v>1421.63</v>
      </c>
      <c r="H954" s="3">
        <v>421.06</v>
      </c>
      <c r="I954" s="3">
        <v>0</v>
      </c>
      <c r="J954" s="1" t="s">
        <v>9</v>
      </c>
      <c r="K954" s="28"/>
      <c r="L954" s="28"/>
    </row>
    <row r="955" spans="1:12" s="2" customFormat="1" ht="24.95" customHeight="1" x14ac:dyDescent="0.25">
      <c r="A955" s="31" t="s">
        <v>2852</v>
      </c>
      <c r="B955" s="1" t="s">
        <v>2853</v>
      </c>
      <c r="C955" s="1" t="s">
        <v>2854</v>
      </c>
      <c r="D955" s="1" t="s">
        <v>18</v>
      </c>
      <c r="E955" s="3">
        <v>3691.84</v>
      </c>
      <c r="F955" s="3">
        <v>0</v>
      </c>
      <c r="G955" s="3">
        <v>0</v>
      </c>
      <c r="H955" s="3">
        <v>0</v>
      </c>
      <c r="I955" s="3">
        <v>14030.64</v>
      </c>
      <c r="J955" s="1" t="s">
        <v>37</v>
      </c>
      <c r="K955" s="28"/>
      <c r="L955" s="28"/>
    </row>
    <row r="956" spans="1:12" s="2" customFormat="1" ht="24.95" customHeight="1" x14ac:dyDescent="0.25">
      <c r="A956" s="31" t="s">
        <v>2855</v>
      </c>
      <c r="B956" s="1" t="s">
        <v>2856</v>
      </c>
      <c r="C956" s="1" t="s">
        <v>2857</v>
      </c>
      <c r="D956" s="1" t="s">
        <v>18</v>
      </c>
      <c r="E956" s="3">
        <v>0</v>
      </c>
      <c r="F956" s="3">
        <v>0</v>
      </c>
      <c r="G956" s="3">
        <v>628.66</v>
      </c>
      <c r="H956" s="3">
        <v>2562.11</v>
      </c>
      <c r="I956" s="3">
        <v>12941.27</v>
      </c>
      <c r="J956" s="1" t="s">
        <v>19</v>
      </c>
      <c r="K956" s="28"/>
      <c r="L956" s="28"/>
    </row>
    <row r="957" spans="1:12" s="2" customFormat="1" ht="24.95" customHeight="1" x14ac:dyDescent="0.25">
      <c r="A957" s="31" t="s">
        <v>2858</v>
      </c>
      <c r="B957" s="1" t="s">
        <v>2859</v>
      </c>
      <c r="C957" s="1" t="s">
        <v>2860</v>
      </c>
      <c r="D957" s="1" t="s">
        <v>23</v>
      </c>
      <c r="E957" s="3">
        <v>0</v>
      </c>
      <c r="F957" s="3">
        <v>4166.0600000000004</v>
      </c>
      <c r="G957" s="3">
        <v>0</v>
      </c>
      <c r="H957" s="3">
        <v>9448.9500000000007</v>
      </c>
      <c r="I957" s="3">
        <v>0</v>
      </c>
      <c r="J957" s="1" t="s">
        <v>24</v>
      </c>
      <c r="K957" s="28"/>
      <c r="L957" s="28"/>
    </row>
    <row r="958" spans="1:12" s="2" customFormat="1" ht="24.95" customHeight="1" x14ac:dyDescent="0.25">
      <c r="A958" s="31" t="s">
        <v>2861</v>
      </c>
      <c r="B958" s="1" t="s">
        <v>2862</v>
      </c>
      <c r="C958" s="1" t="s">
        <v>2863</v>
      </c>
      <c r="D958" s="1" t="s">
        <v>13</v>
      </c>
      <c r="E958" s="3">
        <v>0</v>
      </c>
      <c r="F958" s="3">
        <v>1721.93</v>
      </c>
      <c r="G958" s="3">
        <v>0</v>
      </c>
      <c r="H958" s="3">
        <v>0</v>
      </c>
      <c r="I958" s="3">
        <v>5449.39</v>
      </c>
      <c r="J958" s="1" t="s">
        <v>19</v>
      </c>
      <c r="K958" s="28"/>
      <c r="L958" s="28"/>
    </row>
    <row r="959" spans="1:12" s="2" customFormat="1" ht="24.95" customHeight="1" x14ac:dyDescent="0.25">
      <c r="A959" s="31" t="s">
        <v>2864</v>
      </c>
      <c r="B959" s="1" t="s">
        <v>2865</v>
      </c>
      <c r="C959" s="1" t="s">
        <v>2866</v>
      </c>
      <c r="D959" s="1" t="s">
        <v>18</v>
      </c>
      <c r="E959" s="3">
        <v>1286.48</v>
      </c>
      <c r="F959" s="3">
        <v>0</v>
      </c>
      <c r="G959" s="3">
        <v>0</v>
      </c>
      <c r="H959" s="3">
        <v>0</v>
      </c>
      <c r="I959" s="3">
        <v>5918.39</v>
      </c>
      <c r="J959" s="1" t="s">
        <v>48</v>
      </c>
      <c r="K959" s="28"/>
      <c r="L959" s="28"/>
    </row>
    <row r="960" spans="1:12" s="2" customFormat="1" ht="24.95" customHeight="1" x14ac:dyDescent="0.25">
      <c r="A960" s="31" t="s">
        <v>2867</v>
      </c>
      <c r="B960" s="1" t="s">
        <v>2868</v>
      </c>
      <c r="C960" s="1" t="s">
        <v>2869</v>
      </c>
      <c r="D960" s="1" t="s">
        <v>13</v>
      </c>
      <c r="E960" s="3">
        <v>1850.09</v>
      </c>
      <c r="F960" s="3">
        <v>0</v>
      </c>
      <c r="G960" s="3">
        <v>955.98</v>
      </c>
      <c r="H960" s="3">
        <v>0</v>
      </c>
      <c r="I960" s="3">
        <v>3574.6</v>
      </c>
      <c r="J960" s="1" t="s">
        <v>79</v>
      </c>
      <c r="K960" s="28"/>
      <c r="L960" s="28"/>
    </row>
    <row r="961" spans="1:12" s="2" customFormat="1" ht="24.95" customHeight="1" x14ac:dyDescent="0.25">
      <c r="A961" s="31" t="s">
        <v>2870</v>
      </c>
      <c r="B961" s="1" t="s">
        <v>2871</v>
      </c>
      <c r="C961" s="1" t="s">
        <v>2872</v>
      </c>
      <c r="D961" s="1" t="s">
        <v>8</v>
      </c>
      <c r="E961" s="3">
        <v>0</v>
      </c>
      <c r="F961" s="3">
        <v>0</v>
      </c>
      <c r="G961" s="3">
        <v>0</v>
      </c>
      <c r="H961" s="3">
        <v>2628.25</v>
      </c>
      <c r="I961" s="3">
        <v>0</v>
      </c>
      <c r="J961" s="1" t="s">
        <v>93</v>
      </c>
      <c r="K961" s="28"/>
      <c r="L961" s="28"/>
    </row>
    <row r="962" spans="1:12" s="2" customFormat="1" ht="24.95" customHeight="1" x14ac:dyDescent="0.25">
      <c r="A962" s="31" t="s">
        <v>2873</v>
      </c>
      <c r="B962" s="1" t="s">
        <v>2874</v>
      </c>
      <c r="C962" s="1" t="s">
        <v>2875</v>
      </c>
      <c r="D962" s="1" t="s">
        <v>18</v>
      </c>
      <c r="E962" s="3">
        <v>3943.35</v>
      </c>
      <c r="F962" s="3">
        <v>0</v>
      </c>
      <c r="G962" s="3">
        <v>1196.6600000000001</v>
      </c>
      <c r="H962" s="3">
        <v>637.75</v>
      </c>
      <c r="I962" s="3">
        <v>0</v>
      </c>
      <c r="J962" s="1" t="s">
        <v>4</v>
      </c>
      <c r="K962" s="28"/>
      <c r="L962" s="28"/>
    </row>
    <row r="963" spans="1:12" s="2" customFormat="1" ht="24.95" customHeight="1" x14ac:dyDescent="0.25">
      <c r="A963" s="31" t="s">
        <v>2876</v>
      </c>
      <c r="B963" s="1" t="s">
        <v>2877</v>
      </c>
      <c r="C963" s="1" t="s">
        <v>2878</v>
      </c>
      <c r="D963" s="1" t="s">
        <v>13</v>
      </c>
      <c r="E963" s="3">
        <v>0</v>
      </c>
      <c r="F963" s="3">
        <v>0</v>
      </c>
      <c r="G963" s="3">
        <v>0</v>
      </c>
      <c r="H963" s="3">
        <v>0</v>
      </c>
      <c r="I963" s="3">
        <v>8138.27</v>
      </c>
      <c r="J963" s="1" t="s">
        <v>4</v>
      </c>
      <c r="K963" s="28"/>
      <c r="L963" s="28"/>
    </row>
    <row r="964" spans="1:12" s="2" customFormat="1" ht="24.95" customHeight="1" x14ac:dyDescent="0.25">
      <c r="A964" s="31" t="s">
        <v>2879</v>
      </c>
      <c r="B964" s="1" t="s">
        <v>2880</v>
      </c>
      <c r="C964" s="1" t="s">
        <v>2881</v>
      </c>
      <c r="D964" s="1" t="s">
        <v>3</v>
      </c>
      <c r="E964" s="3">
        <v>0</v>
      </c>
      <c r="F964" s="3">
        <v>1299.8399999999999</v>
      </c>
      <c r="G964" s="3">
        <v>0</v>
      </c>
      <c r="H964" s="3">
        <v>8296.0499999999993</v>
      </c>
      <c r="I964" s="3">
        <v>4916.18</v>
      </c>
      <c r="J964" s="1" t="s">
        <v>24</v>
      </c>
      <c r="K964" s="28"/>
      <c r="L964" s="28"/>
    </row>
    <row r="965" spans="1:12" s="2" customFormat="1" ht="24.95" customHeight="1" x14ac:dyDescent="0.25">
      <c r="A965" s="31" t="s">
        <v>2882</v>
      </c>
      <c r="B965" s="1" t="s">
        <v>2883</v>
      </c>
      <c r="C965" s="1" t="s">
        <v>2884</v>
      </c>
      <c r="D965" s="1" t="s">
        <v>18</v>
      </c>
      <c r="E965" s="3">
        <v>6827.96</v>
      </c>
      <c r="F965" s="3">
        <v>4721.6899999999996</v>
      </c>
      <c r="G965" s="3">
        <v>0</v>
      </c>
      <c r="H965" s="3">
        <v>5186.22</v>
      </c>
      <c r="I965" s="3">
        <v>0</v>
      </c>
      <c r="J965" s="1" t="s">
        <v>41</v>
      </c>
      <c r="K965" s="28"/>
      <c r="L965" s="28"/>
    </row>
    <row r="966" spans="1:12" s="2" customFormat="1" ht="24.95" customHeight="1" x14ac:dyDescent="0.25">
      <c r="A966" s="31" t="s">
        <v>2885</v>
      </c>
      <c r="B966" s="1" t="s">
        <v>2886</v>
      </c>
      <c r="C966" s="1" t="s">
        <v>2887</v>
      </c>
      <c r="D966" s="1" t="s">
        <v>18</v>
      </c>
      <c r="E966" s="3">
        <v>6216.32</v>
      </c>
      <c r="F966" s="3">
        <v>696.41</v>
      </c>
      <c r="G966" s="3">
        <v>0</v>
      </c>
      <c r="H966" s="3">
        <v>0</v>
      </c>
      <c r="I966" s="3">
        <v>14778.89</v>
      </c>
      <c r="J966" s="1" t="s">
        <v>93</v>
      </c>
      <c r="K966" s="28"/>
      <c r="L966" s="28"/>
    </row>
    <row r="967" spans="1:12" s="2" customFormat="1" ht="24.95" customHeight="1" x14ac:dyDescent="0.25">
      <c r="A967" s="31" t="s">
        <v>2888</v>
      </c>
      <c r="B967" s="1" t="s">
        <v>2889</v>
      </c>
      <c r="C967" s="1" t="s">
        <v>2890</v>
      </c>
      <c r="D967" s="1" t="s">
        <v>8</v>
      </c>
      <c r="E967" s="3">
        <v>0</v>
      </c>
      <c r="F967" s="3">
        <v>2876.64</v>
      </c>
      <c r="G967" s="3">
        <v>0</v>
      </c>
      <c r="H967" s="3">
        <v>1445.74</v>
      </c>
      <c r="I967" s="3">
        <v>0</v>
      </c>
      <c r="J967" s="1" t="s">
        <v>93</v>
      </c>
      <c r="K967" s="28"/>
      <c r="L967" s="28"/>
    </row>
    <row r="968" spans="1:12" s="2" customFormat="1" ht="24.95" customHeight="1" x14ac:dyDescent="0.25">
      <c r="A968" s="31" t="s">
        <v>2891</v>
      </c>
      <c r="B968" s="1" t="s">
        <v>2892</v>
      </c>
      <c r="C968" s="1" t="s">
        <v>2893</v>
      </c>
      <c r="D968" s="1" t="s">
        <v>3027</v>
      </c>
      <c r="E968" s="3">
        <v>0</v>
      </c>
      <c r="F968" s="3">
        <v>0</v>
      </c>
      <c r="G968" s="3">
        <v>3830.4</v>
      </c>
      <c r="H968" s="3">
        <v>0</v>
      </c>
      <c r="I968" s="3">
        <v>0</v>
      </c>
      <c r="J968" s="1" t="s">
        <v>4</v>
      </c>
      <c r="K968" s="28"/>
      <c r="L968" s="28"/>
    </row>
    <row r="969" spans="1:12" s="2" customFormat="1" ht="24.95" customHeight="1" x14ac:dyDescent="0.25">
      <c r="A969" s="31" t="s">
        <v>2894</v>
      </c>
      <c r="B969" s="1" t="s">
        <v>2895</v>
      </c>
      <c r="C969" s="1" t="s">
        <v>2896</v>
      </c>
      <c r="D969" s="1" t="s">
        <v>23</v>
      </c>
      <c r="E969" s="3">
        <v>0</v>
      </c>
      <c r="F969" s="3">
        <v>0</v>
      </c>
      <c r="G969" s="3">
        <v>405.29</v>
      </c>
      <c r="H969" s="3">
        <v>0</v>
      </c>
      <c r="I969" s="3">
        <v>0</v>
      </c>
      <c r="J969" s="1" t="s">
        <v>19</v>
      </c>
      <c r="K969" s="28"/>
      <c r="L969" s="28"/>
    </row>
    <row r="970" spans="1:12" s="2" customFormat="1" ht="24.95" customHeight="1" x14ac:dyDescent="0.25">
      <c r="A970" s="31" t="s">
        <v>2897</v>
      </c>
      <c r="B970" s="1" t="s">
        <v>2898</v>
      </c>
      <c r="C970" s="1" t="s">
        <v>2899</v>
      </c>
      <c r="D970" s="1" t="s">
        <v>3</v>
      </c>
      <c r="E970" s="3">
        <v>0</v>
      </c>
      <c r="F970" s="3">
        <v>0</v>
      </c>
      <c r="G970" s="3">
        <v>0</v>
      </c>
      <c r="H970" s="3">
        <v>4762.4799999999996</v>
      </c>
      <c r="I970" s="3">
        <v>0</v>
      </c>
      <c r="J970" s="1" t="s">
        <v>37</v>
      </c>
      <c r="K970" s="28"/>
      <c r="L970" s="28"/>
    </row>
    <row r="971" spans="1:12" s="2" customFormat="1" ht="24.95" customHeight="1" x14ac:dyDescent="0.25">
      <c r="A971" s="31" t="s">
        <v>2900</v>
      </c>
      <c r="B971" s="1" t="s">
        <v>2901</v>
      </c>
      <c r="C971" s="1" t="s">
        <v>2902</v>
      </c>
      <c r="D971" s="1" t="s">
        <v>13</v>
      </c>
      <c r="E971" s="3">
        <v>0</v>
      </c>
      <c r="F971" s="3">
        <v>3421.93</v>
      </c>
      <c r="G971" s="3">
        <v>0</v>
      </c>
      <c r="H971" s="3">
        <v>11001.58</v>
      </c>
      <c r="I971" s="3">
        <v>0</v>
      </c>
      <c r="J971" s="1" t="s">
        <v>14</v>
      </c>
      <c r="K971" s="28"/>
      <c r="L971" s="28"/>
    </row>
    <row r="972" spans="1:12" s="2" customFormat="1" ht="24.95" customHeight="1" x14ac:dyDescent="0.25">
      <c r="A972" s="31" t="s">
        <v>2903</v>
      </c>
      <c r="B972" s="1" t="s">
        <v>2904</v>
      </c>
      <c r="C972" s="1" t="s">
        <v>2905</v>
      </c>
      <c r="D972" s="1" t="s">
        <v>3</v>
      </c>
      <c r="E972" s="3">
        <v>1739.13</v>
      </c>
      <c r="F972" s="3">
        <v>0</v>
      </c>
      <c r="G972" s="3">
        <v>0</v>
      </c>
      <c r="H972" s="3">
        <v>2966.02</v>
      </c>
      <c r="I972" s="3">
        <v>11757.36</v>
      </c>
      <c r="J972" s="1" t="s">
        <v>24</v>
      </c>
      <c r="K972" s="28"/>
      <c r="L972" s="28"/>
    </row>
    <row r="973" spans="1:12" s="2" customFormat="1" ht="24.95" customHeight="1" x14ac:dyDescent="0.25">
      <c r="A973" s="31" t="s">
        <v>2906</v>
      </c>
      <c r="B973" s="1" t="s">
        <v>2907</v>
      </c>
      <c r="C973" s="1" t="s">
        <v>2908</v>
      </c>
      <c r="D973" s="1" t="s">
        <v>23</v>
      </c>
      <c r="E973" s="3">
        <v>0</v>
      </c>
      <c r="F973" s="3">
        <v>2235.56</v>
      </c>
      <c r="G973" s="3">
        <v>211.21</v>
      </c>
      <c r="H973" s="3">
        <v>1819.29</v>
      </c>
      <c r="I973" s="3">
        <v>0</v>
      </c>
      <c r="J973" s="1" t="s">
        <v>19</v>
      </c>
      <c r="K973" s="28"/>
      <c r="L973" s="28"/>
    </row>
    <row r="974" spans="1:12" s="2" customFormat="1" ht="24.95" customHeight="1" x14ac:dyDescent="0.25">
      <c r="A974" s="31" t="s">
        <v>2909</v>
      </c>
      <c r="B974" s="1" t="s">
        <v>2910</v>
      </c>
      <c r="C974" s="1" t="s">
        <v>2911</v>
      </c>
      <c r="D974" s="1" t="s">
        <v>3</v>
      </c>
      <c r="E974" s="3">
        <v>0</v>
      </c>
      <c r="F974" s="3">
        <v>4102.12</v>
      </c>
      <c r="G974" s="3">
        <v>540.98</v>
      </c>
      <c r="H974" s="3">
        <v>348.4</v>
      </c>
      <c r="I974" s="3">
        <v>13329.16</v>
      </c>
      <c r="J974" s="1" t="s">
        <v>41</v>
      </c>
      <c r="K974" s="28"/>
      <c r="L974" s="28"/>
    </row>
    <row r="975" spans="1:12" s="2" customFormat="1" ht="24.95" customHeight="1" x14ac:dyDescent="0.25">
      <c r="A975" s="31" t="s">
        <v>2912</v>
      </c>
      <c r="B975" s="1" t="s">
        <v>2913</v>
      </c>
      <c r="C975" s="1" t="s">
        <v>2914</v>
      </c>
      <c r="D975" s="1" t="s">
        <v>3027</v>
      </c>
      <c r="E975" s="3">
        <v>0</v>
      </c>
      <c r="F975" s="3">
        <v>0</v>
      </c>
      <c r="G975" s="3">
        <v>1645.41</v>
      </c>
      <c r="H975" s="3">
        <v>0</v>
      </c>
      <c r="I975" s="3">
        <v>5158.08</v>
      </c>
      <c r="J975" s="1" t="s">
        <v>106</v>
      </c>
      <c r="K975" s="28"/>
      <c r="L975" s="28"/>
    </row>
    <row r="976" spans="1:12" s="2" customFormat="1" ht="24.95" customHeight="1" x14ac:dyDescent="0.25">
      <c r="A976" s="31" t="s">
        <v>2915</v>
      </c>
      <c r="B976" s="1" t="s">
        <v>2916</v>
      </c>
      <c r="C976" s="1" t="s">
        <v>2917</v>
      </c>
      <c r="D976" s="1" t="s">
        <v>23</v>
      </c>
      <c r="E976" s="3">
        <v>7145.94</v>
      </c>
      <c r="F976" s="3">
        <v>0</v>
      </c>
      <c r="G976" s="3">
        <v>869.92</v>
      </c>
      <c r="H976" s="3">
        <v>0</v>
      </c>
      <c r="I976" s="3">
        <v>0</v>
      </c>
      <c r="J976" s="1" t="s">
        <v>93</v>
      </c>
      <c r="K976" s="28"/>
      <c r="L976" s="28"/>
    </row>
    <row r="977" spans="1:12" s="2" customFormat="1" ht="24.95" customHeight="1" x14ac:dyDescent="0.25">
      <c r="A977" s="31" t="s">
        <v>2918</v>
      </c>
      <c r="B977" s="1" t="s">
        <v>2919</v>
      </c>
      <c r="C977" s="1" t="s">
        <v>2920</v>
      </c>
      <c r="D977" s="1" t="s">
        <v>23</v>
      </c>
      <c r="E977" s="3">
        <v>1192.24</v>
      </c>
      <c r="F977" s="3">
        <v>0</v>
      </c>
      <c r="G977" s="3">
        <v>0</v>
      </c>
      <c r="H977" s="3">
        <v>2201.75</v>
      </c>
      <c r="I977" s="3">
        <v>1267.02</v>
      </c>
      <c r="J977" s="1" t="s">
        <v>4</v>
      </c>
      <c r="K977" s="28"/>
      <c r="L977" s="28"/>
    </row>
    <row r="978" spans="1:12" s="2" customFormat="1" ht="24.95" customHeight="1" x14ac:dyDescent="0.25">
      <c r="A978" s="31" t="s">
        <v>2921</v>
      </c>
      <c r="B978" s="1" t="s">
        <v>2922</v>
      </c>
      <c r="C978" s="1" t="s">
        <v>2923</v>
      </c>
      <c r="D978" s="1" t="s">
        <v>8</v>
      </c>
      <c r="E978" s="3">
        <v>4370.45</v>
      </c>
      <c r="F978" s="3">
        <v>0</v>
      </c>
      <c r="G978" s="3">
        <v>2359.69</v>
      </c>
      <c r="H978" s="3">
        <v>0</v>
      </c>
      <c r="I978" s="3">
        <v>0</v>
      </c>
      <c r="J978" s="1" t="s">
        <v>4</v>
      </c>
      <c r="K978" s="28"/>
      <c r="L978" s="28"/>
    </row>
    <row r="979" spans="1:12" s="2" customFormat="1" ht="24.95" customHeight="1" x14ac:dyDescent="0.25">
      <c r="A979" s="31" t="s">
        <v>2924</v>
      </c>
      <c r="B979" s="1" t="s">
        <v>2925</v>
      </c>
      <c r="C979" s="1" t="s">
        <v>2926</v>
      </c>
      <c r="D979" s="1" t="s">
        <v>23</v>
      </c>
      <c r="E979" s="3">
        <v>0</v>
      </c>
      <c r="F979" s="3">
        <v>4032.84</v>
      </c>
      <c r="G979" s="3">
        <v>0</v>
      </c>
      <c r="H979" s="3">
        <v>0</v>
      </c>
      <c r="I979" s="3">
        <v>2809.61</v>
      </c>
      <c r="J979" s="1" t="s">
        <v>86</v>
      </c>
      <c r="K979" s="28"/>
      <c r="L979" s="28"/>
    </row>
    <row r="980" spans="1:12" s="2" customFormat="1" ht="24.95" customHeight="1" x14ac:dyDescent="0.25">
      <c r="A980" s="31" t="s">
        <v>2927</v>
      </c>
      <c r="B980" s="1" t="s">
        <v>2928</v>
      </c>
      <c r="C980" s="1" t="s">
        <v>2929</v>
      </c>
      <c r="D980" s="1" t="s">
        <v>18</v>
      </c>
      <c r="E980" s="3">
        <v>6937.25</v>
      </c>
      <c r="F980" s="3">
        <v>1819.09</v>
      </c>
      <c r="G980" s="3">
        <v>2195.06</v>
      </c>
      <c r="H980" s="3">
        <v>6705.67</v>
      </c>
      <c r="I980" s="3">
        <v>12213.82</v>
      </c>
      <c r="J980" s="1" t="s">
        <v>19</v>
      </c>
      <c r="K980" s="28"/>
      <c r="L980" s="28"/>
    </row>
    <row r="981" spans="1:12" s="2" customFormat="1" ht="24.95" customHeight="1" x14ac:dyDescent="0.25">
      <c r="A981" s="31" t="s">
        <v>2930</v>
      </c>
      <c r="B981" s="1" t="s">
        <v>2931</v>
      </c>
      <c r="C981" s="1" t="s">
        <v>2932</v>
      </c>
      <c r="D981" s="1" t="s">
        <v>8</v>
      </c>
      <c r="E981" s="3">
        <v>7381.58</v>
      </c>
      <c r="F981" s="3">
        <v>0</v>
      </c>
      <c r="G981" s="3">
        <v>0</v>
      </c>
      <c r="H981" s="3">
        <v>4530.08</v>
      </c>
      <c r="I981" s="3">
        <v>0</v>
      </c>
      <c r="J981" s="1" t="s">
        <v>19</v>
      </c>
      <c r="K981" s="28"/>
      <c r="L981" s="28"/>
    </row>
    <row r="982" spans="1:12" s="2" customFormat="1" ht="24.95" customHeight="1" x14ac:dyDescent="0.25">
      <c r="A982" s="31" t="s">
        <v>2933</v>
      </c>
      <c r="B982" s="1" t="s">
        <v>2934</v>
      </c>
      <c r="C982" s="1" t="s">
        <v>2935</v>
      </c>
      <c r="D982" s="1" t="s">
        <v>18</v>
      </c>
      <c r="E982" s="3">
        <v>0</v>
      </c>
      <c r="F982" s="3">
        <v>0</v>
      </c>
      <c r="G982" s="3">
        <v>417.05</v>
      </c>
      <c r="H982" s="3">
        <v>0</v>
      </c>
      <c r="I982" s="3">
        <v>1094.8399999999999</v>
      </c>
      <c r="J982" s="1" t="s">
        <v>4</v>
      </c>
      <c r="K982" s="28"/>
      <c r="L982" s="28"/>
    </row>
    <row r="983" spans="1:12" s="2" customFormat="1" ht="24.95" customHeight="1" x14ac:dyDescent="0.25">
      <c r="A983" s="31" t="s">
        <v>2936</v>
      </c>
      <c r="B983" s="1" t="s">
        <v>2937</v>
      </c>
      <c r="C983" s="1" t="s">
        <v>2938</v>
      </c>
      <c r="D983" s="1" t="s">
        <v>8</v>
      </c>
      <c r="E983" s="3">
        <v>0</v>
      </c>
      <c r="F983" s="3">
        <v>295.42</v>
      </c>
      <c r="G983" s="3">
        <v>0</v>
      </c>
      <c r="H983" s="3">
        <v>0</v>
      </c>
      <c r="I983" s="3">
        <v>0</v>
      </c>
      <c r="J983" s="1" t="s">
        <v>48</v>
      </c>
      <c r="K983" s="28"/>
      <c r="L983" s="28"/>
    </row>
    <row r="984" spans="1:12" s="2" customFormat="1" ht="24.95" customHeight="1" x14ac:dyDescent="0.25">
      <c r="A984" s="31" t="s">
        <v>2939</v>
      </c>
      <c r="B984" s="1" t="s">
        <v>2940</v>
      </c>
      <c r="C984" s="1" t="s">
        <v>2941</v>
      </c>
      <c r="D984" s="1" t="s">
        <v>23</v>
      </c>
      <c r="E984" s="3">
        <v>0</v>
      </c>
      <c r="F984" s="3">
        <v>0</v>
      </c>
      <c r="G984" s="3">
        <v>0</v>
      </c>
      <c r="H984" s="3">
        <v>0</v>
      </c>
      <c r="I984" s="3">
        <v>9330.26</v>
      </c>
      <c r="J984" s="1" t="s">
        <v>93</v>
      </c>
      <c r="K984" s="28"/>
      <c r="L984" s="28"/>
    </row>
    <row r="985" spans="1:12" s="2" customFormat="1" ht="24.95" customHeight="1" x14ac:dyDescent="0.25">
      <c r="A985" s="31" t="s">
        <v>2942</v>
      </c>
      <c r="B985" s="1" t="s">
        <v>2943</v>
      </c>
      <c r="C985" s="1" t="s">
        <v>2944</v>
      </c>
      <c r="D985" s="1" t="s">
        <v>3027</v>
      </c>
      <c r="E985" s="3">
        <v>7034.95</v>
      </c>
      <c r="F985" s="3">
        <v>834.98</v>
      </c>
      <c r="G985" s="3">
        <v>2291.7399999999998</v>
      </c>
      <c r="H985" s="3">
        <v>1657.2</v>
      </c>
      <c r="I985" s="3">
        <v>8728.83</v>
      </c>
      <c r="J985" s="1" t="s">
        <v>24</v>
      </c>
      <c r="K985" s="28"/>
      <c r="L985" s="28"/>
    </row>
    <row r="986" spans="1:12" s="2" customFormat="1" ht="24.95" customHeight="1" x14ac:dyDescent="0.25">
      <c r="A986" s="31" t="s">
        <v>2945</v>
      </c>
      <c r="B986" s="1" t="s">
        <v>2946</v>
      </c>
      <c r="C986" s="1" t="s">
        <v>2947</v>
      </c>
      <c r="D986" s="1" t="s">
        <v>23</v>
      </c>
      <c r="E986" s="3">
        <v>0</v>
      </c>
      <c r="F986" s="3">
        <v>389.03</v>
      </c>
      <c r="G986" s="3">
        <v>2412.59</v>
      </c>
      <c r="H986" s="3">
        <v>6130.18</v>
      </c>
      <c r="I986" s="3">
        <v>11439.55</v>
      </c>
      <c r="J986" s="1" t="s">
        <v>9</v>
      </c>
      <c r="K986" s="28"/>
      <c r="L986" s="28"/>
    </row>
    <row r="987" spans="1:12" s="2" customFormat="1" ht="24.95" customHeight="1" x14ac:dyDescent="0.25">
      <c r="A987" s="31" t="s">
        <v>2948</v>
      </c>
      <c r="B987" s="1" t="s">
        <v>2949</v>
      </c>
      <c r="C987" s="1" t="s">
        <v>2950</v>
      </c>
      <c r="D987" s="1" t="s">
        <v>23</v>
      </c>
      <c r="E987" s="3">
        <v>0</v>
      </c>
      <c r="F987" s="3">
        <v>0</v>
      </c>
      <c r="G987" s="3">
        <v>0</v>
      </c>
      <c r="H987" s="3">
        <v>8241.23</v>
      </c>
      <c r="I987" s="3">
        <v>696.29</v>
      </c>
      <c r="J987" s="1" t="s">
        <v>48</v>
      </c>
      <c r="K987" s="28"/>
      <c r="L987" s="28"/>
    </row>
    <row r="988" spans="1:12" s="2" customFormat="1" ht="24.95" customHeight="1" x14ac:dyDescent="0.25">
      <c r="A988" s="31" t="s">
        <v>2951</v>
      </c>
      <c r="B988" s="1" t="s">
        <v>2952</v>
      </c>
      <c r="C988" s="1" t="s">
        <v>2953</v>
      </c>
      <c r="D988" s="1" t="s">
        <v>8</v>
      </c>
      <c r="E988" s="3">
        <v>0</v>
      </c>
      <c r="F988" s="3">
        <v>0</v>
      </c>
      <c r="G988" s="3">
        <v>572.20000000000005</v>
      </c>
      <c r="H988" s="3">
        <v>0</v>
      </c>
      <c r="I988" s="3">
        <v>0</v>
      </c>
      <c r="J988" s="1" t="s">
        <v>41</v>
      </c>
      <c r="K988" s="28"/>
      <c r="L988" s="28"/>
    </row>
    <row r="989" spans="1:12" s="2" customFormat="1" ht="24.95" customHeight="1" x14ac:dyDescent="0.25">
      <c r="A989" s="31" t="s">
        <v>2954</v>
      </c>
      <c r="B989" s="1" t="s">
        <v>2955</v>
      </c>
      <c r="C989" s="1" t="s">
        <v>2956</v>
      </c>
      <c r="D989" s="1" t="s">
        <v>18</v>
      </c>
      <c r="E989" s="3">
        <v>0</v>
      </c>
      <c r="F989" s="3">
        <v>4399.42</v>
      </c>
      <c r="G989" s="3">
        <v>0</v>
      </c>
      <c r="H989" s="3">
        <v>10047.799999999999</v>
      </c>
      <c r="I989" s="3">
        <v>0</v>
      </c>
      <c r="J989" s="1" t="s">
        <v>48</v>
      </c>
      <c r="K989" s="28"/>
      <c r="L989" s="28"/>
    </row>
    <row r="990" spans="1:12" s="2" customFormat="1" ht="24.95" customHeight="1" x14ac:dyDescent="0.25">
      <c r="A990" s="31" t="s">
        <v>2957</v>
      </c>
      <c r="B990" s="1" t="s">
        <v>2958</v>
      </c>
      <c r="C990" s="1" t="s">
        <v>2959</v>
      </c>
      <c r="D990" s="1" t="s">
        <v>23</v>
      </c>
      <c r="E990" s="3">
        <v>0</v>
      </c>
      <c r="F990" s="3">
        <v>869.78</v>
      </c>
      <c r="G990" s="3">
        <v>0</v>
      </c>
      <c r="H990" s="3">
        <v>0</v>
      </c>
      <c r="I990" s="3">
        <v>0</v>
      </c>
      <c r="J990" s="1" t="s">
        <v>41</v>
      </c>
      <c r="K990" s="28"/>
      <c r="L990" s="28"/>
    </row>
    <row r="991" spans="1:12" s="2" customFormat="1" ht="24.95" customHeight="1" x14ac:dyDescent="0.25">
      <c r="A991" s="31" t="s">
        <v>2960</v>
      </c>
      <c r="B991" s="1" t="s">
        <v>2961</v>
      </c>
      <c r="C991" s="1" t="s">
        <v>2962</v>
      </c>
      <c r="D991" s="1" t="s">
        <v>18</v>
      </c>
      <c r="E991" s="3">
        <v>6691.53</v>
      </c>
      <c r="F991" s="3">
        <v>2207.2600000000002</v>
      </c>
      <c r="G991" s="3">
        <v>0</v>
      </c>
      <c r="H991" s="3">
        <v>0</v>
      </c>
      <c r="I991" s="3">
        <v>0</v>
      </c>
      <c r="J991" s="1" t="s">
        <v>41</v>
      </c>
      <c r="K991" s="28"/>
      <c r="L991" s="28"/>
    </row>
    <row r="992" spans="1:12" s="2" customFormat="1" ht="24.95" customHeight="1" x14ac:dyDescent="0.25">
      <c r="A992" s="31" t="s">
        <v>2963</v>
      </c>
      <c r="B992" s="1" t="s">
        <v>2964</v>
      </c>
      <c r="C992" s="1" t="s">
        <v>2965</v>
      </c>
      <c r="D992" s="1" t="s">
        <v>8</v>
      </c>
      <c r="E992" s="3">
        <v>3365.26</v>
      </c>
      <c r="F992" s="3">
        <v>0</v>
      </c>
      <c r="G992" s="3">
        <v>2844.69</v>
      </c>
      <c r="H992" s="3">
        <v>0</v>
      </c>
      <c r="I992" s="3">
        <v>0</v>
      </c>
      <c r="J992" s="1" t="s">
        <v>86</v>
      </c>
      <c r="K992" s="28"/>
      <c r="L992" s="28"/>
    </row>
    <row r="993" spans="1:12" s="2" customFormat="1" ht="24.95" customHeight="1" x14ac:dyDescent="0.25">
      <c r="A993" s="31" t="s">
        <v>2966</v>
      </c>
      <c r="B993" s="1" t="s">
        <v>2967</v>
      </c>
      <c r="C993" s="1" t="s">
        <v>2968</v>
      </c>
      <c r="D993" s="1" t="s">
        <v>18</v>
      </c>
      <c r="E993" s="3">
        <v>1760.16</v>
      </c>
      <c r="F993" s="3">
        <v>874.99</v>
      </c>
      <c r="G993" s="3">
        <v>1250.6099999999999</v>
      </c>
      <c r="H993" s="3">
        <v>0</v>
      </c>
      <c r="I993" s="3">
        <v>10864.92</v>
      </c>
      <c r="J993" s="1" t="s">
        <v>106</v>
      </c>
      <c r="K993" s="28"/>
      <c r="L993" s="28"/>
    </row>
    <row r="994" spans="1:12" s="2" customFormat="1" ht="24.95" customHeight="1" x14ac:dyDescent="0.25">
      <c r="A994" s="31" t="s">
        <v>2969</v>
      </c>
      <c r="B994" s="1" t="s">
        <v>2970</v>
      </c>
      <c r="C994" s="1" t="s">
        <v>2971</v>
      </c>
      <c r="D994" s="1" t="s">
        <v>13</v>
      </c>
      <c r="E994" s="3">
        <v>1912.61</v>
      </c>
      <c r="F994" s="3">
        <v>0</v>
      </c>
      <c r="G994" s="3">
        <v>0</v>
      </c>
      <c r="H994" s="3">
        <v>7374.71</v>
      </c>
      <c r="I994" s="3">
        <v>0</v>
      </c>
      <c r="J994" s="1" t="s">
        <v>4</v>
      </c>
      <c r="K994" s="28"/>
      <c r="L994" s="28"/>
    </row>
    <row r="995" spans="1:12" s="2" customFormat="1" ht="24.95" customHeight="1" x14ac:dyDescent="0.25">
      <c r="A995" s="31" t="s">
        <v>2972</v>
      </c>
      <c r="B995" s="1" t="s">
        <v>2973</v>
      </c>
      <c r="C995" s="1" t="s">
        <v>2974</v>
      </c>
      <c r="D995" s="1" t="s">
        <v>3027</v>
      </c>
      <c r="E995" s="3">
        <v>0</v>
      </c>
      <c r="F995" s="3">
        <v>3004.93</v>
      </c>
      <c r="G995" s="3">
        <v>0</v>
      </c>
      <c r="H995" s="3">
        <v>0</v>
      </c>
      <c r="I995" s="3">
        <v>0</v>
      </c>
      <c r="J995" s="1" t="s">
        <v>14</v>
      </c>
      <c r="K995" s="28"/>
      <c r="L995" s="28"/>
    </row>
    <row r="996" spans="1:12" s="2" customFormat="1" ht="24.95" customHeight="1" x14ac:dyDescent="0.25">
      <c r="A996" s="31" t="s">
        <v>2975</v>
      </c>
      <c r="B996" s="1" t="s">
        <v>2976</v>
      </c>
      <c r="C996" s="1" t="s">
        <v>2977</v>
      </c>
      <c r="D996" s="1" t="s">
        <v>23</v>
      </c>
      <c r="E996" s="3">
        <v>612.67999999999995</v>
      </c>
      <c r="F996" s="3">
        <v>2333.23</v>
      </c>
      <c r="G996" s="3">
        <v>0</v>
      </c>
      <c r="H996" s="3">
        <v>0</v>
      </c>
      <c r="I996" s="3">
        <v>2772.39</v>
      </c>
      <c r="J996" s="1" t="s">
        <v>41</v>
      </c>
      <c r="K996" s="28"/>
      <c r="L996" s="28"/>
    </row>
    <row r="997" spans="1:12" s="2" customFormat="1" ht="24.95" customHeight="1" x14ac:dyDescent="0.25">
      <c r="A997" s="31" t="s">
        <v>2978</v>
      </c>
      <c r="B997" s="1" t="s">
        <v>2979</v>
      </c>
      <c r="C997" s="1" t="s">
        <v>2980</v>
      </c>
      <c r="D997" s="1" t="s">
        <v>3</v>
      </c>
      <c r="E997" s="3">
        <v>697.94</v>
      </c>
      <c r="F997" s="3">
        <v>0</v>
      </c>
      <c r="G997" s="3">
        <v>0</v>
      </c>
      <c r="H997" s="3">
        <v>0</v>
      </c>
      <c r="I997" s="3">
        <v>9923.61</v>
      </c>
      <c r="J997" s="1" t="s">
        <v>106</v>
      </c>
      <c r="K997" s="28"/>
      <c r="L997" s="28"/>
    </row>
    <row r="998" spans="1:12" s="2" customFormat="1" ht="24.95" customHeight="1" x14ac:dyDescent="0.25">
      <c r="A998" s="31" t="s">
        <v>2981</v>
      </c>
      <c r="B998" s="1" t="s">
        <v>2982</v>
      </c>
      <c r="C998" s="1" t="s">
        <v>2983</v>
      </c>
      <c r="D998" s="1" t="s">
        <v>8</v>
      </c>
      <c r="E998" s="3">
        <v>0</v>
      </c>
      <c r="F998" s="3">
        <v>4363.54</v>
      </c>
      <c r="G998" s="3">
        <v>0</v>
      </c>
      <c r="H998" s="3">
        <v>0</v>
      </c>
      <c r="I998" s="3">
        <v>8701.98</v>
      </c>
      <c r="J998" s="1" t="s">
        <v>93</v>
      </c>
      <c r="K998" s="28"/>
      <c r="L998" s="28"/>
    </row>
    <row r="999" spans="1:12" s="2" customFormat="1" ht="24.95" customHeight="1" x14ac:dyDescent="0.25">
      <c r="A999" s="31" t="s">
        <v>2984</v>
      </c>
      <c r="B999" s="1" t="s">
        <v>2985</v>
      </c>
      <c r="C999" s="1" t="s">
        <v>2986</v>
      </c>
      <c r="D999" s="1" t="s">
        <v>18</v>
      </c>
      <c r="E999" s="3">
        <v>0</v>
      </c>
      <c r="F999" s="3">
        <v>625.21</v>
      </c>
      <c r="G999" s="3">
        <v>2209.81</v>
      </c>
      <c r="H999" s="3">
        <v>3004.04</v>
      </c>
      <c r="I999" s="3">
        <v>11043.64</v>
      </c>
      <c r="J999" s="1" t="s">
        <v>86</v>
      </c>
      <c r="K999" s="28"/>
      <c r="L999" s="28"/>
    </row>
    <row r="1000" spans="1:12" s="2" customFormat="1" ht="24.95" customHeight="1" x14ac:dyDescent="0.25">
      <c r="A1000" s="31" t="s">
        <v>2987</v>
      </c>
      <c r="B1000" s="1" t="s">
        <v>2988</v>
      </c>
      <c r="C1000" s="1" t="s">
        <v>2989</v>
      </c>
      <c r="D1000" s="1" t="s">
        <v>3027</v>
      </c>
      <c r="E1000" s="3">
        <v>0</v>
      </c>
      <c r="F1000" s="3">
        <v>4405.57</v>
      </c>
      <c r="G1000" s="3">
        <v>0</v>
      </c>
      <c r="H1000" s="3">
        <v>0</v>
      </c>
      <c r="I1000" s="3">
        <v>6678.93</v>
      </c>
      <c r="J1000" s="1" t="s">
        <v>86</v>
      </c>
      <c r="K1000" s="28"/>
      <c r="L1000" s="28"/>
    </row>
    <row r="1001" spans="1:12" s="2" customFormat="1" ht="24.95" customHeight="1" x14ac:dyDescent="0.25">
      <c r="A1001" s="31" t="s">
        <v>2990</v>
      </c>
      <c r="B1001" s="1" t="s">
        <v>2991</v>
      </c>
      <c r="C1001" s="1" t="s">
        <v>2992</v>
      </c>
      <c r="D1001" s="1" t="s">
        <v>3</v>
      </c>
      <c r="E1001" s="3">
        <v>0</v>
      </c>
      <c r="F1001" s="3">
        <v>1711.69</v>
      </c>
      <c r="G1001" s="3">
        <v>2757.79</v>
      </c>
      <c r="H1001" s="3">
        <v>0</v>
      </c>
      <c r="I1001" s="3">
        <v>8047.45</v>
      </c>
      <c r="J1001" s="1" t="s">
        <v>41</v>
      </c>
      <c r="K1001" s="28"/>
      <c r="L1001" s="28"/>
    </row>
    <row r="1002" spans="1:12" s="2" customFormat="1" ht="24.95" customHeight="1" x14ac:dyDescent="0.25">
      <c r="A1002" s="31" t="s">
        <v>2993</v>
      </c>
      <c r="B1002" s="1" t="s">
        <v>2994</v>
      </c>
      <c r="C1002" s="1" t="s">
        <v>2995</v>
      </c>
      <c r="D1002" s="1" t="s">
        <v>3027</v>
      </c>
      <c r="E1002" s="3">
        <v>0</v>
      </c>
      <c r="F1002" s="3">
        <v>0</v>
      </c>
      <c r="G1002" s="3">
        <v>0</v>
      </c>
      <c r="H1002" s="3">
        <v>0</v>
      </c>
      <c r="I1002" s="3">
        <v>14220.71</v>
      </c>
      <c r="J1002" s="1" t="s">
        <v>4</v>
      </c>
      <c r="K1002" s="28"/>
      <c r="L1002" s="28"/>
    </row>
    <row r="1003" spans="1:12" s="2" customFormat="1" ht="24.95" customHeight="1" x14ac:dyDescent="0.25">
      <c r="A1003" s="31" t="s">
        <v>2996</v>
      </c>
      <c r="B1003" s="1" t="s">
        <v>2997</v>
      </c>
      <c r="C1003" s="1" t="s">
        <v>2998</v>
      </c>
      <c r="D1003" s="1" t="s">
        <v>8</v>
      </c>
      <c r="E1003" s="3">
        <v>1147.5</v>
      </c>
      <c r="F1003" s="3">
        <v>2134.92</v>
      </c>
      <c r="G1003" s="3">
        <v>0</v>
      </c>
      <c r="H1003" s="3">
        <v>6344.01</v>
      </c>
      <c r="I1003" s="3">
        <v>0</v>
      </c>
      <c r="J1003" s="1" t="s">
        <v>93</v>
      </c>
      <c r="K1003" s="28"/>
      <c r="L1003" s="28"/>
    </row>
    <row r="1004" spans="1:12" s="2" customFormat="1" ht="24.95" customHeight="1" x14ac:dyDescent="0.25">
      <c r="A1004" s="31" t="s">
        <v>2999</v>
      </c>
      <c r="B1004" s="1" t="s">
        <v>3000</v>
      </c>
      <c r="C1004" s="1" t="s">
        <v>3001</v>
      </c>
      <c r="D1004" s="1" t="s">
        <v>3027</v>
      </c>
      <c r="E1004" s="3">
        <v>0</v>
      </c>
      <c r="F1004" s="3">
        <v>0</v>
      </c>
      <c r="G1004" s="3">
        <v>2956.35</v>
      </c>
      <c r="H1004" s="3">
        <v>0</v>
      </c>
      <c r="I1004" s="3">
        <v>0</v>
      </c>
      <c r="J1004" s="1" t="s">
        <v>19</v>
      </c>
      <c r="K1004" s="28"/>
      <c r="L1004" s="28"/>
    </row>
    <row r="1005" spans="1:12" s="2" customFormat="1" ht="24.95" customHeight="1" x14ac:dyDescent="0.25">
      <c r="A1005" s="31" t="s">
        <v>3002</v>
      </c>
      <c r="B1005" s="1" t="s">
        <v>3003</v>
      </c>
      <c r="C1005" s="1" t="s">
        <v>3004</v>
      </c>
      <c r="D1005" s="1" t="s">
        <v>23</v>
      </c>
      <c r="E1005" s="3">
        <v>0</v>
      </c>
      <c r="F1005" s="3">
        <v>0</v>
      </c>
      <c r="G1005" s="3">
        <v>0</v>
      </c>
      <c r="H1005" s="3">
        <v>4891.8100000000004</v>
      </c>
      <c r="I1005" s="3">
        <v>12677.48</v>
      </c>
      <c r="J1005" s="1" t="s">
        <v>24</v>
      </c>
      <c r="K1005" s="28"/>
      <c r="L1005" s="28"/>
    </row>
    <row r="1006" spans="1:12" s="2" customFormat="1" ht="24.95" customHeight="1" x14ac:dyDescent="0.25">
      <c r="A1006" s="31" t="s">
        <v>3005</v>
      </c>
      <c r="B1006" s="1" t="s">
        <v>3006</v>
      </c>
      <c r="C1006" s="1" t="s">
        <v>3007</v>
      </c>
      <c r="D1006" s="1" t="s">
        <v>18</v>
      </c>
      <c r="E1006" s="3">
        <v>3299.84</v>
      </c>
      <c r="F1006" s="3">
        <v>0</v>
      </c>
      <c r="G1006" s="3">
        <v>0</v>
      </c>
      <c r="H1006" s="3">
        <v>0</v>
      </c>
      <c r="I1006" s="3">
        <v>0</v>
      </c>
      <c r="J1006" s="1" t="s">
        <v>9</v>
      </c>
      <c r="K1006" s="28"/>
      <c r="L1006" s="28"/>
    </row>
    <row r="1007" spans="1:12" s="2" customFormat="1" ht="24.95" customHeight="1" x14ac:dyDescent="0.25">
      <c r="A1007" s="31" t="s">
        <v>3008</v>
      </c>
      <c r="B1007" s="1" t="s">
        <v>3009</v>
      </c>
      <c r="C1007" s="1" t="s">
        <v>3010</v>
      </c>
      <c r="D1007" s="1" t="s">
        <v>18</v>
      </c>
      <c r="E1007" s="3">
        <v>0</v>
      </c>
      <c r="F1007" s="3">
        <v>1804.61</v>
      </c>
      <c r="G1007" s="3">
        <v>0</v>
      </c>
      <c r="H1007" s="3">
        <v>9462.32</v>
      </c>
      <c r="I1007" s="3">
        <v>846.63</v>
      </c>
      <c r="J1007" s="1" t="s">
        <v>93</v>
      </c>
      <c r="K1007" s="28"/>
      <c r="L1007" s="28"/>
    </row>
    <row r="1008" spans="1:12" s="2" customFormat="1" ht="24.95" customHeight="1" x14ac:dyDescent="0.25">
      <c r="A1008" s="31" t="s">
        <v>3011</v>
      </c>
      <c r="B1008" s="1" t="s">
        <v>3012</v>
      </c>
      <c r="C1008" s="1" t="s">
        <v>3013</v>
      </c>
      <c r="D1008" s="1" t="s">
        <v>18</v>
      </c>
      <c r="E1008" s="3">
        <v>249.93</v>
      </c>
      <c r="F1008" s="3">
        <v>1076.8599999999999</v>
      </c>
      <c r="G1008" s="3">
        <v>856.96</v>
      </c>
      <c r="H1008" s="3">
        <v>8314.69</v>
      </c>
      <c r="I1008" s="3">
        <v>0</v>
      </c>
      <c r="J1008" s="1" t="s">
        <v>19</v>
      </c>
      <c r="K1008" s="28"/>
      <c r="L1008" s="28"/>
    </row>
    <row r="1009" spans="1:10" ht="24.95" customHeight="1" x14ac:dyDescent="0.25">
      <c r="A1009" s="32" t="s">
        <v>3014</v>
      </c>
      <c r="B1009" s="29" t="s">
        <v>3015</v>
      </c>
      <c r="C1009" s="29" t="s">
        <v>3016</v>
      </c>
      <c r="D1009" s="29" t="s">
        <v>3027</v>
      </c>
      <c r="E1009" s="30">
        <v>0</v>
      </c>
      <c r="F1009" s="30">
        <v>0</v>
      </c>
      <c r="G1009" s="30">
        <v>2994.33</v>
      </c>
      <c r="H1009" s="30">
        <v>4062.76</v>
      </c>
      <c r="I1009" s="30">
        <v>0</v>
      </c>
      <c r="J1009" s="29" t="s">
        <v>24</v>
      </c>
    </row>
    <row r="1010" spans="1:10" ht="24.95" customHeight="1" x14ac:dyDescent="0.25">
      <c r="A1010" s="32">
        <v>12345678000190</v>
      </c>
      <c r="B1010" s="29" t="s">
        <v>3084</v>
      </c>
      <c r="C1010" s="29" t="s">
        <v>3085</v>
      </c>
      <c r="D1010" s="29" t="s">
        <v>3027</v>
      </c>
      <c r="E1010" s="30">
        <v>1231</v>
      </c>
      <c r="F1010" s="30">
        <v>0</v>
      </c>
      <c r="G1010" s="30">
        <v>0</v>
      </c>
      <c r="H1010" s="30">
        <v>0</v>
      </c>
      <c r="I1010" s="30">
        <v>0</v>
      </c>
      <c r="J1010" s="29" t="s">
        <v>14</v>
      </c>
    </row>
    <row r="1011" spans="1:10" ht="24.95" customHeight="1" x14ac:dyDescent="0.25">
      <c r="A1011" s="32">
        <v>12345678000190</v>
      </c>
      <c r="B1011" s="29" t="s">
        <v>3084</v>
      </c>
      <c r="C1011" s="29" t="s">
        <v>3085</v>
      </c>
      <c r="D1011" s="29" t="s">
        <v>3027</v>
      </c>
      <c r="E1011" s="30">
        <v>1234</v>
      </c>
      <c r="F1011" s="30">
        <v>0</v>
      </c>
      <c r="G1011" s="30">
        <v>0</v>
      </c>
      <c r="H1011" s="30">
        <v>0</v>
      </c>
      <c r="I1011" s="30">
        <v>0</v>
      </c>
      <c r="J1011" s="29" t="s">
        <v>14</v>
      </c>
    </row>
    <row r="1012" spans="1:10" ht="24.95" customHeight="1" x14ac:dyDescent="0.25">
      <c r="A1012" s="32">
        <v>1254367800190</v>
      </c>
      <c r="B1012" s="29" t="s">
        <v>3086</v>
      </c>
      <c r="C1012" s="29" t="s">
        <v>3087</v>
      </c>
      <c r="D1012" s="29" t="s">
        <v>3027</v>
      </c>
      <c r="E1012" s="30">
        <v>1234</v>
      </c>
      <c r="F1012" s="30">
        <v>0</v>
      </c>
      <c r="G1012" s="30">
        <v>0</v>
      </c>
      <c r="H1012" s="30">
        <v>0</v>
      </c>
      <c r="I1012" s="30">
        <v>0</v>
      </c>
      <c r="J1012" s="29" t="s">
        <v>14</v>
      </c>
    </row>
  </sheetData>
  <phoneticPr fontId="5" type="noConversion"/>
  <conditionalFormatting sqref="D9:D1012">
    <cfRule type="containsText" dxfId="36" priority="1" operator="containsText" text="PERDIDO">
      <formula>NOT(ISERROR(SEARCH("PERDIDO",D9)))</formula>
    </cfRule>
    <cfRule type="containsText" dxfId="35" priority="2" operator="containsText" text="CONCLUÍDO">
      <formula>NOT(ISERROR(SEARCH("CONCLUÍDO",D9)))</formula>
    </cfRule>
    <cfRule type="containsText" dxfId="34" priority="3" operator="containsText" text="TRAMITANDO">
      <formula>NOT(ISERROR(SEARCH("TRAMITANDO",D9)))</formula>
    </cfRule>
    <cfRule type="containsText" dxfId="33" priority="4" operator="containsText" text="EM ANÁLISE">
      <formula>NOT(ISERROR(SEARCH("EM ANÁLISE",D9)))</formula>
    </cfRule>
    <cfRule type="containsText" dxfId="32" priority="5" operator="containsText" text="ALÇADA">
      <formula>NOT(ISERROR(SEARCH("ALÇADA",D9)))</formula>
    </cfRule>
    <cfRule type="containsText" dxfId="31" priority="6" operator="containsText" text="NEGOCIANDO">
      <formula>NOT(ISERROR(SEARCH("NEGOCIANDO",D9)))</formula>
    </cfRule>
  </conditionalFormatting>
  <dataValidations count="1">
    <dataValidation type="list" allowBlank="1" showInputMessage="1" showErrorMessage="1" sqref="D9:D1012" xr:uid="{D6A4F7A8-9639-4662-A506-6F1E10140793}">
      <formula1>"NEGOCIANDO, ALÇADA, EM ANÁLISE, TRAMITANDO, CONCLUÍDO, PERDIDO"</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DA671-7511-4996-AD30-F9BE05017EF3}">
  <sheetPr codeName="Sheet4"/>
  <dimension ref="A1:AC1018"/>
  <sheetViews>
    <sheetView topLeftCell="N1" zoomScale="70" zoomScaleNormal="70" workbookViewId="0">
      <selection activeCell="S58" sqref="S58"/>
    </sheetView>
  </sheetViews>
  <sheetFormatPr defaultRowHeight="15" x14ac:dyDescent="0.25"/>
  <cols>
    <col min="1" max="1" width="16.7109375" customWidth="1"/>
    <col min="2" max="2" width="21.42578125" style="34" bestFit="1" customWidth="1"/>
    <col min="3" max="4" width="14.7109375" customWidth="1"/>
    <col min="5" max="5" width="21.7109375" customWidth="1"/>
    <col min="6" max="6" width="25.5703125" customWidth="1"/>
    <col min="7" max="7" width="25.7109375" customWidth="1"/>
    <col min="8" max="8" width="17.28515625" customWidth="1"/>
    <col min="9" max="9" width="24.85546875" customWidth="1"/>
    <col min="10" max="10" width="21.85546875" customWidth="1"/>
    <col min="11" max="11" width="16.42578125" customWidth="1"/>
    <col min="12" max="12" width="19.42578125" customWidth="1"/>
    <col min="13" max="13" width="21.42578125" customWidth="1"/>
    <col min="14" max="14" width="17.5703125" customWidth="1"/>
    <col min="15" max="15" width="20.28515625" customWidth="1"/>
    <col min="16" max="16" width="18" customWidth="1"/>
    <col min="17" max="22" width="17.7109375" customWidth="1"/>
    <col min="23" max="23" width="36.85546875" bestFit="1" customWidth="1"/>
    <col min="24" max="24" width="21.7109375" bestFit="1" customWidth="1"/>
    <col min="25" max="25" width="17.7109375" bestFit="1" customWidth="1"/>
    <col min="26" max="26" width="21.42578125" customWidth="1"/>
    <col min="27" max="27" width="17.85546875" bestFit="1" customWidth="1"/>
    <col min="28" max="28" width="23.140625" bestFit="1" customWidth="1"/>
    <col min="29" max="29" width="34.42578125" bestFit="1" customWidth="1"/>
    <col min="30" max="31" width="16.140625" bestFit="1" customWidth="1"/>
    <col min="32" max="204" width="17.85546875" bestFit="1" customWidth="1"/>
    <col min="205" max="205" width="26.5703125" bestFit="1" customWidth="1"/>
    <col min="206" max="381" width="17.85546875" bestFit="1" customWidth="1"/>
    <col min="382" max="382" width="22.85546875" bestFit="1" customWidth="1"/>
    <col min="383" max="383" width="31.5703125" bestFit="1" customWidth="1"/>
    <col min="384" max="389" width="8" bestFit="1" customWidth="1"/>
    <col min="390" max="390" width="7" bestFit="1" customWidth="1"/>
    <col min="391" max="392" width="8" bestFit="1" customWidth="1"/>
    <col min="393" max="393" width="7" bestFit="1" customWidth="1"/>
    <col min="394" max="408" width="8" bestFit="1" customWidth="1"/>
    <col min="409" max="409" width="7" bestFit="1" customWidth="1"/>
    <col min="410" max="425" width="8" bestFit="1" customWidth="1"/>
    <col min="426" max="436" width="9" bestFit="1" customWidth="1"/>
    <col min="437" max="437" width="8" bestFit="1" customWidth="1"/>
    <col min="438" max="453" width="9" bestFit="1" customWidth="1"/>
    <col min="454" max="454" width="8" bestFit="1" customWidth="1"/>
    <col min="455" max="463" width="9" bestFit="1" customWidth="1"/>
    <col min="464" max="464" width="8" bestFit="1" customWidth="1"/>
    <col min="465" max="465" width="6" bestFit="1" customWidth="1"/>
    <col min="466" max="474" width="9" bestFit="1" customWidth="1"/>
    <col min="475" max="475" width="8" bestFit="1" customWidth="1"/>
    <col min="476" max="490" width="9" bestFit="1" customWidth="1"/>
    <col min="491" max="491" width="8" bestFit="1" customWidth="1"/>
    <col min="492" max="492" width="9" bestFit="1" customWidth="1"/>
    <col min="493" max="493" width="8" bestFit="1" customWidth="1"/>
    <col min="494" max="494" width="9" bestFit="1" customWidth="1"/>
    <col min="495" max="495" width="8" bestFit="1" customWidth="1"/>
    <col min="496" max="499" width="9" bestFit="1" customWidth="1"/>
    <col min="500" max="500" width="8" bestFit="1" customWidth="1"/>
    <col min="501" max="503" width="9" bestFit="1" customWidth="1"/>
    <col min="504" max="504" width="32.28515625" bestFit="1" customWidth="1"/>
    <col min="505" max="511" width="7" bestFit="1" customWidth="1"/>
    <col min="512" max="526" width="8" bestFit="1" customWidth="1"/>
    <col min="527" max="527" width="7" bestFit="1" customWidth="1"/>
    <col min="528" max="532" width="8" bestFit="1" customWidth="1"/>
    <col min="533" max="533" width="7" bestFit="1" customWidth="1"/>
    <col min="534" max="544" width="8" bestFit="1" customWidth="1"/>
    <col min="545" max="545" width="5" bestFit="1" customWidth="1"/>
    <col min="546" max="554" width="8" bestFit="1" customWidth="1"/>
    <col min="555" max="555" width="7" bestFit="1" customWidth="1"/>
    <col min="556" max="557" width="8" bestFit="1" customWidth="1"/>
    <col min="558" max="558" width="7" bestFit="1" customWidth="1"/>
    <col min="559" max="573" width="8" bestFit="1" customWidth="1"/>
    <col min="574" max="574" width="7" bestFit="1" customWidth="1"/>
    <col min="575" max="590" width="8" bestFit="1" customWidth="1"/>
    <col min="591" max="601" width="9" bestFit="1" customWidth="1"/>
    <col min="602" max="602" width="8" bestFit="1" customWidth="1"/>
    <col min="603" max="618" width="9" bestFit="1" customWidth="1"/>
    <col min="619" max="619" width="8" bestFit="1" customWidth="1"/>
    <col min="620" max="628" width="9" bestFit="1" customWidth="1"/>
    <col min="629" max="629" width="8" bestFit="1" customWidth="1"/>
    <col min="630" max="630" width="6" bestFit="1" customWidth="1"/>
    <col min="631" max="639" width="9" bestFit="1" customWidth="1"/>
    <col min="640" max="640" width="8" bestFit="1" customWidth="1"/>
    <col min="641" max="655" width="9" bestFit="1" customWidth="1"/>
    <col min="656" max="656" width="8" bestFit="1" customWidth="1"/>
    <col min="657" max="657" width="9" bestFit="1" customWidth="1"/>
    <col min="658" max="658" width="8" bestFit="1" customWidth="1"/>
    <col min="659" max="659" width="9" bestFit="1" customWidth="1"/>
    <col min="660" max="660" width="8" bestFit="1" customWidth="1"/>
    <col min="661" max="664" width="9" bestFit="1" customWidth="1"/>
    <col min="665" max="665" width="8" bestFit="1" customWidth="1"/>
    <col min="666" max="667" width="9" bestFit="1" customWidth="1"/>
    <col min="668" max="668" width="10" bestFit="1" customWidth="1"/>
    <col min="669" max="669" width="23.140625" bestFit="1" customWidth="1"/>
    <col min="670" max="676" width="7" bestFit="1" customWidth="1"/>
    <col min="677" max="691" width="8" bestFit="1" customWidth="1"/>
    <col min="692" max="692" width="7" bestFit="1" customWidth="1"/>
    <col min="693" max="697" width="8" bestFit="1" customWidth="1"/>
    <col min="698" max="698" width="7" bestFit="1" customWidth="1"/>
    <col min="699" max="709" width="8" bestFit="1" customWidth="1"/>
    <col min="710" max="710" width="5" bestFit="1" customWidth="1"/>
    <col min="711" max="719" width="8" bestFit="1" customWidth="1"/>
    <col min="720" max="720" width="7" bestFit="1" customWidth="1"/>
    <col min="721" max="722" width="8" bestFit="1" customWidth="1"/>
    <col min="723" max="723" width="7" bestFit="1" customWidth="1"/>
    <col min="724" max="738" width="8" bestFit="1" customWidth="1"/>
    <col min="739" max="739" width="7" bestFit="1" customWidth="1"/>
    <col min="740" max="755" width="8" bestFit="1" customWidth="1"/>
    <col min="756" max="766" width="9" bestFit="1" customWidth="1"/>
    <col min="767" max="767" width="8" bestFit="1" customWidth="1"/>
    <col min="768" max="783" width="9" bestFit="1" customWidth="1"/>
    <col min="784" max="784" width="8" bestFit="1" customWidth="1"/>
    <col min="785" max="793" width="9" bestFit="1" customWidth="1"/>
    <col min="794" max="794" width="8" bestFit="1" customWidth="1"/>
    <col min="795" max="795" width="6" bestFit="1" customWidth="1"/>
    <col min="796" max="804" width="9" bestFit="1" customWidth="1"/>
    <col min="805" max="805" width="8" bestFit="1" customWidth="1"/>
    <col min="806" max="820" width="9" bestFit="1" customWidth="1"/>
    <col min="821" max="821" width="8" bestFit="1" customWidth="1"/>
    <col min="822" max="822" width="9" bestFit="1" customWidth="1"/>
    <col min="823" max="823" width="8" bestFit="1" customWidth="1"/>
    <col min="824" max="824" width="9" bestFit="1" customWidth="1"/>
    <col min="825" max="825" width="8" bestFit="1" customWidth="1"/>
    <col min="826" max="829" width="9" bestFit="1" customWidth="1"/>
    <col min="830" max="830" width="8" bestFit="1" customWidth="1"/>
    <col min="831" max="832" width="9" bestFit="1" customWidth="1"/>
    <col min="833" max="833" width="10" bestFit="1" customWidth="1"/>
    <col min="834" max="834" width="31.5703125" bestFit="1" customWidth="1"/>
    <col min="835" max="841" width="7" bestFit="1" customWidth="1"/>
    <col min="842" max="856" width="8" bestFit="1" customWidth="1"/>
    <col min="857" max="857" width="7" bestFit="1" customWidth="1"/>
    <col min="858" max="862" width="8" bestFit="1" customWidth="1"/>
    <col min="863" max="863" width="7" bestFit="1" customWidth="1"/>
    <col min="864" max="874" width="8" bestFit="1" customWidth="1"/>
    <col min="875" max="875" width="5" bestFit="1" customWidth="1"/>
    <col min="876" max="884" width="8" bestFit="1" customWidth="1"/>
    <col min="885" max="885" width="7" bestFit="1" customWidth="1"/>
    <col min="886" max="887" width="8" bestFit="1" customWidth="1"/>
    <col min="888" max="888" width="7" bestFit="1" customWidth="1"/>
    <col min="889" max="903" width="8" bestFit="1" customWidth="1"/>
    <col min="904" max="904" width="7" bestFit="1" customWidth="1"/>
    <col min="905" max="920" width="8" bestFit="1" customWidth="1"/>
    <col min="921" max="931" width="9" bestFit="1" customWidth="1"/>
    <col min="932" max="932" width="8" bestFit="1" customWidth="1"/>
    <col min="933" max="948" width="9" bestFit="1" customWidth="1"/>
    <col min="949" max="949" width="8" bestFit="1" customWidth="1"/>
    <col min="950" max="958" width="9" bestFit="1" customWidth="1"/>
    <col min="959" max="959" width="8" bestFit="1" customWidth="1"/>
    <col min="960" max="960" width="6" bestFit="1" customWidth="1"/>
    <col min="961" max="969" width="9" bestFit="1" customWidth="1"/>
    <col min="970" max="970" width="8" bestFit="1" customWidth="1"/>
    <col min="971" max="985" width="9" bestFit="1" customWidth="1"/>
    <col min="986" max="986" width="8" bestFit="1" customWidth="1"/>
    <col min="987" max="987" width="9" bestFit="1" customWidth="1"/>
    <col min="988" max="988" width="8" bestFit="1" customWidth="1"/>
    <col min="989" max="989" width="9" bestFit="1" customWidth="1"/>
    <col min="990" max="990" width="8" bestFit="1" customWidth="1"/>
    <col min="991" max="994" width="9" bestFit="1" customWidth="1"/>
    <col min="995" max="995" width="8" bestFit="1" customWidth="1"/>
    <col min="996" max="997" width="9" bestFit="1" customWidth="1"/>
    <col min="998" max="998" width="10" bestFit="1" customWidth="1"/>
    <col min="999" max="999" width="28" bestFit="1" customWidth="1"/>
    <col min="1000" max="1006" width="7" bestFit="1" customWidth="1"/>
    <col min="1007" max="1021" width="8" bestFit="1" customWidth="1"/>
    <col min="1022" max="1022" width="7" bestFit="1" customWidth="1"/>
    <col min="1023" max="1027" width="8" bestFit="1" customWidth="1"/>
    <col min="1028" max="1028" width="7" bestFit="1" customWidth="1"/>
    <col min="1029" max="1039" width="8" bestFit="1" customWidth="1"/>
    <col min="1040" max="1040" width="5" bestFit="1" customWidth="1"/>
    <col min="1041" max="1049" width="8" bestFit="1" customWidth="1"/>
    <col min="1050" max="1050" width="7" bestFit="1" customWidth="1"/>
    <col min="1051" max="1052" width="8" bestFit="1" customWidth="1"/>
    <col min="1053" max="1053" width="7" bestFit="1" customWidth="1"/>
    <col min="1054" max="1068" width="8" bestFit="1" customWidth="1"/>
    <col min="1069" max="1069" width="7" bestFit="1" customWidth="1"/>
    <col min="1070" max="1085" width="8" bestFit="1" customWidth="1"/>
    <col min="1086" max="1096" width="9" bestFit="1" customWidth="1"/>
    <col min="1097" max="1097" width="8" bestFit="1" customWidth="1"/>
    <col min="1098" max="1113" width="9" bestFit="1" customWidth="1"/>
    <col min="1114" max="1114" width="8" bestFit="1" customWidth="1"/>
    <col min="1115" max="1123" width="9" bestFit="1" customWidth="1"/>
    <col min="1124" max="1124" width="8" bestFit="1" customWidth="1"/>
    <col min="1125" max="1125" width="6" bestFit="1" customWidth="1"/>
    <col min="1126" max="1134" width="9" bestFit="1" customWidth="1"/>
    <col min="1135" max="1135" width="8" bestFit="1" customWidth="1"/>
    <col min="1136" max="1150" width="9" bestFit="1" customWidth="1"/>
    <col min="1151" max="1151" width="8" bestFit="1" customWidth="1"/>
    <col min="1152" max="1152" width="9" bestFit="1" customWidth="1"/>
    <col min="1153" max="1153" width="8" bestFit="1" customWidth="1"/>
    <col min="1154" max="1154" width="9" bestFit="1" customWidth="1"/>
    <col min="1155" max="1155" width="8" bestFit="1" customWidth="1"/>
    <col min="1156" max="1159" width="9" bestFit="1" customWidth="1"/>
    <col min="1160" max="1160" width="8" bestFit="1" customWidth="1"/>
    <col min="1161" max="1162" width="9" bestFit="1" customWidth="1"/>
    <col min="1163" max="1163" width="2" bestFit="1" customWidth="1"/>
    <col min="1164" max="1164" width="25.5703125" bestFit="1" customWidth="1"/>
    <col min="1165" max="1165" width="33" bestFit="1" customWidth="1"/>
    <col min="1166" max="1166" width="37.140625" bestFit="1" customWidth="1"/>
    <col min="1167" max="1167" width="37.28515625" bestFit="1" customWidth="1"/>
    <col min="1168" max="1168" width="28.140625" bestFit="1" customWidth="1"/>
    <col min="1169" max="1169" width="36.5703125" bestFit="1" customWidth="1"/>
    <col min="1170" max="1170" width="33" bestFit="1" customWidth="1"/>
  </cols>
  <sheetData>
    <row r="1" spans="1:29" x14ac:dyDescent="0.25">
      <c r="B1"/>
    </row>
    <row r="2" spans="1:29" ht="15.75" thickBot="1" x14ac:dyDescent="0.3">
      <c r="B2"/>
    </row>
    <row r="3" spans="1:29" ht="15.75" thickTop="1" x14ac:dyDescent="0.25">
      <c r="B3"/>
      <c r="R3" s="8" t="s">
        <v>3055</v>
      </c>
      <c r="S3" s="9" t="s">
        <v>3056</v>
      </c>
      <c r="T3" s="9" t="s">
        <v>3057</v>
      </c>
      <c r="U3" s="10" t="s">
        <v>3058</v>
      </c>
      <c r="X3" s="4" t="s">
        <v>3048</v>
      </c>
      <c r="AA3" s="4" t="s">
        <v>3020</v>
      </c>
      <c r="AB3" t="s">
        <v>3027</v>
      </c>
    </row>
    <row r="4" spans="1:29" x14ac:dyDescent="0.25">
      <c r="B4"/>
      <c r="R4" s="11">
        <v>1E-4</v>
      </c>
      <c r="S4" s="12">
        <v>0.49990000000000001</v>
      </c>
      <c r="T4" s="12">
        <v>0.1</v>
      </c>
      <c r="U4" s="13">
        <v>2E-3</v>
      </c>
      <c r="W4" s="4" t="s">
        <v>3080</v>
      </c>
      <c r="X4" t="s">
        <v>93</v>
      </c>
      <c r="Y4" t="s">
        <v>3041</v>
      </c>
    </row>
    <row r="5" spans="1:29" x14ac:dyDescent="0.25">
      <c r="B5"/>
      <c r="R5" s="11">
        <v>0.5</v>
      </c>
      <c r="S5" s="12">
        <v>0.59989999999999999</v>
      </c>
      <c r="T5" s="12">
        <v>0.3</v>
      </c>
      <c r="U5" s="13">
        <v>3.0000000000000001E-3</v>
      </c>
      <c r="W5" s="5" t="s">
        <v>3042</v>
      </c>
      <c r="X5" s="25">
        <v>870823.62000000046</v>
      </c>
      <c r="Y5" s="25">
        <v>870823.62000000046</v>
      </c>
      <c r="AA5" s="4" t="s">
        <v>3040</v>
      </c>
      <c r="AB5" t="s">
        <v>3072</v>
      </c>
      <c r="AC5" t="s">
        <v>3054</v>
      </c>
    </row>
    <row r="6" spans="1:29" x14ac:dyDescent="0.25">
      <c r="B6"/>
      <c r="R6" s="11">
        <f>R5+0.1</f>
        <v>0.6</v>
      </c>
      <c r="S6" s="12">
        <f>S5+0.1</f>
        <v>0.69989999999999997</v>
      </c>
      <c r="T6" s="12">
        <v>0.5</v>
      </c>
      <c r="U6" s="13">
        <f>U5+0.001</f>
        <v>4.0000000000000001E-3</v>
      </c>
      <c r="W6" s="5" t="s">
        <v>3043</v>
      </c>
      <c r="X6" s="25">
        <v>20180.2</v>
      </c>
      <c r="Y6" s="25">
        <v>20180.2</v>
      </c>
      <c r="AA6" s="5" t="s">
        <v>14</v>
      </c>
      <c r="AB6" s="6">
        <v>22</v>
      </c>
      <c r="AC6" s="25">
        <v>181113.85</v>
      </c>
    </row>
    <row r="7" spans="1:29" x14ac:dyDescent="0.25">
      <c r="B7"/>
      <c r="R7" s="11">
        <f t="shared" ref="R7:S19" si="0">R6+0.1</f>
        <v>0.7</v>
      </c>
      <c r="S7" s="12">
        <f t="shared" si="0"/>
        <v>0.79989999999999994</v>
      </c>
      <c r="T7" s="12">
        <v>0.6</v>
      </c>
      <c r="U7" s="13">
        <f t="shared" ref="U7:U20" si="1">U6+0.001</f>
        <v>5.0000000000000001E-3</v>
      </c>
      <c r="W7" s="5" t="s">
        <v>3044</v>
      </c>
      <c r="X7" s="25">
        <v>11491.18</v>
      </c>
      <c r="Y7" s="25">
        <v>11491.18</v>
      </c>
      <c r="AA7" s="5" t="s">
        <v>9</v>
      </c>
      <c r="AB7" s="6">
        <v>17</v>
      </c>
      <c r="AC7" s="25">
        <v>189922.21000000005</v>
      </c>
    </row>
    <row r="8" spans="1:29" x14ac:dyDescent="0.25">
      <c r="A8" t="s">
        <v>3019</v>
      </c>
      <c r="B8" t="s">
        <v>3017</v>
      </c>
      <c r="C8" t="s">
        <v>3020</v>
      </c>
      <c r="D8" t="s">
        <v>3026</v>
      </c>
      <c r="E8" t="s">
        <v>3033</v>
      </c>
      <c r="F8" t="s">
        <v>3028</v>
      </c>
      <c r="G8" t="s">
        <v>3029</v>
      </c>
      <c r="H8" t="s">
        <v>3030</v>
      </c>
      <c r="I8" t="s">
        <v>3031</v>
      </c>
      <c r="J8" t="s">
        <v>3032</v>
      </c>
      <c r="K8" t="s">
        <v>3038</v>
      </c>
      <c r="L8" t="s">
        <v>3035</v>
      </c>
      <c r="M8" t="s">
        <v>3034</v>
      </c>
      <c r="N8" t="s">
        <v>3037</v>
      </c>
      <c r="O8" t="s">
        <v>3036</v>
      </c>
      <c r="P8" t="s">
        <v>3039</v>
      </c>
      <c r="R8" s="11">
        <f t="shared" si="0"/>
        <v>0.79999999999999993</v>
      </c>
      <c r="S8" s="12">
        <f t="shared" si="0"/>
        <v>0.89989999999999992</v>
      </c>
      <c r="T8" s="12">
        <v>0.9</v>
      </c>
      <c r="U8" s="13">
        <f t="shared" si="1"/>
        <v>6.0000000000000001E-3</v>
      </c>
      <c r="W8" s="5" t="s">
        <v>3045</v>
      </c>
      <c r="X8" s="25">
        <v>11708.56</v>
      </c>
      <c r="Y8" s="25">
        <v>11708.56</v>
      </c>
      <c r="AA8" s="5" t="s">
        <v>106</v>
      </c>
      <c r="AB8" s="6">
        <v>14</v>
      </c>
      <c r="AC8" s="25">
        <v>121727.57999999997</v>
      </c>
    </row>
    <row r="9" spans="1:29" x14ac:dyDescent="0.25">
      <c r="A9" t="str">
        <f>tblVendas[[#This Row],[NR_SIMULACAO]]</f>
        <v>SIM0999</v>
      </c>
      <c r="B9" s="34" t="str">
        <f>_xlfn.XLOOKUP(A9,tblVendas[[#This Row],[NR_SIMULACAO]],tblVendas[[#This Row],[NR_CNPJ]],"")</f>
        <v>26.448.955/0001-74</v>
      </c>
      <c r="C9" t="str">
        <f>_xlfn.XLOOKUP(A9,tblVendas[[#This Row],[NR_SIMULACAO]],tblVendas[[#This Row],[STATUS]],"")</f>
        <v>CONCLUÍDO</v>
      </c>
      <c r="D9" t="str">
        <f>_xlfn.XLOOKUP(A9,tblVendas[[#This Row],[NR_SIMULACAO]],tblVendas[[#This Row],[MES]],"")</f>
        <v>Janeiro</v>
      </c>
      <c r="E9">
        <f>SUM(_xlfn.XLOOKUP(tblCalculo[[#This Row],[NR_SIMULACAO]],tblVendas[[#This Row],[NR_SIMULACAO]],tblVendas[[#This Row],[VALOR_MOVEL]],""):_xlfn.XLOOKUP(tblCalculo[[#This Row],[NR_SIMULACAO]],tblVendas[[#This Row],[NR_SIMULACAO]],tblVendas[[#This Row],[VALOR_APARELHO]],""))</f>
        <v>5768</v>
      </c>
      <c r="F9">
        <f>IF(tblCalculo[[#This Row],[STATUS]]="CONCLUÍDO",_xlfn.XLOOKUP(tblCalculo[[#This Row],[NR_SIMULACAO]],tblVendas[[#This Row],[NR_SIMULACAO]],tblVendas[[#This Row],[VALOR_MOVEL]],""),0)</f>
        <v>5768</v>
      </c>
      <c r="G9">
        <f>IF(tblCalculo[[#This Row],[STATUS]]="CONCLUÍDO",_xlfn.XLOOKUP(tblCalculo[[#This Row],[NR_SIMULACAO]],tblVendas[[#This Row],[NR_SIMULACAO]],tblVendas[[#This Row],[VALOR_AVANCADO]],""),0)</f>
        <v>0</v>
      </c>
      <c r="H9">
        <f>IF(tblCalculo[[#This Row],[STATUS]]="CONCLUÍDO",_xlfn.XLOOKUP(tblCalculo[[#This Row],[NR_SIMULACAO]],tblVendas[[#This Row],[NR_SIMULACAO]],tblVendas[[#This Row],[VALOR_FIXABASICA]],""),0)</f>
        <v>0</v>
      </c>
      <c r="I9">
        <f>IF(tblCalculo[[#This Row],[STATUS]]="CONCLUÍDO",_xlfn.XLOOKUP(tblCalculo[[#This Row],[NR_SIMULACAO]],tblVendas[[#This Row],[NR_SIMULACAO]],tblVendas[[#This Row],[VALOR_TI]],""),0)</f>
        <v>0</v>
      </c>
      <c r="J9">
        <f>IF(tblCalculo[[#This Row],[STATUS]]="CONCLUÍDO",_xlfn.XLOOKUP(tblCalculo[[#This Row],[NR_SIMULACAO]],tblVendas[[#This Row],[NR_SIMULACAO]],tblVendas[[#This Row],[VALOR_APARELHO]],""),0)</f>
        <v>0</v>
      </c>
      <c r="K9" t="str">
        <f>IF(tblCalculo[[#This Row],[STATUS]]="NEGOCIANDO",tblCalculo[[#This Row],[VALOR_TOTAL]],"")</f>
        <v/>
      </c>
      <c r="L9" t="str">
        <f>IF(tblCalculo[[#This Row],[STATUS]]="ALÇADA",tblCalculo[[#This Row],[VALOR_TOTAL]],"")</f>
        <v/>
      </c>
      <c r="M9" t="str">
        <f>IF(tblCalculo[[#This Row],[STATUS]]="EM ANÁLISE",tblCalculo[[#This Row],[VALOR_TOTAL]],"")</f>
        <v/>
      </c>
      <c r="N9" t="str">
        <f>IF(tblCalculo[[#This Row],[STATUS]]="TRAMITANDO",tblCalculo[[#This Row],[VALOR_TOTAL]],"")</f>
        <v/>
      </c>
      <c r="O9" t="str">
        <f>IF(tblCalculo[[#This Row],[STATUS]]="PERDIDO",tblCalculo[[#This Row],[VALOR_TOTAL]],"")</f>
        <v/>
      </c>
      <c r="P9">
        <f>IF(tblCalculo[[#This Row],[STATUS]]="CONCLUÍDO",tblCalculo[[#This Row],[VALOR_TOTAL]],"")</f>
        <v>5768</v>
      </c>
      <c r="R9" s="11">
        <f t="shared" si="0"/>
        <v>0.89999999999999991</v>
      </c>
      <c r="S9" s="12">
        <f t="shared" si="0"/>
        <v>0.9998999999999999</v>
      </c>
      <c r="T9" s="12">
        <f>T10*0.95</f>
        <v>0.95</v>
      </c>
      <c r="U9" s="13">
        <f t="shared" si="1"/>
        <v>7.0000000000000001E-3</v>
      </c>
      <c r="W9" s="5" t="s">
        <v>3046</v>
      </c>
      <c r="X9" s="25">
        <v>30998.95</v>
      </c>
      <c r="Y9" s="25">
        <v>30998.95</v>
      </c>
      <c r="AA9" s="5" t="s">
        <v>86</v>
      </c>
      <c r="AB9" s="6">
        <v>12</v>
      </c>
      <c r="AC9" s="25">
        <v>98514.06</v>
      </c>
    </row>
    <row r="10" spans="1:29" x14ac:dyDescent="0.25">
      <c r="A10" t="str">
        <f>tblVendas[[#This Row],[NR_SIMULACAO]]</f>
        <v>SIM1000</v>
      </c>
      <c r="B10" s="34" t="str">
        <f>_xlfn.XLOOKUP(A10,tblVendas[[#This Row],[NR_SIMULACAO]],tblVendas[[#This Row],[NR_CNPJ]],"")</f>
        <v>26.448.955/0001-75</v>
      </c>
      <c r="C10" t="str">
        <f>_xlfn.XLOOKUP(A10,tblVendas[[#This Row],[NR_SIMULACAO]],tblVendas[[#This Row],[STATUS]],"")</f>
        <v>EM ANÁLISE</v>
      </c>
      <c r="D10" t="str">
        <f>_xlfn.XLOOKUP(A10,tblVendas[[#This Row],[NR_SIMULACAO]],tblVendas[[#This Row],[MES]],"")</f>
        <v>Agosto</v>
      </c>
      <c r="E10">
        <f>SUM(_xlfn.XLOOKUP(tblCalculo[[#This Row],[NR_SIMULACAO]],tblVendas[[#This Row],[NR_SIMULACAO]],tblVendas[[#This Row],[VALOR_MOVEL]],""):_xlfn.XLOOKUP(tblCalculo[[#This Row],[NR_SIMULACAO]],tblVendas[[#This Row],[NR_SIMULACAO]],tblVendas[[#This Row],[VALOR_APARELHO]],""))</f>
        <v>18010.21</v>
      </c>
      <c r="F10">
        <f>IF(tblCalculo[[#This Row],[STATUS]]="CONCLUÍDO",_xlfn.XLOOKUP(tblCalculo[[#This Row],[NR_SIMULACAO]],tblVendas[[#This Row],[NR_SIMULACAO]],tblVendas[[#This Row],[VALOR_MOVEL]],""),0)</f>
        <v>0</v>
      </c>
      <c r="G10">
        <f>IF(tblCalculo[[#This Row],[STATUS]]="CONCLUÍDO",_xlfn.XLOOKUP(tblCalculo[[#This Row],[NR_SIMULACAO]],tblVendas[[#This Row],[NR_SIMULACAO]],tblVendas[[#This Row],[VALOR_AVANCADO]],""),0)</f>
        <v>0</v>
      </c>
      <c r="H10">
        <f>IF(tblCalculo[[#This Row],[STATUS]]="CONCLUÍDO",_xlfn.XLOOKUP(tblCalculo[[#This Row],[NR_SIMULACAO]],tblVendas[[#This Row],[NR_SIMULACAO]],tblVendas[[#This Row],[VALOR_FIXABASICA]],""),0)</f>
        <v>0</v>
      </c>
      <c r="I10">
        <f>IF(tblCalculo[[#This Row],[STATUS]]="CONCLUÍDO",_xlfn.XLOOKUP(tblCalculo[[#This Row],[NR_SIMULACAO]],tblVendas[[#This Row],[NR_SIMULACAO]],tblVendas[[#This Row],[VALOR_TI]],""),0)</f>
        <v>0</v>
      </c>
      <c r="J10">
        <f>IF(tblCalculo[[#This Row],[STATUS]]="CONCLUÍDO",_xlfn.XLOOKUP(tblCalculo[[#This Row],[NR_SIMULACAO]],tblVendas[[#This Row],[NR_SIMULACAO]],tblVendas[[#This Row],[VALOR_APARELHO]],""),0)</f>
        <v>0</v>
      </c>
      <c r="K10" t="str">
        <f>IF(tblCalculo[[#This Row],[STATUS]]="NEGOCIANDO",tblCalculo[[#This Row],[VALOR_TOTAL]],"")</f>
        <v/>
      </c>
      <c r="L10" t="str">
        <f>IF(tblCalculo[[#This Row],[STATUS]]="ALÇADA",tblCalculo[[#This Row],[VALOR_TOTAL]],"")</f>
        <v/>
      </c>
      <c r="M10">
        <f>IF(tblCalculo[[#This Row],[STATUS]]="EM ANÁLISE",tblCalculo[[#This Row],[VALOR_TOTAL]],"")</f>
        <v>18010.21</v>
      </c>
      <c r="N10" t="str">
        <f>IF(tblCalculo[[#This Row],[STATUS]]="TRAMITANDO",tblCalculo[[#This Row],[VALOR_TOTAL]],"")</f>
        <v/>
      </c>
      <c r="O10" t="str">
        <f>IF(tblCalculo[[#This Row],[STATUS]]="PERDIDO",tblCalculo[[#This Row],[VALOR_TOTAL]],"")</f>
        <v/>
      </c>
      <c r="P10" t="str">
        <f>IF(tblCalculo[[#This Row],[STATUS]]="CONCLUÍDO",tblCalculo[[#This Row],[VALOR_TOTAL]],"")</f>
        <v/>
      </c>
      <c r="R10" s="11">
        <f t="shared" si="0"/>
        <v>0.99999999999999989</v>
      </c>
      <c r="S10" s="12">
        <f t="shared" si="0"/>
        <v>1.0998999999999999</v>
      </c>
      <c r="T10" s="12">
        <v>1</v>
      </c>
      <c r="U10" s="13">
        <f t="shared" si="1"/>
        <v>8.0000000000000002E-3</v>
      </c>
      <c r="W10" s="5" t="s">
        <v>3047</v>
      </c>
      <c r="X10" s="25">
        <v>34197.270000000004</v>
      </c>
      <c r="Y10" s="25">
        <v>34197.270000000004</v>
      </c>
      <c r="AA10" s="5" t="s">
        <v>24</v>
      </c>
      <c r="AB10" s="6">
        <v>20</v>
      </c>
      <c r="AC10" s="25">
        <v>195997.04</v>
      </c>
    </row>
    <row r="11" spans="1:29" x14ac:dyDescent="0.25">
      <c r="A11" t="str">
        <f>tblVendas[[#This Row],[NR_SIMULACAO]]</f>
        <v>SIM1001</v>
      </c>
      <c r="B11" s="34" t="str">
        <f>_xlfn.XLOOKUP(A11,tblVendas[[#This Row],[NR_SIMULACAO]],tblVendas[[#This Row],[NR_CNPJ]],"")</f>
        <v>37.928.864/0001-92</v>
      </c>
      <c r="C11" t="str">
        <f>_xlfn.XLOOKUP(A11,tblVendas[[#This Row],[NR_SIMULACAO]],tblVendas[[#This Row],[STATUS]],"")</f>
        <v>TRAMITANDO</v>
      </c>
      <c r="D11" t="str">
        <f>_xlfn.XLOOKUP(A11,tblVendas[[#This Row],[NR_SIMULACAO]],tblVendas[[#This Row],[MES]],"")</f>
        <v>Fevereiro</v>
      </c>
      <c r="E11">
        <f>SUM(_xlfn.XLOOKUP(tblCalculo[[#This Row],[NR_SIMULACAO]],tblVendas[[#This Row],[NR_SIMULACAO]],tblVendas[[#This Row],[VALOR_MOVEL]],""):_xlfn.XLOOKUP(tblCalculo[[#This Row],[NR_SIMULACAO]],tblVendas[[#This Row],[NR_SIMULACAO]],tblVendas[[#This Row],[VALOR_APARELHO]],""))</f>
        <v>7316.5899999999992</v>
      </c>
      <c r="F11">
        <f>IF(tblCalculo[[#This Row],[STATUS]]="CONCLUÍDO",_xlfn.XLOOKUP(tblCalculo[[#This Row],[NR_SIMULACAO]],tblVendas[[#This Row],[NR_SIMULACAO]],tblVendas[[#This Row],[VALOR_MOVEL]],""),0)</f>
        <v>0</v>
      </c>
      <c r="G11">
        <f>IF(tblCalculo[[#This Row],[STATUS]]="CONCLUÍDO",_xlfn.XLOOKUP(tblCalculo[[#This Row],[NR_SIMULACAO]],tblVendas[[#This Row],[NR_SIMULACAO]],tblVendas[[#This Row],[VALOR_AVANCADO]],""),0)</f>
        <v>0</v>
      </c>
      <c r="H11">
        <f>IF(tblCalculo[[#This Row],[STATUS]]="CONCLUÍDO",_xlfn.XLOOKUP(tblCalculo[[#This Row],[NR_SIMULACAO]],tblVendas[[#This Row],[NR_SIMULACAO]],tblVendas[[#This Row],[VALOR_FIXABASICA]],""),0)</f>
        <v>0</v>
      </c>
      <c r="I11">
        <f>IF(tblCalculo[[#This Row],[STATUS]]="CONCLUÍDO",_xlfn.XLOOKUP(tblCalculo[[#This Row],[NR_SIMULACAO]],tblVendas[[#This Row],[NR_SIMULACAO]],tblVendas[[#This Row],[VALOR_TI]],""),0)</f>
        <v>0</v>
      </c>
      <c r="J11">
        <f>IF(tblCalculo[[#This Row],[STATUS]]="CONCLUÍDO",_xlfn.XLOOKUP(tblCalculo[[#This Row],[NR_SIMULACAO]],tblVendas[[#This Row],[NR_SIMULACAO]],tblVendas[[#This Row],[VALOR_APARELHO]],""),0)</f>
        <v>0</v>
      </c>
      <c r="K11" t="str">
        <f>IF(tblCalculo[[#This Row],[STATUS]]="NEGOCIANDO",tblCalculo[[#This Row],[VALOR_TOTAL]],"")</f>
        <v/>
      </c>
      <c r="L11" t="str">
        <f>IF(tblCalculo[[#This Row],[STATUS]]="ALÇADA",tblCalculo[[#This Row],[VALOR_TOTAL]],"")</f>
        <v/>
      </c>
      <c r="M11" t="str">
        <f>IF(tblCalculo[[#This Row],[STATUS]]="EM ANÁLISE",tblCalculo[[#This Row],[VALOR_TOTAL]],"")</f>
        <v/>
      </c>
      <c r="N11">
        <f>IF(tblCalculo[[#This Row],[STATUS]]="TRAMITANDO",tblCalculo[[#This Row],[VALOR_TOTAL]],"")</f>
        <v>7316.5899999999992</v>
      </c>
      <c r="O11" t="str">
        <f>IF(tblCalculo[[#This Row],[STATUS]]="PERDIDO",tblCalculo[[#This Row],[VALOR_TOTAL]],"")</f>
        <v/>
      </c>
      <c r="P11" t="str">
        <f>IF(tblCalculo[[#This Row],[STATUS]]="CONCLUÍDO",tblCalculo[[#This Row],[VALOR_TOTAL]],"")</f>
        <v/>
      </c>
      <c r="R11" s="11">
        <f t="shared" si="0"/>
        <v>1.0999999999999999</v>
      </c>
      <c r="S11" s="12">
        <f t="shared" si="0"/>
        <v>1.1999</v>
      </c>
      <c r="T11" s="12">
        <f t="shared" ref="T11:T20" si="2">T10+0.05</f>
        <v>1.05</v>
      </c>
      <c r="U11" s="13">
        <f t="shared" si="1"/>
        <v>9.0000000000000011E-3</v>
      </c>
      <c r="W11" s="5" t="s">
        <v>3049</v>
      </c>
      <c r="X11" s="25">
        <v>144244.72999999998</v>
      </c>
      <c r="Y11" s="25">
        <v>144244.72999999998</v>
      </c>
      <c r="Z11" s="24">
        <f>GETPIVOTDATA("Sum of VALOR_NEGOCIANDO",$W$3)</f>
        <v>144244.72999999998</v>
      </c>
      <c r="AA11" s="5" t="s">
        <v>93</v>
      </c>
      <c r="AB11" s="6">
        <v>11</v>
      </c>
      <c r="AC11" s="25">
        <v>108576.16</v>
      </c>
    </row>
    <row r="12" spans="1:29" x14ac:dyDescent="0.25">
      <c r="A12" t="str">
        <f>tblVendas[[#This Row],[NR_SIMULACAO]]</f>
        <v>SIM1002</v>
      </c>
      <c r="B12" s="34" t="str">
        <f>_xlfn.XLOOKUP(A12,tblVendas[[#This Row],[NR_SIMULACAO]],tblVendas[[#This Row],[NR_CNPJ]],"")</f>
        <v>20.657.837/0001-45</v>
      </c>
      <c r="C12" t="str">
        <f>_xlfn.XLOOKUP(A12,tblVendas[[#This Row],[NR_SIMULACAO]],tblVendas[[#This Row],[STATUS]],"")</f>
        <v>ALÇADA</v>
      </c>
      <c r="D12" t="str">
        <f>_xlfn.XLOOKUP(A12,tblVendas[[#This Row],[NR_SIMULACAO]],tblVendas[[#This Row],[MES]],"")</f>
        <v>Janeiro</v>
      </c>
      <c r="E12">
        <f>SUM(_xlfn.XLOOKUP(tblCalculo[[#This Row],[NR_SIMULACAO]],tblVendas[[#This Row],[NR_SIMULACAO]],tblVendas[[#This Row],[VALOR_MOVEL]],""):_xlfn.XLOOKUP(tblCalculo[[#This Row],[NR_SIMULACAO]],tblVendas[[#This Row],[NR_SIMULACAO]],tblVendas[[#This Row],[VALOR_APARELHO]],""))</f>
        <v>11157.439999999999</v>
      </c>
      <c r="F12">
        <f>IF(tblCalculo[[#This Row],[STATUS]]="CONCLUÍDO",_xlfn.XLOOKUP(tblCalculo[[#This Row],[NR_SIMULACAO]],tblVendas[[#This Row],[NR_SIMULACAO]],tblVendas[[#This Row],[VALOR_MOVEL]],""),0)</f>
        <v>0</v>
      </c>
      <c r="G12">
        <f>IF(tblCalculo[[#This Row],[STATUS]]="CONCLUÍDO",_xlfn.XLOOKUP(tblCalculo[[#This Row],[NR_SIMULACAO]],tblVendas[[#This Row],[NR_SIMULACAO]],tblVendas[[#This Row],[VALOR_AVANCADO]],""),0)</f>
        <v>0</v>
      </c>
      <c r="H12">
        <f>IF(tblCalculo[[#This Row],[STATUS]]="CONCLUÍDO",_xlfn.XLOOKUP(tblCalculo[[#This Row],[NR_SIMULACAO]],tblVendas[[#This Row],[NR_SIMULACAO]],tblVendas[[#This Row],[VALOR_FIXABASICA]],""),0)</f>
        <v>0</v>
      </c>
      <c r="I12">
        <f>IF(tblCalculo[[#This Row],[STATUS]]="CONCLUÍDO",_xlfn.XLOOKUP(tblCalculo[[#This Row],[NR_SIMULACAO]],tblVendas[[#This Row],[NR_SIMULACAO]],tblVendas[[#This Row],[VALOR_TI]],""),0)</f>
        <v>0</v>
      </c>
      <c r="J12">
        <f>IF(tblCalculo[[#This Row],[STATUS]]="CONCLUÍDO",_xlfn.XLOOKUP(tblCalculo[[#This Row],[NR_SIMULACAO]],tblVendas[[#This Row],[NR_SIMULACAO]],tblVendas[[#This Row],[VALOR_APARELHO]],""),0)</f>
        <v>0</v>
      </c>
      <c r="K12" t="str">
        <f>IF(tblCalculo[[#This Row],[STATUS]]="NEGOCIANDO",tblCalculo[[#This Row],[VALOR_TOTAL]],"")</f>
        <v/>
      </c>
      <c r="L12">
        <f>IF(tblCalculo[[#This Row],[STATUS]]="ALÇADA",tblCalculo[[#This Row],[VALOR_TOTAL]],"")</f>
        <v>11157.439999999999</v>
      </c>
      <c r="M12" t="str">
        <f>IF(tblCalculo[[#This Row],[STATUS]]="EM ANÁLISE",tblCalculo[[#This Row],[VALOR_TOTAL]],"")</f>
        <v/>
      </c>
      <c r="N12" t="str">
        <f>IF(tblCalculo[[#This Row],[STATUS]]="TRAMITANDO",tblCalculo[[#This Row],[VALOR_TOTAL]],"")</f>
        <v/>
      </c>
      <c r="O12" t="str">
        <f>IF(tblCalculo[[#This Row],[STATUS]]="PERDIDO",tblCalculo[[#This Row],[VALOR_TOTAL]],"")</f>
        <v/>
      </c>
      <c r="P12" t="str">
        <f>IF(tblCalculo[[#This Row],[STATUS]]="CONCLUÍDO",tblCalculo[[#This Row],[VALOR_TOTAL]],"")</f>
        <v/>
      </c>
      <c r="R12" s="11">
        <f t="shared" si="0"/>
        <v>1.2</v>
      </c>
      <c r="S12" s="12">
        <f t="shared" si="0"/>
        <v>1.2999000000000001</v>
      </c>
      <c r="T12" s="12">
        <f t="shared" si="2"/>
        <v>1.1000000000000001</v>
      </c>
      <c r="U12" s="13">
        <f t="shared" si="1"/>
        <v>1.0000000000000002E-2</v>
      </c>
      <c r="W12" s="5" t="s">
        <v>3050</v>
      </c>
      <c r="X12" s="25">
        <v>175842.61</v>
      </c>
      <c r="Y12" s="25">
        <v>175842.61</v>
      </c>
      <c r="Z12" s="24">
        <f>GETPIVOTDATA("Sum of VALOR_ALÇADA",$W$3)</f>
        <v>175842.61</v>
      </c>
      <c r="AA12" s="5" t="s">
        <v>37</v>
      </c>
      <c r="AB12" s="6">
        <v>13</v>
      </c>
      <c r="AC12" s="25">
        <v>121808.52000000002</v>
      </c>
    </row>
    <row r="13" spans="1:29" x14ac:dyDescent="0.25">
      <c r="A13" t="str">
        <f>tblVendas[[#This Row],[NR_SIMULACAO]]</f>
        <v>SIM1003</v>
      </c>
      <c r="B13" s="34" t="str">
        <f>_xlfn.XLOOKUP(A13,tblVendas[[#This Row],[NR_SIMULACAO]],tblVendas[[#This Row],[NR_CNPJ]],"")</f>
        <v>84.920.113/0001-62</v>
      </c>
      <c r="C13" t="str">
        <f>_xlfn.XLOOKUP(A13,tblVendas[[#This Row],[NR_SIMULACAO]],tblVendas[[#This Row],[STATUS]],"")</f>
        <v>PERDIDO</v>
      </c>
      <c r="D13" t="str">
        <f>_xlfn.XLOOKUP(A13,tblVendas[[#This Row],[NR_SIMULACAO]],tblVendas[[#This Row],[MES]],"")</f>
        <v>Dezembro</v>
      </c>
      <c r="E13">
        <f>SUM(_xlfn.XLOOKUP(tblCalculo[[#This Row],[NR_SIMULACAO]],tblVendas[[#This Row],[NR_SIMULACAO]],tblVendas[[#This Row],[VALOR_MOVEL]],""):_xlfn.XLOOKUP(tblCalculo[[#This Row],[NR_SIMULACAO]],tblVendas[[#This Row],[NR_SIMULACAO]],tblVendas[[#This Row],[VALOR_APARELHO]],""))</f>
        <v>4545.46</v>
      </c>
      <c r="F13">
        <f>IF(tblCalculo[[#This Row],[STATUS]]="CONCLUÍDO",_xlfn.XLOOKUP(tblCalculo[[#This Row],[NR_SIMULACAO]],tblVendas[[#This Row],[NR_SIMULACAO]],tblVendas[[#This Row],[VALOR_MOVEL]],""),0)</f>
        <v>0</v>
      </c>
      <c r="G13">
        <f>IF(tblCalculo[[#This Row],[STATUS]]="CONCLUÍDO",_xlfn.XLOOKUP(tblCalculo[[#This Row],[NR_SIMULACAO]],tblVendas[[#This Row],[NR_SIMULACAO]],tblVendas[[#This Row],[VALOR_AVANCADO]],""),0)</f>
        <v>0</v>
      </c>
      <c r="H13">
        <f>IF(tblCalculo[[#This Row],[STATUS]]="CONCLUÍDO",_xlfn.XLOOKUP(tblCalculo[[#This Row],[NR_SIMULACAO]],tblVendas[[#This Row],[NR_SIMULACAO]],tblVendas[[#This Row],[VALOR_FIXABASICA]],""),0)</f>
        <v>0</v>
      </c>
      <c r="I13">
        <f>IF(tblCalculo[[#This Row],[STATUS]]="CONCLUÍDO",_xlfn.XLOOKUP(tblCalculo[[#This Row],[NR_SIMULACAO]],tblVendas[[#This Row],[NR_SIMULACAO]],tblVendas[[#This Row],[VALOR_TI]],""),0)</f>
        <v>0</v>
      </c>
      <c r="J13">
        <f>IF(tblCalculo[[#This Row],[STATUS]]="CONCLUÍDO",_xlfn.XLOOKUP(tblCalculo[[#This Row],[NR_SIMULACAO]],tblVendas[[#This Row],[NR_SIMULACAO]],tblVendas[[#This Row],[VALOR_APARELHO]],""),0)</f>
        <v>0</v>
      </c>
      <c r="K13" t="str">
        <f>IF(tblCalculo[[#This Row],[STATUS]]="NEGOCIANDO",tblCalculo[[#This Row],[VALOR_TOTAL]],"")</f>
        <v/>
      </c>
      <c r="L13" t="str">
        <f>IF(tblCalculo[[#This Row],[STATUS]]="ALÇADA",tblCalculo[[#This Row],[VALOR_TOTAL]],"")</f>
        <v/>
      </c>
      <c r="M13" t="str">
        <f>IF(tblCalculo[[#This Row],[STATUS]]="EM ANÁLISE",tblCalculo[[#This Row],[VALOR_TOTAL]],"")</f>
        <v/>
      </c>
      <c r="N13" t="str">
        <f>IF(tblCalculo[[#This Row],[STATUS]]="TRAMITANDO",tblCalculo[[#This Row],[VALOR_TOTAL]],"")</f>
        <v/>
      </c>
      <c r="O13">
        <f>IF(tblCalculo[[#This Row],[STATUS]]="PERDIDO",tblCalculo[[#This Row],[VALOR_TOTAL]],"")</f>
        <v>4545.46</v>
      </c>
      <c r="P13" t="str">
        <f>IF(tblCalculo[[#This Row],[STATUS]]="CONCLUÍDO",tblCalculo[[#This Row],[VALOR_TOTAL]],"")</f>
        <v/>
      </c>
      <c r="R13" s="11">
        <f t="shared" si="0"/>
        <v>1.3</v>
      </c>
      <c r="S13" s="12">
        <f t="shared" si="0"/>
        <v>1.3999000000000001</v>
      </c>
      <c r="T13" s="12">
        <f t="shared" si="2"/>
        <v>1.1500000000000001</v>
      </c>
      <c r="U13" s="13">
        <f t="shared" si="1"/>
        <v>1.1000000000000003E-2</v>
      </c>
      <c r="W13" s="5" t="s">
        <v>3051</v>
      </c>
      <c r="X13" s="25">
        <v>137557.26</v>
      </c>
      <c r="Y13" s="25">
        <v>137557.26</v>
      </c>
      <c r="Z13" s="24">
        <f>GETPIVOTDATA("Sum of VALOR_EMANALISE",$W$3)</f>
        <v>137557.26</v>
      </c>
      <c r="AA13" s="5" t="s">
        <v>4</v>
      </c>
      <c r="AB13" s="6">
        <v>11</v>
      </c>
      <c r="AC13" s="25">
        <v>107267.22</v>
      </c>
    </row>
    <row r="14" spans="1:29" x14ac:dyDescent="0.25">
      <c r="A14" t="str">
        <f>tblVendas[[#This Row],[NR_SIMULACAO]]</f>
        <v>SIM1004</v>
      </c>
      <c r="B14" s="34" t="str">
        <f>_xlfn.XLOOKUP(A14,tblVendas[[#This Row],[NR_SIMULACAO]],tblVendas[[#This Row],[NR_CNPJ]],"")</f>
        <v>75.271.815/0001-84</v>
      </c>
      <c r="C14" t="str">
        <f>_xlfn.XLOOKUP(A14,tblVendas[[#This Row],[NR_SIMULACAO]],tblVendas[[#This Row],[STATUS]],"")</f>
        <v>NEGOCIANDO</v>
      </c>
      <c r="D14" t="str">
        <f>_xlfn.XLOOKUP(A14,tblVendas[[#This Row],[NR_SIMULACAO]],tblVendas[[#This Row],[MES]],"")</f>
        <v>Maio</v>
      </c>
      <c r="E14">
        <f>SUM(_xlfn.XLOOKUP(tblCalculo[[#This Row],[NR_SIMULACAO]],tblVendas[[#This Row],[NR_SIMULACAO]],tblVendas[[#This Row],[VALOR_MOVEL]],""):_xlfn.XLOOKUP(tblCalculo[[#This Row],[NR_SIMULACAO]],tblVendas[[#This Row],[NR_SIMULACAO]],tblVendas[[#This Row],[VALOR_APARELHO]],""))</f>
        <v>1262.8800000000001</v>
      </c>
      <c r="F14">
        <f>IF(tblCalculo[[#This Row],[STATUS]]="CONCLUÍDO",_xlfn.XLOOKUP(tblCalculo[[#This Row],[NR_SIMULACAO]],tblVendas[[#This Row],[NR_SIMULACAO]],tblVendas[[#This Row],[VALOR_MOVEL]],""),0)</f>
        <v>0</v>
      </c>
      <c r="G14">
        <f>IF(tblCalculo[[#This Row],[STATUS]]="CONCLUÍDO",_xlfn.XLOOKUP(tblCalculo[[#This Row],[NR_SIMULACAO]],tblVendas[[#This Row],[NR_SIMULACAO]],tblVendas[[#This Row],[VALOR_AVANCADO]],""),0)</f>
        <v>0</v>
      </c>
      <c r="H14">
        <f>IF(tblCalculo[[#This Row],[STATUS]]="CONCLUÍDO",_xlfn.XLOOKUP(tblCalculo[[#This Row],[NR_SIMULACAO]],tblVendas[[#This Row],[NR_SIMULACAO]],tblVendas[[#This Row],[VALOR_FIXABASICA]],""),0)</f>
        <v>0</v>
      </c>
      <c r="I14">
        <f>IF(tblCalculo[[#This Row],[STATUS]]="CONCLUÍDO",_xlfn.XLOOKUP(tblCalculo[[#This Row],[NR_SIMULACAO]],tblVendas[[#This Row],[NR_SIMULACAO]],tblVendas[[#This Row],[VALOR_TI]],""),0)</f>
        <v>0</v>
      </c>
      <c r="J14">
        <f>IF(tblCalculo[[#This Row],[STATUS]]="CONCLUÍDO",_xlfn.XLOOKUP(tblCalculo[[#This Row],[NR_SIMULACAO]],tblVendas[[#This Row],[NR_SIMULACAO]],tblVendas[[#This Row],[VALOR_APARELHO]],""),0)</f>
        <v>0</v>
      </c>
      <c r="K14">
        <f>IF(tblCalculo[[#This Row],[STATUS]]="NEGOCIANDO",tblCalculo[[#This Row],[VALOR_TOTAL]],"")</f>
        <v>1262.8800000000001</v>
      </c>
      <c r="L14" t="str">
        <f>IF(tblCalculo[[#This Row],[STATUS]]="ALÇADA",tblCalculo[[#This Row],[VALOR_TOTAL]],"")</f>
        <v/>
      </c>
      <c r="M14" t="str">
        <f>IF(tblCalculo[[#This Row],[STATUS]]="EM ANÁLISE",tblCalculo[[#This Row],[VALOR_TOTAL]],"")</f>
        <v/>
      </c>
      <c r="N14" t="str">
        <f>IF(tblCalculo[[#This Row],[STATUS]]="TRAMITANDO",tblCalculo[[#This Row],[VALOR_TOTAL]],"")</f>
        <v/>
      </c>
      <c r="O14" t="str">
        <f>IF(tblCalculo[[#This Row],[STATUS]]="PERDIDO",tblCalculo[[#This Row],[VALOR_TOTAL]],"")</f>
        <v/>
      </c>
      <c r="P14" t="str">
        <f>IF(tblCalculo[[#This Row],[STATUS]]="CONCLUÍDO",tblCalculo[[#This Row],[VALOR_TOTAL]],"")</f>
        <v/>
      </c>
      <c r="R14" s="11">
        <f t="shared" si="0"/>
        <v>1.4000000000000001</v>
      </c>
      <c r="S14" s="12">
        <f t="shared" si="0"/>
        <v>1.4999000000000002</v>
      </c>
      <c r="T14" s="12">
        <f t="shared" si="2"/>
        <v>1.2000000000000002</v>
      </c>
      <c r="U14" s="13">
        <f t="shared" si="1"/>
        <v>1.2000000000000004E-2</v>
      </c>
      <c r="W14" s="5" t="s">
        <v>3052</v>
      </c>
      <c r="X14" s="25">
        <v>167719.22</v>
      </c>
      <c r="Y14" s="25">
        <v>167719.22</v>
      </c>
      <c r="Z14" s="24">
        <f>GETPIVOTDATA("Sum of VALOR_TRAMITANDO",$W$3)</f>
        <v>167719.22</v>
      </c>
      <c r="AA14" s="5" t="s">
        <v>41</v>
      </c>
      <c r="AB14" s="6">
        <v>15</v>
      </c>
      <c r="AC14" s="25">
        <v>170476.94</v>
      </c>
    </row>
    <row r="15" spans="1:29" x14ac:dyDescent="0.25">
      <c r="A15" t="str">
        <f>tblVendas[[#This Row],[NR_SIMULACAO]]</f>
        <v>SIM1005</v>
      </c>
      <c r="B15" s="34" t="str">
        <f>_xlfn.XLOOKUP(A15,tblVendas[[#This Row],[NR_SIMULACAO]],tblVendas[[#This Row],[NR_CNPJ]],"")</f>
        <v>22.828.137/0001-23</v>
      </c>
      <c r="C15" t="str">
        <f>_xlfn.XLOOKUP(A15,tblVendas[[#This Row],[NR_SIMULACAO]],tblVendas[[#This Row],[STATUS]],"")</f>
        <v>EM ANÁLISE</v>
      </c>
      <c r="D15" t="str">
        <f>_xlfn.XLOOKUP(A15,tblVendas[[#This Row],[NR_SIMULACAO]],tblVendas[[#This Row],[MES]],"")</f>
        <v>Fevereiro</v>
      </c>
      <c r="E15">
        <f>SUM(_xlfn.XLOOKUP(tblCalculo[[#This Row],[NR_SIMULACAO]],tblVendas[[#This Row],[NR_SIMULACAO]],tblVendas[[#This Row],[VALOR_MOVEL]],""):_xlfn.XLOOKUP(tblCalculo[[#This Row],[NR_SIMULACAO]],tblVendas[[#This Row],[NR_SIMULACAO]],tblVendas[[#This Row],[VALOR_APARELHO]],""))</f>
        <v>5915.96</v>
      </c>
      <c r="F15">
        <f>IF(tblCalculo[[#This Row],[STATUS]]="CONCLUÍDO",_xlfn.XLOOKUP(tblCalculo[[#This Row],[NR_SIMULACAO]],tblVendas[[#This Row],[NR_SIMULACAO]],tblVendas[[#This Row],[VALOR_MOVEL]],""),0)</f>
        <v>0</v>
      </c>
      <c r="G15">
        <f>IF(tblCalculo[[#This Row],[STATUS]]="CONCLUÍDO",_xlfn.XLOOKUP(tblCalculo[[#This Row],[NR_SIMULACAO]],tblVendas[[#This Row],[NR_SIMULACAO]],tblVendas[[#This Row],[VALOR_AVANCADO]],""),0)</f>
        <v>0</v>
      </c>
      <c r="H15">
        <f>IF(tblCalculo[[#This Row],[STATUS]]="CONCLUÍDO",_xlfn.XLOOKUP(tblCalculo[[#This Row],[NR_SIMULACAO]],tblVendas[[#This Row],[NR_SIMULACAO]],tblVendas[[#This Row],[VALOR_FIXABASICA]],""),0)</f>
        <v>0</v>
      </c>
      <c r="I15">
        <f>IF(tblCalculo[[#This Row],[STATUS]]="CONCLUÍDO",_xlfn.XLOOKUP(tblCalculo[[#This Row],[NR_SIMULACAO]],tblVendas[[#This Row],[NR_SIMULACAO]],tblVendas[[#This Row],[VALOR_TI]],""),0)</f>
        <v>0</v>
      </c>
      <c r="J15">
        <f>IF(tblCalculo[[#This Row],[STATUS]]="CONCLUÍDO",_xlfn.XLOOKUP(tblCalculo[[#This Row],[NR_SIMULACAO]],tblVendas[[#This Row],[NR_SIMULACAO]],tblVendas[[#This Row],[VALOR_APARELHO]],""),0)</f>
        <v>0</v>
      </c>
      <c r="K15" t="str">
        <f>IF(tblCalculo[[#This Row],[STATUS]]="NEGOCIANDO",tblCalculo[[#This Row],[VALOR_TOTAL]],"")</f>
        <v/>
      </c>
      <c r="L15" t="str">
        <f>IF(tblCalculo[[#This Row],[STATUS]]="ALÇADA",tblCalculo[[#This Row],[VALOR_TOTAL]],"")</f>
        <v/>
      </c>
      <c r="M15">
        <f>IF(tblCalculo[[#This Row],[STATUS]]="EM ANÁLISE",tblCalculo[[#This Row],[VALOR_TOTAL]],"")</f>
        <v>5915.96</v>
      </c>
      <c r="N15" t="str">
        <f>IF(tblCalculo[[#This Row],[STATUS]]="TRAMITANDO",tblCalculo[[#This Row],[VALOR_TOTAL]],"")</f>
        <v/>
      </c>
      <c r="O15" t="str">
        <f>IF(tblCalculo[[#This Row],[STATUS]]="PERDIDO",tblCalculo[[#This Row],[VALOR_TOTAL]],"")</f>
        <v/>
      </c>
      <c r="P15" t="str">
        <f>IF(tblCalculo[[#This Row],[STATUS]]="CONCLUÍDO",tblCalculo[[#This Row],[VALOR_TOTAL]],"")</f>
        <v/>
      </c>
      <c r="R15" s="11">
        <f t="shared" si="0"/>
        <v>1.5000000000000002</v>
      </c>
      <c r="S15" s="12">
        <f t="shared" si="0"/>
        <v>1.5999000000000003</v>
      </c>
      <c r="T15" s="12">
        <f t="shared" si="2"/>
        <v>1.2500000000000002</v>
      </c>
      <c r="U15" s="13">
        <f t="shared" si="1"/>
        <v>1.3000000000000005E-2</v>
      </c>
      <c r="W15" s="5" t="s">
        <v>3053</v>
      </c>
      <c r="X15" s="25">
        <v>136883.63999999998</v>
      </c>
      <c r="Y15" s="25">
        <v>136883.63999999998</v>
      </c>
      <c r="Z15" s="24">
        <f>GETPIVOTDATA("Sum of VALOR_PERDIDO",$W$3)</f>
        <v>136883.63999999998</v>
      </c>
      <c r="AA15" s="5" t="s">
        <v>48</v>
      </c>
      <c r="AB15" s="6">
        <v>13</v>
      </c>
      <c r="AC15" s="25">
        <v>128093.66000000002</v>
      </c>
    </row>
    <row r="16" spans="1:29" x14ac:dyDescent="0.25">
      <c r="A16" t="str">
        <f>tblVendas[[#This Row],[NR_SIMULACAO]]</f>
        <v>SIM1006</v>
      </c>
      <c r="B16" s="34" t="str">
        <f>_xlfn.XLOOKUP(A16,tblVendas[[#This Row],[NR_SIMULACAO]],tblVendas[[#This Row],[NR_CNPJ]],"")</f>
        <v>60.615.658/0001-16</v>
      </c>
      <c r="C16" t="str">
        <f>_xlfn.XLOOKUP(A16,tblVendas[[#This Row],[NR_SIMULACAO]],tblVendas[[#This Row],[STATUS]],"")</f>
        <v>NEGOCIANDO</v>
      </c>
      <c r="D16" t="str">
        <f>_xlfn.XLOOKUP(A16,tblVendas[[#This Row],[NR_SIMULACAO]],tblVendas[[#This Row],[MES]],"")</f>
        <v>Agosto</v>
      </c>
      <c r="E16">
        <f>SUM(_xlfn.XLOOKUP(tblCalculo[[#This Row],[NR_SIMULACAO]],tblVendas[[#This Row],[NR_SIMULACAO]],tblVendas[[#This Row],[VALOR_MOVEL]],""):_xlfn.XLOOKUP(tblCalculo[[#This Row],[NR_SIMULACAO]],tblVendas[[#This Row],[NR_SIMULACAO]],tblVendas[[#This Row],[VALOR_APARELHO]],""))</f>
        <v>803.22</v>
      </c>
      <c r="F16">
        <f>IF(tblCalculo[[#This Row],[STATUS]]="CONCLUÍDO",_xlfn.XLOOKUP(tblCalculo[[#This Row],[NR_SIMULACAO]],tblVendas[[#This Row],[NR_SIMULACAO]],tblVendas[[#This Row],[VALOR_MOVEL]],""),0)</f>
        <v>0</v>
      </c>
      <c r="G16">
        <f>IF(tblCalculo[[#This Row],[STATUS]]="CONCLUÍDO",_xlfn.XLOOKUP(tblCalculo[[#This Row],[NR_SIMULACAO]],tblVendas[[#This Row],[NR_SIMULACAO]],tblVendas[[#This Row],[VALOR_AVANCADO]],""),0)</f>
        <v>0</v>
      </c>
      <c r="H16">
        <f>IF(tblCalculo[[#This Row],[STATUS]]="CONCLUÍDO",_xlfn.XLOOKUP(tblCalculo[[#This Row],[NR_SIMULACAO]],tblVendas[[#This Row],[NR_SIMULACAO]],tblVendas[[#This Row],[VALOR_FIXABASICA]],""),0)</f>
        <v>0</v>
      </c>
      <c r="I16">
        <f>IF(tblCalculo[[#This Row],[STATUS]]="CONCLUÍDO",_xlfn.XLOOKUP(tblCalculo[[#This Row],[NR_SIMULACAO]],tblVendas[[#This Row],[NR_SIMULACAO]],tblVendas[[#This Row],[VALOR_TI]],""),0)</f>
        <v>0</v>
      </c>
      <c r="J16">
        <f>IF(tblCalculo[[#This Row],[STATUS]]="CONCLUÍDO",_xlfn.XLOOKUP(tblCalculo[[#This Row],[NR_SIMULACAO]],tblVendas[[#This Row],[NR_SIMULACAO]],tblVendas[[#This Row],[VALOR_APARELHO]],""),0)</f>
        <v>0</v>
      </c>
      <c r="K16">
        <f>IF(tblCalculo[[#This Row],[STATUS]]="NEGOCIANDO",tblCalculo[[#This Row],[VALOR_TOTAL]],"")</f>
        <v>803.22</v>
      </c>
      <c r="L16" t="str">
        <f>IF(tblCalculo[[#This Row],[STATUS]]="ALÇADA",tblCalculo[[#This Row],[VALOR_TOTAL]],"")</f>
        <v/>
      </c>
      <c r="M16" t="str">
        <f>IF(tblCalculo[[#This Row],[STATUS]]="EM ANÁLISE",tblCalculo[[#This Row],[VALOR_TOTAL]],"")</f>
        <v/>
      </c>
      <c r="N16" t="str">
        <f>IF(tblCalculo[[#This Row],[STATUS]]="TRAMITANDO",tblCalculo[[#This Row],[VALOR_TOTAL]],"")</f>
        <v/>
      </c>
      <c r="O16" t="str">
        <f>IF(tblCalculo[[#This Row],[STATUS]]="PERDIDO",tblCalculo[[#This Row],[VALOR_TOTAL]],"")</f>
        <v/>
      </c>
      <c r="P16" t="str">
        <f>IF(tblCalculo[[#This Row],[STATUS]]="CONCLUÍDO",tblCalculo[[#This Row],[VALOR_TOTAL]],"")</f>
        <v/>
      </c>
      <c r="R16" s="11">
        <f t="shared" si="0"/>
        <v>1.6000000000000003</v>
      </c>
      <c r="S16" s="12">
        <f t="shared" si="0"/>
        <v>1.6999000000000004</v>
      </c>
      <c r="T16" s="12">
        <f t="shared" si="2"/>
        <v>1.3000000000000003</v>
      </c>
      <c r="U16" s="13">
        <f t="shared" si="1"/>
        <v>1.4000000000000005E-2</v>
      </c>
      <c r="W16" s="5" t="s">
        <v>3054</v>
      </c>
      <c r="X16" s="25">
        <v>108576.16</v>
      </c>
      <c r="Y16" s="25">
        <v>108576.16</v>
      </c>
      <c r="Z16" s="24">
        <f>GETPIVOTDATA("Sum of VALOR_CONCLUIDO",$W$3)</f>
        <v>108576.16</v>
      </c>
      <c r="AA16" s="5" t="s">
        <v>79</v>
      </c>
      <c r="AB16" s="6">
        <v>17</v>
      </c>
      <c r="AC16" s="25">
        <v>180733.71000000002</v>
      </c>
    </row>
    <row r="17" spans="1:29" x14ac:dyDescent="0.25">
      <c r="A17" t="str">
        <f>tblVendas[[#This Row],[NR_SIMULACAO]]</f>
        <v>SIM1007</v>
      </c>
      <c r="B17" s="34" t="str">
        <f>_xlfn.XLOOKUP(A17,tblVendas[[#This Row],[NR_SIMULACAO]],tblVendas[[#This Row],[NR_CNPJ]],"")</f>
        <v>26.371.768/0001-96</v>
      </c>
      <c r="C17" t="str">
        <f>_xlfn.XLOOKUP(A17,tblVendas[[#This Row],[NR_SIMULACAO]],tblVendas[[#This Row],[STATUS]],"")</f>
        <v>NEGOCIANDO</v>
      </c>
      <c r="D17" t="str">
        <f>_xlfn.XLOOKUP(A17,tblVendas[[#This Row],[NR_SIMULACAO]],tblVendas[[#This Row],[MES]],"")</f>
        <v>Fevereiro</v>
      </c>
      <c r="E17">
        <f>SUM(_xlfn.XLOOKUP(tblCalculo[[#This Row],[NR_SIMULACAO]],tblVendas[[#This Row],[NR_SIMULACAO]],tblVendas[[#This Row],[VALOR_MOVEL]],""):_xlfn.XLOOKUP(tblCalculo[[#This Row],[NR_SIMULACAO]],tblVendas[[#This Row],[NR_SIMULACAO]],tblVendas[[#This Row],[VALOR_APARELHO]],""))</f>
        <v>8123.15</v>
      </c>
      <c r="F17">
        <f>IF(tblCalculo[[#This Row],[STATUS]]="CONCLUÍDO",_xlfn.XLOOKUP(tblCalculo[[#This Row],[NR_SIMULACAO]],tblVendas[[#This Row],[NR_SIMULACAO]],tblVendas[[#This Row],[VALOR_MOVEL]],""),0)</f>
        <v>0</v>
      </c>
      <c r="G17">
        <f>IF(tblCalculo[[#This Row],[STATUS]]="CONCLUÍDO",_xlfn.XLOOKUP(tblCalculo[[#This Row],[NR_SIMULACAO]],tblVendas[[#This Row],[NR_SIMULACAO]],tblVendas[[#This Row],[VALOR_AVANCADO]],""),0)</f>
        <v>0</v>
      </c>
      <c r="H17">
        <f>IF(tblCalculo[[#This Row],[STATUS]]="CONCLUÍDO",_xlfn.XLOOKUP(tblCalculo[[#This Row],[NR_SIMULACAO]],tblVendas[[#This Row],[NR_SIMULACAO]],tblVendas[[#This Row],[VALOR_FIXABASICA]],""),0)</f>
        <v>0</v>
      </c>
      <c r="I17">
        <f>IF(tblCalculo[[#This Row],[STATUS]]="CONCLUÍDO",_xlfn.XLOOKUP(tblCalculo[[#This Row],[NR_SIMULACAO]],tblVendas[[#This Row],[NR_SIMULACAO]],tblVendas[[#This Row],[VALOR_TI]],""),0)</f>
        <v>0</v>
      </c>
      <c r="J17">
        <f>IF(tblCalculo[[#This Row],[STATUS]]="CONCLUÍDO",_xlfn.XLOOKUP(tblCalculo[[#This Row],[NR_SIMULACAO]],tblVendas[[#This Row],[NR_SIMULACAO]],tblVendas[[#This Row],[VALOR_APARELHO]],""),0)</f>
        <v>0</v>
      </c>
      <c r="K17">
        <f>IF(tblCalculo[[#This Row],[STATUS]]="NEGOCIANDO",tblCalculo[[#This Row],[VALOR_TOTAL]],"")</f>
        <v>8123.15</v>
      </c>
      <c r="L17" t="str">
        <f>IF(tblCalculo[[#This Row],[STATUS]]="ALÇADA",tblCalculo[[#This Row],[VALOR_TOTAL]],"")</f>
        <v/>
      </c>
      <c r="M17" t="str">
        <f>IF(tblCalculo[[#This Row],[STATUS]]="EM ANÁLISE",tblCalculo[[#This Row],[VALOR_TOTAL]],"")</f>
        <v/>
      </c>
      <c r="N17" t="str">
        <f>IF(tblCalculo[[#This Row],[STATUS]]="TRAMITANDO",tblCalculo[[#This Row],[VALOR_TOTAL]],"")</f>
        <v/>
      </c>
      <c r="O17" t="str">
        <f>IF(tblCalculo[[#This Row],[STATUS]]="PERDIDO",tblCalculo[[#This Row],[VALOR_TOTAL]],"")</f>
        <v/>
      </c>
      <c r="P17" t="str">
        <f>IF(tblCalculo[[#This Row],[STATUS]]="CONCLUÍDO",tblCalculo[[#This Row],[VALOR_TOTAL]],"")</f>
        <v/>
      </c>
      <c r="R17" s="11">
        <f t="shared" si="0"/>
        <v>1.7000000000000004</v>
      </c>
      <c r="S17" s="12">
        <f t="shared" si="0"/>
        <v>1.7999000000000005</v>
      </c>
      <c r="T17" s="12">
        <f t="shared" si="2"/>
        <v>1.3500000000000003</v>
      </c>
      <c r="U17" s="13">
        <f t="shared" si="1"/>
        <v>1.5000000000000006E-2</v>
      </c>
      <c r="AA17" s="5" t="s">
        <v>19</v>
      </c>
      <c r="AB17" s="6">
        <v>15</v>
      </c>
      <c r="AC17" s="25">
        <v>157269.79999999996</v>
      </c>
    </row>
    <row r="18" spans="1:29" x14ac:dyDescent="0.25">
      <c r="A18" t="str">
        <f>tblVendas[[#This Row],[NR_SIMULACAO]]</f>
        <v>SIM1008</v>
      </c>
      <c r="B18" s="34" t="str">
        <f>_xlfn.XLOOKUP(A18,tblVendas[[#This Row],[NR_SIMULACAO]],tblVendas[[#This Row],[NR_CNPJ]],"")</f>
        <v>78.710.930/0001-84</v>
      </c>
      <c r="C18" t="str">
        <f>_xlfn.XLOOKUP(A18,tblVendas[[#This Row],[NR_SIMULACAO]],tblVendas[[#This Row],[STATUS]],"")</f>
        <v>EM ANÁLISE</v>
      </c>
      <c r="D18" t="str">
        <f>_xlfn.XLOOKUP(A18,tblVendas[[#This Row],[NR_SIMULACAO]],tblVendas[[#This Row],[MES]],"")</f>
        <v>Julho</v>
      </c>
      <c r="E18">
        <f>SUM(_xlfn.XLOOKUP(tblCalculo[[#This Row],[NR_SIMULACAO]],tblVendas[[#This Row],[NR_SIMULACAO]],tblVendas[[#This Row],[VALOR_MOVEL]],""):_xlfn.XLOOKUP(tblCalculo[[#This Row],[NR_SIMULACAO]],tblVendas[[#This Row],[NR_SIMULACAO]],tblVendas[[#This Row],[VALOR_APARELHO]],""))</f>
        <v>7739.03</v>
      </c>
      <c r="F18">
        <f>IF(tblCalculo[[#This Row],[STATUS]]="CONCLUÍDO",_xlfn.XLOOKUP(tblCalculo[[#This Row],[NR_SIMULACAO]],tblVendas[[#This Row],[NR_SIMULACAO]],tblVendas[[#This Row],[VALOR_MOVEL]],""),0)</f>
        <v>0</v>
      </c>
      <c r="G18">
        <f>IF(tblCalculo[[#This Row],[STATUS]]="CONCLUÍDO",_xlfn.XLOOKUP(tblCalculo[[#This Row],[NR_SIMULACAO]],tblVendas[[#This Row],[NR_SIMULACAO]],tblVendas[[#This Row],[VALOR_AVANCADO]],""),0)</f>
        <v>0</v>
      </c>
      <c r="H18">
        <f>IF(tblCalculo[[#This Row],[STATUS]]="CONCLUÍDO",_xlfn.XLOOKUP(tblCalculo[[#This Row],[NR_SIMULACAO]],tblVendas[[#This Row],[NR_SIMULACAO]],tblVendas[[#This Row],[VALOR_FIXABASICA]],""),0)</f>
        <v>0</v>
      </c>
      <c r="I18">
        <f>IF(tblCalculo[[#This Row],[STATUS]]="CONCLUÍDO",_xlfn.XLOOKUP(tblCalculo[[#This Row],[NR_SIMULACAO]],tblVendas[[#This Row],[NR_SIMULACAO]],tblVendas[[#This Row],[VALOR_TI]],""),0)</f>
        <v>0</v>
      </c>
      <c r="J18">
        <f>IF(tblCalculo[[#This Row],[STATUS]]="CONCLUÍDO",_xlfn.XLOOKUP(tblCalculo[[#This Row],[NR_SIMULACAO]],tblVendas[[#This Row],[NR_SIMULACAO]],tblVendas[[#This Row],[VALOR_APARELHO]],""),0)</f>
        <v>0</v>
      </c>
      <c r="K18" t="str">
        <f>IF(tblCalculo[[#This Row],[STATUS]]="NEGOCIANDO",tblCalculo[[#This Row],[VALOR_TOTAL]],"")</f>
        <v/>
      </c>
      <c r="L18" t="str">
        <f>IF(tblCalculo[[#This Row],[STATUS]]="ALÇADA",tblCalculo[[#This Row],[VALOR_TOTAL]],"")</f>
        <v/>
      </c>
      <c r="M18">
        <f>IF(tblCalculo[[#This Row],[STATUS]]="EM ANÁLISE",tblCalculo[[#This Row],[VALOR_TOTAL]],"")</f>
        <v>7739.03</v>
      </c>
      <c r="N18" t="str">
        <f>IF(tblCalculo[[#This Row],[STATUS]]="TRAMITANDO",tblCalculo[[#This Row],[VALOR_TOTAL]],"")</f>
        <v/>
      </c>
      <c r="O18" t="str">
        <f>IF(tblCalculo[[#This Row],[STATUS]]="PERDIDO",tblCalculo[[#This Row],[VALOR_TOTAL]],"")</f>
        <v/>
      </c>
      <c r="P18" t="str">
        <f>IF(tblCalculo[[#This Row],[STATUS]]="CONCLUÍDO",tblCalculo[[#This Row],[VALOR_TOTAL]],"")</f>
        <v/>
      </c>
      <c r="R18" s="11">
        <f t="shared" si="0"/>
        <v>1.8000000000000005</v>
      </c>
      <c r="S18" s="12">
        <f t="shared" si="0"/>
        <v>1.8999000000000006</v>
      </c>
      <c r="T18" s="12">
        <f t="shared" si="2"/>
        <v>1.4000000000000004</v>
      </c>
      <c r="U18" s="13">
        <f t="shared" si="1"/>
        <v>1.6000000000000007E-2</v>
      </c>
      <c r="AA18" s="5" t="s">
        <v>3041</v>
      </c>
      <c r="AB18" s="6">
        <v>180</v>
      </c>
      <c r="AC18" s="6">
        <v>1761500.7500000012</v>
      </c>
    </row>
    <row r="19" spans="1:29" x14ac:dyDescent="0.25">
      <c r="A19" t="str">
        <f>tblVendas[[#This Row],[NR_SIMULACAO]]</f>
        <v>SIM1009</v>
      </c>
      <c r="B19" s="34" t="str">
        <f>_xlfn.XLOOKUP(A19,tblVendas[[#This Row],[NR_SIMULACAO]],tblVendas[[#This Row],[NR_CNPJ]],"")</f>
        <v>56.796.346/0001-24</v>
      </c>
      <c r="C19" t="str">
        <f>_xlfn.XLOOKUP(A19,tblVendas[[#This Row],[NR_SIMULACAO]],tblVendas[[#This Row],[STATUS]],"")</f>
        <v>ALÇADA</v>
      </c>
      <c r="D19" t="str">
        <f>_xlfn.XLOOKUP(A19,tblVendas[[#This Row],[NR_SIMULACAO]],tblVendas[[#This Row],[MES]],"")</f>
        <v>Setembro</v>
      </c>
      <c r="E19">
        <f>SUM(_xlfn.XLOOKUP(tblCalculo[[#This Row],[NR_SIMULACAO]],tblVendas[[#This Row],[NR_SIMULACAO]],tblVendas[[#This Row],[VALOR_MOVEL]],""):_xlfn.XLOOKUP(tblCalculo[[#This Row],[NR_SIMULACAO]],tblVendas[[#This Row],[NR_SIMULACAO]],tblVendas[[#This Row],[VALOR_APARELHO]],""))</f>
        <v>4192.07</v>
      </c>
      <c r="F19">
        <f>IF(tblCalculo[[#This Row],[STATUS]]="CONCLUÍDO",_xlfn.XLOOKUP(tblCalculo[[#This Row],[NR_SIMULACAO]],tblVendas[[#This Row],[NR_SIMULACAO]],tblVendas[[#This Row],[VALOR_MOVEL]],""),0)</f>
        <v>0</v>
      </c>
      <c r="G19">
        <f>IF(tblCalculo[[#This Row],[STATUS]]="CONCLUÍDO",_xlfn.XLOOKUP(tblCalculo[[#This Row],[NR_SIMULACAO]],tblVendas[[#This Row],[NR_SIMULACAO]],tblVendas[[#This Row],[VALOR_AVANCADO]],""),0)</f>
        <v>0</v>
      </c>
      <c r="H19">
        <f>IF(tblCalculo[[#This Row],[STATUS]]="CONCLUÍDO",_xlfn.XLOOKUP(tblCalculo[[#This Row],[NR_SIMULACAO]],tblVendas[[#This Row],[NR_SIMULACAO]],tblVendas[[#This Row],[VALOR_FIXABASICA]],""),0)</f>
        <v>0</v>
      </c>
      <c r="I19">
        <f>IF(tblCalculo[[#This Row],[STATUS]]="CONCLUÍDO",_xlfn.XLOOKUP(tblCalculo[[#This Row],[NR_SIMULACAO]],tblVendas[[#This Row],[NR_SIMULACAO]],tblVendas[[#This Row],[VALOR_TI]],""),0)</f>
        <v>0</v>
      </c>
      <c r="J19">
        <f>IF(tblCalculo[[#This Row],[STATUS]]="CONCLUÍDO",_xlfn.XLOOKUP(tblCalculo[[#This Row],[NR_SIMULACAO]],tblVendas[[#This Row],[NR_SIMULACAO]],tblVendas[[#This Row],[VALOR_APARELHO]],""),0)</f>
        <v>0</v>
      </c>
      <c r="K19" t="str">
        <f>IF(tblCalculo[[#This Row],[STATUS]]="NEGOCIANDO",tblCalculo[[#This Row],[VALOR_TOTAL]],"")</f>
        <v/>
      </c>
      <c r="L19">
        <f>IF(tblCalculo[[#This Row],[STATUS]]="ALÇADA",tblCalculo[[#This Row],[VALOR_TOTAL]],"")</f>
        <v>4192.07</v>
      </c>
      <c r="M19" t="str">
        <f>IF(tblCalculo[[#This Row],[STATUS]]="EM ANÁLISE",tblCalculo[[#This Row],[VALOR_TOTAL]],"")</f>
        <v/>
      </c>
      <c r="N19" t="str">
        <f>IF(tblCalculo[[#This Row],[STATUS]]="TRAMITANDO",tblCalculo[[#This Row],[VALOR_TOTAL]],"")</f>
        <v/>
      </c>
      <c r="O19" t="str">
        <f>IF(tblCalculo[[#This Row],[STATUS]]="PERDIDO",tblCalculo[[#This Row],[VALOR_TOTAL]],"")</f>
        <v/>
      </c>
      <c r="P19" t="str">
        <f>IF(tblCalculo[[#This Row],[STATUS]]="CONCLUÍDO",tblCalculo[[#This Row],[VALOR_TOTAL]],"")</f>
        <v/>
      </c>
      <c r="R19" s="11">
        <f t="shared" si="0"/>
        <v>1.9000000000000006</v>
      </c>
      <c r="S19" s="12">
        <f t="shared" si="0"/>
        <v>1.9999000000000007</v>
      </c>
      <c r="T19" s="12">
        <f t="shared" si="2"/>
        <v>1.4500000000000004</v>
      </c>
      <c r="U19" s="13">
        <f t="shared" si="1"/>
        <v>1.7000000000000008E-2</v>
      </c>
      <c r="W19" s="4" t="s">
        <v>3072</v>
      </c>
      <c r="X19" s="4" t="s">
        <v>3048</v>
      </c>
    </row>
    <row r="20" spans="1:29" x14ac:dyDescent="0.25">
      <c r="A20" t="str">
        <f>tblVendas[[#This Row],[NR_SIMULACAO]]</f>
        <v>SIM1010</v>
      </c>
      <c r="B20" s="34" t="str">
        <f>_xlfn.XLOOKUP(A20,tblVendas[[#This Row],[NR_SIMULACAO]],tblVendas[[#This Row],[NR_CNPJ]],"")</f>
        <v>91.731.495/0001-69</v>
      </c>
      <c r="C20" t="str">
        <f>_xlfn.XLOOKUP(A20,tblVendas[[#This Row],[NR_SIMULACAO]],tblVendas[[#This Row],[STATUS]],"")</f>
        <v>NEGOCIANDO</v>
      </c>
      <c r="D20" t="str">
        <f>_xlfn.XLOOKUP(A20,tblVendas[[#This Row],[NR_SIMULACAO]],tblVendas[[#This Row],[MES]],"")</f>
        <v>Setembro</v>
      </c>
      <c r="E20">
        <f>SUM(_xlfn.XLOOKUP(tblCalculo[[#This Row],[NR_SIMULACAO]],tblVendas[[#This Row],[NR_SIMULACAO]],tblVendas[[#This Row],[VALOR_MOVEL]],""):_xlfn.XLOOKUP(tblCalculo[[#This Row],[NR_SIMULACAO]],tblVendas[[#This Row],[NR_SIMULACAO]],tblVendas[[#This Row],[VALOR_APARELHO]],""))</f>
        <v>18368.48</v>
      </c>
      <c r="F20">
        <f>IF(tblCalculo[[#This Row],[STATUS]]="CONCLUÍDO",_xlfn.XLOOKUP(tblCalculo[[#This Row],[NR_SIMULACAO]],tblVendas[[#This Row],[NR_SIMULACAO]],tblVendas[[#This Row],[VALOR_MOVEL]],""),0)</f>
        <v>0</v>
      </c>
      <c r="G20">
        <f>IF(tblCalculo[[#This Row],[STATUS]]="CONCLUÍDO",_xlfn.XLOOKUP(tblCalculo[[#This Row],[NR_SIMULACAO]],tblVendas[[#This Row],[NR_SIMULACAO]],tblVendas[[#This Row],[VALOR_AVANCADO]],""),0)</f>
        <v>0</v>
      </c>
      <c r="H20">
        <f>IF(tblCalculo[[#This Row],[STATUS]]="CONCLUÍDO",_xlfn.XLOOKUP(tblCalculo[[#This Row],[NR_SIMULACAO]],tblVendas[[#This Row],[NR_SIMULACAO]],tblVendas[[#This Row],[VALOR_FIXABASICA]],""),0)</f>
        <v>0</v>
      </c>
      <c r="I20">
        <f>IF(tblCalculo[[#This Row],[STATUS]]="CONCLUÍDO",_xlfn.XLOOKUP(tblCalculo[[#This Row],[NR_SIMULACAO]],tblVendas[[#This Row],[NR_SIMULACAO]],tblVendas[[#This Row],[VALOR_TI]],""),0)</f>
        <v>0</v>
      </c>
      <c r="J20">
        <f>IF(tblCalculo[[#This Row],[STATUS]]="CONCLUÍDO",_xlfn.XLOOKUP(tblCalculo[[#This Row],[NR_SIMULACAO]],tblVendas[[#This Row],[NR_SIMULACAO]],tblVendas[[#This Row],[VALOR_APARELHO]],""),0)</f>
        <v>0</v>
      </c>
      <c r="K20">
        <f>IF(tblCalculo[[#This Row],[STATUS]]="NEGOCIANDO",tblCalculo[[#This Row],[VALOR_TOTAL]],"")</f>
        <v>18368.48</v>
      </c>
      <c r="L20" t="str">
        <f>IF(tblCalculo[[#This Row],[STATUS]]="ALÇADA",tblCalculo[[#This Row],[VALOR_TOTAL]],"")</f>
        <v/>
      </c>
      <c r="M20" t="str">
        <f>IF(tblCalculo[[#This Row],[STATUS]]="EM ANÁLISE",tblCalculo[[#This Row],[VALOR_TOTAL]],"")</f>
        <v/>
      </c>
      <c r="N20" t="str">
        <f>IF(tblCalculo[[#This Row],[STATUS]]="TRAMITANDO",tblCalculo[[#This Row],[VALOR_TOTAL]],"")</f>
        <v/>
      </c>
      <c r="O20" t="str">
        <f>IF(tblCalculo[[#This Row],[STATUS]]="PERDIDO",tblCalculo[[#This Row],[VALOR_TOTAL]],"")</f>
        <v/>
      </c>
      <c r="P20" t="str">
        <f>IF(tblCalculo[[#This Row],[STATUS]]="CONCLUÍDO",tblCalculo[[#This Row],[VALOR_TOTAL]],"")</f>
        <v/>
      </c>
      <c r="R20" s="17">
        <v>2</v>
      </c>
      <c r="S20" s="18">
        <v>2.0998999999999999</v>
      </c>
      <c r="T20" s="18">
        <f t="shared" si="2"/>
        <v>1.5000000000000004</v>
      </c>
      <c r="U20" s="19">
        <f t="shared" si="1"/>
        <v>1.8000000000000009E-2</v>
      </c>
      <c r="W20" s="4" t="s">
        <v>3040</v>
      </c>
      <c r="X20" t="s">
        <v>14</v>
      </c>
      <c r="Y20" t="s">
        <v>3041</v>
      </c>
    </row>
    <row r="21" spans="1:29" x14ac:dyDescent="0.25">
      <c r="A21" t="str">
        <f>tblVendas[[#This Row],[NR_SIMULACAO]]</f>
        <v>SIM1011</v>
      </c>
      <c r="B21" s="34" t="str">
        <f>_xlfn.XLOOKUP(A21,tblVendas[[#This Row],[NR_SIMULACAO]],tblVendas[[#This Row],[NR_CNPJ]],"")</f>
        <v>45.524.449/0001-61</v>
      </c>
      <c r="C21" t="str">
        <f>_xlfn.XLOOKUP(A21,tblVendas[[#This Row],[NR_SIMULACAO]],tblVendas[[#This Row],[STATUS]],"")</f>
        <v>CONCLUÍDO</v>
      </c>
      <c r="D21" t="str">
        <f>_xlfn.XLOOKUP(A21,tblVendas[[#This Row],[NR_SIMULACAO]],tblVendas[[#This Row],[MES]],"")</f>
        <v>Outubro</v>
      </c>
      <c r="E21">
        <f>SUM(_xlfn.XLOOKUP(tblCalculo[[#This Row],[NR_SIMULACAO]],tblVendas[[#This Row],[NR_SIMULACAO]],tblVendas[[#This Row],[VALOR_MOVEL]],""):_xlfn.XLOOKUP(tblCalculo[[#This Row],[NR_SIMULACAO]],tblVendas[[#This Row],[NR_SIMULACAO]],tblVendas[[#This Row],[VALOR_APARELHO]],""))</f>
        <v>3750.3399999999997</v>
      </c>
      <c r="F21">
        <f>IF(tblCalculo[[#This Row],[STATUS]]="CONCLUÍDO",_xlfn.XLOOKUP(tblCalculo[[#This Row],[NR_SIMULACAO]],tblVendas[[#This Row],[NR_SIMULACAO]],tblVendas[[#This Row],[VALOR_MOVEL]],""),0)</f>
        <v>3119.72</v>
      </c>
      <c r="G21">
        <f>IF(tblCalculo[[#This Row],[STATUS]]="CONCLUÍDO",_xlfn.XLOOKUP(tblCalculo[[#This Row],[NR_SIMULACAO]],tblVendas[[#This Row],[NR_SIMULACAO]],tblVendas[[#This Row],[VALOR_AVANCADO]],""),0)</f>
        <v>0</v>
      </c>
      <c r="H21">
        <f>IF(tblCalculo[[#This Row],[STATUS]]="CONCLUÍDO",_xlfn.XLOOKUP(tblCalculo[[#This Row],[NR_SIMULACAO]],tblVendas[[#This Row],[NR_SIMULACAO]],tblVendas[[#This Row],[VALOR_FIXABASICA]],""),0)</f>
        <v>630.62</v>
      </c>
      <c r="I21">
        <f>IF(tblCalculo[[#This Row],[STATUS]]="CONCLUÍDO",_xlfn.XLOOKUP(tblCalculo[[#This Row],[NR_SIMULACAO]],tblVendas[[#This Row],[NR_SIMULACAO]],tblVendas[[#This Row],[VALOR_TI]],""),0)</f>
        <v>0</v>
      </c>
      <c r="J21">
        <f>IF(tblCalculo[[#This Row],[STATUS]]="CONCLUÍDO",_xlfn.XLOOKUP(tblCalculo[[#This Row],[NR_SIMULACAO]],tblVendas[[#This Row],[NR_SIMULACAO]],tblVendas[[#This Row],[VALOR_APARELHO]],""),0)</f>
        <v>0</v>
      </c>
      <c r="K21" t="str">
        <f>IF(tblCalculo[[#This Row],[STATUS]]="NEGOCIANDO",tblCalculo[[#This Row],[VALOR_TOTAL]],"")</f>
        <v/>
      </c>
      <c r="L21" t="str">
        <f>IF(tblCalculo[[#This Row],[STATUS]]="ALÇADA",tblCalculo[[#This Row],[VALOR_TOTAL]],"")</f>
        <v/>
      </c>
      <c r="M21" t="str">
        <f>IF(tblCalculo[[#This Row],[STATUS]]="EM ANÁLISE",tblCalculo[[#This Row],[VALOR_TOTAL]],"")</f>
        <v/>
      </c>
      <c r="N21" t="str">
        <f>IF(tblCalculo[[#This Row],[STATUS]]="TRAMITANDO",tblCalculo[[#This Row],[VALOR_TOTAL]],"")</f>
        <v/>
      </c>
      <c r="O21" t="str">
        <f>IF(tblCalculo[[#This Row],[STATUS]]="PERDIDO",tblCalculo[[#This Row],[VALOR_TOTAL]],"")</f>
        <v/>
      </c>
      <c r="P21">
        <f>IF(tblCalculo[[#This Row],[STATUS]]="CONCLUÍDO",tblCalculo[[#This Row],[VALOR_TOTAL]],"")</f>
        <v>3750.3399999999997</v>
      </c>
      <c r="R21" s="20">
        <v>2.1</v>
      </c>
      <c r="S21" s="21">
        <v>2.1999</v>
      </c>
      <c r="T21" s="21">
        <v>1.55</v>
      </c>
      <c r="U21" s="22">
        <v>1.9E-2</v>
      </c>
      <c r="W21" s="5" t="s">
        <v>13</v>
      </c>
      <c r="X21" s="6">
        <v>19</v>
      </c>
      <c r="Y21" s="6">
        <v>19</v>
      </c>
    </row>
    <row r="22" spans="1:29" ht="15.75" thickBot="1" x14ac:dyDescent="0.3">
      <c r="A22" t="str">
        <f>tblVendas[[#This Row],[NR_SIMULACAO]]</f>
        <v>SIM1012</v>
      </c>
      <c r="B22" s="34" t="str">
        <f>_xlfn.XLOOKUP(A22,tblVendas[[#This Row],[NR_SIMULACAO]],tblVendas[[#This Row],[NR_CNPJ]],"")</f>
        <v>94.223.139/0001-85</v>
      </c>
      <c r="C22" t="str">
        <f>_xlfn.XLOOKUP(A22,tblVendas[[#This Row],[NR_SIMULACAO]],tblVendas[[#This Row],[STATUS]],"")</f>
        <v>NEGOCIANDO</v>
      </c>
      <c r="D22" t="str">
        <f>_xlfn.XLOOKUP(A22,tblVendas[[#This Row],[NR_SIMULACAO]],tblVendas[[#This Row],[MES]],"")</f>
        <v>Agosto</v>
      </c>
      <c r="E22">
        <f>SUM(_xlfn.XLOOKUP(tblCalculo[[#This Row],[NR_SIMULACAO]],tblVendas[[#This Row],[NR_SIMULACAO]],tblVendas[[#This Row],[VALOR_MOVEL]],""):_xlfn.XLOOKUP(tblCalculo[[#This Row],[NR_SIMULACAO]],tblVendas[[#This Row],[NR_SIMULACAO]],tblVendas[[#This Row],[VALOR_APARELHO]],""))</f>
        <v>14766.06</v>
      </c>
      <c r="F22">
        <f>IF(tblCalculo[[#This Row],[STATUS]]="CONCLUÍDO",_xlfn.XLOOKUP(tblCalculo[[#This Row],[NR_SIMULACAO]],tblVendas[[#This Row],[NR_SIMULACAO]],tblVendas[[#This Row],[VALOR_MOVEL]],""),0)</f>
        <v>0</v>
      </c>
      <c r="G22">
        <f>IF(tblCalculo[[#This Row],[STATUS]]="CONCLUÍDO",_xlfn.XLOOKUP(tblCalculo[[#This Row],[NR_SIMULACAO]],tblVendas[[#This Row],[NR_SIMULACAO]],tblVendas[[#This Row],[VALOR_AVANCADO]],""),0)</f>
        <v>0</v>
      </c>
      <c r="H22">
        <f>IF(tblCalculo[[#This Row],[STATUS]]="CONCLUÍDO",_xlfn.XLOOKUP(tblCalculo[[#This Row],[NR_SIMULACAO]],tblVendas[[#This Row],[NR_SIMULACAO]],tblVendas[[#This Row],[VALOR_FIXABASICA]],""),0)</f>
        <v>0</v>
      </c>
      <c r="I22">
        <f>IF(tblCalculo[[#This Row],[STATUS]]="CONCLUÍDO",_xlfn.XLOOKUP(tblCalculo[[#This Row],[NR_SIMULACAO]],tblVendas[[#This Row],[NR_SIMULACAO]],tblVendas[[#This Row],[VALOR_TI]],""),0)</f>
        <v>0</v>
      </c>
      <c r="J22">
        <f>IF(tblCalculo[[#This Row],[STATUS]]="CONCLUÍDO",_xlfn.XLOOKUP(tblCalculo[[#This Row],[NR_SIMULACAO]],tblVendas[[#This Row],[NR_SIMULACAO]],tblVendas[[#This Row],[VALOR_APARELHO]],""),0)</f>
        <v>0</v>
      </c>
      <c r="K22">
        <f>IF(tblCalculo[[#This Row],[STATUS]]="NEGOCIANDO",tblCalculo[[#This Row],[VALOR_TOTAL]],"")</f>
        <v>14766.06</v>
      </c>
      <c r="L22" t="str">
        <f>IF(tblCalculo[[#This Row],[STATUS]]="ALÇADA",tblCalculo[[#This Row],[VALOR_TOTAL]],"")</f>
        <v/>
      </c>
      <c r="M22" t="str">
        <f>IF(tblCalculo[[#This Row],[STATUS]]="EM ANÁLISE",tblCalculo[[#This Row],[VALOR_TOTAL]],"")</f>
        <v/>
      </c>
      <c r="N22" t="str">
        <f>IF(tblCalculo[[#This Row],[STATUS]]="TRAMITANDO",tblCalculo[[#This Row],[VALOR_TOTAL]],"")</f>
        <v/>
      </c>
      <c r="O22" t="str">
        <f>IF(tblCalculo[[#This Row],[STATUS]]="PERDIDO",tblCalculo[[#This Row],[VALOR_TOTAL]],"")</f>
        <v/>
      </c>
      <c r="P22" t="str">
        <f>IF(tblCalculo[[#This Row],[STATUS]]="CONCLUÍDO",tblCalculo[[#This Row],[VALOR_TOTAL]],"")</f>
        <v/>
      </c>
      <c r="R22" s="14">
        <v>2.1</v>
      </c>
      <c r="S22" s="15">
        <v>2.1999</v>
      </c>
      <c r="T22" s="15">
        <v>1.55</v>
      </c>
      <c r="U22" s="16">
        <v>1.9E-2</v>
      </c>
      <c r="W22" s="5" t="s">
        <v>3027</v>
      </c>
      <c r="X22" s="6">
        <v>22</v>
      </c>
      <c r="Y22" s="6">
        <v>22</v>
      </c>
    </row>
    <row r="23" spans="1:29" ht="15.75" thickTop="1" x14ac:dyDescent="0.25">
      <c r="A23" t="str">
        <f>tblVendas[[#This Row],[NR_SIMULACAO]]</f>
        <v>SIM1013</v>
      </c>
      <c r="B23" s="34" t="str">
        <f>_xlfn.XLOOKUP(A23,tblVendas[[#This Row],[NR_SIMULACAO]],tblVendas[[#This Row],[NR_CNPJ]],"")</f>
        <v>41.735.344/0001-18</v>
      </c>
      <c r="C23" t="str">
        <f>_xlfn.XLOOKUP(A23,tblVendas[[#This Row],[NR_SIMULACAO]],tblVendas[[#This Row],[STATUS]],"")</f>
        <v>CONCLUÍDO</v>
      </c>
      <c r="D23" t="str">
        <f>_xlfn.XLOOKUP(A23,tblVendas[[#This Row],[NR_SIMULACAO]],tblVendas[[#This Row],[MES]],"")</f>
        <v>Setembro</v>
      </c>
      <c r="E23">
        <f>SUM(_xlfn.XLOOKUP(tblCalculo[[#This Row],[NR_SIMULACAO]],tblVendas[[#This Row],[NR_SIMULACAO]],tblVendas[[#This Row],[VALOR_MOVEL]],""):_xlfn.XLOOKUP(tblCalculo[[#This Row],[NR_SIMULACAO]],tblVendas[[#This Row],[NR_SIMULACAO]],tblVendas[[#This Row],[VALOR_APARELHO]],""))</f>
        <v>17042.060000000001</v>
      </c>
      <c r="F23">
        <f>IF(tblCalculo[[#This Row],[STATUS]]="CONCLUÍDO",_xlfn.XLOOKUP(tblCalculo[[#This Row],[NR_SIMULACAO]],tblVendas[[#This Row],[NR_SIMULACAO]],tblVendas[[#This Row],[VALOR_MOVEL]],""),0)</f>
        <v>0</v>
      </c>
      <c r="G23">
        <f>IF(tblCalculo[[#This Row],[STATUS]]="CONCLUÍDO",_xlfn.XLOOKUP(tblCalculo[[#This Row],[NR_SIMULACAO]],tblVendas[[#This Row],[NR_SIMULACAO]],tblVendas[[#This Row],[VALOR_AVANCADO]],""),0)</f>
        <v>0</v>
      </c>
      <c r="H23">
        <f>IF(tblCalculo[[#This Row],[STATUS]]="CONCLUÍDO",_xlfn.XLOOKUP(tblCalculo[[#This Row],[NR_SIMULACAO]],tblVendas[[#This Row],[NR_SIMULACAO]],tblVendas[[#This Row],[VALOR_FIXABASICA]],""),0)</f>
        <v>0</v>
      </c>
      <c r="I23">
        <f>IF(tblCalculo[[#This Row],[STATUS]]="CONCLUÍDO",_xlfn.XLOOKUP(tblCalculo[[#This Row],[NR_SIMULACAO]],tblVendas[[#This Row],[NR_SIMULACAO]],tblVendas[[#This Row],[VALOR_TI]],""),0)</f>
        <v>2687.11</v>
      </c>
      <c r="J23">
        <f>IF(tblCalculo[[#This Row],[STATUS]]="CONCLUÍDO",_xlfn.XLOOKUP(tblCalculo[[#This Row],[NR_SIMULACAO]],tblVendas[[#This Row],[NR_SIMULACAO]],tblVendas[[#This Row],[VALOR_APARELHO]],""),0)</f>
        <v>14354.95</v>
      </c>
      <c r="K23" t="str">
        <f>IF(tblCalculo[[#This Row],[STATUS]]="NEGOCIANDO",tblCalculo[[#This Row],[VALOR_TOTAL]],"")</f>
        <v/>
      </c>
      <c r="L23" t="str">
        <f>IF(tblCalculo[[#This Row],[STATUS]]="ALÇADA",tblCalculo[[#This Row],[VALOR_TOTAL]],"")</f>
        <v/>
      </c>
      <c r="M23" t="str">
        <f>IF(tblCalculo[[#This Row],[STATUS]]="EM ANÁLISE",tblCalculo[[#This Row],[VALOR_TOTAL]],"")</f>
        <v/>
      </c>
      <c r="N23" t="str">
        <f>IF(tblCalculo[[#This Row],[STATUS]]="TRAMITANDO",tblCalculo[[#This Row],[VALOR_TOTAL]],"")</f>
        <v/>
      </c>
      <c r="O23" t="str">
        <f>IF(tblCalculo[[#This Row],[STATUS]]="PERDIDO",tblCalculo[[#This Row],[VALOR_TOTAL]],"")</f>
        <v/>
      </c>
      <c r="P23">
        <f>IF(tblCalculo[[#This Row],[STATUS]]="CONCLUÍDO",tblCalculo[[#This Row],[VALOR_TOTAL]],"")</f>
        <v>17042.060000000001</v>
      </c>
      <c r="W23" s="5" t="s">
        <v>3</v>
      </c>
      <c r="X23" s="6">
        <v>12</v>
      </c>
      <c r="Y23" s="6">
        <v>12</v>
      </c>
      <c r="AA23" s="4" t="s">
        <v>3040</v>
      </c>
      <c r="AB23" t="s">
        <v>3072</v>
      </c>
      <c r="AC23" t="s">
        <v>3054</v>
      </c>
    </row>
    <row r="24" spans="1:29" x14ac:dyDescent="0.25">
      <c r="A24" t="str">
        <f>tblVendas[[#This Row],[NR_SIMULACAO]]</f>
        <v>SIM1014</v>
      </c>
      <c r="B24" s="34" t="str">
        <f>_xlfn.XLOOKUP(A24,tblVendas[[#This Row],[NR_SIMULACAO]],tblVendas[[#This Row],[NR_CNPJ]],"")</f>
        <v>18.815.966/0001-67</v>
      </c>
      <c r="C24" t="str">
        <f>_xlfn.XLOOKUP(A24,tblVendas[[#This Row],[NR_SIMULACAO]],tblVendas[[#This Row],[STATUS]],"")</f>
        <v>NEGOCIANDO</v>
      </c>
      <c r="D24" t="str">
        <f>_xlfn.XLOOKUP(A24,tblVendas[[#This Row],[NR_SIMULACAO]],tblVendas[[#This Row],[MES]],"")</f>
        <v>Julho</v>
      </c>
      <c r="E24">
        <f>SUM(_xlfn.XLOOKUP(tblCalculo[[#This Row],[NR_SIMULACAO]],tblVendas[[#This Row],[NR_SIMULACAO]],tblVendas[[#This Row],[VALOR_MOVEL]],""):_xlfn.XLOOKUP(tblCalculo[[#This Row],[NR_SIMULACAO]],tblVendas[[#This Row],[NR_SIMULACAO]],tblVendas[[#This Row],[VALOR_APARELHO]],""))</f>
        <v>9154.0300000000007</v>
      </c>
      <c r="F24">
        <f>IF(tblCalculo[[#This Row],[STATUS]]="CONCLUÍDO",_xlfn.XLOOKUP(tblCalculo[[#This Row],[NR_SIMULACAO]],tblVendas[[#This Row],[NR_SIMULACAO]],tblVendas[[#This Row],[VALOR_MOVEL]],""),0)</f>
        <v>0</v>
      </c>
      <c r="G24">
        <f>IF(tblCalculo[[#This Row],[STATUS]]="CONCLUÍDO",_xlfn.XLOOKUP(tblCalculo[[#This Row],[NR_SIMULACAO]],tblVendas[[#This Row],[NR_SIMULACAO]],tblVendas[[#This Row],[VALOR_AVANCADO]],""),0)</f>
        <v>0</v>
      </c>
      <c r="H24">
        <f>IF(tblCalculo[[#This Row],[STATUS]]="CONCLUÍDO",_xlfn.XLOOKUP(tblCalculo[[#This Row],[NR_SIMULACAO]],tblVendas[[#This Row],[NR_SIMULACAO]],tblVendas[[#This Row],[VALOR_FIXABASICA]],""),0)</f>
        <v>0</v>
      </c>
      <c r="I24">
        <f>IF(tblCalculo[[#This Row],[STATUS]]="CONCLUÍDO",_xlfn.XLOOKUP(tblCalculo[[#This Row],[NR_SIMULACAO]],tblVendas[[#This Row],[NR_SIMULACAO]],tblVendas[[#This Row],[VALOR_TI]],""),0)</f>
        <v>0</v>
      </c>
      <c r="J24">
        <f>IF(tblCalculo[[#This Row],[STATUS]]="CONCLUÍDO",_xlfn.XLOOKUP(tblCalculo[[#This Row],[NR_SIMULACAO]],tblVendas[[#This Row],[NR_SIMULACAO]],tblVendas[[#This Row],[VALOR_APARELHO]],""),0)</f>
        <v>0</v>
      </c>
      <c r="K24">
        <f>IF(tblCalculo[[#This Row],[STATUS]]="NEGOCIANDO",tblCalculo[[#This Row],[VALOR_TOTAL]],"")</f>
        <v>9154.0300000000007</v>
      </c>
      <c r="L24" t="str">
        <f>IF(tblCalculo[[#This Row],[STATUS]]="ALÇADA",tblCalculo[[#This Row],[VALOR_TOTAL]],"")</f>
        <v/>
      </c>
      <c r="M24" t="str">
        <f>IF(tblCalculo[[#This Row],[STATUS]]="EM ANÁLISE",tblCalculo[[#This Row],[VALOR_TOTAL]],"")</f>
        <v/>
      </c>
      <c r="N24" t="str">
        <f>IF(tblCalculo[[#This Row],[STATUS]]="TRAMITANDO",tblCalculo[[#This Row],[VALOR_TOTAL]],"")</f>
        <v/>
      </c>
      <c r="O24" t="str">
        <f>IF(tblCalculo[[#This Row],[STATUS]]="PERDIDO",tblCalculo[[#This Row],[VALOR_TOTAL]],"")</f>
        <v/>
      </c>
      <c r="P24" t="str">
        <f>IF(tblCalculo[[#This Row],[STATUS]]="CONCLUÍDO",tblCalculo[[#This Row],[VALOR_TOTAL]],"")</f>
        <v/>
      </c>
      <c r="R24" s="5" t="s">
        <v>3026</v>
      </c>
      <c r="S24" t="s">
        <v>3073</v>
      </c>
      <c r="T24" t="s">
        <v>3074</v>
      </c>
      <c r="U24" s="5" t="s">
        <v>3075</v>
      </c>
      <c r="W24" s="5" t="s">
        <v>23</v>
      </c>
      <c r="X24" s="6">
        <v>15</v>
      </c>
      <c r="Y24" s="6">
        <v>15</v>
      </c>
      <c r="AA24" s="5" t="s">
        <v>14</v>
      </c>
      <c r="AB24" s="6">
        <v>22</v>
      </c>
      <c r="AC24" s="25">
        <v>181113.85</v>
      </c>
    </row>
    <row r="25" spans="1:29" x14ac:dyDescent="0.25">
      <c r="A25" t="str">
        <f>tblVendas[[#This Row],[NR_SIMULACAO]]</f>
        <v>SIM1015</v>
      </c>
      <c r="B25" s="34" t="str">
        <f>_xlfn.XLOOKUP(A25,tblVendas[[#This Row],[NR_SIMULACAO]],tblVendas[[#This Row],[NR_CNPJ]],"")</f>
        <v>88.578.852/0001-58</v>
      </c>
      <c r="C25" t="str">
        <f>_xlfn.XLOOKUP(A25,tblVendas[[#This Row],[NR_SIMULACAO]],tblVendas[[#This Row],[STATUS]],"")</f>
        <v>CONCLUÍDO</v>
      </c>
      <c r="D25" t="str">
        <f>_xlfn.XLOOKUP(A25,tblVendas[[#This Row],[NR_SIMULACAO]],tblVendas[[#This Row],[MES]],"")</f>
        <v>Maio</v>
      </c>
      <c r="E25">
        <f>SUM(_xlfn.XLOOKUP(tblCalculo[[#This Row],[NR_SIMULACAO]],tblVendas[[#This Row],[NR_SIMULACAO]],tblVendas[[#This Row],[VALOR_MOVEL]],""):_xlfn.XLOOKUP(tblCalculo[[#This Row],[NR_SIMULACAO]],tblVendas[[#This Row],[NR_SIMULACAO]],tblVendas[[#This Row],[VALOR_APARELHO]],""))</f>
        <v>18592.080000000002</v>
      </c>
      <c r="F25">
        <f>IF(tblCalculo[[#This Row],[STATUS]]="CONCLUÍDO",_xlfn.XLOOKUP(tblCalculo[[#This Row],[NR_SIMULACAO]],tblVendas[[#This Row],[NR_SIMULACAO]],tblVendas[[#This Row],[VALOR_MOVEL]],""),0)</f>
        <v>0</v>
      </c>
      <c r="G25">
        <f>IF(tblCalculo[[#This Row],[STATUS]]="CONCLUÍDO",_xlfn.XLOOKUP(tblCalculo[[#This Row],[NR_SIMULACAO]],tblVendas[[#This Row],[NR_SIMULACAO]],tblVendas[[#This Row],[VALOR_AVANCADO]],""),0)</f>
        <v>1915.78</v>
      </c>
      <c r="H25">
        <f>IF(tblCalculo[[#This Row],[STATUS]]="CONCLUÍDO",_xlfn.XLOOKUP(tblCalculo[[#This Row],[NR_SIMULACAO]],tblVendas[[#This Row],[NR_SIMULACAO]],tblVendas[[#This Row],[VALOR_FIXABASICA]],""),0)</f>
        <v>2181.81</v>
      </c>
      <c r="I25">
        <f>IF(tblCalculo[[#This Row],[STATUS]]="CONCLUÍDO",_xlfn.XLOOKUP(tblCalculo[[#This Row],[NR_SIMULACAO]],tblVendas[[#This Row],[NR_SIMULACAO]],tblVendas[[#This Row],[VALOR_TI]],""),0)</f>
        <v>0</v>
      </c>
      <c r="J25">
        <f>IF(tblCalculo[[#This Row],[STATUS]]="CONCLUÍDO",_xlfn.XLOOKUP(tblCalculo[[#This Row],[NR_SIMULACAO]],tblVendas[[#This Row],[NR_SIMULACAO]],tblVendas[[#This Row],[VALOR_APARELHO]],""),0)</f>
        <v>14494.49</v>
      </c>
      <c r="K25" t="str">
        <f>IF(tblCalculo[[#This Row],[STATUS]]="NEGOCIANDO",tblCalculo[[#This Row],[VALOR_TOTAL]],"")</f>
        <v/>
      </c>
      <c r="L25" t="str">
        <f>IF(tblCalculo[[#This Row],[STATUS]]="ALÇADA",tblCalculo[[#This Row],[VALOR_TOTAL]],"")</f>
        <v/>
      </c>
      <c r="M25" t="str">
        <f>IF(tblCalculo[[#This Row],[STATUS]]="EM ANÁLISE",tblCalculo[[#This Row],[VALOR_TOTAL]],"")</f>
        <v/>
      </c>
      <c r="N25" t="str">
        <f>IF(tblCalculo[[#This Row],[STATUS]]="TRAMITANDO",tblCalculo[[#This Row],[VALOR_TOTAL]],"")</f>
        <v/>
      </c>
      <c r="O25" t="str">
        <f>IF(tblCalculo[[#This Row],[STATUS]]="PERDIDO",tblCalculo[[#This Row],[VALOR_TOTAL]],"")</f>
        <v/>
      </c>
      <c r="P25">
        <f>IF(tblCalculo[[#This Row],[STATUS]]="CONCLUÍDO",tblCalculo[[#This Row],[VALOR_TOTAL]],"")</f>
        <v>18592.080000000002</v>
      </c>
      <c r="R25" s="5" t="s">
        <v>14</v>
      </c>
      <c r="S25" s="6">
        <f>GETPIVOTDATA("Count of NR_CNPJ",$AA$23,"MES","Janeiro")</f>
        <v>22</v>
      </c>
      <c r="T25" s="6">
        <f>GETPIVOTDATA("Count of NR_CNPJ",$AA$23,"STATUS","CONCLUÍDO","MES","Janeiro")</f>
        <v>22</v>
      </c>
      <c r="U25" s="24">
        <f>GETPIVOTDATA("Sum of VALOR_CONCLUIDO",$AA$5,"MES","Janeiro")</f>
        <v>181113.85</v>
      </c>
      <c r="W25" s="5" t="s">
        <v>18</v>
      </c>
      <c r="X25" s="6">
        <v>19</v>
      </c>
      <c r="Y25" s="6">
        <v>19</v>
      </c>
      <c r="AA25" s="7" t="s">
        <v>3027</v>
      </c>
      <c r="AB25" s="6">
        <v>22</v>
      </c>
      <c r="AC25" s="6">
        <v>181113.85</v>
      </c>
    </row>
    <row r="26" spans="1:29" x14ac:dyDescent="0.25">
      <c r="A26" t="str">
        <f>tblVendas[[#This Row],[NR_SIMULACAO]]</f>
        <v>SIM1016</v>
      </c>
      <c r="B26" s="34" t="str">
        <f>_xlfn.XLOOKUP(A26,tblVendas[[#This Row],[NR_SIMULACAO]],tblVendas[[#This Row],[NR_CNPJ]],"")</f>
        <v>81.299.580/0001-23</v>
      </c>
      <c r="C26" t="str">
        <f>_xlfn.XLOOKUP(A26,tblVendas[[#This Row],[NR_SIMULACAO]],tblVendas[[#This Row],[STATUS]],"")</f>
        <v>EM ANÁLISE</v>
      </c>
      <c r="D26" t="str">
        <f>_xlfn.XLOOKUP(A26,tblVendas[[#This Row],[NR_SIMULACAO]],tblVendas[[#This Row],[MES]],"")</f>
        <v>Julho</v>
      </c>
      <c r="E26">
        <f>SUM(_xlfn.XLOOKUP(tblCalculo[[#This Row],[NR_SIMULACAO]],tblVendas[[#This Row],[NR_SIMULACAO]],tblVendas[[#This Row],[VALOR_MOVEL]],""):_xlfn.XLOOKUP(tblCalculo[[#This Row],[NR_SIMULACAO]],tblVendas[[#This Row],[NR_SIMULACAO]],tblVendas[[#This Row],[VALOR_APARELHO]],""))</f>
        <v>2363.2600000000002</v>
      </c>
      <c r="F26">
        <f>IF(tblCalculo[[#This Row],[STATUS]]="CONCLUÍDO",_xlfn.XLOOKUP(tblCalculo[[#This Row],[NR_SIMULACAO]],tblVendas[[#This Row],[NR_SIMULACAO]],tblVendas[[#This Row],[VALOR_MOVEL]],""),0)</f>
        <v>0</v>
      </c>
      <c r="G26">
        <f>IF(tblCalculo[[#This Row],[STATUS]]="CONCLUÍDO",_xlfn.XLOOKUP(tblCalculo[[#This Row],[NR_SIMULACAO]],tblVendas[[#This Row],[NR_SIMULACAO]],tblVendas[[#This Row],[VALOR_AVANCADO]],""),0)</f>
        <v>0</v>
      </c>
      <c r="H26">
        <f>IF(tblCalculo[[#This Row],[STATUS]]="CONCLUÍDO",_xlfn.XLOOKUP(tblCalculo[[#This Row],[NR_SIMULACAO]],tblVendas[[#This Row],[NR_SIMULACAO]],tblVendas[[#This Row],[VALOR_FIXABASICA]],""),0)</f>
        <v>0</v>
      </c>
      <c r="I26">
        <f>IF(tblCalculo[[#This Row],[STATUS]]="CONCLUÍDO",_xlfn.XLOOKUP(tblCalculo[[#This Row],[NR_SIMULACAO]],tblVendas[[#This Row],[NR_SIMULACAO]],tblVendas[[#This Row],[VALOR_TI]],""),0)</f>
        <v>0</v>
      </c>
      <c r="J26">
        <f>IF(tblCalculo[[#This Row],[STATUS]]="CONCLUÍDO",_xlfn.XLOOKUP(tblCalculo[[#This Row],[NR_SIMULACAO]],tblVendas[[#This Row],[NR_SIMULACAO]],tblVendas[[#This Row],[VALOR_APARELHO]],""),0)</f>
        <v>0</v>
      </c>
      <c r="K26" t="str">
        <f>IF(tblCalculo[[#This Row],[STATUS]]="NEGOCIANDO",tblCalculo[[#This Row],[VALOR_TOTAL]],"")</f>
        <v/>
      </c>
      <c r="L26" t="str">
        <f>IF(tblCalculo[[#This Row],[STATUS]]="ALÇADA",tblCalculo[[#This Row],[VALOR_TOTAL]],"")</f>
        <v/>
      </c>
      <c r="M26">
        <f>IF(tblCalculo[[#This Row],[STATUS]]="EM ANÁLISE",tblCalculo[[#This Row],[VALOR_TOTAL]],"")</f>
        <v>2363.2600000000002</v>
      </c>
      <c r="N26" t="str">
        <f>IF(tblCalculo[[#This Row],[STATUS]]="TRAMITANDO",tblCalculo[[#This Row],[VALOR_TOTAL]],"")</f>
        <v/>
      </c>
      <c r="O26" t="str">
        <f>IF(tblCalculo[[#This Row],[STATUS]]="PERDIDO",tblCalculo[[#This Row],[VALOR_TOTAL]],"")</f>
        <v/>
      </c>
      <c r="P26" t="str">
        <f>IF(tblCalculo[[#This Row],[STATUS]]="CONCLUÍDO",tblCalculo[[#This Row],[VALOR_TOTAL]],"")</f>
        <v/>
      </c>
      <c r="R26" s="5" t="s">
        <v>9</v>
      </c>
      <c r="S26" s="6">
        <f>GETPIVOTDATA("Count of NR_CNPJ",$AA$23,"MES","Fevereiro")</f>
        <v>17</v>
      </c>
      <c r="T26" s="6">
        <f>GETPIVOTDATA("Count of NR_CNPJ",$AA$23,"STATUS","CONCLUÍDO","MES","Fevereiro")</f>
        <v>17</v>
      </c>
      <c r="U26" s="24">
        <f>GETPIVOTDATA("Sum of VALOR_CONCLUIDO",$AA$5,"MES","Fevereiro")</f>
        <v>189922.21000000005</v>
      </c>
      <c r="W26" s="5" t="s">
        <v>8</v>
      </c>
      <c r="X26" s="6">
        <v>12</v>
      </c>
      <c r="Y26" s="6">
        <v>12</v>
      </c>
      <c r="AA26" s="5" t="s">
        <v>9</v>
      </c>
      <c r="AB26" s="6">
        <v>17</v>
      </c>
      <c r="AC26" s="25">
        <v>189922.21000000005</v>
      </c>
    </row>
    <row r="27" spans="1:29" x14ac:dyDescent="0.25">
      <c r="A27" t="str">
        <f>tblVendas[[#This Row],[NR_SIMULACAO]]</f>
        <v>SIM1017</v>
      </c>
      <c r="B27" s="34" t="str">
        <f>_xlfn.XLOOKUP(A27,tblVendas[[#This Row],[NR_SIMULACAO]],tblVendas[[#This Row],[NR_CNPJ]],"")</f>
        <v>70.870.828/0001-46</v>
      </c>
      <c r="C27" t="str">
        <f>_xlfn.XLOOKUP(A27,tblVendas[[#This Row],[NR_SIMULACAO]],tblVendas[[#This Row],[STATUS]],"")</f>
        <v>PERDIDO</v>
      </c>
      <c r="D27" t="str">
        <f>_xlfn.XLOOKUP(A27,tblVendas[[#This Row],[NR_SIMULACAO]],tblVendas[[#This Row],[MES]],"")</f>
        <v>Janeiro</v>
      </c>
      <c r="E27">
        <f>SUM(_xlfn.XLOOKUP(tblCalculo[[#This Row],[NR_SIMULACAO]],tblVendas[[#This Row],[NR_SIMULACAO]],tblVendas[[#This Row],[VALOR_MOVEL]],""):_xlfn.XLOOKUP(tblCalculo[[#This Row],[NR_SIMULACAO]],tblVendas[[#This Row],[NR_SIMULACAO]],tblVendas[[#This Row],[VALOR_APARELHO]],""))</f>
        <v>10875.240000000002</v>
      </c>
      <c r="F27">
        <f>IF(tblCalculo[[#This Row],[STATUS]]="CONCLUÍDO",_xlfn.XLOOKUP(tblCalculo[[#This Row],[NR_SIMULACAO]],tblVendas[[#This Row],[NR_SIMULACAO]],tblVendas[[#This Row],[VALOR_MOVEL]],""),0)</f>
        <v>0</v>
      </c>
      <c r="G27">
        <f>IF(tblCalculo[[#This Row],[STATUS]]="CONCLUÍDO",_xlfn.XLOOKUP(tblCalculo[[#This Row],[NR_SIMULACAO]],tblVendas[[#This Row],[NR_SIMULACAO]],tblVendas[[#This Row],[VALOR_AVANCADO]],""),0)</f>
        <v>0</v>
      </c>
      <c r="H27">
        <f>IF(tblCalculo[[#This Row],[STATUS]]="CONCLUÍDO",_xlfn.XLOOKUP(tblCalculo[[#This Row],[NR_SIMULACAO]],tblVendas[[#This Row],[NR_SIMULACAO]],tblVendas[[#This Row],[VALOR_FIXABASICA]],""),0)</f>
        <v>0</v>
      </c>
      <c r="I27">
        <f>IF(tblCalculo[[#This Row],[STATUS]]="CONCLUÍDO",_xlfn.XLOOKUP(tblCalculo[[#This Row],[NR_SIMULACAO]],tblVendas[[#This Row],[NR_SIMULACAO]],tblVendas[[#This Row],[VALOR_TI]],""),0)</f>
        <v>0</v>
      </c>
      <c r="J27">
        <f>IF(tblCalculo[[#This Row],[STATUS]]="CONCLUÍDO",_xlfn.XLOOKUP(tblCalculo[[#This Row],[NR_SIMULACAO]],tblVendas[[#This Row],[NR_SIMULACAO]],tblVendas[[#This Row],[VALOR_APARELHO]],""),0)</f>
        <v>0</v>
      </c>
      <c r="K27" t="str">
        <f>IF(tblCalculo[[#This Row],[STATUS]]="NEGOCIANDO",tblCalculo[[#This Row],[VALOR_TOTAL]],"")</f>
        <v/>
      </c>
      <c r="L27" t="str">
        <f>IF(tblCalculo[[#This Row],[STATUS]]="ALÇADA",tblCalculo[[#This Row],[VALOR_TOTAL]],"")</f>
        <v/>
      </c>
      <c r="M27" t="str">
        <f>IF(tblCalculo[[#This Row],[STATUS]]="EM ANÁLISE",tblCalculo[[#This Row],[VALOR_TOTAL]],"")</f>
        <v/>
      </c>
      <c r="N27" t="str">
        <f>IF(tblCalculo[[#This Row],[STATUS]]="TRAMITANDO",tblCalculo[[#This Row],[VALOR_TOTAL]],"")</f>
        <v/>
      </c>
      <c r="O27">
        <f>IF(tblCalculo[[#This Row],[STATUS]]="PERDIDO",tblCalculo[[#This Row],[VALOR_TOTAL]],"")</f>
        <v>10875.240000000002</v>
      </c>
      <c r="P27" t="str">
        <f>IF(tblCalculo[[#This Row],[STATUS]]="CONCLUÍDO",tblCalculo[[#This Row],[VALOR_TOTAL]],"")</f>
        <v/>
      </c>
      <c r="R27" s="5" t="s">
        <v>106</v>
      </c>
      <c r="S27" s="6">
        <f>GETPIVOTDATA("Count of NR_CNPJ",$AA$23,"MES","Abril")</f>
        <v>14</v>
      </c>
      <c r="T27" s="6">
        <f>GETPIVOTDATA("Count of NR_CNPJ",$AA$23,"STATUS","CONCLUÍDO","MES","Abril")</f>
        <v>14</v>
      </c>
      <c r="U27" s="24">
        <f>GETPIVOTDATA("Sum of VALOR_CONCLUIDO",$AA$5,"MES","Abril")</f>
        <v>121727.57999999997</v>
      </c>
      <c r="W27" s="5" t="s">
        <v>3041</v>
      </c>
      <c r="X27" s="6">
        <v>99</v>
      </c>
      <c r="Y27" s="6">
        <v>99</v>
      </c>
      <c r="AA27" s="7" t="s">
        <v>3027</v>
      </c>
      <c r="AB27" s="6">
        <v>17</v>
      </c>
      <c r="AC27" s="6">
        <v>189922.21000000005</v>
      </c>
    </row>
    <row r="28" spans="1:29" x14ac:dyDescent="0.25">
      <c r="A28" t="str">
        <f>tblVendas[[#This Row],[NR_SIMULACAO]]</f>
        <v>SIM1018</v>
      </c>
      <c r="B28" s="34" t="str">
        <f>_xlfn.XLOOKUP(A28,tblVendas[[#This Row],[NR_SIMULACAO]],tblVendas[[#This Row],[NR_CNPJ]],"")</f>
        <v>33.151.617/0001-29</v>
      </c>
      <c r="C28" t="str">
        <f>_xlfn.XLOOKUP(A28,tblVendas[[#This Row],[NR_SIMULACAO]],tblVendas[[#This Row],[STATUS]],"")</f>
        <v>TRAMITANDO</v>
      </c>
      <c r="D28" t="str">
        <f>_xlfn.XLOOKUP(A28,tblVendas[[#This Row],[NR_SIMULACAO]],tblVendas[[#This Row],[MES]],"")</f>
        <v>Julho</v>
      </c>
      <c r="E28">
        <f>SUM(_xlfn.XLOOKUP(tblCalculo[[#This Row],[NR_SIMULACAO]],tblVendas[[#This Row],[NR_SIMULACAO]],tblVendas[[#This Row],[VALOR_MOVEL]],""):_xlfn.XLOOKUP(tblCalculo[[#This Row],[NR_SIMULACAO]],tblVendas[[#This Row],[NR_SIMULACAO]],tblVendas[[#This Row],[VALOR_APARELHO]],""))</f>
        <v>13814.119999999999</v>
      </c>
      <c r="F28">
        <f>IF(tblCalculo[[#This Row],[STATUS]]="CONCLUÍDO",_xlfn.XLOOKUP(tblCalculo[[#This Row],[NR_SIMULACAO]],tblVendas[[#This Row],[NR_SIMULACAO]],tblVendas[[#This Row],[VALOR_MOVEL]],""),0)</f>
        <v>0</v>
      </c>
      <c r="G28">
        <f>IF(tblCalculo[[#This Row],[STATUS]]="CONCLUÍDO",_xlfn.XLOOKUP(tblCalculo[[#This Row],[NR_SIMULACAO]],tblVendas[[#This Row],[NR_SIMULACAO]],tblVendas[[#This Row],[VALOR_AVANCADO]],""),0)</f>
        <v>0</v>
      </c>
      <c r="H28">
        <f>IF(tblCalculo[[#This Row],[STATUS]]="CONCLUÍDO",_xlfn.XLOOKUP(tblCalculo[[#This Row],[NR_SIMULACAO]],tblVendas[[#This Row],[NR_SIMULACAO]],tblVendas[[#This Row],[VALOR_FIXABASICA]],""),0)</f>
        <v>0</v>
      </c>
      <c r="I28">
        <f>IF(tblCalculo[[#This Row],[STATUS]]="CONCLUÍDO",_xlfn.XLOOKUP(tblCalculo[[#This Row],[NR_SIMULACAO]],tblVendas[[#This Row],[NR_SIMULACAO]],tblVendas[[#This Row],[VALOR_TI]],""),0)</f>
        <v>0</v>
      </c>
      <c r="J28">
        <f>IF(tblCalculo[[#This Row],[STATUS]]="CONCLUÍDO",_xlfn.XLOOKUP(tblCalculo[[#This Row],[NR_SIMULACAO]],tblVendas[[#This Row],[NR_SIMULACAO]],tblVendas[[#This Row],[VALOR_APARELHO]],""),0)</f>
        <v>0</v>
      </c>
      <c r="K28" t="str">
        <f>IF(tblCalculo[[#This Row],[STATUS]]="NEGOCIANDO",tblCalculo[[#This Row],[VALOR_TOTAL]],"")</f>
        <v/>
      </c>
      <c r="L28" t="str">
        <f>IF(tblCalculo[[#This Row],[STATUS]]="ALÇADA",tblCalculo[[#This Row],[VALOR_TOTAL]],"")</f>
        <v/>
      </c>
      <c r="M28" t="str">
        <f>IF(tblCalculo[[#This Row],[STATUS]]="EM ANÁLISE",tblCalculo[[#This Row],[VALOR_TOTAL]],"")</f>
        <v/>
      </c>
      <c r="N28">
        <f>IF(tblCalculo[[#This Row],[STATUS]]="TRAMITANDO",tblCalculo[[#This Row],[VALOR_TOTAL]],"")</f>
        <v>13814.119999999999</v>
      </c>
      <c r="O28" t="str">
        <f>IF(tblCalculo[[#This Row],[STATUS]]="PERDIDO",tblCalculo[[#This Row],[VALOR_TOTAL]],"")</f>
        <v/>
      </c>
      <c r="P28" t="str">
        <f>IF(tblCalculo[[#This Row],[STATUS]]="CONCLUÍDO",tblCalculo[[#This Row],[VALOR_TOTAL]],"")</f>
        <v/>
      </c>
      <c r="R28" s="5" t="s">
        <v>86</v>
      </c>
      <c r="S28" s="6">
        <f>GETPIVOTDATA("Count of NR_CNPJ",$AA$23,"MES","Março")</f>
        <v>12</v>
      </c>
      <c r="T28" s="6">
        <f>GETPIVOTDATA("Count of NR_CNPJ",$AA$23,"STATUS","CONCLUÍDO","MES","Março")</f>
        <v>12</v>
      </c>
      <c r="U28" s="24">
        <f>GETPIVOTDATA("Sum of VALOR_CONCLUIDO",$AA$5,"MES","Março")</f>
        <v>98514.06</v>
      </c>
      <c r="AA28" s="5" t="s">
        <v>106</v>
      </c>
      <c r="AB28" s="6">
        <v>14</v>
      </c>
      <c r="AC28" s="25">
        <v>121727.57999999997</v>
      </c>
    </row>
    <row r="29" spans="1:29" x14ac:dyDescent="0.25">
      <c r="A29" t="str">
        <f>tblVendas[[#This Row],[NR_SIMULACAO]]</f>
        <v>SIM1019</v>
      </c>
      <c r="B29" s="34" t="str">
        <f>_xlfn.XLOOKUP(A29,tblVendas[[#This Row],[NR_SIMULACAO]],tblVendas[[#This Row],[NR_CNPJ]],"")</f>
        <v>81.718.489/0001-40</v>
      </c>
      <c r="C29" t="str">
        <f>_xlfn.XLOOKUP(A29,tblVendas[[#This Row],[NR_SIMULACAO]],tblVendas[[#This Row],[STATUS]],"")</f>
        <v>CONCLUÍDO</v>
      </c>
      <c r="D29" t="str">
        <f>_xlfn.XLOOKUP(A29,tblVendas[[#This Row],[NR_SIMULACAO]],tblVendas[[#This Row],[MES]],"")</f>
        <v>Maio</v>
      </c>
      <c r="E29">
        <f>SUM(_xlfn.XLOOKUP(tblCalculo[[#This Row],[NR_SIMULACAO]],tblVendas[[#This Row],[NR_SIMULACAO]],tblVendas[[#This Row],[VALOR_MOVEL]],""):_xlfn.XLOOKUP(tblCalculo[[#This Row],[NR_SIMULACAO]],tblVendas[[#This Row],[NR_SIMULACAO]],tblVendas[[#This Row],[VALOR_APARELHO]],""))</f>
        <v>23284.949999999997</v>
      </c>
      <c r="F29">
        <f>IF(tblCalculo[[#This Row],[STATUS]]="CONCLUÍDO",_xlfn.XLOOKUP(tblCalculo[[#This Row],[NR_SIMULACAO]],tblVendas[[#This Row],[NR_SIMULACAO]],tblVendas[[#This Row],[VALOR_MOVEL]],""),0)</f>
        <v>3784.09</v>
      </c>
      <c r="G29">
        <f>IF(tblCalculo[[#This Row],[STATUS]]="CONCLUÍDO",_xlfn.XLOOKUP(tblCalculo[[#This Row],[NR_SIMULACAO]],tblVendas[[#This Row],[NR_SIMULACAO]],tblVendas[[#This Row],[VALOR_AVANCADO]],""),0)</f>
        <v>0</v>
      </c>
      <c r="H29">
        <f>IF(tblCalculo[[#This Row],[STATUS]]="CONCLUÍDO",_xlfn.XLOOKUP(tblCalculo[[#This Row],[NR_SIMULACAO]],tblVendas[[#This Row],[NR_SIMULACAO]],tblVendas[[#This Row],[VALOR_FIXABASICA]],""),0)</f>
        <v>907.16</v>
      </c>
      <c r="I29">
        <f>IF(tblCalculo[[#This Row],[STATUS]]="CONCLUÍDO",_xlfn.XLOOKUP(tblCalculo[[#This Row],[NR_SIMULACAO]],tblVendas[[#This Row],[NR_SIMULACAO]],tblVendas[[#This Row],[VALOR_TI]],""),0)</f>
        <v>10231.459999999999</v>
      </c>
      <c r="J29">
        <f>IF(tblCalculo[[#This Row],[STATUS]]="CONCLUÍDO",_xlfn.XLOOKUP(tblCalculo[[#This Row],[NR_SIMULACAO]],tblVendas[[#This Row],[NR_SIMULACAO]],tblVendas[[#This Row],[VALOR_APARELHO]],""),0)</f>
        <v>8362.24</v>
      </c>
      <c r="K29" t="str">
        <f>IF(tblCalculo[[#This Row],[STATUS]]="NEGOCIANDO",tblCalculo[[#This Row],[VALOR_TOTAL]],"")</f>
        <v/>
      </c>
      <c r="L29" t="str">
        <f>IF(tblCalculo[[#This Row],[STATUS]]="ALÇADA",tblCalculo[[#This Row],[VALOR_TOTAL]],"")</f>
        <v/>
      </c>
      <c r="M29" t="str">
        <f>IF(tblCalculo[[#This Row],[STATUS]]="EM ANÁLISE",tblCalculo[[#This Row],[VALOR_TOTAL]],"")</f>
        <v/>
      </c>
      <c r="N29" t="str">
        <f>IF(tblCalculo[[#This Row],[STATUS]]="TRAMITANDO",tblCalculo[[#This Row],[VALOR_TOTAL]],"")</f>
        <v/>
      </c>
      <c r="O29" t="str">
        <f>IF(tblCalculo[[#This Row],[STATUS]]="PERDIDO",tblCalculo[[#This Row],[VALOR_TOTAL]],"")</f>
        <v/>
      </c>
      <c r="P29">
        <f>IF(tblCalculo[[#This Row],[STATUS]]="CONCLUÍDO",tblCalculo[[#This Row],[VALOR_TOTAL]],"")</f>
        <v>23284.949999999997</v>
      </c>
      <c r="R29" s="5" t="s">
        <v>24</v>
      </c>
      <c r="S29" s="6">
        <f>GETPIVOTDATA("Count of NR_CNPJ",$AA$23,"MES","Maio")</f>
        <v>20</v>
      </c>
      <c r="T29" s="6">
        <f>GETPIVOTDATA("Count of NR_CNPJ",$AA$23,"STATUS","CONCLUÍDO","MES","Maio")</f>
        <v>20</v>
      </c>
      <c r="U29" s="24">
        <f>GETPIVOTDATA("Sum of VALOR_CONCLUIDO",$AA$5,"MES","Maio")</f>
        <v>195997.04</v>
      </c>
      <c r="AA29" s="7" t="s">
        <v>3027</v>
      </c>
      <c r="AB29" s="6">
        <v>14</v>
      </c>
      <c r="AC29" s="6">
        <v>121727.57999999997</v>
      </c>
    </row>
    <row r="30" spans="1:29" x14ac:dyDescent="0.25">
      <c r="A30" t="str">
        <f>tblVendas[[#This Row],[NR_SIMULACAO]]</f>
        <v>SIM1020</v>
      </c>
      <c r="B30" s="34" t="str">
        <f>_xlfn.XLOOKUP(A30,tblVendas[[#This Row],[NR_SIMULACAO]],tblVendas[[#This Row],[NR_CNPJ]],"")</f>
        <v>13.609.669/0001-30</v>
      </c>
      <c r="C30" t="str">
        <f>_xlfn.XLOOKUP(A30,tblVendas[[#This Row],[NR_SIMULACAO]],tblVendas[[#This Row],[STATUS]],"")</f>
        <v>EM ANÁLISE</v>
      </c>
      <c r="D30" t="str">
        <f>_xlfn.XLOOKUP(A30,tblVendas[[#This Row],[NR_SIMULACAO]],tblVendas[[#This Row],[MES]],"")</f>
        <v>Outubro</v>
      </c>
      <c r="E30">
        <f>SUM(_xlfn.XLOOKUP(tblCalculo[[#This Row],[NR_SIMULACAO]],tblVendas[[#This Row],[NR_SIMULACAO]],tblVendas[[#This Row],[VALOR_MOVEL]],""):_xlfn.XLOOKUP(tblCalculo[[#This Row],[NR_SIMULACAO]],tblVendas[[#This Row],[NR_SIMULACAO]],tblVendas[[#This Row],[VALOR_APARELHO]],""))</f>
        <v>18653.96</v>
      </c>
      <c r="F30">
        <f>IF(tblCalculo[[#This Row],[STATUS]]="CONCLUÍDO",_xlfn.XLOOKUP(tblCalculo[[#This Row],[NR_SIMULACAO]],tblVendas[[#This Row],[NR_SIMULACAO]],tblVendas[[#This Row],[VALOR_MOVEL]],""),0)</f>
        <v>0</v>
      </c>
      <c r="G30">
        <f>IF(tblCalculo[[#This Row],[STATUS]]="CONCLUÍDO",_xlfn.XLOOKUP(tblCalculo[[#This Row],[NR_SIMULACAO]],tblVendas[[#This Row],[NR_SIMULACAO]],tblVendas[[#This Row],[VALOR_AVANCADO]],""),0)</f>
        <v>0</v>
      </c>
      <c r="H30">
        <f>IF(tblCalculo[[#This Row],[STATUS]]="CONCLUÍDO",_xlfn.XLOOKUP(tblCalculo[[#This Row],[NR_SIMULACAO]],tblVendas[[#This Row],[NR_SIMULACAO]],tblVendas[[#This Row],[VALOR_FIXABASICA]],""),0)</f>
        <v>0</v>
      </c>
      <c r="I30">
        <f>IF(tblCalculo[[#This Row],[STATUS]]="CONCLUÍDO",_xlfn.XLOOKUP(tblCalculo[[#This Row],[NR_SIMULACAO]],tblVendas[[#This Row],[NR_SIMULACAO]],tblVendas[[#This Row],[VALOR_TI]],""),0)</f>
        <v>0</v>
      </c>
      <c r="J30">
        <f>IF(tblCalculo[[#This Row],[STATUS]]="CONCLUÍDO",_xlfn.XLOOKUP(tblCalculo[[#This Row],[NR_SIMULACAO]],tblVendas[[#This Row],[NR_SIMULACAO]],tblVendas[[#This Row],[VALOR_APARELHO]],""),0)</f>
        <v>0</v>
      </c>
      <c r="K30" t="str">
        <f>IF(tblCalculo[[#This Row],[STATUS]]="NEGOCIANDO",tblCalculo[[#This Row],[VALOR_TOTAL]],"")</f>
        <v/>
      </c>
      <c r="L30" t="str">
        <f>IF(tblCalculo[[#This Row],[STATUS]]="ALÇADA",tblCalculo[[#This Row],[VALOR_TOTAL]],"")</f>
        <v/>
      </c>
      <c r="M30">
        <f>IF(tblCalculo[[#This Row],[STATUS]]="EM ANÁLISE",tblCalculo[[#This Row],[VALOR_TOTAL]],"")</f>
        <v>18653.96</v>
      </c>
      <c r="N30" t="str">
        <f>IF(tblCalculo[[#This Row],[STATUS]]="TRAMITANDO",tblCalculo[[#This Row],[VALOR_TOTAL]],"")</f>
        <v/>
      </c>
      <c r="O30" t="str">
        <f>IF(tblCalculo[[#This Row],[STATUS]]="PERDIDO",tblCalculo[[#This Row],[VALOR_TOTAL]],"")</f>
        <v/>
      </c>
      <c r="P30" t="str">
        <f>IF(tblCalculo[[#This Row],[STATUS]]="CONCLUÍDO",tblCalculo[[#This Row],[VALOR_TOTAL]],"")</f>
        <v/>
      </c>
      <c r="R30" s="5" t="s">
        <v>93</v>
      </c>
      <c r="S30" s="6">
        <f>GETPIVOTDATA("Count of NR_CNPJ",$AA$23,"MES","Junho")</f>
        <v>11</v>
      </c>
      <c r="T30" s="6">
        <f>GETPIVOTDATA("Count of NR_CNPJ",$AA$23,"STATUS","CONCLUÍDO","MES","Junho")</f>
        <v>11</v>
      </c>
      <c r="U30" s="24">
        <f>GETPIVOTDATA("Sum of VALOR_CONCLUIDO",$AA$5,"MES","Junho")</f>
        <v>108576.16</v>
      </c>
      <c r="AA30" s="5" t="s">
        <v>86</v>
      </c>
      <c r="AB30" s="6">
        <v>12</v>
      </c>
      <c r="AC30" s="25">
        <v>98514.06</v>
      </c>
    </row>
    <row r="31" spans="1:29" x14ac:dyDescent="0.25">
      <c r="A31" t="str">
        <f>tblVendas[[#This Row],[NR_SIMULACAO]]</f>
        <v>SIM1021</v>
      </c>
      <c r="B31" s="34" t="str">
        <f>_xlfn.XLOOKUP(A31,tblVendas[[#This Row],[NR_SIMULACAO]],tblVendas[[#This Row],[NR_CNPJ]],"")</f>
        <v>85.809.510/0001-97</v>
      </c>
      <c r="C31" t="str">
        <f>_xlfn.XLOOKUP(A31,tblVendas[[#This Row],[NR_SIMULACAO]],tblVendas[[#This Row],[STATUS]],"")</f>
        <v>ALÇADA</v>
      </c>
      <c r="D31" t="str">
        <f>_xlfn.XLOOKUP(A31,tblVendas[[#This Row],[NR_SIMULACAO]],tblVendas[[#This Row],[MES]],"")</f>
        <v>Novembro</v>
      </c>
      <c r="E31">
        <f>SUM(_xlfn.XLOOKUP(tblCalculo[[#This Row],[NR_SIMULACAO]],tblVendas[[#This Row],[NR_SIMULACAO]],tblVendas[[#This Row],[VALOR_MOVEL]],""):_xlfn.XLOOKUP(tblCalculo[[#This Row],[NR_SIMULACAO]],tblVendas[[#This Row],[NR_SIMULACAO]],tblVendas[[#This Row],[VALOR_APARELHO]],""))</f>
        <v>18301.5</v>
      </c>
      <c r="F31">
        <f>IF(tblCalculo[[#This Row],[STATUS]]="CONCLUÍDO",_xlfn.XLOOKUP(tblCalculo[[#This Row],[NR_SIMULACAO]],tblVendas[[#This Row],[NR_SIMULACAO]],tblVendas[[#This Row],[VALOR_MOVEL]],""),0)</f>
        <v>0</v>
      </c>
      <c r="G31">
        <f>IF(tblCalculo[[#This Row],[STATUS]]="CONCLUÍDO",_xlfn.XLOOKUP(tblCalculo[[#This Row],[NR_SIMULACAO]],tblVendas[[#This Row],[NR_SIMULACAO]],tblVendas[[#This Row],[VALOR_AVANCADO]],""),0)</f>
        <v>0</v>
      </c>
      <c r="H31">
        <f>IF(tblCalculo[[#This Row],[STATUS]]="CONCLUÍDO",_xlfn.XLOOKUP(tblCalculo[[#This Row],[NR_SIMULACAO]],tblVendas[[#This Row],[NR_SIMULACAO]],tblVendas[[#This Row],[VALOR_FIXABASICA]],""),0)</f>
        <v>0</v>
      </c>
      <c r="I31">
        <f>IF(tblCalculo[[#This Row],[STATUS]]="CONCLUÍDO",_xlfn.XLOOKUP(tblCalculo[[#This Row],[NR_SIMULACAO]],tblVendas[[#This Row],[NR_SIMULACAO]],tblVendas[[#This Row],[VALOR_TI]],""),0)</f>
        <v>0</v>
      </c>
      <c r="J31">
        <f>IF(tblCalculo[[#This Row],[STATUS]]="CONCLUÍDO",_xlfn.XLOOKUP(tblCalculo[[#This Row],[NR_SIMULACAO]],tblVendas[[#This Row],[NR_SIMULACAO]],tblVendas[[#This Row],[VALOR_APARELHO]],""),0)</f>
        <v>0</v>
      </c>
      <c r="K31" t="str">
        <f>IF(tblCalculo[[#This Row],[STATUS]]="NEGOCIANDO",tblCalculo[[#This Row],[VALOR_TOTAL]],"")</f>
        <v/>
      </c>
      <c r="L31">
        <f>IF(tblCalculo[[#This Row],[STATUS]]="ALÇADA",tblCalculo[[#This Row],[VALOR_TOTAL]],"")</f>
        <v>18301.5</v>
      </c>
      <c r="M31" t="str">
        <f>IF(tblCalculo[[#This Row],[STATUS]]="EM ANÁLISE",tblCalculo[[#This Row],[VALOR_TOTAL]],"")</f>
        <v/>
      </c>
      <c r="N31" t="str">
        <f>IF(tblCalculo[[#This Row],[STATUS]]="TRAMITANDO",tblCalculo[[#This Row],[VALOR_TOTAL]],"")</f>
        <v/>
      </c>
      <c r="O31" t="str">
        <f>IF(tblCalculo[[#This Row],[STATUS]]="PERDIDO",tblCalculo[[#This Row],[VALOR_TOTAL]],"")</f>
        <v/>
      </c>
      <c r="P31" t="str">
        <f>IF(tblCalculo[[#This Row],[STATUS]]="CONCLUÍDO",tblCalculo[[#This Row],[VALOR_TOTAL]],"")</f>
        <v/>
      </c>
      <c r="R31" s="5" t="s">
        <v>37</v>
      </c>
      <c r="S31" s="6">
        <f>GETPIVOTDATA("Count of NR_CNPJ",$AA$23,"MES","Julho")</f>
        <v>13</v>
      </c>
      <c r="T31" s="6">
        <f>GETPIVOTDATA("Count of NR_CNPJ",$AA$23,"STATUS","CONCLUÍDO","MES","Julho")</f>
        <v>13</v>
      </c>
      <c r="U31" s="24">
        <f>GETPIVOTDATA("Sum of VALOR_CONCLUIDO",$AA$5,"MES","Julho")</f>
        <v>121808.52000000002</v>
      </c>
      <c r="AA31" s="7" t="s">
        <v>3027</v>
      </c>
      <c r="AB31" s="6">
        <v>12</v>
      </c>
      <c r="AC31" s="6">
        <v>98514.06</v>
      </c>
    </row>
    <row r="32" spans="1:29" x14ac:dyDescent="0.25">
      <c r="A32" t="str">
        <f>tblVendas[[#This Row],[NR_SIMULACAO]]</f>
        <v>SIM1022</v>
      </c>
      <c r="B32" s="34" t="str">
        <f>_xlfn.XLOOKUP(A32,tblVendas[[#This Row],[NR_SIMULACAO]],tblVendas[[#This Row],[NR_CNPJ]],"")</f>
        <v>14.933.860/0001-12</v>
      </c>
      <c r="C32" t="str">
        <f>_xlfn.XLOOKUP(A32,tblVendas[[#This Row],[NR_SIMULACAO]],tblVendas[[#This Row],[STATUS]],"")</f>
        <v>TRAMITANDO</v>
      </c>
      <c r="D32" t="str">
        <f>_xlfn.XLOOKUP(A32,tblVendas[[#This Row],[NR_SIMULACAO]],tblVendas[[#This Row],[MES]],"")</f>
        <v>Julho</v>
      </c>
      <c r="E32">
        <f>SUM(_xlfn.XLOOKUP(tblCalculo[[#This Row],[NR_SIMULACAO]],tblVendas[[#This Row],[NR_SIMULACAO]],tblVendas[[#This Row],[VALOR_MOVEL]],""):_xlfn.XLOOKUP(tblCalculo[[#This Row],[NR_SIMULACAO]],tblVendas[[#This Row],[NR_SIMULACAO]],tblVendas[[#This Row],[VALOR_APARELHO]],""))</f>
        <v>6071.3799999999992</v>
      </c>
      <c r="F32">
        <f>IF(tblCalculo[[#This Row],[STATUS]]="CONCLUÍDO",_xlfn.XLOOKUP(tblCalculo[[#This Row],[NR_SIMULACAO]],tblVendas[[#This Row],[NR_SIMULACAO]],tblVendas[[#This Row],[VALOR_MOVEL]],""),0)</f>
        <v>0</v>
      </c>
      <c r="G32">
        <f>IF(tblCalculo[[#This Row],[STATUS]]="CONCLUÍDO",_xlfn.XLOOKUP(tblCalculo[[#This Row],[NR_SIMULACAO]],tblVendas[[#This Row],[NR_SIMULACAO]],tblVendas[[#This Row],[VALOR_AVANCADO]],""),0)</f>
        <v>0</v>
      </c>
      <c r="H32">
        <f>IF(tblCalculo[[#This Row],[STATUS]]="CONCLUÍDO",_xlfn.XLOOKUP(tblCalculo[[#This Row],[NR_SIMULACAO]],tblVendas[[#This Row],[NR_SIMULACAO]],tblVendas[[#This Row],[VALOR_FIXABASICA]],""),0)</f>
        <v>0</v>
      </c>
      <c r="I32">
        <f>IF(tblCalculo[[#This Row],[STATUS]]="CONCLUÍDO",_xlfn.XLOOKUP(tblCalculo[[#This Row],[NR_SIMULACAO]],tblVendas[[#This Row],[NR_SIMULACAO]],tblVendas[[#This Row],[VALOR_TI]],""),0)</f>
        <v>0</v>
      </c>
      <c r="J32">
        <f>IF(tblCalculo[[#This Row],[STATUS]]="CONCLUÍDO",_xlfn.XLOOKUP(tblCalculo[[#This Row],[NR_SIMULACAO]],tblVendas[[#This Row],[NR_SIMULACAO]],tblVendas[[#This Row],[VALOR_APARELHO]],""),0)</f>
        <v>0</v>
      </c>
      <c r="K32" t="str">
        <f>IF(tblCalculo[[#This Row],[STATUS]]="NEGOCIANDO",tblCalculo[[#This Row],[VALOR_TOTAL]],"")</f>
        <v/>
      </c>
      <c r="L32" t="str">
        <f>IF(tblCalculo[[#This Row],[STATUS]]="ALÇADA",tblCalculo[[#This Row],[VALOR_TOTAL]],"")</f>
        <v/>
      </c>
      <c r="M32" t="str">
        <f>IF(tblCalculo[[#This Row],[STATUS]]="EM ANÁLISE",tblCalculo[[#This Row],[VALOR_TOTAL]],"")</f>
        <v/>
      </c>
      <c r="N32">
        <f>IF(tblCalculo[[#This Row],[STATUS]]="TRAMITANDO",tblCalculo[[#This Row],[VALOR_TOTAL]],"")</f>
        <v>6071.3799999999992</v>
      </c>
      <c r="O32" t="str">
        <f>IF(tblCalculo[[#This Row],[STATUS]]="PERDIDO",tblCalculo[[#This Row],[VALOR_TOTAL]],"")</f>
        <v/>
      </c>
      <c r="P32" t="str">
        <f>IF(tblCalculo[[#This Row],[STATUS]]="CONCLUÍDO",tblCalculo[[#This Row],[VALOR_TOTAL]],"")</f>
        <v/>
      </c>
      <c r="R32" s="5" t="s">
        <v>4</v>
      </c>
      <c r="S32" s="6">
        <f>GETPIVOTDATA("Count of NR_CNPJ",$AA$23,"MES","Agosto")</f>
        <v>11</v>
      </c>
      <c r="T32" s="6">
        <f>GETPIVOTDATA("Count of NR_CNPJ",$AA$23,"STATUS","CONCLUÍDO","MES","Agosto")</f>
        <v>11</v>
      </c>
      <c r="U32" s="24">
        <f>GETPIVOTDATA("Sum of VALOR_CONCLUIDO",$AA$5,"MES","Agosto")</f>
        <v>107267.22</v>
      </c>
      <c r="AA32" s="5" t="s">
        <v>24</v>
      </c>
      <c r="AB32" s="6">
        <v>20</v>
      </c>
      <c r="AC32" s="25">
        <v>195997.04</v>
      </c>
    </row>
    <row r="33" spans="1:29" x14ac:dyDescent="0.25">
      <c r="A33" t="str">
        <f>tblVendas[[#This Row],[NR_SIMULACAO]]</f>
        <v>SIM1023</v>
      </c>
      <c r="B33" s="34" t="str">
        <f>_xlfn.XLOOKUP(A33,tblVendas[[#This Row],[NR_SIMULACAO]],tblVendas[[#This Row],[NR_CNPJ]],"")</f>
        <v>71.694.950/0001-26</v>
      </c>
      <c r="C33" t="str">
        <f>_xlfn.XLOOKUP(A33,tblVendas[[#This Row],[NR_SIMULACAO]],tblVendas[[#This Row],[STATUS]],"")</f>
        <v>EM ANÁLISE</v>
      </c>
      <c r="D33" t="str">
        <f>_xlfn.XLOOKUP(A33,tblVendas[[#This Row],[NR_SIMULACAO]],tblVendas[[#This Row],[MES]],"")</f>
        <v>Março</v>
      </c>
      <c r="E33">
        <f>SUM(_xlfn.XLOOKUP(tblCalculo[[#This Row],[NR_SIMULACAO]],tblVendas[[#This Row],[NR_SIMULACAO]],tblVendas[[#This Row],[VALOR_MOVEL]],""):_xlfn.XLOOKUP(tblCalculo[[#This Row],[NR_SIMULACAO]],tblVendas[[#This Row],[NR_SIMULACAO]],tblVendas[[#This Row],[VALOR_APARELHO]],""))</f>
        <v>14860.32</v>
      </c>
      <c r="F33">
        <f>IF(tblCalculo[[#This Row],[STATUS]]="CONCLUÍDO",_xlfn.XLOOKUP(tblCalculo[[#This Row],[NR_SIMULACAO]],tblVendas[[#This Row],[NR_SIMULACAO]],tblVendas[[#This Row],[VALOR_MOVEL]],""),0)</f>
        <v>0</v>
      </c>
      <c r="G33">
        <f>IF(tblCalculo[[#This Row],[STATUS]]="CONCLUÍDO",_xlfn.XLOOKUP(tblCalculo[[#This Row],[NR_SIMULACAO]],tblVendas[[#This Row],[NR_SIMULACAO]],tblVendas[[#This Row],[VALOR_AVANCADO]],""),0)</f>
        <v>0</v>
      </c>
      <c r="H33">
        <f>IF(tblCalculo[[#This Row],[STATUS]]="CONCLUÍDO",_xlfn.XLOOKUP(tblCalculo[[#This Row],[NR_SIMULACAO]],tblVendas[[#This Row],[NR_SIMULACAO]],tblVendas[[#This Row],[VALOR_FIXABASICA]],""),0)</f>
        <v>0</v>
      </c>
      <c r="I33">
        <f>IF(tblCalculo[[#This Row],[STATUS]]="CONCLUÍDO",_xlfn.XLOOKUP(tblCalculo[[#This Row],[NR_SIMULACAO]],tblVendas[[#This Row],[NR_SIMULACAO]],tblVendas[[#This Row],[VALOR_TI]],""),0)</f>
        <v>0</v>
      </c>
      <c r="J33">
        <f>IF(tblCalculo[[#This Row],[STATUS]]="CONCLUÍDO",_xlfn.XLOOKUP(tblCalculo[[#This Row],[NR_SIMULACAO]],tblVendas[[#This Row],[NR_SIMULACAO]],tblVendas[[#This Row],[VALOR_APARELHO]],""),0)</f>
        <v>0</v>
      </c>
      <c r="K33" t="str">
        <f>IF(tblCalculo[[#This Row],[STATUS]]="NEGOCIANDO",tblCalculo[[#This Row],[VALOR_TOTAL]],"")</f>
        <v/>
      </c>
      <c r="L33" t="str">
        <f>IF(tblCalculo[[#This Row],[STATUS]]="ALÇADA",tblCalculo[[#This Row],[VALOR_TOTAL]],"")</f>
        <v/>
      </c>
      <c r="M33">
        <f>IF(tblCalculo[[#This Row],[STATUS]]="EM ANÁLISE",tblCalculo[[#This Row],[VALOR_TOTAL]],"")</f>
        <v>14860.32</v>
      </c>
      <c r="N33" t="str">
        <f>IF(tblCalculo[[#This Row],[STATUS]]="TRAMITANDO",tblCalculo[[#This Row],[VALOR_TOTAL]],"")</f>
        <v/>
      </c>
      <c r="O33" t="str">
        <f>IF(tblCalculo[[#This Row],[STATUS]]="PERDIDO",tblCalculo[[#This Row],[VALOR_TOTAL]],"")</f>
        <v/>
      </c>
      <c r="P33" t="str">
        <f>IF(tblCalculo[[#This Row],[STATUS]]="CONCLUÍDO",tblCalculo[[#This Row],[VALOR_TOTAL]],"")</f>
        <v/>
      </c>
      <c r="R33" s="5" t="s">
        <v>41</v>
      </c>
      <c r="S33" s="6">
        <f>GETPIVOTDATA("Count of NR_CNPJ",$AA$23,"MES","Setembro")</f>
        <v>15</v>
      </c>
      <c r="T33" s="6">
        <f>GETPIVOTDATA("Count of NR_CNPJ",$AA$23,"STATUS","CONCLUÍDO","MES","Setembro")</f>
        <v>15</v>
      </c>
      <c r="U33" s="24">
        <f>GETPIVOTDATA("Sum of VALOR_CONCLUIDO",$AA$5,"MES","Setembro")</f>
        <v>170476.94</v>
      </c>
      <c r="AA33" s="7" t="s">
        <v>3027</v>
      </c>
      <c r="AB33" s="6">
        <v>20</v>
      </c>
      <c r="AC33" s="6">
        <v>195997.04</v>
      </c>
    </row>
    <row r="34" spans="1:29" x14ac:dyDescent="0.25">
      <c r="A34" t="str">
        <f>tblVendas[[#This Row],[NR_SIMULACAO]]</f>
        <v>SIM1024</v>
      </c>
      <c r="B34" s="34" t="str">
        <f>_xlfn.XLOOKUP(A34,tblVendas[[#This Row],[NR_SIMULACAO]],tblVendas[[#This Row],[NR_CNPJ]],"")</f>
        <v>59.866.586/0001-25</v>
      </c>
      <c r="C34" t="str">
        <f>_xlfn.XLOOKUP(A34,tblVendas[[#This Row],[NR_SIMULACAO]],tblVendas[[#This Row],[STATUS]],"")</f>
        <v>NEGOCIANDO</v>
      </c>
      <c r="D34" t="str">
        <f>_xlfn.XLOOKUP(A34,tblVendas[[#This Row],[NR_SIMULACAO]],tblVendas[[#This Row],[MES]],"")</f>
        <v>Março</v>
      </c>
      <c r="E34">
        <f>SUM(_xlfn.XLOOKUP(tblCalculo[[#This Row],[NR_SIMULACAO]],tblVendas[[#This Row],[NR_SIMULACAO]],tblVendas[[#This Row],[VALOR_MOVEL]],""):_xlfn.XLOOKUP(tblCalculo[[#This Row],[NR_SIMULACAO]],tblVendas[[#This Row],[NR_SIMULACAO]],tblVendas[[#This Row],[VALOR_APARELHO]],""))</f>
        <v>4553.58</v>
      </c>
      <c r="F34">
        <f>IF(tblCalculo[[#This Row],[STATUS]]="CONCLUÍDO",_xlfn.XLOOKUP(tblCalculo[[#This Row],[NR_SIMULACAO]],tblVendas[[#This Row],[NR_SIMULACAO]],tblVendas[[#This Row],[VALOR_MOVEL]],""),0)</f>
        <v>0</v>
      </c>
      <c r="G34">
        <f>IF(tblCalculo[[#This Row],[STATUS]]="CONCLUÍDO",_xlfn.XLOOKUP(tblCalculo[[#This Row],[NR_SIMULACAO]],tblVendas[[#This Row],[NR_SIMULACAO]],tblVendas[[#This Row],[VALOR_AVANCADO]],""),0)</f>
        <v>0</v>
      </c>
      <c r="H34">
        <f>IF(tblCalculo[[#This Row],[STATUS]]="CONCLUÍDO",_xlfn.XLOOKUP(tblCalculo[[#This Row],[NR_SIMULACAO]],tblVendas[[#This Row],[NR_SIMULACAO]],tblVendas[[#This Row],[VALOR_FIXABASICA]],""),0)</f>
        <v>0</v>
      </c>
      <c r="I34">
        <f>IF(tblCalculo[[#This Row],[STATUS]]="CONCLUÍDO",_xlfn.XLOOKUP(tblCalculo[[#This Row],[NR_SIMULACAO]],tblVendas[[#This Row],[NR_SIMULACAO]],tblVendas[[#This Row],[VALOR_TI]],""),0)</f>
        <v>0</v>
      </c>
      <c r="J34">
        <f>IF(tblCalculo[[#This Row],[STATUS]]="CONCLUÍDO",_xlfn.XLOOKUP(tblCalculo[[#This Row],[NR_SIMULACAO]],tblVendas[[#This Row],[NR_SIMULACAO]],tblVendas[[#This Row],[VALOR_APARELHO]],""),0)</f>
        <v>0</v>
      </c>
      <c r="K34">
        <f>IF(tblCalculo[[#This Row],[STATUS]]="NEGOCIANDO",tblCalculo[[#This Row],[VALOR_TOTAL]],"")</f>
        <v>4553.58</v>
      </c>
      <c r="L34" t="str">
        <f>IF(tblCalculo[[#This Row],[STATUS]]="ALÇADA",tblCalculo[[#This Row],[VALOR_TOTAL]],"")</f>
        <v/>
      </c>
      <c r="M34" t="str">
        <f>IF(tblCalculo[[#This Row],[STATUS]]="EM ANÁLISE",tblCalculo[[#This Row],[VALOR_TOTAL]],"")</f>
        <v/>
      </c>
      <c r="N34" t="str">
        <f>IF(tblCalculo[[#This Row],[STATUS]]="TRAMITANDO",tblCalculo[[#This Row],[VALOR_TOTAL]],"")</f>
        <v/>
      </c>
      <c r="O34" t="str">
        <f>IF(tblCalculo[[#This Row],[STATUS]]="PERDIDO",tblCalculo[[#This Row],[VALOR_TOTAL]],"")</f>
        <v/>
      </c>
      <c r="P34" t="str">
        <f>IF(tblCalculo[[#This Row],[STATUS]]="CONCLUÍDO",tblCalculo[[#This Row],[VALOR_TOTAL]],"")</f>
        <v/>
      </c>
      <c r="R34" s="5" t="s">
        <v>48</v>
      </c>
      <c r="S34" s="6">
        <f>GETPIVOTDATA("Count of NR_CNPJ",$AA$23,"MES","Outubro")</f>
        <v>13</v>
      </c>
      <c r="T34" s="6">
        <f>GETPIVOTDATA("Count of NR_CNPJ",$AA$23,"STATUS","CONCLUÍDO","MES","Outubro")</f>
        <v>13</v>
      </c>
      <c r="U34" s="24">
        <f>GETPIVOTDATA("Sum of VALOR_CONCLUIDO",$AA$5,"MES","Outubro")</f>
        <v>128093.66000000002</v>
      </c>
      <c r="AA34" s="5" t="s">
        <v>93</v>
      </c>
      <c r="AB34" s="6">
        <v>11</v>
      </c>
      <c r="AC34" s="25">
        <v>108576.16</v>
      </c>
    </row>
    <row r="35" spans="1:29" x14ac:dyDescent="0.25">
      <c r="A35" t="str">
        <f>tblVendas[[#This Row],[NR_SIMULACAO]]</f>
        <v>SIM1025</v>
      </c>
      <c r="B35" s="34" t="str">
        <f>_xlfn.XLOOKUP(A35,tblVendas[[#This Row],[NR_SIMULACAO]],tblVendas[[#This Row],[NR_CNPJ]],"")</f>
        <v>76.211.972/0001-77</v>
      </c>
      <c r="C35" t="str">
        <f>_xlfn.XLOOKUP(A35,tblVendas[[#This Row],[NR_SIMULACAO]],tblVendas[[#This Row],[STATUS]],"")</f>
        <v>EM ANÁLISE</v>
      </c>
      <c r="D35" t="str">
        <f>_xlfn.XLOOKUP(A35,tblVendas[[#This Row],[NR_SIMULACAO]],tblVendas[[#This Row],[MES]],"")</f>
        <v>Junho</v>
      </c>
      <c r="E35">
        <f>SUM(_xlfn.XLOOKUP(tblCalculo[[#This Row],[NR_SIMULACAO]],tblVendas[[#This Row],[NR_SIMULACAO]],tblVendas[[#This Row],[VALOR_MOVEL]],""):_xlfn.XLOOKUP(tblCalculo[[#This Row],[NR_SIMULACAO]],tblVendas[[#This Row],[NR_SIMULACAO]],tblVendas[[#This Row],[VALOR_APARELHO]],""))</f>
        <v>13568.74</v>
      </c>
      <c r="F35">
        <f>IF(tblCalculo[[#This Row],[STATUS]]="CONCLUÍDO",_xlfn.XLOOKUP(tblCalculo[[#This Row],[NR_SIMULACAO]],tblVendas[[#This Row],[NR_SIMULACAO]],tblVendas[[#This Row],[VALOR_MOVEL]],""),0)</f>
        <v>0</v>
      </c>
      <c r="G35">
        <f>IF(tblCalculo[[#This Row],[STATUS]]="CONCLUÍDO",_xlfn.XLOOKUP(tblCalculo[[#This Row],[NR_SIMULACAO]],tblVendas[[#This Row],[NR_SIMULACAO]],tblVendas[[#This Row],[VALOR_AVANCADO]],""),0)</f>
        <v>0</v>
      </c>
      <c r="H35">
        <f>IF(tblCalculo[[#This Row],[STATUS]]="CONCLUÍDO",_xlfn.XLOOKUP(tblCalculo[[#This Row],[NR_SIMULACAO]],tblVendas[[#This Row],[NR_SIMULACAO]],tblVendas[[#This Row],[VALOR_FIXABASICA]],""),0)</f>
        <v>0</v>
      </c>
      <c r="I35">
        <f>IF(tblCalculo[[#This Row],[STATUS]]="CONCLUÍDO",_xlfn.XLOOKUP(tblCalculo[[#This Row],[NR_SIMULACAO]],tblVendas[[#This Row],[NR_SIMULACAO]],tblVendas[[#This Row],[VALOR_TI]],""),0)</f>
        <v>0</v>
      </c>
      <c r="J35">
        <f>IF(tblCalculo[[#This Row],[STATUS]]="CONCLUÍDO",_xlfn.XLOOKUP(tblCalculo[[#This Row],[NR_SIMULACAO]],tblVendas[[#This Row],[NR_SIMULACAO]],tblVendas[[#This Row],[VALOR_APARELHO]],""),0)</f>
        <v>0</v>
      </c>
      <c r="K35" t="str">
        <f>IF(tblCalculo[[#This Row],[STATUS]]="NEGOCIANDO",tblCalculo[[#This Row],[VALOR_TOTAL]],"")</f>
        <v/>
      </c>
      <c r="L35" t="str">
        <f>IF(tblCalculo[[#This Row],[STATUS]]="ALÇADA",tblCalculo[[#This Row],[VALOR_TOTAL]],"")</f>
        <v/>
      </c>
      <c r="M35">
        <f>IF(tblCalculo[[#This Row],[STATUS]]="EM ANÁLISE",tblCalculo[[#This Row],[VALOR_TOTAL]],"")</f>
        <v>13568.74</v>
      </c>
      <c r="N35" t="str">
        <f>IF(tblCalculo[[#This Row],[STATUS]]="TRAMITANDO",tblCalculo[[#This Row],[VALOR_TOTAL]],"")</f>
        <v/>
      </c>
      <c r="O35" t="str">
        <f>IF(tblCalculo[[#This Row],[STATUS]]="PERDIDO",tblCalculo[[#This Row],[VALOR_TOTAL]],"")</f>
        <v/>
      </c>
      <c r="P35" t="str">
        <f>IF(tblCalculo[[#This Row],[STATUS]]="CONCLUÍDO",tblCalculo[[#This Row],[VALOR_TOTAL]],"")</f>
        <v/>
      </c>
      <c r="R35" s="5" t="s">
        <v>79</v>
      </c>
      <c r="S35" s="6">
        <f>GETPIVOTDATA("Count of NR_CNPJ",$AA$23,"MES","Novembro")</f>
        <v>17</v>
      </c>
      <c r="T35" s="6">
        <f>GETPIVOTDATA("Count of NR_CNPJ",$AA$23,"STATUS","CONCLUÍDO","MES","Novembro")</f>
        <v>17</v>
      </c>
      <c r="U35" s="24">
        <f>GETPIVOTDATA("Sum of VALOR_CONCLUIDO",$AA$5,"MES","Novembro")</f>
        <v>180733.71000000002</v>
      </c>
      <c r="AA35" s="7" t="s">
        <v>3027</v>
      </c>
      <c r="AB35" s="6">
        <v>11</v>
      </c>
      <c r="AC35" s="6">
        <v>108576.16</v>
      </c>
    </row>
    <row r="36" spans="1:29" x14ac:dyDescent="0.25">
      <c r="A36" t="str">
        <f>tblVendas[[#This Row],[NR_SIMULACAO]]</f>
        <v>SIM1026</v>
      </c>
      <c r="B36" s="34" t="str">
        <f>_xlfn.XLOOKUP(A36,tblVendas[[#This Row],[NR_SIMULACAO]],tblVendas[[#This Row],[NR_CNPJ]],"")</f>
        <v>74.465.554/0001-44</v>
      </c>
      <c r="C36" t="str">
        <f>_xlfn.XLOOKUP(A36,tblVendas[[#This Row],[NR_SIMULACAO]],tblVendas[[#This Row],[STATUS]],"")</f>
        <v>PERDIDO</v>
      </c>
      <c r="D36" t="str">
        <f>_xlfn.XLOOKUP(A36,tblVendas[[#This Row],[NR_SIMULACAO]],tblVendas[[#This Row],[MES]],"")</f>
        <v>Novembro</v>
      </c>
      <c r="E36">
        <f>SUM(_xlfn.XLOOKUP(tblCalculo[[#This Row],[NR_SIMULACAO]],tblVendas[[#This Row],[NR_SIMULACAO]],tblVendas[[#This Row],[VALOR_MOVEL]],""):_xlfn.XLOOKUP(tblCalculo[[#This Row],[NR_SIMULACAO]],tblVendas[[#This Row],[NR_SIMULACAO]],tblVendas[[#This Row],[VALOR_APARELHO]],""))</f>
        <v>4763.6000000000004</v>
      </c>
      <c r="F36">
        <f>IF(tblCalculo[[#This Row],[STATUS]]="CONCLUÍDO",_xlfn.XLOOKUP(tblCalculo[[#This Row],[NR_SIMULACAO]],tblVendas[[#This Row],[NR_SIMULACAO]],tblVendas[[#This Row],[VALOR_MOVEL]],""),0)</f>
        <v>0</v>
      </c>
      <c r="G36">
        <f>IF(tblCalculo[[#This Row],[STATUS]]="CONCLUÍDO",_xlfn.XLOOKUP(tblCalculo[[#This Row],[NR_SIMULACAO]],tblVendas[[#This Row],[NR_SIMULACAO]],tblVendas[[#This Row],[VALOR_AVANCADO]],""),0)</f>
        <v>0</v>
      </c>
      <c r="H36">
        <f>IF(tblCalculo[[#This Row],[STATUS]]="CONCLUÍDO",_xlfn.XLOOKUP(tblCalculo[[#This Row],[NR_SIMULACAO]],tblVendas[[#This Row],[NR_SIMULACAO]],tblVendas[[#This Row],[VALOR_FIXABASICA]],""),0)</f>
        <v>0</v>
      </c>
      <c r="I36">
        <f>IF(tblCalculo[[#This Row],[STATUS]]="CONCLUÍDO",_xlfn.XLOOKUP(tblCalculo[[#This Row],[NR_SIMULACAO]],tblVendas[[#This Row],[NR_SIMULACAO]],tblVendas[[#This Row],[VALOR_TI]],""),0)</f>
        <v>0</v>
      </c>
      <c r="J36">
        <f>IF(tblCalculo[[#This Row],[STATUS]]="CONCLUÍDO",_xlfn.XLOOKUP(tblCalculo[[#This Row],[NR_SIMULACAO]],tblVendas[[#This Row],[NR_SIMULACAO]],tblVendas[[#This Row],[VALOR_APARELHO]],""),0)</f>
        <v>0</v>
      </c>
      <c r="K36" t="str">
        <f>IF(tblCalculo[[#This Row],[STATUS]]="NEGOCIANDO",tblCalculo[[#This Row],[VALOR_TOTAL]],"")</f>
        <v/>
      </c>
      <c r="L36" t="str">
        <f>IF(tblCalculo[[#This Row],[STATUS]]="ALÇADA",tblCalculo[[#This Row],[VALOR_TOTAL]],"")</f>
        <v/>
      </c>
      <c r="M36" t="str">
        <f>IF(tblCalculo[[#This Row],[STATUS]]="EM ANÁLISE",tblCalculo[[#This Row],[VALOR_TOTAL]],"")</f>
        <v/>
      </c>
      <c r="N36" t="str">
        <f>IF(tblCalculo[[#This Row],[STATUS]]="TRAMITANDO",tblCalculo[[#This Row],[VALOR_TOTAL]],"")</f>
        <v/>
      </c>
      <c r="O36">
        <f>IF(tblCalculo[[#This Row],[STATUS]]="PERDIDO",tblCalculo[[#This Row],[VALOR_TOTAL]],"")</f>
        <v>4763.6000000000004</v>
      </c>
      <c r="P36" t="str">
        <f>IF(tblCalculo[[#This Row],[STATUS]]="CONCLUÍDO",tblCalculo[[#This Row],[VALOR_TOTAL]],"")</f>
        <v/>
      </c>
      <c r="R36" s="5" t="s">
        <v>19</v>
      </c>
      <c r="S36" s="6">
        <f>GETPIVOTDATA("Count of NR_CNPJ",$AA$23,"MES","Dezembro")</f>
        <v>15</v>
      </c>
      <c r="T36" s="6">
        <f>GETPIVOTDATA("Count of NR_CNPJ",$AA$23,"STATUS","CONCLUÍDO","MES","Dezembro")</f>
        <v>15</v>
      </c>
      <c r="U36" s="24">
        <f>GETPIVOTDATA("Sum of VALOR_CONCLUIDO",$AA$5,"MES","Dezembro")</f>
        <v>157269.79999999996</v>
      </c>
      <c r="AA36" s="5" t="s">
        <v>37</v>
      </c>
      <c r="AB36" s="6">
        <v>13</v>
      </c>
      <c r="AC36" s="25">
        <v>121808.52000000002</v>
      </c>
    </row>
    <row r="37" spans="1:29" x14ac:dyDescent="0.25">
      <c r="A37" t="str">
        <f>tblVendas[[#This Row],[NR_SIMULACAO]]</f>
        <v>SIM1027</v>
      </c>
      <c r="B37" s="34" t="str">
        <f>_xlfn.XLOOKUP(A37,tblVendas[[#This Row],[NR_SIMULACAO]],tblVendas[[#This Row],[NR_CNPJ]],"")</f>
        <v>23.692.893/0001-79</v>
      </c>
      <c r="C37" t="str">
        <f>_xlfn.XLOOKUP(A37,tblVendas[[#This Row],[NR_SIMULACAO]],tblVendas[[#This Row],[STATUS]],"")</f>
        <v>EM ANÁLISE</v>
      </c>
      <c r="D37" t="str">
        <f>_xlfn.XLOOKUP(A37,tblVendas[[#This Row],[NR_SIMULACAO]],tblVendas[[#This Row],[MES]],"")</f>
        <v>Junho</v>
      </c>
      <c r="E37">
        <f>SUM(_xlfn.XLOOKUP(tblCalculo[[#This Row],[NR_SIMULACAO]],tblVendas[[#This Row],[NR_SIMULACAO]],tblVendas[[#This Row],[VALOR_MOVEL]],""):_xlfn.XLOOKUP(tblCalculo[[#This Row],[NR_SIMULACAO]],tblVendas[[#This Row],[NR_SIMULACAO]],tblVendas[[#This Row],[VALOR_APARELHO]],""))</f>
        <v>5180.3099999999995</v>
      </c>
      <c r="F37">
        <f>IF(tblCalculo[[#This Row],[STATUS]]="CONCLUÍDO",_xlfn.XLOOKUP(tblCalculo[[#This Row],[NR_SIMULACAO]],tblVendas[[#This Row],[NR_SIMULACAO]],tblVendas[[#This Row],[VALOR_MOVEL]],""),0)</f>
        <v>0</v>
      </c>
      <c r="G37">
        <f>IF(tblCalculo[[#This Row],[STATUS]]="CONCLUÍDO",_xlfn.XLOOKUP(tblCalculo[[#This Row],[NR_SIMULACAO]],tblVendas[[#This Row],[NR_SIMULACAO]],tblVendas[[#This Row],[VALOR_AVANCADO]],""),0)</f>
        <v>0</v>
      </c>
      <c r="H37">
        <f>IF(tblCalculo[[#This Row],[STATUS]]="CONCLUÍDO",_xlfn.XLOOKUP(tblCalculo[[#This Row],[NR_SIMULACAO]],tblVendas[[#This Row],[NR_SIMULACAO]],tblVendas[[#This Row],[VALOR_FIXABASICA]],""),0)</f>
        <v>0</v>
      </c>
      <c r="I37">
        <f>IF(tblCalculo[[#This Row],[STATUS]]="CONCLUÍDO",_xlfn.XLOOKUP(tblCalculo[[#This Row],[NR_SIMULACAO]],tblVendas[[#This Row],[NR_SIMULACAO]],tblVendas[[#This Row],[VALOR_TI]],""),0)</f>
        <v>0</v>
      </c>
      <c r="J37">
        <f>IF(tblCalculo[[#This Row],[STATUS]]="CONCLUÍDO",_xlfn.XLOOKUP(tblCalculo[[#This Row],[NR_SIMULACAO]],tblVendas[[#This Row],[NR_SIMULACAO]],tblVendas[[#This Row],[VALOR_APARELHO]],""),0)</f>
        <v>0</v>
      </c>
      <c r="K37" t="str">
        <f>IF(tblCalculo[[#This Row],[STATUS]]="NEGOCIANDO",tblCalculo[[#This Row],[VALOR_TOTAL]],"")</f>
        <v/>
      </c>
      <c r="L37" t="str">
        <f>IF(tblCalculo[[#This Row],[STATUS]]="ALÇADA",tblCalculo[[#This Row],[VALOR_TOTAL]],"")</f>
        <v/>
      </c>
      <c r="M37">
        <f>IF(tblCalculo[[#This Row],[STATUS]]="EM ANÁLISE",tblCalculo[[#This Row],[VALOR_TOTAL]],"")</f>
        <v>5180.3099999999995</v>
      </c>
      <c r="N37" t="str">
        <f>IF(tblCalculo[[#This Row],[STATUS]]="TRAMITANDO",tblCalculo[[#This Row],[VALOR_TOTAL]],"")</f>
        <v/>
      </c>
      <c r="O37" t="str">
        <f>IF(tblCalculo[[#This Row],[STATUS]]="PERDIDO",tblCalculo[[#This Row],[VALOR_TOTAL]],"")</f>
        <v/>
      </c>
      <c r="P37" t="str">
        <f>IF(tblCalculo[[#This Row],[STATUS]]="CONCLUÍDO",tblCalculo[[#This Row],[VALOR_TOTAL]],"")</f>
        <v/>
      </c>
      <c r="AA37" s="7" t="s">
        <v>3027</v>
      </c>
      <c r="AB37" s="6">
        <v>13</v>
      </c>
      <c r="AC37" s="6">
        <v>121808.52000000002</v>
      </c>
    </row>
    <row r="38" spans="1:29" x14ac:dyDescent="0.25">
      <c r="A38" t="str">
        <f>tblVendas[[#This Row],[NR_SIMULACAO]]</f>
        <v>SIM1028</v>
      </c>
      <c r="B38" s="34" t="str">
        <f>_xlfn.XLOOKUP(A38,tblVendas[[#This Row],[NR_SIMULACAO]],tblVendas[[#This Row],[NR_CNPJ]],"")</f>
        <v>11.357.163/0001-99</v>
      </c>
      <c r="C38" t="str">
        <f>_xlfn.XLOOKUP(A38,tblVendas[[#This Row],[NR_SIMULACAO]],tblVendas[[#This Row],[STATUS]],"")</f>
        <v>ALÇADA</v>
      </c>
      <c r="D38" t="str">
        <f>_xlfn.XLOOKUP(A38,tblVendas[[#This Row],[NR_SIMULACAO]],tblVendas[[#This Row],[MES]],"")</f>
        <v>Outubro</v>
      </c>
      <c r="E38">
        <f>SUM(_xlfn.XLOOKUP(tblCalculo[[#This Row],[NR_SIMULACAO]],tblVendas[[#This Row],[NR_SIMULACAO]],tblVendas[[#This Row],[VALOR_MOVEL]],""):_xlfn.XLOOKUP(tblCalculo[[#This Row],[NR_SIMULACAO]],tblVendas[[#This Row],[NR_SIMULACAO]],tblVendas[[#This Row],[VALOR_APARELHO]],""))</f>
        <v>17275.04</v>
      </c>
      <c r="F38">
        <f>IF(tblCalculo[[#This Row],[STATUS]]="CONCLUÍDO",_xlfn.XLOOKUP(tblCalculo[[#This Row],[NR_SIMULACAO]],tblVendas[[#This Row],[NR_SIMULACAO]],tblVendas[[#This Row],[VALOR_MOVEL]],""),0)</f>
        <v>0</v>
      </c>
      <c r="G38">
        <f>IF(tblCalculo[[#This Row],[STATUS]]="CONCLUÍDO",_xlfn.XLOOKUP(tblCalculo[[#This Row],[NR_SIMULACAO]],tblVendas[[#This Row],[NR_SIMULACAO]],tblVendas[[#This Row],[VALOR_AVANCADO]],""),0)</f>
        <v>0</v>
      </c>
      <c r="H38">
        <f>IF(tblCalculo[[#This Row],[STATUS]]="CONCLUÍDO",_xlfn.XLOOKUP(tblCalculo[[#This Row],[NR_SIMULACAO]],tblVendas[[#This Row],[NR_SIMULACAO]],tblVendas[[#This Row],[VALOR_FIXABASICA]],""),0)</f>
        <v>0</v>
      </c>
      <c r="I38">
        <f>IF(tblCalculo[[#This Row],[STATUS]]="CONCLUÍDO",_xlfn.XLOOKUP(tblCalculo[[#This Row],[NR_SIMULACAO]],tblVendas[[#This Row],[NR_SIMULACAO]],tblVendas[[#This Row],[VALOR_TI]],""),0)</f>
        <v>0</v>
      </c>
      <c r="J38">
        <f>IF(tblCalculo[[#This Row],[STATUS]]="CONCLUÍDO",_xlfn.XLOOKUP(tblCalculo[[#This Row],[NR_SIMULACAO]],tblVendas[[#This Row],[NR_SIMULACAO]],tblVendas[[#This Row],[VALOR_APARELHO]],""),0)</f>
        <v>0</v>
      </c>
      <c r="K38" t="str">
        <f>IF(tblCalculo[[#This Row],[STATUS]]="NEGOCIANDO",tblCalculo[[#This Row],[VALOR_TOTAL]],"")</f>
        <v/>
      </c>
      <c r="L38">
        <f>IF(tblCalculo[[#This Row],[STATUS]]="ALÇADA",tblCalculo[[#This Row],[VALOR_TOTAL]],"")</f>
        <v>17275.04</v>
      </c>
      <c r="M38" t="str">
        <f>IF(tblCalculo[[#This Row],[STATUS]]="EM ANÁLISE",tblCalculo[[#This Row],[VALOR_TOTAL]],"")</f>
        <v/>
      </c>
      <c r="N38" t="str">
        <f>IF(tblCalculo[[#This Row],[STATUS]]="TRAMITANDO",tblCalculo[[#This Row],[VALOR_TOTAL]],"")</f>
        <v/>
      </c>
      <c r="O38" t="str">
        <f>IF(tblCalculo[[#This Row],[STATUS]]="PERDIDO",tblCalculo[[#This Row],[VALOR_TOTAL]],"")</f>
        <v/>
      </c>
      <c r="P38" t="str">
        <f>IF(tblCalculo[[#This Row],[STATUS]]="CONCLUÍDO",tblCalculo[[#This Row],[VALOR_TOTAL]],"")</f>
        <v/>
      </c>
      <c r="R38" t="s">
        <v>3064</v>
      </c>
      <c r="S38" t="s">
        <v>3065</v>
      </c>
      <c r="T38" t="s">
        <v>3066</v>
      </c>
      <c r="U38" t="s">
        <v>3067</v>
      </c>
      <c r="V38" t="s">
        <v>3068</v>
      </c>
      <c r="W38" t="s">
        <v>3070</v>
      </c>
      <c r="X38" t="s">
        <v>3059</v>
      </c>
      <c r="AA38" s="5" t="s">
        <v>4</v>
      </c>
      <c r="AB38" s="6">
        <v>11</v>
      </c>
      <c r="AC38" s="25">
        <v>107267.22</v>
      </c>
    </row>
    <row r="39" spans="1:29" x14ac:dyDescent="0.25">
      <c r="A39" t="str">
        <f>tblVendas[[#This Row],[NR_SIMULACAO]]</f>
        <v>SIM1029</v>
      </c>
      <c r="B39" s="34" t="str">
        <f>_xlfn.XLOOKUP(A39,tblVendas[[#This Row],[NR_SIMULACAO]],tblVendas[[#This Row],[NR_CNPJ]],"")</f>
        <v>36.517.295/0001-75</v>
      </c>
      <c r="C39" t="str">
        <f>_xlfn.XLOOKUP(A39,tblVendas[[#This Row],[NR_SIMULACAO]],tblVendas[[#This Row],[STATUS]],"")</f>
        <v>PERDIDO</v>
      </c>
      <c r="D39" t="str">
        <f>_xlfn.XLOOKUP(A39,tblVendas[[#This Row],[NR_SIMULACAO]],tblVendas[[#This Row],[MES]],"")</f>
        <v>Abril</v>
      </c>
      <c r="E39">
        <f>SUM(_xlfn.XLOOKUP(tblCalculo[[#This Row],[NR_SIMULACAO]],tblVendas[[#This Row],[NR_SIMULACAO]],tblVendas[[#This Row],[VALOR_MOVEL]],""):_xlfn.XLOOKUP(tblCalculo[[#This Row],[NR_SIMULACAO]],tblVendas[[#This Row],[NR_SIMULACAO]],tblVendas[[#This Row],[VALOR_APARELHO]],""))</f>
        <v>11913.8</v>
      </c>
      <c r="F39">
        <f>IF(tblCalculo[[#This Row],[STATUS]]="CONCLUÍDO",_xlfn.XLOOKUP(tblCalculo[[#This Row],[NR_SIMULACAO]],tblVendas[[#This Row],[NR_SIMULACAO]],tblVendas[[#This Row],[VALOR_MOVEL]],""),0)</f>
        <v>0</v>
      </c>
      <c r="G39">
        <f>IF(tblCalculo[[#This Row],[STATUS]]="CONCLUÍDO",_xlfn.XLOOKUP(tblCalculo[[#This Row],[NR_SIMULACAO]],tblVendas[[#This Row],[NR_SIMULACAO]],tblVendas[[#This Row],[VALOR_AVANCADO]],""),0)</f>
        <v>0</v>
      </c>
      <c r="H39">
        <f>IF(tblCalculo[[#This Row],[STATUS]]="CONCLUÍDO",_xlfn.XLOOKUP(tblCalculo[[#This Row],[NR_SIMULACAO]],tblVendas[[#This Row],[NR_SIMULACAO]],tblVendas[[#This Row],[VALOR_FIXABASICA]],""),0)</f>
        <v>0</v>
      </c>
      <c r="I39">
        <f>IF(tblCalculo[[#This Row],[STATUS]]="CONCLUÍDO",_xlfn.XLOOKUP(tblCalculo[[#This Row],[NR_SIMULACAO]],tblVendas[[#This Row],[NR_SIMULACAO]],tblVendas[[#This Row],[VALOR_TI]],""),0)</f>
        <v>0</v>
      </c>
      <c r="J39">
        <f>IF(tblCalculo[[#This Row],[STATUS]]="CONCLUÍDO",_xlfn.XLOOKUP(tblCalculo[[#This Row],[NR_SIMULACAO]],tblVendas[[#This Row],[NR_SIMULACAO]],tblVendas[[#This Row],[VALOR_APARELHO]],""),0)</f>
        <v>0</v>
      </c>
      <c r="K39" t="str">
        <f>IF(tblCalculo[[#This Row],[STATUS]]="NEGOCIANDO",tblCalculo[[#This Row],[VALOR_TOTAL]],"")</f>
        <v/>
      </c>
      <c r="L39" t="str">
        <f>IF(tblCalculo[[#This Row],[STATUS]]="ALÇADA",tblCalculo[[#This Row],[VALOR_TOTAL]],"")</f>
        <v/>
      </c>
      <c r="M39" t="str">
        <f>IF(tblCalculo[[#This Row],[STATUS]]="EM ANÁLISE",tblCalculo[[#This Row],[VALOR_TOTAL]],"")</f>
        <v/>
      </c>
      <c r="N39" t="str">
        <f>IF(tblCalculo[[#This Row],[STATUS]]="TRAMITANDO",tblCalculo[[#This Row],[VALOR_TOTAL]],"")</f>
        <v/>
      </c>
      <c r="O39">
        <f>IF(tblCalculo[[#This Row],[STATUS]]="PERDIDO",tblCalculo[[#This Row],[VALOR_TOTAL]],"")</f>
        <v>11913.8</v>
      </c>
      <c r="P39" t="str">
        <f>IF(tblCalculo[[#This Row],[STATUS]]="CONCLUÍDO",tblCalculo[[#This Row],[VALOR_TOTAL]],"")</f>
        <v/>
      </c>
      <c r="R39" t="s">
        <v>3069</v>
      </c>
      <c r="S39" s="25">
        <f>GETPIVOTDATA("Sum of VALOR_CONC_MOVEL",$W$3)</f>
        <v>20180.2</v>
      </c>
      <c r="T39" s="25">
        <f>GETPIVOTDATA("Sum of VALOR_CONC_AVANCADO",$W$3)</f>
        <v>11491.18</v>
      </c>
      <c r="U39" s="25">
        <f>GETPIVOTDATA("Sum of VALOR_CONC_FIXABASICA",$W$3)</f>
        <v>11708.56</v>
      </c>
      <c r="V39" s="25">
        <f>GETPIVOTDATA("Sum of VALOR_CONC_TI",$W$3)</f>
        <v>30998.95</v>
      </c>
      <c r="W39" s="25">
        <f>GETPIVOTDATA("Sum of VALOR_CONC_APARELHO",$W$3)</f>
        <v>34197.270000000004</v>
      </c>
      <c r="AA39" s="7" t="s">
        <v>3027</v>
      </c>
      <c r="AB39" s="6">
        <v>11</v>
      </c>
      <c r="AC39" s="6">
        <v>107267.22</v>
      </c>
    </row>
    <row r="40" spans="1:29" x14ac:dyDescent="0.25">
      <c r="A40" t="str">
        <f>tblVendas[[#This Row],[NR_SIMULACAO]]</f>
        <v>SIM1030</v>
      </c>
      <c r="B40" s="34" t="str">
        <f>_xlfn.XLOOKUP(A40,tblVendas[[#This Row],[NR_SIMULACAO]],tblVendas[[#This Row],[NR_CNPJ]],"")</f>
        <v>58.339.119/0001-19</v>
      </c>
      <c r="C40" t="str">
        <f>_xlfn.XLOOKUP(A40,tblVendas[[#This Row],[NR_SIMULACAO]],tblVendas[[#This Row],[STATUS]],"")</f>
        <v>EM ANÁLISE</v>
      </c>
      <c r="D40" t="str">
        <f>_xlfn.XLOOKUP(A40,tblVendas[[#This Row],[NR_SIMULACAO]],tblVendas[[#This Row],[MES]],"")</f>
        <v>Setembro</v>
      </c>
      <c r="E40">
        <f>SUM(_xlfn.XLOOKUP(tblCalculo[[#This Row],[NR_SIMULACAO]],tblVendas[[#This Row],[NR_SIMULACAO]],tblVendas[[#This Row],[VALOR_MOVEL]],""):_xlfn.XLOOKUP(tblCalculo[[#This Row],[NR_SIMULACAO]],tblVendas[[#This Row],[NR_SIMULACAO]],tblVendas[[#This Row],[VALOR_APARELHO]],""))</f>
        <v>4423.62</v>
      </c>
      <c r="F40">
        <f>IF(tblCalculo[[#This Row],[STATUS]]="CONCLUÍDO",_xlfn.XLOOKUP(tblCalculo[[#This Row],[NR_SIMULACAO]],tblVendas[[#This Row],[NR_SIMULACAO]],tblVendas[[#This Row],[VALOR_MOVEL]],""),0)</f>
        <v>0</v>
      </c>
      <c r="G40">
        <f>IF(tblCalculo[[#This Row],[STATUS]]="CONCLUÍDO",_xlfn.XLOOKUP(tblCalculo[[#This Row],[NR_SIMULACAO]],tblVendas[[#This Row],[NR_SIMULACAO]],tblVendas[[#This Row],[VALOR_AVANCADO]],""),0)</f>
        <v>0</v>
      </c>
      <c r="H40">
        <f>IF(tblCalculo[[#This Row],[STATUS]]="CONCLUÍDO",_xlfn.XLOOKUP(tblCalculo[[#This Row],[NR_SIMULACAO]],tblVendas[[#This Row],[NR_SIMULACAO]],tblVendas[[#This Row],[VALOR_FIXABASICA]],""),0)</f>
        <v>0</v>
      </c>
      <c r="I40">
        <f>IF(tblCalculo[[#This Row],[STATUS]]="CONCLUÍDO",_xlfn.XLOOKUP(tblCalculo[[#This Row],[NR_SIMULACAO]],tblVendas[[#This Row],[NR_SIMULACAO]],tblVendas[[#This Row],[VALOR_TI]],""),0)</f>
        <v>0</v>
      </c>
      <c r="J40">
        <f>IF(tblCalculo[[#This Row],[STATUS]]="CONCLUÍDO",_xlfn.XLOOKUP(tblCalculo[[#This Row],[NR_SIMULACAO]],tblVendas[[#This Row],[NR_SIMULACAO]],tblVendas[[#This Row],[VALOR_APARELHO]],""),0)</f>
        <v>0</v>
      </c>
      <c r="K40" t="str">
        <f>IF(tblCalculo[[#This Row],[STATUS]]="NEGOCIANDO",tblCalculo[[#This Row],[VALOR_TOTAL]],"")</f>
        <v/>
      </c>
      <c r="L40" t="str">
        <f>IF(tblCalculo[[#This Row],[STATUS]]="ALÇADA",tblCalculo[[#This Row],[VALOR_TOTAL]],"")</f>
        <v/>
      </c>
      <c r="M40">
        <f>IF(tblCalculo[[#This Row],[STATUS]]="EM ANÁLISE",tblCalculo[[#This Row],[VALOR_TOTAL]],"")</f>
        <v>4423.62</v>
      </c>
      <c r="N40" t="str">
        <f>IF(tblCalculo[[#This Row],[STATUS]]="TRAMITANDO",tblCalculo[[#This Row],[VALOR_TOTAL]],"")</f>
        <v/>
      </c>
      <c r="O40" t="str">
        <f>IF(tblCalculo[[#This Row],[STATUS]]="PERDIDO",tblCalculo[[#This Row],[VALOR_TOTAL]],"")</f>
        <v/>
      </c>
      <c r="P40" t="str">
        <f>IF(tblCalculo[[#This Row],[STATUS]]="CONCLUÍDO",tblCalculo[[#This Row],[VALOR_TOTAL]],"")</f>
        <v/>
      </c>
      <c r="R40" t="s">
        <v>3059</v>
      </c>
      <c r="X40" s="25">
        <f>W39+T47</f>
        <v>108576.16</v>
      </c>
      <c r="AA40" s="5" t="s">
        <v>41</v>
      </c>
      <c r="AB40" s="6">
        <v>15</v>
      </c>
      <c r="AC40" s="25">
        <v>170476.94</v>
      </c>
    </row>
    <row r="41" spans="1:29" x14ac:dyDescent="0.25">
      <c r="A41" t="str">
        <f>tblVendas[[#This Row],[NR_SIMULACAO]]</f>
        <v>SIM1031</v>
      </c>
      <c r="B41" s="34" t="str">
        <f>_xlfn.XLOOKUP(A41,tblVendas[[#This Row],[NR_SIMULACAO]],tblVendas[[#This Row],[NR_CNPJ]],"")</f>
        <v>83.192.759/0001-79</v>
      </c>
      <c r="C41" t="str">
        <f>_xlfn.XLOOKUP(A41,tblVendas[[#This Row],[NR_SIMULACAO]],tblVendas[[#This Row],[STATUS]],"")</f>
        <v>ALÇADA</v>
      </c>
      <c r="D41" t="str">
        <f>_xlfn.XLOOKUP(A41,tblVendas[[#This Row],[NR_SIMULACAO]],tblVendas[[#This Row],[MES]],"")</f>
        <v>Março</v>
      </c>
      <c r="E41">
        <f>SUM(_xlfn.XLOOKUP(tblCalculo[[#This Row],[NR_SIMULACAO]],tblVendas[[#This Row],[NR_SIMULACAO]],tblVendas[[#This Row],[VALOR_MOVEL]],""):_xlfn.XLOOKUP(tblCalculo[[#This Row],[NR_SIMULACAO]],tblVendas[[#This Row],[NR_SIMULACAO]],tblVendas[[#This Row],[VALOR_APARELHO]],""))</f>
        <v>16317.51</v>
      </c>
      <c r="F41">
        <f>IF(tblCalculo[[#This Row],[STATUS]]="CONCLUÍDO",_xlfn.XLOOKUP(tblCalculo[[#This Row],[NR_SIMULACAO]],tblVendas[[#This Row],[NR_SIMULACAO]],tblVendas[[#This Row],[VALOR_MOVEL]],""),0)</f>
        <v>0</v>
      </c>
      <c r="G41">
        <f>IF(tblCalculo[[#This Row],[STATUS]]="CONCLUÍDO",_xlfn.XLOOKUP(tblCalculo[[#This Row],[NR_SIMULACAO]],tblVendas[[#This Row],[NR_SIMULACAO]],tblVendas[[#This Row],[VALOR_AVANCADO]],""),0)</f>
        <v>0</v>
      </c>
      <c r="H41">
        <f>IF(tblCalculo[[#This Row],[STATUS]]="CONCLUÍDO",_xlfn.XLOOKUP(tblCalculo[[#This Row],[NR_SIMULACAO]],tblVendas[[#This Row],[NR_SIMULACAO]],tblVendas[[#This Row],[VALOR_FIXABASICA]],""),0)</f>
        <v>0</v>
      </c>
      <c r="I41">
        <f>IF(tblCalculo[[#This Row],[STATUS]]="CONCLUÍDO",_xlfn.XLOOKUP(tblCalculo[[#This Row],[NR_SIMULACAO]],tblVendas[[#This Row],[NR_SIMULACAO]],tblVendas[[#This Row],[VALOR_TI]],""),0)</f>
        <v>0</v>
      </c>
      <c r="J41">
        <f>IF(tblCalculo[[#This Row],[STATUS]]="CONCLUÍDO",_xlfn.XLOOKUP(tblCalculo[[#This Row],[NR_SIMULACAO]],tblVendas[[#This Row],[NR_SIMULACAO]],tblVendas[[#This Row],[VALOR_APARELHO]],""),0)</f>
        <v>0</v>
      </c>
      <c r="K41" t="str">
        <f>IF(tblCalculo[[#This Row],[STATUS]]="NEGOCIANDO",tblCalculo[[#This Row],[VALOR_TOTAL]],"")</f>
        <v/>
      </c>
      <c r="L41">
        <f>IF(tblCalculo[[#This Row],[STATUS]]="ALÇADA",tblCalculo[[#This Row],[VALOR_TOTAL]],"")</f>
        <v>16317.51</v>
      </c>
      <c r="M41" t="str">
        <f>IF(tblCalculo[[#This Row],[STATUS]]="EM ANÁLISE",tblCalculo[[#This Row],[VALOR_TOTAL]],"")</f>
        <v/>
      </c>
      <c r="N41" t="str">
        <f>IF(tblCalculo[[#This Row],[STATUS]]="TRAMITANDO",tblCalculo[[#This Row],[VALOR_TOTAL]],"")</f>
        <v/>
      </c>
      <c r="O41" t="str">
        <f>IF(tblCalculo[[#This Row],[STATUS]]="PERDIDO",tblCalculo[[#This Row],[VALOR_TOTAL]],"")</f>
        <v/>
      </c>
      <c r="P41" t="str">
        <f>IF(tblCalculo[[#This Row],[STATUS]]="CONCLUÍDO",tblCalculo[[#This Row],[VALOR_TOTAL]],"")</f>
        <v/>
      </c>
      <c r="R41" t="s">
        <v>3071</v>
      </c>
      <c r="S41" s="25">
        <f>S39-S48</f>
        <v>-5819.7999999999993</v>
      </c>
      <c r="T41" s="25">
        <f>T39-S48</f>
        <v>-14508.82</v>
      </c>
      <c r="U41" s="25">
        <f>U39-S48</f>
        <v>-14291.44</v>
      </c>
      <c r="V41" s="25">
        <f>V39-S48</f>
        <v>4998.9500000000007</v>
      </c>
      <c r="W41" s="25">
        <f>W39-S48</f>
        <v>8197.2700000000041</v>
      </c>
      <c r="X41" s="25">
        <f>T47-S47</f>
        <v>-55621.11</v>
      </c>
      <c r="AA41" s="7" t="s">
        <v>3027</v>
      </c>
      <c r="AB41" s="6">
        <v>15</v>
      </c>
      <c r="AC41" s="6">
        <v>170476.94</v>
      </c>
    </row>
    <row r="42" spans="1:29" x14ac:dyDescent="0.25">
      <c r="A42" t="str">
        <f>tblVendas[[#This Row],[NR_SIMULACAO]]</f>
        <v>SIM1032</v>
      </c>
      <c r="B42" s="34" t="str">
        <f>_xlfn.XLOOKUP(A42,tblVendas[[#This Row],[NR_SIMULACAO]],tblVendas[[#This Row],[NR_CNPJ]],"")</f>
        <v>12.213.196/0001-70</v>
      </c>
      <c r="C42" t="str">
        <f>_xlfn.XLOOKUP(A42,tblVendas[[#This Row],[NR_SIMULACAO]],tblVendas[[#This Row],[STATUS]],"")</f>
        <v>CONCLUÍDO</v>
      </c>
      <c r="D42" t="str">
        <f>_xlfn.XLOOKUP(A42,tblVendas[[#This Row],[NR_SIMULACAO]],tblVendas[[#This Row],[MES]],"")</f>
        <v>Novembro</v>
      </c>
      <c r="E42">
        <f>SUM(_xlfn.XLOOKUP(tblCalculo[[#This Row],[NR_SIMULACAO]],tblVendas[[#This Row],[NR_SIMULACAO]],tblVendas[[#This Row],[VALOR_MOVEL]],""):_xlfn.XLOOKUP(tblCalculo[[#This Row],[NR_SIMULACAO]],tblVendas[[#This Row],[NR_SIMULACAO]],tblVendas[[#This Row],[VALOR_APARELHO]],""))</f>
        <v>2823.84</v>
      </c>
      <c r="F42">
        <f>IF(tblCalculo[[#This Row],[STATUS]]="CONCLUÍDO",_xlfn.XLOOKUP(tblCalculo[[#This Row],[NR_SIMULACAO]],tblVendas[[#This Row],[NR_SIMULACAO]],tblVendas[[#This Row],[VALOR_MOVEL]],""),0)</f>
        <v>0</v>
      </c>
      <c r="G42">
        <f>IF(tblCalculo[[#This Row],[STATUS]]="CONCLUÍDO",_xlfn.XLOOKUP(tblCalculo[[#This Row],[NR_SIMULACAO]],tblVendas[[#This Row],[NR_SIMULACAO]],tblVendas[[#This Row],[VALOR_AVANCADO]],""),0)</f>
        <v>0</v>
      </c>
      <c r="H42">
        <f>IF(tblCalculo[[#This Row],[STATUS]]="CONCLUÍDO",_xlfn.XLOOKUP(tblCalculo[[#This Row],[NR_SIMULACAO]],tblVendas[[#This Row],[NR_SIMULACAO]],tblVendas[[#This Row],[VALOR_FIXABASICA]],""),0)</f>
        <v>2823.84</v>
      </c>
      <c r="I42">
        <f>IF(tblCalculo[[#This Row],[STATUS]]="CONCLUÍDO",_xlfn.XLOOKUP(tblCalculo[[#This Row],[NR_SIMULACAO]],tblVendas[[#This Row],[NR_SIMULACAO]],tblVendas[[#This Row],[VALOR_TI]],""),0)</f>
        <v>0</v>
      </c>
      <c r="J42">
        <f>IF(tblCalculo[[#This Row],[STATUS]]="CONCLUÍDO",_xlfn.XLOOKUP(tblCalculo[[#This Row],[NR_SIMULACAO]],tblVendas[[#This Row],[NR_SIMULACAO]],tblVendas[[#This Row],[VALOR_APARELHO]],""),0)</f>
        <v>0</v>
      </c>
      <c r="K42" t="str">
        <f>IF(tblCalculo[[#This Row],[STATUS]]="NEGOCIANDO",tblCalculo[[#This Row],[VALOR_TOTAL]],"")</f>
        <v/>
      </c>
      <c r="L42" t="str">
        <f>IF(tblCalculo[[#This Row],[STATUS]]="ALÇADA",tblCalculo[[#This Row],[VALOR_TOTAL]],"")</f>
        <v/>
      </c>
      <c r="M42" t="str">
        <f>IF(tblCalculo[[#This Row],[STATUS]]="EM ANÁLISE",tblCalculo[[#This Row],[VALOR_TOTAL]],"")</f>
        <v/>
      </c>
      <c r="N42" t="str">
        <f>IF(tblCalculo[[#This Row],[STATUS]]="TRAMITANDO",tblCalculo[[#This Row],[VALOR_TOTAL]],"")</f>
        <v/>
      </c>
      <c r="O42" t="str">
        <f>IF(tblCalculo[[#This Row],[STATUS]]="PERDIDO",tblCalculo[[#This Row],[VALOR_TOTAL]],"")</f>
        <v/>
      </c>
      <c r="P42">
        <f>IF(tblCalculo[[#This Row],[STATUS]]="CONCLUÍDO",tblCalculo[[#This Row],[VALOR_TOTAL]],"")</f>
        <v>2823.84</v>
      </c>
      <c r="AA42" s="5" t="s">
        <v>48</v>
      </c>
      <c r="AB42" s="6">
        <v>13</v>
      </c>
      <c r="AC42" s="25">
        <v>128093.66000000002</v>
      </c>
    </row>
    <row r="43" spans="1:29" x14ac:dyDescent="0.25">
      <c r="A43" t="str">
        <f>tblVendas[[#This Row],[NR_SIMULACAO]]</f>
        <v>SIM1033</v>
      </c>
      <c r="B43" s="34" t="str">
        <f>_xlfn.XLOOKUP(A43,tblVendas[[#This Row],[NR_SIMULACAO]],tblVendas[[#This Row],[NR_CNPJ]],"")</f>
        <v>22.638.675/0001-58</v>
      </c>
      <c r="C43" t="str">
        <f>_xlfn.XLOOKUP(A43,tblVendas[[#This Row],[NR_SIMULACAO]],tblVendas[[#This Row],[STATUS]],"")</f>
        <v>NEGOCIANDO</v>
      </c>
      <c r="D43" t="str">
        <f>_xlfn.XLOOKUP(A43,tblVendas[[#This Row],[NR_SIMULACAO]],tblVendas[[#This Row],[MES]],"")</f>
        <v>Setembro</v>
      </c>
      <c r="E43">
        <f>SUM(_xlfn.XLOOKUP(tblCalculo[[#This Row],[NR_SIMULACAO]],tblVendas[[#This Row],[NR_SIMULACAO]],tblVendas[[#This Row],[VALOR_MOVEL]],""):_xlfn.XLOOKUP(tblCalculo[[#This Row],[NR_SIMULACAO]],tblVendas[[#This Row],[NR_SIMULACAO]],tblVendas[[#This Row],[VALOR_APARELHO]],""))</f>
        <v>2445.63</v>
      </c>
      <c r="F43">
        <f>IF(tblCalculo[[#This Row],[STATUS]]="CONCLUÍDO",_xlfn.XLOOKUP(tblCalculo[[#This Row],[NR_SIMULACAO]],tblVendas[[#This Row],[NR_SIMULACAO]],tblVendas[[#This Row],[VALOR_MOVEL]],""),0)</f>
        <v>0</v>
      </c>
      <c r="G43">
        <f>IF(tblCalculo[[#This Row],[STATUS]]="CONCLUÍDO",_xlfn.XLOOKUP(tblCalculo[[#This Row],[NR_SIMULACAO]],tblVendas[[#This Row],[NR_SIMULACAO]],tblVendas[[#This Row],[VALOR_AVANCADO]],""),0)</f>
        <v>0</v>
      </c>
      <c r="H43">
        <f>IF(tblCalculo[[#This Row],[STATUS]]="CONCLUÍDO",_xlfn.XLOOKUP(tblCalculo[[#This Row],[NR_SIMULACAO]],tblVendas[[#This Row],[NR_SIMULACAO]],tblVendas[[#This Row],[VALOR_FIXABASICA]],""),0)</f>
        <v>0</v>
      </c>
      <c r="I43">
        <f>IF(tblCalculo[[#This Row],[STATUS]]="CONCLUÍDO",_xlfn.XLOOKUP(tblCalculo[[#This Row],[NR_SIMULACAO]],tblVendas[[#This Row],[NR_SIMULACAO]],tblVendas[[#This Row],[VALOR_TI]],""),0)</f>
        <v>0</v>
      </c>
      <c r="J43">
        <f>IF(tblCalculo[[#This Row],[STATUS]]="CONCLUÍDO",_xlfn.XLOOKUP(tblCalculo[[#This Row],[NR_SIMULACAO]],tblVendas[[#This Row],[NR_SIMULACAO]],tblVendas[[#This Row],[VALOR_APARELHO]],""),0)</f>
        <v>0</v>
      </c>
      <c r="K43">
        <f>IF(tblCalculo[[#This Row],[STATUS]]="NEGOCIANDO",tblCalculo[[#This Row],[VALOR_TOTAL]],"")</f>
        <v>2445.63</v>
      </c>
      <c r="L43" t="str">
        <f>IF(tblCalculo[[#This Row],[STATUS]]="ALÇADA",tblCalculo[[#This Row],[VALOR_TOTAL]],"")</f>
        <v/>
      </c>
      <c r="M43" t="str">
        <f>IF(tblCalculo[[#This Row],[STATUS]]="EM ANÁLISE",tblCalculo[[#This Row],[VALOR_TOTAL]],"")</f>
        <v/>
      </c>
      <c r="N43" t="str">
        <f>IF(tblCalculo[[#This Row],[STATUS]]="TRAMITANDO",tblCalculo[[#This Row],[VALOR_TOTAL]],"")</f>
        <v/>
      </c>
      <c r="O43" t="str">
        <f>IF(tblCalculo[[#This Row],[STATUS]]="PERDIDO",tblCalculo[[#This Row],[VALOR_TOTAL]],"")</f>
        <v/>
      </c>
      <c r="P43" t="str">
        <f>IF(tblCalculo[[#This Row],[STATUS]]="CONCLUÍDO",tblCalculo[[#This Row],[VALOR_TOTAL]],"")</f>
        <v/>
      </c>
      <c r="AA43" s="7" t="s">
        <v>3027</v>
      </c>
      <c r="AB43" s="6">
        <v>13</v>
      </c>
      <c r="AC43" s="6">
        <v>128093.66000000002</v>
      </c>
    </row>
    <row r="44" spans="1:29" x14ac:dyDescent="0.25">
      <c r="A44" t="str">
        <f>tblVendas[[#This Row],[NR_SIMULACAO]]</f>
        <v>SIM1034</v>
      </c>
      <c r="B44" s="34" t="str">
        <f>_xlfn.XLOOKUP(A44,tblVendas[[#This Row],[NR_SIMULACAO]],tblVendas[[#This Row],[NR_CNPJ]],"")</f>
        <v>95.904.722/0001-73</v>
      </c>
      <c r="C44" t="str">
        <f>_xlfn.XLOOKUP(A44,tblVendas[[#This Row],[NR_SIMULACAO]],tblVendas[[#This Row],[STATUS]],"")</f>
        <v>ALÇADA</v>
      </c>
      <c r="D44" t="str">
        <f>_xlfn.XLOOKUP(A44,tblVendas[[#This Row],[NR_SIMULACAO]],tblVendas[[#This Row],[MES]],"")</f>
        <v>Julho</v>
      </c>
      <c r="E44">
        <f>SUM(_xlfn.XLOOKUP(tblCalculo[[#This Row],[NR_SIMULACAO]],tblVendas[[#This Row],[NR_SIMULACAO]],tblVendas[[#This Row],[VALOR_MOVEL]],""):_xlfn.XLOOKUP(tblCalculo[[#This Row],[NR_SIMULACAO]],tblVendas[[#This Row],[NR_SIMULACAO]],tblVendas[[#This Row],[VALOR_APARELHO]],""))</f>
        <v>767.08</v>
      </c>
      <c r="F44">
        <f>IF(tblCalculo[[#This Row],[STATUS]]="CONCLUÍDO",_xlfn.XLOOKUP(tblCalculo[[#This Row],[NR_SIMULACAO]],tblVendas[[#This Row],[NR_SIMULACAO]],tblVendas[[#This Row],[VALOR_MOVEL]],""),0)</f>
        <v>0</v>
      </c>
      <c r="G44">
        <f>IF(tblCalculo[[#This Row],[STATUS]]="CONCLUÍDO",_xlfn.XLOOKUP(tblCalculo[[#This Row],[NR_SIMULACAO]],tblVendas[[#This Row],[NR_SIMULACAO]],tblVendas[[#This Row],[VALOR_AVANCADO]],""),0)</f>
        <v>0</v>
      </c>
      <c r="H44">
        <f>IF(tblCalculo[[#This Row],[STATUS]]="CONCLUÍDO",_xlfn.XLOOKUP(tblCalculo[[#This Row],[NR_SIMULACAO]],tblVendas[[#This Row],[NR_SIMULACAO]],tblVendas[[#This Row],[VALOR_FIXABASICA]],""),0)</f>
        <v>0</v>
      </c>
      <c r="I44">
        <f>IF(tblCalculo[[#This Row],[STATUS]]="CONCLUÍDO",_xlfn.XLOOKUP(tblCalculo[[#This Row],[NR_SIMULACAO]],tblVendas[[#This Row],[NR_SIMULACAO]],tblVendas[[#This Row],[VALOR_TI]],""),0)</f>
        <v>0</v>
      </c>
      <c r="J44">
        <f>IF(tblCalculo[[#This Row],[STATUS]]="CONCLUÍDO",_xlfn.XLOOKUP(tblCalculo[[#This Row],[NR_SIMULACAO]],tblVendas[[#This Row],[NR_SIMULACAO]],tblVendas[[#This Row],[VALOR_APARELHO]],""),0)</f>
        <v>0</v>
      </c>
      <c r="K44" t="str">
        <f>IF(tblCalculo[[#This Row],[STATUS]]="NEGOCIANDO",tblCalculo[[#This Row],[VALOR_TOTAL]],"")</f>
        <v/>
      </c>
      <c r="L44">
        <f>IF(tblCalculo[[#This Row],[STATUS]]="ALÇADA",tblCalculo[[#This Row],[VALOR_TOTAL]],"")</f>
        <v>767.08</v>
      </c>
      <c r="M44" t="str">
        <f>IF(tblCalculo[[#This Row],[STATUS]]="EM ANÁLISE",tblCalculo[[#This Row],[VALOR_TOTAL]],"")</f>
        <v/>
      </c>
      <c r="N44" t="str">
        <f>IF(tblCalculo[[#This Row],[STATUS]]="TRAMITANDO",tblCalculo[[#This Row],[VALOR_TOTAL]],"")</f>
        <v/>
      </c>
      <c r="O44" t="str">
        <f>IF(tblCalculo[[#This Row],[STATUS]]="PERDIDO",tblCalculo[[#This Row],[VALOR_TOTAL]],"")</f>
        <v/>
      </c>
      <c r="P44" t="str">
        <f>IF(tblCalculo[[#This Row],[STATUS]]="CONCLUÍDO",tblCalculo[[#This Row],[VALOR_TOTAL]],"")</f>
        <v/>
      </c>
      <c r="AA44" s="5" t="s">
        <v>79</v>
      </c>
      <c r="AB44" s="6">
        <v>17</v>
      </c>
      <c r="AC44" s="25">
        <v>180733.71000000002</v>
      </c>
    </row>
    <row r="45" spans="1:29" x14ac:dyDescent="0.25">
      <c r="A45" t="str">
        <f>tblVendas[[#This Row],[NR_SIMULACAO]]</f>
        <v>SIM1035</v>
      </c>
      <c r="B45" s="34" t="str">
        <f>_xlfn.XLOOKUP(A45,tblVendas[[#This Row],[NR_SIMULACAO]],tblVendas[[#This Row],[NR_CNPJ]],"")</f>
        <v>87.591.829/0001-54</v>
      </c>
      <c r="C45" t="str">
        <f>_xlfn.XLOOKUP(A45,tblVendas[[#This Row],[NR_SIMULACAO]],tblVendas[[#This Row],[STATUS]],"")</f>
        <v>EM ANÁLISE</v>
      </c>
      <c r="D45" t="str">
        <f>_xlfn.XLOOKUP(A45,tblVendas[[#This Row],[NR_SIMULACAO]],tblVendas[[#This Row],[MES]],"")</f>
        <v>Dezembro</v>
      </c>
      <c r="E45">
        <f>SUM(_xlfn.XLOOKUP(tblCalculo[[#This Row],[NR_SIMULACAO]],tblVendas[[#This Row],[NR_SIMULACAO]],tblVendas[[#This Row],[VALOR_MOVEL]],""):_xlfn.XLOOKUP(tblCalculo[[#This Row],[NR_SIMULACAO]],tblVendas[[#This Row],[NR_SIMULACAO]],tblVendas[[#This Row],[VALOR_APARELHO]],""))</f>
        <v>2463.62</v>
      </c>
      <c r="F45">
        <f>IF(tblCalculo[[#This Row],[STATUS]]="CONCLUÍDO",_xlfn.XLOOKUP(tblCalculo[[#This Row],[NR_SIMULACAO]],tblVendas[[#This Row],[NR_SIMULACAO]],tblVendas[[#This Row],[VALOR_MOVEL]],""),0)</f>
        <v>0</v>
      </c>
      <c r="G45">
        <f>IF(tblCalculo[[#This Row],[STATUS]]="CONCLUÍDO",_xlfn.XLOOKUP(tblCalculo[[#This Row],[NR_SIMULACAO]],tblVendas[[#This Row],[NR_SIMULACAO]],tblVendas[[#This Row],[VALOR_AVANCADO]],""),0)</f>
        <v>0</v>
      </c>
      <c r="H45">
        <f>IF(tblCalculo[[#This Row],[STATUS]]="CONCLUÍDO",_xlfn.XLOOKUP(tblCalculo[[#This Row],[NR_SIMULACAO]],tblVendas[[#This Row],[NR_SIMULACAO]],tblVendas[[#This Row],[VALOR_FIXABASICA]],""),0)</f>
        <v>0</v>
      </c>
      <c r="I45">
        <f>IF(tblCalculo[[#This Row],[STATUS]]="CONCLUÍDO",_xlfn.XLOOKUP(tblCalculo[[#This Row],[NR_SIMULACAO]],tblVendas[[#This Row],[NR_SIMULACAO]],tblVendas[[#This Row],[VALOR_TI]],""),0)</f>
        <v>0</v>
      </c>
      <c r="J45">
        <f>IF(tblCalculo[[#This Row],[STATUS]]="CONCLUÍDO",_xlfn.XLOOKUP(tblCalculo[[#This Row],[NR_SIMULACAO]],tblVendas[[#This Row],[NR_SIMULACAO]],tblVendas[[#This Row],[VALOR_APARELHO]],""),0)</f>
        <v>0</v>
      </c>
      <c r="K45" t="str">
        <f>IF(tblCalculo[[#This Row],[STATUS]]="NEGOCIANDO",tblCalculo[[#This Row],[VALOR_TOTAL]],"")</f>
        <v/>
      </c>
      <c r="L45" t="str">
        <f>IF(tblCalculo[[#This Row],[STATUS]]="ALÇADA",tblCalculo[[#This Row],[VALOR_TOTAL]],"")</f>
        <v/>
      </c>
      <c r="M45">
        <f>IF(tblCalculo[[#This Row],[STATUS]]="EM ANÁLISE",tblCalculo[[#This Row],[VALOR_TOTAL]],"")</f>
        <v>2463.62</v>
      </c>
      <c r="N45" t="str">
        <f>IF(tblCalculo[[#This Row],[STATUS]]="TRAMITANDO",tblCalculo[[#This Row],[VALOR_TOTAL]],"")</f>
        <v/>
      </c>
      <c r="O45" t="str">
        <f>IF(tblCalculo[[#This Row],[STATUS]]="PERDIDO",tblCalculo[[#This Row],[VALOR_TOTAL]],"")</f>
        <v/>
      </c>
      <c r="P45" t="str">
        <f>IF(tblCalculo[[#This Row],[STATUS]]="CONCLUÍDO",tblCalculo[[#This Row],[VALOR_TOTAL]],"")</f>
        <v/>
      </c>
      <c r="AA45" s="7" t="s">
        <v>3027</v>
      </c>
      <c r="AB45" s="6">
        <v>17</v>
      </c>
      <c r="AC45" s="6">
        <v>180733.71000000002</v>
      </c>
    </row>
    <row r="46" spans="1:29" x14ac:dyDescent="0.25">
      <c r="A46" t="str">
        <f>tblVendas[[#This Row],[NR_SIMULACAO]]</f>
        <v>SIM1036</v>
      </c>
      <c r="B46" s="34" t="str">
        <f>_xlfn.XLOOKUP(A46,tblVendas[[#This Row],[NR_SIMULACAO]],tblVendas[[#This Row],[NR_CNPJ]],"")</f>
        <v>68.683.962/0001-90</v>
      </c>
      <c r="C46" t="str">
        <f>_xlfn.XLOOKUP(A46,tblVendas[[#This Row],[NR_SIMULACAO]],tblVendas[[#This Row],[STATUS]],"")</f>
        <v>EM ANÁLISE</v>
      </c>
      <c r="D46" t="str">
        <f>_xlfn.XLOOKUP(A46,tblVendas[[#This Row],[NR_SIMULACAO]],tblVendas[[#This Row],[MES]],"")</f>
        <v>Fevereiro</v>
      </c>
      <c r="E46">
        <f>SUM(_xlfn.XLOOKUP(tblCalculo[[#This Row],[NR_SIMULACAO]],tblVendas[[#This Row],[NR_SIMULACAO]],tblVendas[[#This Row],[VALOR_MOVEL]],""):_xlfn.XLOOKUP(tblCalculo[[#This Row],[NR_SIMULACAO]],tblVendas[[#This Row],[NR_SIMULACAO]],tblVendas[[#This Row],[VALOR_APARELHO]],""))</f>
        <v>8687.7000000000007</v>
      </c>
      <c r="F46">
        <f>IF(tblCalculo[[#This Row],[STATUS]]="CONCLUÍDO",_xlfn.XLOOKUP(tblCalculo[[#This Row],[NR_SIMULACAO]],tblVendas[[#This Row],[NR_SIMULACAO]],tblVendas[[#This Row],[VALOR_MOVEL]],""),0)</f>
        <v>0</v>
      </c>
      <c r="G46">
        <f>IF(tblCalculo[[#This Row],[STATUS]]="CONCLUÍDO",_xlfn.XLOOKUP(tblCalculo[[#This Row],[NR_SIMULACAO]],tblVendas[[#This Row],[NR_SIMULACAO]],tblVendas[[#This Row],[VALOR_AVANCADO]],""),0)</f>
        <v>0</v>
      </c>
      <c r="H46">
        <f>IF(tblCalculo[[#This Row],[STATUS]]="CONCLUÍDO",_xlfn.XLOOKUP(tblCalculo[[#This Row],[NR_SIMULACAO]],tblVendas[[#This Row],[NR_SIMULACAO]],tblVendas[[#This Row],[VALOR_FIXABASICA]],""),0)</f>
        <v>0</v>
      </c>
      <c r="I46">
        <f>IF(tblCalculo[[#This Row],[STATUS]]="CONCLUÍDO",_xlfn.XLOOKUP(tblCalculo[[#This Row],[NR_SIMULACAO]],tblVendas[[#This Row],[NR_SIMULACAO]],tblVendas[[#This Row],[VALOR_TI]],""),0)</f>
        <v>0</v>
      </c>
      <c r="J46">
        <f>IF(tblCalculo[[#This Row],[STATUS]]="CONCLUÍDO",_xlfn.XLOOKUP(tblCalculo[[#This Row],[NR_SIMULACAO]],tblVendas[[#This Row],[NR_SIMULACAO]],tblVendas[[#This Row],[VALOR_APARELHO]],""),0)</f>
        <v>0</v>
      </c>
      <c r="K46" t="str">
        <f>IF(tblCalculo[[#This Row],[STATUS]]="NEGOCIANDO",tblCalculo[[#This Row],[VALOR_TOTAL]],"")</f>
        <v/>
      </c>
      <c r="L46" t="str">
        <f>IF(tblCalculo[[#This Row],[STATUS]]="ALÇADA",tblCalculo[[#This Row],[VALOR_TOTAL]],"")</f>
        <v/>
      </c>
      <c r="M46">
        <f>IF(tblCalculo[[#This Row],[STATUS]]="EM ANÁLISE",tblCalculo[[#This Row],[VALOR_TOTAL]],"")</f>
        <v>8687.7000000000007</v>
      </c>
      <c r="N46" t="str">
        <f>IF(tblCalculo[[#This Row],[STATUS]]="TRAMITANDO",tblCalculo[[#This Row],[VALOR_TOTAL]],"")</f>
        <v/>
      </c>
      <c r="O46" t="str">
        <f>IF(tblCalculo[[#This Row],[STATUS]]="PERDIDO",tblCalculo[[#This Row],[VALOR_TOTAL]],"")</f>
        <v/>
      </c>
      <c r="P46" t="str">
        <f>IF(tblCalculo[[#This Row],[STATUS]]="CONCLUÍDO",tblCalculo[[#This Row],[VALOR_TOTAL]],"")</f>
        <v/>
      </c>
      <c r="S46" t="s">
        <v>3079</v>
      </c>
      <c r="T46" t="s">
        <v>3077</v>
      </c>
      <c r="U46" t="s">
        <v>3060</v>
      </c>
      <c r="V46" t="s">
        <v>3061</v>
      </c>
      <c r="W46" t="s">
        <v>3078</v>
      </c>
      <c r="AA46" s="5" t="s">
        <v>19</v>
      </c>
      <c r="AB46" s="6">
        <v>15</v>
      </c>
      <c r="AC46" s="25">
        <v>157269.79999999996</v>
      </c>
    </row>
    <row r="47" spans="1:29" x14ac:dyDescent="0.25">
      <c r="A47" t="str">
        <f>tblVendas[[#This Row],[NR_SIMULACAO]]</f>
        <v>SIM1037</v>
      </c>
      <c r="B47" s="34" t="str">
        <f>_xlfn.XLOOKUP(A47,tblVendas[[#This Row],[NR_SIMULACAO]],tblVendas[[#This Row],[NR_CNPJ]],"")</f>
        <v>77.700.705/0001-43</v>
      </c>
      <c r="C47" t="str">
        <f>_xlfn.XLOOKUP(A47,tblVendas[[#This Row],[NR_SIMULACAO]],tblVendas[[#This Row],[STATUS]],"")</f>
        <v>ALÇADA</v>
      </c>
      <c r="D47" t="str">
        <f>_xlfn.XLOOKUP(A47,tblVendas[[#This Row],[NR_SIMULACAO]],tblVendas[[#This Row],[MES]],"")</f>
        <v>Junho</v>
      </c>
      <c r="E47">
        <f>SUM(_xlfn.XLOOKUP(tblCalculo[[#This Row],[NR_SIMULACAO]],tblVendas[[#This Row],[NR_SIMULACAO]],tblVendas[[#This Row],[VALOR_MOVEL]],""):_xlfn.XLOOKUP(tblCalculo[[#This Row],[NR_SIMULACAO]],tblVendas[[#This Row],[NR_SIMULACAO]],tblVendas[[#This Row],[VALOR_APARELHO]],""))</f>
        <v>4214.6499999999996</v>
      </c>
      <c r="F47">
        <f>IF(tblCalculo[[#This Row],[STATUS]]="CONCLUÍDO",_xlfn.XLOOKUP(tblCalculo[[#This Row],[NR_SIMULACAO]],tblVendas[[#This Row],[NR_SIMULACAO]],tblVendas[[#This Row],[VALOR_MOVEL]],""),0)</f>
        <v>0</v>
      </c>
      <c r="G47">
        <f>IF(tblCalculo[[#This Row],[STATUS]]="CONCLUÍDO",_xlfn.XLOOKUP(tblCalculo[[#This Row],[NR_SIMULACAO]],tblVendas[[#This Row],[NR_SIMULACAO]],tblVendas[[#This Row],[VALOR_AVANCADO]],""),0)</f>
        <v>0</v>
      </c>
      <c r="H47">
        <f>IF(tblCalculo[[#This Row],[STATUS]]="CONCLUÍDO",_xlfn.XLOOKUP(tblCalculo[[#This Row],[NR_SIMULACAO]],tblVendas[[#This Row],[NR_SIMULACAO]],tblVendas[[#This Row],[VALOR_FIXABASICA]],""),0)</f>
        <v>0</v>
      </c>
      <c r="I47">
        <f>IF(tblCalculo[[#This Row],[STATUS]]="CONCLUÍDO",_xlfn.XLOOKUP(tblCalculo[[#This Row],[NR_SIMULACAO]],tblVendas[[#This Row],[NR_SIMULACAO]],tblVendas[[#This Row],[VALOR_TI]],""),0)</f>
        <v>0</v>
      </c>
      <c r="J47">
        <f>IF(tblCalculo[[#This Row],[STATUS]]="CONCLUÍDO",_xlfn.XLOOKUP(tblCalculo[[#This Row],[NR_SIMULACAO]],tblVendas[[#This Row],[NR_SIMULACAO]],tblVendas[[#This Row],[VALOR_APARELHO]],""),0)</f>
        <v>0</v>
      </c>
      <c r="K47" t="str">
        <f>IF(tblCalculo[[#This Row],[STATUS]]="NEGOCIANDO",tblCalculo[[#This Row],[VALOR_TOTAL]],"")</f>
        <v/>
      </c>
      <c r="L47">
        <f>IF(tblCalculo[[#This Row],[STATUS]]="ALÇADA",tblCalculo[[#This Row],[VALOR_TOTAL]],"")</f>
        <v>4214.6499999999996</v>
      </c>
      <c r="M47" t="str">
        <f>IF(tblCalculo[[#This Row],[STATUS]]="EM ANÁLISE",tblCalculo[[#This Row],[VALOR_TOTAL]],"")</f>
        <v/>
      </c>
      <c r="N47" t="str">
        <f>IF(tblCalculo[[#This Row],[STATUS]]="TRAMITANDO",tblCalculo[[#This Row],[VALOR_TOTAL]],"")</f>
        <v/>
      </c>
      <c r="O47" t="str">
        <f>IF(tblCalculo[[#This Row],[STATUS]]="PERDIDO",tblCalculo[[#This Row],[VALOR_TOTAL]],"")</f>
        <v/>
      </c>
      <c r="P47" t="str">
        <f>IF(tblCalculo[[#This Row],[STATUS]]="CONCLUÍDO",tblCalculo[[#This Row],[VALOR_TOTAL]],"")</f>
        <v/>
      </c>
      <c r="R47" s="5" t="s">
        <v>3076</v>
      </c>
      <c r="S47">
        <v>130000</v>
      </c>
      <c r="T47" s="25">
        <f>SUM(S39:V39)</f>
        <v>74378.89</v>
      </c>
      <c r="U47" s="23">
        <f>T47/S47</f>
        <v>0.57214530769230765</v>
      </c>
      <c r="V47" s="23">
        <f>IFERROR(_xlfn.XLOOKUP(U47,R4:R22,T4:T22,,-1,1),0)</f>
        <v>0.3</v>
      </c>
      <c r="W47" s="25">
        <f>T47*V47</f>
        <v>22313.666999999998</v>
      </c>
      <c r="AA47" s="7" t="s">
        <v>3027</v>
      </c>
      <c r="AB47" s="6">
        <v>15</v>
      </c>
      <c r="AC47" s="6">
        <v>157269.79999999996</v>
      </c>
    </row>
    <row r="48" spans="1:29" x14ac:dyDescent="0.25">
      <c r="A48" t="str">
        <f>tblVendas[[#This Row],[NR_SIMULACAO]]</f>
        <v>SIM1038</v>
      </c>
      <c r="B48" s="34" t="str">
        <f>_xlfn.XLOOKUP(A48,tblVendas[[#This Row],[NR_SIMULACAO]],tblVendas[[#This Row],[NR_CNPJ]],"")</f>
        <v>68.186.111/0001-21</v>
      </c>
      <c r="C48" t="str">
        <f>_xlfn.XLOOKUP(A48,tblVendas[[#This Row],[NR_SIMULACAO]],tblVendas[[#This Row],[STATUS]],"")</f>
        <v>PERDIDO</v>
      </c>
      <c r="D48" t="str">
        <f>_xlfn.XLOOKUP(A48,tblVendas[[#This Row],[NR_SIMULACAO]],tblVendas[[#This Row],[MES]],"")</f>
        <v>Dezembro</v>
      </c>
      <c r="E48">
        <f>SUM(_xlfn.XLOOKUP(tblCalculo[[#This Row],[NR_SIMULACAO]],tblVendas[[#This Row],[NR_SIMULACAO]],tblVendas[[#This Row],[VALOR_MOVEL]],""):_xlfn.XLOOKUP(tblCalculo[[#This Row],[NR_SIMULACAO]],tblVendas[[#This Row],[NR_SIMULACAO]],tblVendas[[#This Row],[VALOR_APARELHO]],""))</f>
        <v>12511.29</v>
      </c>
      <c r="F48">
        <f>IF(tblCalculo[[#This Row],[STATUS]]="CONCLUÍDO",_xlfn.XLOOKUP(tblCalculo[[#This Row],[NR_SIMULACAO]],tblVendas[[#This Row],[NR_SIMULACAO]],tblVendas[[#This Row],[VALOR_MOVEL]],""),0)</f>
        <v>0</v>
      </c>
      <c r="G48">
        <f>IF(tblCalculo[[#This Row],[STATUS]]="CONCLUÍDO",_xlfn.XLOOKUP(tblCalculo[[#This Row],[NR_SIMULACAO]],tblVendas[[#This Row],[NR_SIMULACAO]],tblVendas[[#This Row],[VALOR_AVANCADO]],""),0)</f>
        <v>0</v>
      </c>
      <c r="H48">
        <f>IF(tblCalculo[[#This Row],[STATUS]]="CONCLUÍDO",_xlfn.XLOOKUP(tblCalculo[[#This Row],[NR_SIMULACAO]],tblVendas[[#This Row],[NR_SIMULACAO]],tblVendas[[#This Row],[VALOR_FIXABASICA]],""),0)</f>
        <v>0</v>
      </c>
      <c r="I48">
        <f>IF(tblCalculo[[#This Row],[STATUS]]="CONCLUÍDO",_xlfn.XLOOKUP(tblCalculo[[#This Row],[NR_SIMULACAO]],tblVendas[[#This Row],[NR_SIMULACAO]],tblVendas[[#This Row],[VALOR_TI]],""),0)</f>
        <v>0</v>
      </c>
      <c r="J48">
        <f>IF(tblCalculo[[#This Row],[STATUS]]="CONCLUÍDO",_xlfn.XLOOKUP(tblCalculo[[#This Row],[NR_SIMULACAO]],tblVendas[[#This Row],[NR_SIMULACAO]],tblVendas[[#This Row],[VALOR_APARELHO]],""),0)</f>
        <v>0</v>
      </c>
      <c r="K48" t="str">
        <f>IF(tblCalculo[[#This Row],[STATUS]]="NEGOCIANDO",tblCalculo[[#This Row],[VALOR_TOTAL]],"")</f>
        <v/>
      </c>
      <c r="L48" t="str">
        <f>IF(tblCalculo[[#This Row],[STATUS]]="ALÇADA",tblCalculo[[#This Row],[VALOR_TOTAL]],"")</f>
        <v/>
      </c>
      <c r="M48" t="str">
        <f>IF(tblCalculo[[#This Row],[STATUS]]="EM ANÁLISE",tblCalculo[[#This Row],[VALOR_TOTAL]],"")</f>
        <v/>
      </c>
      <c r="N48" t="str">
        <f>IF(tblCalculo[[#This Row],[STATUS]]="TRAMITANDO",tblCalculo[[#This Row],[VALOR_TOTAL]],"")</f>
        <v/>
      </c>
      <c r="O48">
        <f>IF(tblCalculo[[#This Row],[STATUS]]="PERDIDO",tblCalculo[[#This Row],[VALOR_TOTAL]],"")</f>
        <v>12511.29</v>
      </c>
      <c r="P48" t="str">
        <f>IF(tblCalculo[[#This Row],[STATUS]]="CONCLUÍDO",tblCalculo[[#This Row],[VALOR_TOTAL]],"")</f>
        <v/>
      </c>
      <c r="R48" s="5" t="s">
        <v>3062</v>
      </c>
      <c r="S48">
        <f>S47*0.2</f>
        <v>26000</v>
      </c>
      <c r="T48" s="25">
        <f>W39</f>
        <v>34197.270000000004</v>
      </c>
      <c r="U48" s="23">
        <f>T48/S48</f>
        <v>1.3152796153846156</v>
      </c>
      <c r="V48" s="26">
        <f>IFERROR(_xlfn.XLOOKUP(U48,R4:R22,U4:U22,,-1,1),0)</f>
        <v>1.1000000000000003E-2</v>
      </c>
      <c r="W48" s="25">
        <f>T48*U48</f>
        <v>44978.972132803858</v>
      </c>
      <c r="AA48" s="5" t="s">
        <v>3041</v>
      </c>
      <c r="AB48" s="6">
        <v>180</v>
      </c>
      <c r="AC48" s="6">
        <v>1761500.7500000012</v>
      </c>
    </row>
    <row r="49" spans="1:23" x14ac:dyDescent="0.25">
      <c r="A49" t="str">
        <f>tblVendas[[#This Row],[NR_SIMULACAO]]</f>
        <v>SIM1039</v>
      </c>
      <c r="B49" s="34" t="str">
        <f>_xlfn.XLOOKUP(A49,tblVendas[[#This Row],[NR_SIMULACAO]],tblVendas[[#This Row],[NR_CNPJ]],"")</f>
        <v>23.747.771/0001-77</v>
      </c>
      <c r="C49" t="str">
        <f>_xlfn.XLOOKUP(A49,tblVendas[[#This Row],[NR_SIMULACAO]],tblVendas[[#This Row],[STATUS]],"")</f>
        <v>ALÇADA</v>
      </c>
      <c r="D49" t="str">
        <f>_xlfn.XLOOKUP(A49,tblVendas[[#This Row],[NR_SIMULACAO]],tblVendas[[#This Row],[MES]],"")</f>
        <v>Abril</v>
      </c>
      <c r="E49">
        <f>SUM(_xlfn.XLOOKUP(tblCalculo[[#This Row],[NR_SIMULACAO]],tblVendas[[#This Row],[NR_SIMULACAO]],tblVendas[[#This Row],[VALOR_MOVEL]],""):_xlfn.XLOOKUP(tblCalculo[[#This Row],[NR_SIMULACAO]],tblVendas[[#This Row],[NR_SIMULACAO]],tblVendas[[#This Row],[VALOR_APARELHO]],""))</f>
        <v>12208.41</v>
      </c>
      <c r="F49">
        <f>IF(tblCalculo[[#This Row],[STATUS]]="CONCLUÍDO",_xlfn.XLOOKUP(tblCalculo[[#This Row],[NR_SIMULACAO]],tblVendas[[#This Row],[NR_SIMULACAO]],tblVendas[[#This Row],[VALOR_MOVEL]],""),0)</f>
        <v>0</v>
      </c>
      <c r="G49">
        <f>IF(tblCalculo[[#This Row],[STATUS]]="CONCLUÍDO",_xlfn.XLOOKUP(tblCalculo[[#This Row],[NR_SIMULACAO]],tblVendas[[#This Row],[NR_SIMULACAO]],tblVendas[[#This Row],[VALOR_AVANCADO]],""),0)</f>
        <v>0</v>
      </c>
      <c r="H49">
        <f>IF(tblCalculo[[#This Row],[STATUS]]="CONCLUÍDO",_xlfn.XLOOKUP(tblCalculo[[#This Row],[NR_SIMULACAO]],tblVendas[[#This Row],[NR_SIMULACAO]],tblVendas[[#This Row],[VALOR_FIXABASICA]],""),0)</f>
        <v>0</v>
      </c>
      <c r="I49">
        <f>IF(tblCalculo[[#This Row],[STATUS]]="CONCLUÍDO",_xlfn.XLOOKUP(tblCalculo[[#This Row],[NR_SIMULACAO]],tblVendas[[#This Row],[NR_SIMULACAO]],tblVendas[[#This Row],[VALOR_TI]],""),0)</f>
        <v>0</v>
      </c>
      <c r="J49">
        <f>IF(tblCalculo[[#This Row],[STATUS]]="CONCLUÍDO",_xlfn.XLOOKUP(tblCalculo[[#This Row],[NR_SIMULACAO]],tblVendas[[#This Row],[NR_SIMULACAO]],tblVendas[[#This Row],[VALOR_APARELHO]],""),0)</f>
        <v>0</v>
      </c>
      <c r="K49" t="str">
        <f>IF(tblCalculo[[#This Row],[STATUS]]="NEGOCIANDO",tblCalculo[[#This Row],[VALOR_TOTAL]],"")</f>
        <v/>
      </c>
      <c r="L49">
        <f>IF(tblCalculo[[#This Row],[STATUS]]="ALÇADA",tblCalculo[[#This Row],[VALOR_TOTAL]],"")</f>
        <v>12208.41</v>
      </c>
      <c r="M49" t="str">
        <f>IF(tblCalculo[[#This Row],[STATUS]]="EM ANÁLISE",tblCalculo[[#This Row],[VALOR_TOTAL]],"")</f>
        <v/>
      </c>
      <c r="N49" t="str">
        <f>IF(tblCalculo[[#This Row],[STATUS]]="TRAMITANDO",tblCalculo[[#This Row],[VALOR_TOTAL]],"")</f>
        <v/>
      </c>
      <c r="O49" t="str">
        <f>IF(tblCalculo[[#This Row],[STATUS]]="PERDIDO",tblCalculo[[#This Row],[VALOR_TOTAL]],"")</f>
        <v/>
      </c>
      <c r="P49" t="str">
        <f>IF(tblCalculo[[#This Row],[STATUS]]="CONCLUÍDO",tblCalculo[[#This Row],[VALOR_TOTAL]],"")</f>
        <v/>
      </c>
      <c r="R49" s="5" t="s">
        <v>3063</v>
      </c>
      <c r="T49" s="25">
        <f>SUM(T47:T48)</f>
        <v>108576.16</v>
      </c>
      <c r="U49" s="23">
        <f>(U47+U48)/2</f>
        <v>0.94371246153846156</v>
      </c>
      <c r="V49" s="23">
        <f>(V47+V48)/2</f>
        <v>0.1555</v>
      </c>
      <c r="W49" s="25">
        <f>SUM(W47:W48)</f>
        <v>67292.639132803859</v>
      </c>
    </row>
    <row r="50" spans="1:23" x14ac:dyDescent="0.25">
      <c r="A50" t="str">
        <f>tblVendas[[#This Row],[NR_SIMULACAO]]</f>
        <v>SIM1040</v>
      </c>
      <c r="B50" s="34" t="str">
        <f>_xlfn.XLOOKUP(A50,tblVendas[[#This Row],[NR_SIMULACAO]],tblVendas[[#This Row],[NR_CNPJ]],"")</f>
        <v>34.330.504/0001-96</v>
      </c>
      <c r="C50" t="str">
        <f>_xlfn.XLOOKUP(A50,tblVendas[[#This Row],[NR_SIMULACAO]],tblVendas[[#This Row],[STATUS]],"")</f>
        <v>TRAMITANDO</v>
      </c>
      <c r="D50" t="str">
        <f>_xlfn.XLOOKUP(A50,tblVendas[[#This Row],[NR_SIMULACAO]],tblVendas[[#This Row],[MES]],"")</f>
        <v>Agosto</v>
      </c>
      <c r="E50">
        <f>SUM(_xlfn.XLOOKUP(tblCalculo[[#This Row],[NR_SIMULACAO]],tblVendas[[#This Row],[NR_SIMULACAO]],tblVendas[[#This Row],[VALOR_MOVEL]],""):_xlfn.XLOOKUP(tblCalculo[[#This Row],[NR_SIMULACAO]],tblVendas[[#This Row],[NR_SIMULACAO]],tblVendas[[#This Row],[VALOR_APARELHO]],""))</f>
        <v>9141.91</v>
      </c>
      <c r="F50">
        <f>IF(tblCalculo[[#This Row],[STATUS]]="CONCLUÍDO",_xlfn.XLOOKUP(tblCalculo[[#This Row],[NR_SIMULACAO]],tblVendas[[#This Row],[NR_SIMULACAO]],tblVendas[[#This Row],[VALOR_MOVEL]],""),0)</f>
        <v>0</v>
      </c>
      <c r="G50">
        <f>IF(tblCalculo[[#This Row],[STATUS]]="CONCLUÍDO",_xlfn.XLOOKUP(tblCalculo[[#This Row],[NR_SIMULACAO]],tblVendas[[#This Row],[NR_SIMULACAO]],tblVendas[[#This Row],[VALOR_AVANCADO]],""),0)</f>
        <v>0</v>
      </c>
      <c r="H50">
        <f>IF(tblCalculo[[#This Row],[STATUS]]="CONCLUÍDO",_xlfn.XLOOKUP(tblCalculo[[#This Row],[NR_SIMULACAO]],tblVendas[[#This Row],[NR_SIMULACAO]],tblVendas[[#This Row],[VALOR_FIXABASICA]],""),0)</f>
        <v>0</v>
      </c>
      <c r="I50">
        <f>IF(tblCalculo[[#This Row],[STATUS]]="CONCLUÍDO",_xlfn.XLOOKUP(tblCalculo[[#This Row],[NR_SIMULACAO]],tblVendas[[#This Row],[NR_SIMULACAO]],tblVendas[[#This Row],[VALOR_TI]],""),0)</f>
        <v>0</v>
      </c>
      <c r="J50">
        <f>IF(tblCalculo[[#This Row],[STATUS]]="CONCLUÍDO",_xlfn.XLOOKUP(tblCalculo[[#This Row],[NR_SIMULACAO]],tblVendas[[#This Row],[NR_SIMULACAO]],tblVendas[[#This Row],[VALOR_APARELHO]],""),0)</f>
        <v>0</v>
      </c>
      <c r="K50" t="str">
        <f>IF(tblCalculo[[#This Row],[STATUS]]="NEGOCIANDO",tblCalculo[[#This Row],[VALOR_TOTAL]],"")</f>
        <v/>
      </c>
      <c r="L50" t="str">
        <f>IF(tblCalculo[[#This Row],[STATUS]]="ALÇADA",tblCalculo[[#This Row],[VALOR_TOTAL]],"")</f>
        <v/>
      </c>
      <c r="M50" t="str">
        <f>IF(tblCalculo[[#This Row],[STATUS]]="EM ANÁLISE",tblCalculo[[#This Row],[VALOR_TOTAL]],"")</f>
        <v/>
      </c>
      <c r="N50">
        <f>IF(tblCalculo[[#This Row],[STATUS]]="TRAMITANDO",tblCalculo[[#This Row],[VALOR_TOTAL]],"")</f>
        <v>9141.91</v>
      </c>
      <c r="O50" t="str">
        <f>IF(tblCalculo[[#This Row],[STATUS]]="PERDIDO",tblCalculo[[#This Row],[VALOR_TOTAL]],"")</f>
        <v/>
      </c>
      <c r="P50" t="str">
        <f>IF(tblCalculo[[#This Row],[STATUS]]="CONCLUÍDO",tblCalculo[[#This Row],[VALOR_TOTAL]],"")</f>
        <v/>
      </c>
    </row>
    <row r="51" spans="1:23" x14ac:dyDescent="0.25">
      <c r="A51" t="str">
        <f>tblVendas[[#This Row],[NR_SIMULACAO]]</f>
        <v>SIM1041</v>
      </c>
      <c r="B51" s="34" t="str">
        <f>_xlfn.XLOOKUP(A51,tblVendas[[#This Row],[NR_SIMULACAO]],tblVendas[[#This Row],[NR_CNPJ]],"")</f>
        <v>31.257.428/0001-42</v>
      </c>
      <c r="C51" t="str">
        <f>_xlfn.XLOOKUP(A51,tblVendas[[#This Row],[NR_SIMULACAO]],tblVendas[[#This Row],[STATUS]],"")</f>
        <v>EM ANÁLISE</v>
      </c>
      <c r="D51" t="str">
        <f>_xlfn.XLOOKUP(A51,tblVendas[[#This Row],[NR_SIMULACAO]],tblVendas[[#This Row],[MES]],"")</f>
        <v>Maio</v>
      </c>
      <c r="E51">
        <f>SUM(_xlfn.XLOOKUP(tblCalculo[[#This Row],[NR_SIMULACAO]],tblVendas[[#This Row],[NR_SIMULACAO]],tblVendas[[#This Row],[VALOR_MOVEL]],""):_xlfn.XLOOKUP(tblCalculo[[#This Row],[NR_SIMULACAO]],tblVendas[[#This Row],[NR_SIMULACAO]],tblVendas[[#This Row],[VALOR_APARELHO]],""))</f>
        <v>12259.4</v>
      </c>
      <c r="F51">
        <f>IF(tblCalculo[[#This Row],[STATUS]]="CONCLUÍDO",_xlfn.XLOOKUP(tblCalculo[[#This Row],[NR_SIMULACAO]],tblVendas[[#This Row],[NR_SIMULACAO]],tblVendas[[#This Row],[VALOR_MOVEL]],""),0)</f>
        <v>0</v>
      </c>
      <c r="G51">
        <f>IF(tblCalculo[[#This Row],[STATUS]]="CONCLUÍDO",_xlfn.XLOOKUP(tblCalculo[[#This Row],[NR_SIMULACAO]],tblVendas[[#This Row],[NR_SIMULACAO]],tblVendas[[#This Row],[VALOR_AVANCADO]],""),0)</f>
        <v>0</v>
      </c>
      <c r="H51">
        <f>IF(tblCalculo[[#This Row],[STATUS]]="CONCLUÍDO",_xlfn.XLOOKUP(tblCalculo[[#This Row],[NR_SIMULACAO]],tblVendas[[#This Row],[NR_SIMULACAO]],tblVendas[[#This Row],[VALOR_FIXABASICA]],""),0)</f>
        <v>0</v>
      </c>
      <c r="I51">
        <f>IF(tblCalculo[[#This Row],[STATUS]]="CONCLUÍDO",_xlfn.XLOOKUP(tblCalculo[[#This Row],[NR_SIMULACAO]],tblVendas[[#This Row],[NR_SIMULACAO]],tblVendas[[#This Row],[VALOR_TI]],""),0)</f>
        <v>0</v>
      </c>
      <c r="J51">
        <f>IF(tblCalculo[[#This Row],[STATUS]]="CONCLUÍDO",_xlfn.XLOOKUP(tblCalculo[[#This Row],[NR_SIMULACAO]],tblVendas[[#This Row],[NR_SIMULACAO]],tblVendas[[#This Row],[VALOR_APARELHO]],""),0)</f>
        <v>0</v>
      </c>
      <c r="K51" t="str">
        <f>IF(tblCalculo[[#This Row],[STATUS]]="NEGOCIANDO",tblCalculo[[#This Row],[VALOR_TOTAL]],"")</f>
        <v/>
      </c>
      <c r="L51" t="str">
        <f>IF(tblCalculo[[#This Row],[STATUS]]="ALÇADA",tblCalculo[[#This Row],[VALOR_TOTAL]],"")</f>
        <v/>
      </c>
      <c r="M51">
        <f>IF(tblCalculo[[#This Row],[STATUS]]="EM ANÁLISE",tblCalculo[[#This Row],[VALOR_TOTAL]],"")</f>
        <v>12259.4</v>
      </c>
      <c r="N51" t="str">
        <f>IF(tblCalculo[[#This Row],[STATUS]]="TRAMITANDO",tblCalculo[[#This Row],[VALOR_TOTAL]],"")</f>
        <v/>
      </c>
      <c r="O51" t="str">
        <f>IF(tblCalculo[[#This Row],[STATUS]]="PERDIDO",tblCalculo[[#This Row],[VALOR_TOTAL]],"")</f>
        <v/>
      </c>
      <c r="P51" t="str">
        <f>IF(tblCalculo[[#This Row],[STATUS]]="CONCLUÍDO",tblCalculo[[#This Row],[VALOR_TOTAL]],"")</f>
        <v/>
      </c>
    </row>
    <row r="52" spans="1:23" x14ac:dyDescent="0.25">
      <c r="A52" t="str">
        <f>tblVendas[[#This Row],[NR_SIMULACAO]]</f>
        <v>SIM1042</v>
      </c>
      <c r="B52" s="34" t="str">
        <f>_xlfn.XLOOKUP(A52,tblVendas[[#This Row],[NR_SIMULACAO]],tblVendas[[#This Row],[NR_CNPJ]],"")</f>
        <v>11.805.592/0001-58</v>
      </c>
      <c r="C52" t="str">
        <f>_xlfn.XLOOKUP(A52,tblVendas[[#This Row],[NR_SIMULACAO]],tblVendas[[#This Row],[STATUS]],"")</f>
        <v>ALÇADA</v>
      </c>
      <c r="D52" t="str">
        <f>_xlfn.XLOOKUP(A52,tblVendas[[#This Row],[NR_SIMULACAO]],tblVendas[[#This Row],[MES]],"")</f>
        <v>Janeiro</v>
      </c>
      <c r="E52">
        <f>SUM(_xlfn.XLOOKUP(tblCalculo[[#This Row],[NR_SIMULACAO]],tblVendas[[#This Row],[NR_SIMULACAO]],tblVendas[[#This Row],[VALOR_MOVEL]],""):_xlfn.XLOOKUP(tblCalculo[[#This Row],[NR_SIMULACAO]],tblVendas[[#This Row],[NR_SIMULACAO]],tblVendas[[#This Row],[VALOR_APARELHO]],""))</f>
        <v>2501.94</v>
      </c>
      <c r="F52">
        <f>IF(tblCalculo[[#This Row],[STATUS]]="CONCLUÍDO",_xlfn.XLOOKUP(tblCalculo[[#This Row],[NR_SIMULACAO]],tblVendas[[#This Row],[NR_SIMULACAO]],tblVendas[[#This Row],[VALOR_MOVEL]],""),0)</f>
        <v>0</v>
      </c>
      <c r="G52">
        <f>IF(tblCalculo[[#This Row],[STATUS]]="CONCLUÍDO",_xlfn.XLOOKUP(tblCalculo[[#This Row],[NR_SIMULACAO]],tblVendas[[#This Row],[NR_SIMULACAO]],tblVendas[[#This Row],[VALOR_AVANCADO]],""),0)</f>
        <v>0</v>
      </c>
      <c r="H52">
        <f>IF(tblCalculo[[#This Row],[STATUS]]="CONCLUÍDO",_xlfn.XLOOKUP(tblCalculo[[#This Row],[NR_SIMULACAO]],tblVendas[[#This Row],[NR_SIMULACAO]],tblVendas[[#This Row],[VALOR_FIXABASICA]],""),0)</f>
        <v>0</v>
      </c>
      <c r="I52">
        <f>IF(tblCalculo[[#This Row],[STATUS]]="CONCLUÍDO",_xlfn.XLOOKUP(tblCalculo[[#This Row],[NR_SIMULACAO]],tblVendas[[#This Row],[NR_SIMULACAO]],tblVendas[[#This Row],[VALOR_TI]],""),0)</f>
        <v>0</v>
      </c>
      <c r="J52">
        <f>IF(tblCalculo[[#This Row],[STATUS]]="CONCLUÍDO",_xlfn.XLOOKUP(tblCalculo[[#This Row],[NR_SIMULACAO]],tblVendas[[#This Row],[NR_SIMULACAO]],tblVendas[[#This Row],[VALOR_APARELHO]],""),0)</f>
        <v>0</v>
      </c>
      <c r="K52" t="str">
        <f>IF(tblCalculo[[#This Row],[STATUS]]="NEGOCIANDO",tblCalculo[[#This Row],[VALOR_TOTAL]],"")</f>
        <v/>
      </c>
      <c r="L52">
        <f>IF(tblCalculo[[#This Row],[STATUS]]="ALÇADA",tblCalculo[[#This Row],[VALOR_TOTAL]],"")</f>
        <v>2501.94</v>
      </c>
      <c r="M52" t="str">
        <f>IF(tblCalculo[[#This Row],[STATUS]]="EM ANÁLISE",tblCalculo[[#This Row],[VALOR_TOTAL]],"")</f>
        <v/>
      </c>
      <c r="N52" t="str">
        <f>IF(tblCalculo[[#This Row],[STATUS]]="TRAMITANDO",tblCalculo[[#This Row],[VALOR_TOTAL]],"")</f>
        <v/>
      </c>
      <c r="O52" t="str">
        <f>IF(tblCalculo[[#This Row],[STATUS]]="PERDIDO",tblCalculo[[#This Row],[VALOR_TOTAL]],"")</f>
        <v/>
      </c>
      <c r="P52" t="str">
        <f>IF(tblCalculo[[#This Row],[STATUS]]="CONCLUÍDO",tblCalculo[[#This Row],[VALOR_TOTAL]],"")</f>
        <v/>
      </c>
    </row>
    <row r="53" spans="1:23" x14ac:dyDescent="0.25">
      <c r="A53" t="str">
        <f>tblVendas[[#This Row],[NR_SIMULACAO]]</f>
        <v>SIM1043</v>
      </c>
      <c r="B53" s="34" t="str">
        <f>_xlfn.XLOOKUP(A53,tblVendas[[#This Row],[NR_SIMULACAO]],tblVendas[[#This Row],[NR_CNPJ]],"")</f>
        <v>43.570.866/0001-88</v>
      </c>
      <c r="C53" t="str">
        <f>_xlfn.XLOOKUP(A53,tblVendas[[#This Row],[NR_SIMULACAO]],tblVendas[[#This Row],[STATUS]],"")</f>
        <v>EM ANÁLISE</v>
      </c>
      <c r="D53" t="str">
        <f>_xlfn.XLOOKUP(A53,tblVendas[[#This Row],[NR_SIMULACAO]],tblVendas[[#This Row],[MES]],"")</f>
        <v>Novembro</v>
      </c>
      <c r="E53">
        <f>SUM(_xlfn.XLOOKUP(tblCalculo[[#This Row],[NR_SIMULACAO]],tblVendas[[#This Row],[NR_SIMULACAO]],tblVendas[[#This Row],[VALOR_MOVEL]],""):_xlfn.XLOOKUP(tblCalculo[[#This Row],[NR_SIMULACAO]],tblVendas[[#This Row],[NR_SIMULACAO]],tblVendas[[#This Row],[VALOR_APARELHO]],""))</f>
        <v>4798.01</v>
      </c>
      <c r="F53">
        <f>IF(tblCalculo[[#This Row],[STATUS]]="CONCLUÍDO",_xlfn.XLOOKUP(tblCalculo[[#This Row],[NR_SIMULACAO]],tblVendas[[#This Row],[NR_SIMULACAO]],tblVendas[[#This Row],[VALOR_MOVEL]],""),0)</f>
        <v>0</v>
      </c>
      <c r="G53">
        <f>IF(tblCalculo[[#This Row],[STATUS]]="CONCLUÍDO",_xlfn.XLOOKUP(tblCalculo[[#This Row],[NR_SIMULACAO]],tblVendas[[#This Row],[NR_SIMULACAO]],tblVendas[[#This Row],[VALOR_AVANCADO]],""),0)</f>
        <v>0</v>
      </c>
      <c r="H53">
        <f>IF(tblCalculo[[#This Row],[STATUS]]="CONCLUÍDO",_xlfn.XLOOKUP(tblCalculo[[#This Row],[NR_SIMULACAO]],tblVendas[[#This Row],[NR_SIMULACAO]],tblVendas[[#This Row],[VALOR_FIXABASICA]],""),0)</f>
        <v>0</v>
      </c>
      <c r="I53">
        <f>IF(tblCalculo[[#This Row],[STATUS]]="CONCLUÍDO",_xlfn.XLOOKUP(tblCalculo[[#This Row],[NR_SIMULACAO]],tblVendas[[#This Row],[NR_SIMULACAO]],tblVendas[[#This Row],[VALOR_TI]],""),0)</f>
        <v>0</v>
      </c>
      <c r="J53">
        <f>IF(tblCalculo[[#This Row],[STATUS]]="CONCLUÍDO",_xlfn.XLOOKUP(tblCalculo[[#This Row],[NR_SIMULACAO]],tblVendas[[#This Row],[NR_SIMULACAO]],tblVendas[[#This Row],[VALOR_APARELHO]],""),0)</f>
        <v>0</v>
      </c>
      <c r="K53" t="str">
        <f>IF(tblCalculo[[#This Row],[STATUS]]="NEGOCIANDO",tblCalculo[[#This Row],[VALOR_TOTAL]],"")</f>
        <v/>
      </c>
      <c r="L53" t="str">
        <f>IF(tblCalculo[[#This Row],[STATUS]]="ALÇADA",tblCalculo[[#This Row],[VALOR_TOTAL]],"")</f>
        <v/>
      </c>
      <c r="M53">
        <f>IF(tblCalculo[[#This Row],[STATUS]]="EM ANÁLISE",tblCalculo[[#This Row],[VALOR_TOTAL]],"")</f>
        <v>4798.01</v>
      </c>
      <c r="N53" t="str">
        <f>IF(tblCalculo[[#This Row],[STATUS]]="TRAMITANDO",tblCalculo[[#This Row],[VALOR_TOTAL]],"")</f>
        <v/>
      </c>
      <c r="O53" t="str">
        <f>IF(tblCalculo[[#This Row],[STATUS]]="PERDIDO",tblCalculo[[#This Row],[VALOR_TOTAL]],"")</f>
        <v/>
      </c>
      <c r="P53" t="str">
        <f>IF(tblCalculo[[#This Row],[STATUS]]="CONCLUÍDO",tblCalculo[[#This Row],[VALOR_TOTAL]],"")</f>
        <v/>
      </c>
    </row>
    <row r="54" spans="1:23" x14ac:dyDescent="0.25">
      <c r="A54" t="str">
        <f>tblVendas[[#This Row],[NR_SIMULACAO]]</f>
        <v>SIM1044</v>
      </c>
      <c r="B54" s="34" t="str">
        <f>_xlfn.XLOOKUP(A54,tblVendas[[#This Row],[NR_SIMULACAO]],tblVendas[[#This Row],[NR_CNPJ]],"")</f>
        <v>68.887.805/0001-40</v>
      </c>
      <c r="C54" t="str">
        <f>_xlfn.XLOOKUP(A54,tblVendas[[#This Row],[NR_SIMULACAO]],tblVendas[[#This Row],[STATUS]],"")</f>
        <v>NEGOCIANDO</v>
      </c>
      <c r="D54" t="str">
        <f>_xlfn.XLOOKUP(A54,tblVendas[[#This Row],[NR_SIMULACAO]],tblVendas[[#This Row],[MES]],"")</f>
        <v>Abril</v>
      </c>
      <c r="E54">
        <f>SUM(_xlfn.XLOOKUP(tblCalculo[[#This Row],[NR_SIMULACAO]],tblVendas[[#This Row],[NR_SIMULACAO]],tblVendas[[#This Row],[VALOR_MOVEL]],""):_xlfn.XLOOKUP(tblCalculo[[#This Row],[NR_SIMULACAO]],tblVendas[[#This Row],[NR_SIMULACAO]],tblVendas[[#This Row],[VALOR_APARELHO]],""))</f>
        <v>5380.8899999999994</v>
      </c>
      <c r="F54">
        <f>IF(tblCalculo[[#This Row],[STATUS]]="CONCLUÍDO",_xlfn.XLOOKUP(tblCalculo[[#This Row],[NR_SIMULACAO]],tblVendas[[#This Row],[NR_SIMULACAO]],tblVendas[[#This Row],[VALOR_MOVEL]],""),0)</f>
        <v>0</v>
      </c>
      <c r="G54">
        <f>IF(tblCalculo[[#This Row],[STATUS]]="CONCLUÍDO",_xlfn.XLOOKUP(tblCalculo[[#This Row],[NR_SIMULACAO]],tblVendas[[#This Row],[NR_SIMULACAO]],tblVendas[[#This Row],[VALOR_AVANCADO]],""),0)</f>
        <v>0</v>
      </c>
      <c r="H54">
        <f>IF(tblCalculo[[#This Row],[STATUS]]="CONCLUÍDO",_xlfn.XLOOKUP(tblCalculo[[#This Row],[NR_SIMULACAO]],tblVendas[[#This Row],[NR_SIMULACAO]],tblVendas[[#This Row],[VALOR_FIXABASICA]],""),0)</f>
        <v>0</v>
      </c>
      <c r="I54">
        <f>IF(tblCalculo[[#This Row],[STATUS]]="CONCLUÍDO",_xlfn.XLOOKUP(tblCalculo[[#This Row],[NR_SIMULACAO]],tblVendas[[#This Row],[NR_SIMULACAO]],tblVendas[[#This Row],[VALOR_TI]],""),0)</f>
        <v>0</v>
      </c>
      <c r="J54">
        <f>IF(tblCalculo[[#This Row],[STATUS]]="CONCLUÍDO",_xlfn.XLOOKUP(tblCalculo[[#This Row],[NR_SIMULACAO]],tblVendas[[#This Row],[NR_SIMULACAO]],tblVendas[[#This Row],[VALOR_APARELHO]],""),0)</f>
        <v>0</v>
      </c>
      <c r="K54">
        <f>IF(tblCalculo[[#This Row],[STATUS]]="NEGOCIANDO",tblCalculo[[#This Row],[VALOR_TOTAL]],"")</f>
        <v>5380.8899999999994</v>
      </c>
      <c r="L54" t="str">
        <f>IF(tblCalculo[[#This Row],[STATUS]]="ALÇADA",tblCalculo[[#This Row],[VALOR_TOTAL]],"")</f>
        <v/>
      </c>
      <c r="M54" t="str">
        <f>IF(tblCalculo[[#This Row],[STATUS]]="EM ANÁLISE",tblCalculo[[#This Row],[VALOR_TOTAL]],"")</f>
        <v/>
      </c>
      <c r="N54" t="str">
        <f>IF(tblCalculo[[#This Row],[STATUS]]="TRAMITANDO",tblCalculo[[#This Row],[VALOR_TOTAL]],"")</f>
        <v/>
      </c>
      <c r="O54" t="str">
        <f>IF(tblCalculo[[#This Row],[STATUS]]="PERDIDO",tblCalculo[[#This Row],[VALOR_TOTAL]],"")</f>
        <v/>
      </c>
      <c r="P54" t="str">
        <f>IF(tblCalculo[[#This Row],[STATUS]]="CONCLUÍDO",tblCalculo[[#This Row],[VALOR_TOTAL]],"")</f>
        <v/>
      </c>
    </row>
    <row r="55" spans="1:23" x14ac:dyDescent="0.25">
      <c r="A55" t="str">
        <f>tblVendas[[#This Row],[NR_SIMULACAO]]</f>
        <v>SIM1045</v>
      </c>
      <c r="B55" s="34" t="str">
        <f>_xlfn.XLOOKUP(A55,tblVendas[[#This Row],[NR_SIMULACAO]],tblVendas[[#This Row],[NR_CNPJ]],"")</f>
        <v>52.450.339/0001-34</v>
      </c>
      <c r="C55" t="str">
        <f>_xlfn.XLOOKUP(A55,tblVendas[[#This Row],[NR_SIMULACAO]],tblVendas[[#This Row],[STATUS]],"")</f>
        <v>CONCLUÍDO</v>
      </c>
      <c r="D55" t="str">
        <f>_xlfn.XLOOKUP(A55,tblVendas[[#This Row],[NR_SIMULACAO]],tblVendas[[#This Row],[MES]],"")</f>
        <v>Outubro</v>
      </c>
      <c r="E55">
        <f>SUM(_xlfn.XLOOKUP(tblCalculo[[#This Row],[NR_SIMULACAO]],tblVendas[[#This Row],[NR_SIMULACAO]],tblVendas[[#This Row],[VALOR_MOVEL]],""):_xlfn.XLOOKUP(tblCalculo[[#This Row],[NR_SIMULACAO]],tblVendas[[#This Row],[NR_SIMULACAO]],tblVendas[[#This Row],[VALOR_APARELHO]],""))</f>
        <v>1861.97</v>
      </c>
      <c r="F55">
        <f>IF(tblCalculo[[#This Row],[STATUS]]="CONCLUÍDO",_xlfn.XLOOKUP(tblCalculo[[#This Row],[NR_SIMULACAO]],tblVendas[[#This Row],[NR_SIMULACAO]],tblVendas[[#This Row],[VALOR_MOVEL]],""),0)</f>
        <v>0</v>
      </c>
      <c r="G55">
        <f>IF(tblCalculo[[#This Row],[STATUS]]="CONCLUÍDO",_xlfn.XLOOKUP(tblCalculo[[#This Row],[NR_SIMULACAO]],tblVendas[[#This Row],[NR_SIMULACAO]],tblVendas[[#This Row],[VALOR_AVANCADO]],""),0)</f>
        <v>0</v>
      </c>
      <c r="H55">
        <f>IF(tblCalculo[[#This Row],[STATUS]]="CONCLUÍDO",_xlfn.XLOOKUP(tblCalculo[[#This Row],[NR_SIMULACAO]],tblVendas[[#This Row],[NR_SIMULACAO]],tblVendas[[#This Row],[VALOR_FIXABASICA]],""),0)</f>
        <v>1861.97</v>
      </c>
      <c r="I55">
        <f>IF(tblCalculo[[#This Row],[STATUS]]="CONCLUÍDO",_xlfn.XLOOKUP(tblCalculo[[#This Row],[NR_SIMULACAO]],tblVendas[[#This Row],[NR_SIMULACAO]],tblVendas[[#This Row],[VALOR_TI]],""),0)</f>
        <v>0</v>
      </c>
      <c r="J55">
        <f>IF(tblCalculo[[#This Row],[STATUS]]="CONCLUÍDO",_xlfn.XLOOKUP(tblCalculo[[#This Row],[NR_SIMULACAO]],tblVendas[[#This Row],[NR_SIMULACAO]],tblVendas[[#This Row],[VALOR_APARELHO]],""),0)</f>
        <v>0</v>
      </c>
      <c r="K55" t="str">
        <f>IF(tblCalculo[[#This Row],[STATUS]]="NEGOCIANDO",tblCalculo[[#This Row],[VALOR_TOTAL]],"")</f>
        <v/>
      </c>
      <c r="L55" t="str">
        <f>IF(tblCalculo[[#This Row],[STATUS]]="ALÇADA",tblCalculo[[#This Row],[VALOR_TOTAL]],"")</f>
        <v/>
      </c>
      <c r="M55" t="str">
        <f>IF(tblCalculo[[#This Row],[STATUS]]="EM ANÁLISE",tblCalculo[[#This Row],[VALOR_TOTAL]],"")</f>
        <v/>
      </c>
      <c r="N55" t="str">
        <f>IF(tblCalculo[[#This Row],[STATUS]]="TRAMITANDO",tblCalculo[[#This Row],[VALOR_TOTAL]],"")</f>
        <v/>
      </c>
      <c r="O55" t="str">
        <f>IF(tblCalculo[[#This Row],[STATUS]]="PERDIDO",tblCalculo[[#This Row],[VALOR_TOTAL]],"")</f>
        <v/>
      </c>
      <c r="P55">
        <f>IF(tblCalculo[[#This Row],[STATUS]]="CONCLUÍDO",tblCalculo[[#This Row],[VALOR_TOTAL]],"")</f>
        <v>1861.97</v>
      </c>
    </row>
    <row r="56" spans="1:23" x14ac:dyDescent="0.25">
      <c r="A56" t="str">
        <f>tblVendas[[#This Row],[NR_SIMULACAO]]</f>
        <v>SIM1046</v>
      </c>
      <c r="B56" s="34" t="str">
        <f>_xlfn.XLOOKUP(A56,tblVendas[[#This Row],[NR_SIMULACAO]],tblVendas[[#This Row],[NR_CNPJ]],"")</f>
        <v>63.312.223/0001-80</v>
      </c>
      <c r="C56" t="str">
        <f>_xlfn.XLOOKUP(A56,tblVendas[[#This Row],[NR_SIMULACAO]],tblVendas[[#This Row],[STATUS]],"")</f>
        <v>ALÇADA</v>
      </c>
      <c r="D56" t="str">
        <f>_xlfn.XLOOKUP(A56,tblVendas[[#This Row],[NR_SIMULACAO]],tblVendas[[#This Row],[MES]],"")</f>
        <v>Outubro</v>
      </c>
      <c r="E56">
        <f>SUM(_xlfn.XLOOKUP(tblCalculo[[#This Row],[NR_SIMULACAO]],tblVendas[[#This Row],[NR_SIMULACAO]],tblVendas[[#This Row],[VALOR_MOVEL]],""):_xlfn.XLOOKUP(tblCalculo[[#This Row],[NR_SIMULACAO]],tblVendas[[#This Row],[NR_SIMULACAO]],tblVendas[[#This Row],[VALOR_APARELHO]],""))</f>
        <v>16418.95</v>
      </c>
      <c r="F56">
        <f>IF(tblCalculo[[#This Row],[STATUS]]="CONCLUÍDO",_xlfn.XLOOKUP(tblCalculo[[#This Row],[NR_SIMULACAO]],tblVendas[[#This Row],[NR_SIMULACAO]],tblVendas[[#This Row],[VALOR_MOVEL]],""),0)</f>
        <v>0</v>
      </c>
      <c r="G56">
        <f>IF(tblCalculo[[#This Row],[STATUS]]="CONCLUÍDO",_xlfn.XLOOKUP(tblCalculo[[#This Row],[NR_SIMULACAO]],tblVendas[[#This Row],[NR_SIMULACAO]],tblVendas[[#This Row],[VALOR_AVANCADO]],""),0)</f>
        <v>0</v>
      </c>
      <c r="H56">
        <f>IF(tblCalculo[[#This Row],[STATUS]]="CONCLUÍDO",_xlfn.XLOOKUP(tblCalculo[[#This Row],[NR_SIMULACAO]],tblVendas[[#This Row],[NR_SIMULACAO]],tblVendas[[#This Row],[VALOR_FIXABASICA]],""),0)</f>
        <v>0</v>
      </c>
      <c r="I56">
        <f>IF(tblCalculo[[#This Row],[STATUS]]="CONCLUÍDO",_xlfn.XLOOKUP(tblCalculo[[#This Row],[NR_SIMULACAO]],tblVendas[[#This Row],[NR_SIMULACAO]],tblVendas[[#This Row],[VALOR_TI]],""),0)</f>
        <v>0</v>
      </c>
      <c r="J56">
        <f>IF(tblCalculo[[#This Row],[STATUS]]="CONCLUÍDO",_xlfn.XLOOKUP(tblCalculo[[#This Row],[NR_SIMULACAO]],tblVendas[[#This Row],[NR_SIMULACAO]],tblVendas[[#This Row],[VALOR_APARELHO]],""),0)</f>
        <v>0</v>
      </c>
      <c r="K56" t="str">
        <f>IF(tblCalculo[[#This Row],[STATUS]]="NEGOCIANDO",tblCalculo[[#This Row],[VALOR_TOTAL]],"")</f>
        <v/>
      </c>
      <c r="L56">
        <f>IF(tblCalculo[[#This Row],[STATUS]]="ALÇADA",tblCalculo[[#This Row],[VALOR_TOTAL]],"")</f>
        <v>16418.95</v>
      </c>
      <c r="M56" t="str">
        <f>IF(tblCalculo[[#This Row],[STATUS]]="EM ANÁLISE",tblCalculo[[#This Row],[VALOR_TOTAL]],"")</f>
        <v/>
      </c>
      <c r="N56" t="str">
        <f>IF(tblCalculo[[#This Row],[STATUS]]="TRAMITANDO",tblCalculo[[#This Row],[VALOR_TOTAL]],"")</f>
        <v/>
      </c>
      <c r="O56" t="str">
        <f>IF(tblCalculo[[#This Row],[STATUS]]="PERDIDO",tblCalculo[[#This Row],[VALOR_TOTAL]],"")</f>
        <v/>
      </c>
      <c r="P56" t="str">
        <f>IF(tblCalculo[[#This Row],[STATUS]]="CONCLUÍDO",tblCalculo[[#This Row],[VALOR_TOTAL]],"")</f>
        <v/>
      </c>
    </row>
    <row r="57" spans="1:23" x14ac:dyDescent="0.25">
      <c r="A57" t="str">
        <f>tblVendas[[#This Row],[NR_SIMULACAO]]</f>
        <v>SIM1047</v>
      </c>
      <c r="B57" s="34" t="str">
        <f>_xlfn.XLOOKUP(A57,tblVendas[[#This Row],[NR_SIMULACAO]],tblVendas[[#This Row],[NR_CNPJ]],"")</f>
        <v>88.376.135/0001-58</v>
      </c>
      <c r="C57" t="str">
        <f>_xlfn.XLOOKUP(A57,tblVendas[[#This Row],[NR_SIMULACAO]],tblVendas[[#This Row],[STATUS]],"")</f>
        <v>PERDIDO</v>
      </c>
      <c r="D57" t="str">
        <f>_xlfn.XLOOKUP(A57,tblVendas[[#This Row],[NR_SIMULACAO]],tblVendas[[#This Row],[MES]],"")</f>
        <v>Novembro</v>
      </c>
      <c r="E57">
        <f>SUM(_xlfn.XLOOKUP(tblCalculo[[#This Row],[NR_SIMULACAO]],tblVendas[[#This Row],[NR_SIMULACAO]],tblVendas[[#This Row],[VALOR_MOVEL]],""):_xlfn.XLOOKUP(tblCalculo[[#This Row],[NR_SIMULACAO]],tblVendas[[#This Row],[NR_SIMULACAO]],tblVendas[[#This Row],[VALOR_APARELHO]],""))</f>
        <v>10698.029999999999</v>
      </c>
      <c r="F57">
        <f>IF(tblCalculo[[#This Row],[STATUS]]="CONCLUÍDO",_xlfn.XLOOKUP(tblCalculo[[#This Row],[NR_SIMULACAO]],tblVendas[[#This Row],[NR_SIMULACAO]],tblVendas[[#This Row],[VALOR_MOVEL]],""),0)</f>
        <v>0</v>
      </c>
      <c r="G57">
        <f>IF(tblCalculo[[#This Row],[STATUS]]="CONCLUÍDO",_xlfn.XLOOKUP(tblCalculo[[#This Row],[NR_SIMULACAO]],tblVendas[[#This Row],[NR_SIMULACAO]],tblVendas[[#This Row],[VALOR_AVANCADO]],""),0)</f>
        <v>0</v>
      </c>
      <c r="H57">
        <f>IF(tblCalculo[[#This Row],[STATUS]]="CONCLUÍDO",_xlfn.XLOOKUP(tblCalculo[[#This Row],[NR_SIMULACAO]],tblVendas[[#This Row],[NR_SIMULACAO]],tblVendas[[#This Row],[VALOR_FIXABASICA]],""),0)</f>
        <v>0</v>
      </c>
      <c r="I57">
        <f>IF(tblCalculo[[#This Row],[STATUS]]="CONCLUÍDO",_xlfn.XLOOKUP(tblCalculo[[#This Row],[NR_SIMULACAO]],tblVendas[[#This Row],[NR_SIMULACAO]],tblVendas[[#This Row],[VALOR_TI]],""),0)</f>
        <v>0</v>
      </c>
      <c r="J57">
        <f>IF(tblCalculo[[#This Row],[STATUS]]="CONCLUÍDO",_xlfn.XLOOKUP(tblCalculo[[#This Row],[NR_SIMULACAO]],tblVendas[[#This Row],[NR_SIMULACAO]],tblVendas[[#This Row],[VALOR_APARELHO]],""),0)</f>
        <v>0</v>
      </c>
      <c r="K57" t="str">
        <f>IF(tblCalculo[[#This Row],[STATUS]]="NEGOCIANDO",tblCalculo[[#This Row],[VALOR_TOTAL]],"")</f>
        <v/>
      </c>
      <c r="L57" t="str">
        <f>IF(tblCalculo[[#This Row],[STATUS]]="ALÇADA",tblCalculo[[#This Row],[VALOR_TOTAL]],"")</f>
        <v/>
      </c>
      <c r="M57" t="str">
        <f>IF(tblCalculo[[#This Row],[STATUS]]="EM ANÁLISE",tblCalculo[[#This Row],[VALOR_TOTAL]],"")</f>
        <v/>
      </c>
      <c r="N57" t="str">
        <f>IF(tblCalculo[[#This Row],[STATUS]]="TRAMITANDO",tblCalculo[[#This Row],[VALOR_TOTAL]],"")</f>
        <v/>
      </c>
      <c r="O57">
        <f>IF(tblCalculo[[#This Row],[STATUS]]="PERDIDO",tblCalculo[[#This Row],[VALOR_TOTAL]],"")</f>
        <v>10698.029999999999</v>
      </c>
      <c r="P57" t="str">
        <f>IF(tblCalculo[[#This Row],[STATUS]]="CONCLUÍDO",tblCalculo[[#This Row],[VALOR_TOTAL]],"")</f>
        <v/>
      </c>
    </row>
    <row r="58" spans="1:23" x14ac:dyDescent="0.25">
      <c r="A58" t="str">
        <f>tblVendas[[#This Row],[NR_SIMULACAO]]</f>
        <v>SIM1048</v>
      </c>
      <c r="B58" s="34" t="str">
        <f>_xlfn.XLOOKUP(A58,tblVendas[[#This Row],[NR_SIMULACAO]],tblVendas[[#This Row],[NR_CNPJ]],"")</f>
        <v>17.362.996/0001-57</v>
      </c>
      <c r="C58" t="str">
        <f>_xlfn.XLOOKUP(A58,tblVendas[[#This Row],[NR_SIMULACAO]],tblVendas[[#This Row],[STATUS]],"")</f>
        <v>NEGOCIANDO</v>
      </c>
      <c r="D58" t="str">
        <f>_xlfn.XLOOKUP(A58,tblVendas[[#This Row],[NR_SIMULACAO]],tblVendas[[#This Row],[MES]],"")</f>
        <v>Outubro</v>
      </c>
      <c r="E58">
        <f>SUM(_xlfn.XLOOKUP(tblCalculo[[#This Row],[NR_SIMULACAO]],tblVendas[[#This Row],[NR_SIMULACAO]],tblVendas[[#This Row],[VALOR_MOVEL]],""):_xlfn.XLOOKUP(tblCalculo[[#This Row],[NR_SIMULACAO]],tblVendas[[#This Row],[NR_SIMULACAO]],tblVendas[[#This Row],[VALOR_APARELHO]],""))</f>
        <v>7039.7699999999995</v>
      </c>
      <c r="F58">
        <f>IF(tblCalculo[[#This Row],[STATUS]]="CONCLUÍDO",_xlfn.XLOOKUP(tblCalculo[[#This Row],[NR_SIMULACAO]],tblVendas[[#This Row],[NR_SIMULACAO]],tblVendas[[#This Row],[VALOR_MOVEL]],""),0)</f>
        <v>0</v>
      </c>
      <c r="G58">
        <f>IF(tblCalculo[[#This Row],[STATUS]]="CONCLUÍDO",_xlfn.XLOOKUP(tblCalculo[[#This Row],[NR_SIMULACAO]],tblVendas[[#This Row],[NR_SIMULACAO]],tblVendas[[#This Row],[VALOR_AVANCADO]],""),0)</f>
        <v>0</v>
      </c>
      <c r="H58">
        <f>IF(tblCalculo[[#This Row],[STATUS]]="CONCLUÍDO",_xlfn.XLOOKUP(tblCalculo[[#This Row],[NR_SIMULACAO]],tblVendas[[#This Row],[NR_SIMULACAO]],tblVendas[[#This Row],[VALOR_FIXABASICA]],""),0)</f>
        <v>0</v>
      </c>
      <c r="I58">
        <f>IF(tblCalculo[[#This Row],[STATUS]]="CONCLUÍDO",_xlfn.XLOOKUP(tblCalculo[[#This Row],[NR_SIMULACAO]],tblVendas[[#This Row],[NR_SIMULACAO]],tblVendas[[#This Row],[VALOR_TI]],""),0)</f>
        <v>0</v>
      </c>
      <c r="J58">
        <f>IF(tblCalculo[[#This Row],[STATUS]]="CONCLUÍDO",_xlfn.XLOOKUP(tblCalculo[[#This Row],[NR_SIMULACAO]],tblVendas[[#This Row],[NR_SIMULACAO]],tblVendas[[#This Row],[VALOR_APARELHO]],""),0)</f>
        <v>0</v>
      </c>
      <c r="K58">
        <f>IF(tblCalculo[[#This Row],[STATUS]]="NEGOCIANDO",tblCalculo[[#This Row],[VALOR_TOTAL]],"")</f>
        <v>7039.7699999999995</v>
      </c>
      <c r="L58" t="str">
        <f>IF(tblCalculo[[#This Row],[STATUS]]="ALÇADA",tblCalculo[[#This Row],[VALOR_TOTAL]],"")</f>
        <v/>
      </c>
      <c r="M58" t="str">
        <f>IF(tblCalculo[[#This Row],[STATUS]]="EM ANÁLISE",tblCalculo[[#This Row],[VALOR_TOTAL]],"")</f>
        <v/>
      </c>
      <c r="N58" t="str">
        <f>IF(tblCalculo[[#This Row],[STATUS]]="TRAMITANDO",tblCalculo[[#This Row],[VALOR_TOTAL]],"")</f>
        <v/>
      </c>
      <c r="O58" t="str">
        <f>IF(tblCalculo[[#This Row],[STATUS]]="PERDIDO",tblCalculo[[#This Row],[VALOR_TOTAL]],"")</f>
        <v/>
      </c>
      <c r="P58" t="str">
        <f>IF(tblCalculo[[#This Row],[STATUS]]="CONCLUÍDO",tblCalculo[[#This Row],[VALOR_TOTAL]],"")</f>
        <v/>
      </c>
    </row>
    <row r="59" spans="1:23" x14ac:dyDescent="0.25">
      <c r="A59" t="str">
        <f>tblVendas[[#This Row],[NR_SIMULACAO]]</f>
        <v>SIM1049</v>
      </c>
      <c r="B59" s="34" t="str">
        <f>_xlfn.XLOOKUP(A59,tblVendas[[#This Row],[NR_SIMULACAO]],tblVendas[[#This Row],[NR_CNPJ]],"")</f>
        <v>23.823.345/0001-23</v>
      </c>
      <c r="C59" t="str">
        <f>_xlfn.XLOOKUP(A59,tblVendas[[#This Row],[NR_SIMULACAO]],tblVendas[[#This Row],[STATUS]],"")</f>
        <v>ALÇADA</v>
      </c>
      <c r="D59" t="str">
        <f>_xlfn.XLOOKUP(A59,tblVendas[[#This Row],[NR_SIMULACAO]],tblVendas[[#This Row],[MES]],"")</f>
        <v>Dezembro</v>
      </c>
      <c r="E59">
        <f>SUM(_xlfn.XLOOKUP(tblCalculo[[#This Row],[NR_SIMULACAO]],tblVendas[[#This Row],[NR_SIMULACAO]],tblVendas[[#This Row],[VALOR_MOVEL]],""):_xlfn.XLOOKUP(tblCalculo[[#This Row],[NR_SIMULACAO]],tblVendas[[#This Row],[NR_SIMULACAO]],tblVendas[[#This Row],[VALOR_APARELHO]],""))</f>
        <v>5734.31</v>
      </c>
      <c r="F59">
        <f>IF(tblCalculo[[#This Row],[STATUS]]="CONCLUÍDO",_xlfn.XLOOKUP(tblCalculo[[#This Row],[NR_SIMULACAO]],tblVendas[[#This Row],[NR_SIMULACAO]],tblVendas[[#This Row],[VALOR_MOVEL]],""),0)</f>
        <v>0</v>
      </c>
      <c r="G59">
        <f>IF(tblCalculo[[#This Row],[STATUS]]="CONCLUÍDO",_xlfn.XLOOKUP(tblCalculo[[#This Row],[NR_SIMULACAO]],tblVendas[[#This Row],[NR_SIMULACAO]],tblVendas[[#This Row],[VALOR_AVANCADO]],""),0)</f>
        <v>0</v>
      </c>
      <c r="H59">
        <f>IF(tblCalculo[[#This Row],[STATUS]]="CONCLUÍDO",_xlfn.XLOOKUP(tblCalculo[[#This Row],[NR_SIMULACAO]],tblVendas[[#This Row],[NR_SIMULACAO]],tblVendas[[#This Row],[VALOR_FIXABASICA]],""),0)</f>
        <v>0</v>
      </c>
      <c r="I59">
        <f>IF(tblCalculo[[#This Row],[STATUS]]="CONCLUÍDO",_xlfn.XLOOKUP(tblCalculo[[#This Row],[NR_SIMULACAO]],tblVendas[[#This Row],[NR_SIMULACAO]],tblVendas[[#This Row],[VALOR_TI]],""),0)</f>
        <v>0</v>
      </c>
      <c r="J59">
        <f>IF(tblCalculo[[#This Row],[STATUS]]="CONCLUÍDO",_xlfn.XLOOKUP(tblCalculo[[#This Row],[NR_SIMULACAO]],tblVendas[[#This Row],[NR_SIMULACAO]],tblVendas[[#This Row],[VALOR_APARELHO]],""),0)</f>
        <v>0</v>
      </c>
      <c r="K59" t="str">
        <f>IF(tblCalculo[[#This Row],[STATUS]]="NEGOCIANDO",tblCalculo[[#This Row],[VALOR_TOTAL]],"")</f>
        <v/>
      </c>
      <c r="L59">
        <f>IF(tblCalculo[[#This Row],[STATUS]]="ALÇADA",tblCalculo[[#This Row],[VALOR_TOTAL]],"")</f>
        <v>5734.31</v>
      </c>
      <c r="M59" t="str">
        <f>IF(tblCalculo[[#This Row],[STATUS]]="EM ANÁLISE",tblCalculo[[#This Row],[VALOR_TOTAL]],"")</f>
        <v/>
      </c>
      <c r="N59" t="str">
        <f>IF(tblCalculo[[#This Row],[STATUS]]="TRAMITANDO",tblCalculo[[#This Row],[VALOR_TOTAL]],"")</f>
        <v/>
      </c>
      <c r="O59" t="str">
        <f>IF(tblCalculo[[#This Row],[STATUS]]="PERDIDO",tblCalculo[[#This Row],[VALOR_TOTAL]],"")</f>
        <v/>
      </c>
      <c r="P59" t="str">
        <f>IF(tblCalculo[[#This Row],[STATUS]]="CONCLUÍDO",tblCalculo[[#This Row],[VALOR_TOTAL]],"")</f>
        <v/>
      </c>
    </row>
    <row r="60" spans="1:23" x14ac:dyDescent="0.25">
      <c r="A60" t="str">
        <f>tblVendas[[#This Row],[NR_SIMULACAO]]</f>
        <v>SIM1050</v>
      </c>
      <c r="B60" s="34" t="str">
        <f>_xlfn.XLOOKUP(A60,tblVendas[[#This Row],[NR_SIMULACAO]],tblVendas[[#This Row],[NR_CNPJ]],"")</f>
        <v>41.926.720/0001-83</v>
      </c>
      <c r="C60" t="str">
        <f>_xlfn.XLOOKUP(A60,tblVendas[[#This Row],[NR_SIMULACAO]],tblVendas[[#This Row],[STATUS]],"")</f>
        <v>NEGOCIANDO</v>
      </c>
      <c r="D60" t="str">
        <f>_xlfn.XLOOKUP(A60,tblVendas[[#This Row],[NR_SIMULACAO]],tblVendas[[#This Row],[MES]],"")</f>
        <v>Maio</v>
      </c>
      <c r="E60">
        <f>SUM(_xlfn.XLOOKUP(tblCalculo[[#This Row],[NR_SIMULACAO]],tblVendas[[#This Row],[NR_SIMULACAO]],tblVendas[[#This Row],[VALOR_MOVEL]],""):_xlfn.XLOOKUP(tblCalculo[[#This Row],[NR_SIMULACAO]],tblVendas[[#This Row],[NR_SIMULACAO]],tblVendas[[#This Row],[VALOR_APARELHO]],""))</f>
        <v>19257.68</v>
      </c>
      <c r="F60">
        <f>IF(tblCalculo[[#This Row],[STATUS]]="CONCLUÍDO",_xlfn.XLOOKUP(tblCalculo[[#This Row],[NR_SIMULACAO]],tblVendas[[#This Row],[NR_SIMULACAO]],tblVendas[[#This Row],[VALOR_MOVEL]],""),0)</f>
        <v>0</v>
      </c>
      <c r="G60">
        <f>IF(tblCalculo[[#This Row],[STATUS]]="CONCLUÍDO",_xlfn.XLOOKUP(tblCalculo[[#This Row],[NR_SIMULACAO]],tblVendas[[#This Row],[NR_SIMULACAO]],tblVendas[[#This Row],[VALOR_AVANCADO]],""),0)</f>
        <v>0</v>
      </c>
      <c r="H60">
        <f>IF(tblCalculo[[#This Row],[STATUS]]="CONCLUÍDO",_xlfn.XLOOKUP(tblCalculo[[#This Row],[NR_SIMULACAO]],tblVendas[[#This Row],[NR_SIMULACAO]],tblVendas[[#This Row],[VALOR_FIXABASICA]],""),0)</f>
        <v>0</v>
      </c>
      <c r="I60">
        <f>IF(tblCalculo[[#This Row],[STATUS]]="CONCLUÍDO",_xlfn.XLOOKUP(tblCalculo[[#This Row],[NR_SIMULACAO]],tblVendas[[#This Row],[NR_SIMULACAO]],tblVendas[[#This Row],[VALOR_TI]],""),0)</f>
        <v>0</v>
      </c>
      <c r="J60">
        <f>IF(tblCalculo[[#This Row],[STATUS]]="CONCLUÍDO",_xlfn.XLOOKUP(tblCalculo[[#This Row],[NR_SIMULACAO]],tblVendas[[#This Row],[NR_SIMULACAO]],tblVendas[[#This Row],[VALOR_APARELHO]],""),0)</f>
        <v>0</v>
      </c>
      <c r="K60">
        <f>IF(tblCalculo[[#This Row],[STATUS]]="NEGOCIANDO",tblCalculo[[#This Row],[VALOR_TOTAL]],"")</f>
        <v>19257.68</v>
      </c>
      <c r="L60" t="str">
        <f>IF(tblCalculo[[#This Row],[STATUS]]="ALÇADA",tblCalculo[[#This Row],[VALOR_TOTAL]],"")</f>
        <v/>
      </c>
      <c r="M60" t="str">
        <f>IF(tblCalculo[[#This Row],[STATUS]]="EM ANÁLISE",tblCalculo[[#This Row],[VALOR_TOTAL]],"")</f>
        <v/>
      </c>
      <c r="N60" t="str">
        <f>IF(tblCalculo[[#This Row],[STATUS]]="TRAMITANDO",tblCalculo[[#This Row],[VALOR_TOTAL]],"")</f>
        <v/>
      </c>
      <c r="O60" t="str">
        <f>IF(tblCalculo[[#This Row],[STATUS]]="PERDIDO",tblCalculo[[#This Row],[VALOR_TOTAL]],"")</f>
        <v/>
      </c>
      <c r="P60" t="str">
        <f>IF(tblCalculo[[#This Row],[STATUS]]="CONCLUÍDO",tblCalculo[[#This Row],[VALOR_TOTAL]],"")</f>
        <v/>
      </c>
    </row>
    <row r="61" spans="1:23" x14ac:dyDescent="0.25">
      <c r="A61" t="str">
        <f>tblVendas[[#This Row],[NR_SIMULACAO]]</f>
        <v>SIM1051</v>
      </c>
      <c r="B61" s="34" t="str">
        <f>_xlfn.XLOOKUP(A61,tblVendas[[#This Row],[NR_SIMULACAO]],tblVendas[[#This Row],[NR_CNPJ]],"")</f>
        <v>44.609.287/0001-27</v>
      </c>
      <c r="C61" t="str">
        <f>_xlfn.XLOOKUP(A61,tblVendas[[#This Row],[NR_SIMULACAO]],tblVendas[[#This Row],[STATUS]],"")</f>
        <v>TRAMITANDO</v>
      </c>
      <c r="D61" t="str">
        <f>_xlfn.XLOOKUP(A61,tblVendas[[#This Row],[NR_SIMULACAO]],tblVendas[[#This Row],[MES]],"")</f>
        <v>Setembro</v>
      </c>
      <c r="E61">
        <f>SUM(_xlfn.XLOOKUP(tblCalculo[[#This Row],[NR_SIMULACAO]],tblVendas[[#This Row],[NR_SIMULACAO]],tblVendas[[#This Row],[VALOR_MOVEL]],""):_xlfn.XLOOKUP(tblCalculo[[#This Row],[NR_SIMULACAO]],tblVendas[[#This Row],[NR_SIMULACAO]],tblVendas[[#This Row],[VALOR_APARELHO]],""))</f>
        <v>10855.74</v>
      </c>
      <c r="F61">
        <f>IF(tblCalculo[[#This Row],[STATUS]]="CONCLUÍDO",_xlfn.XLOOKUP(tblCalculo[[#This Row],[NR_SIMULACAO]],tblVendas[[#This Row],[NR_SIMULACAO]],tblVendas[[#This Row],[VALOR_MOVEL]],""),0)</f>
        <v>0</v>
      </c>
      <c r="G61">
        <f>IF(tblCalculo[[#This Row],[STATUS]]="CONCLUÍDO",_xlfn.XLOOKUP(tblCalculo[[#This Row],[NR_SIMULACAO]],tblVendas[[#This Row],[NR_SIMULACAO]],tblVendas[[#This Row],[VALOR_AVANCADO]],""),0)</f>
        <v>0</v>
      </c>
      <c r="H61">
        <f>IF(tblCalculo[[#This Row],[STATUS]]="CONCLUÍDO",_xlfn.XLOOKUP(tblCalculo[[#This Row],[NR_SIMULACAO]],tblVendas[[#This Row],[NR_SIMULACAO]],tblVendas[[#This Row],[VALOR_FIXABASICA]],""),0)</f>
        <v>0</v>
      </c>
      <c r="I61">
        <f>IF(tblCalculo[[#This Row],[STATUS]]="CONCLUÍDO",_xlfn.XLOOKUP(tblCalculo[[#This Row],[NR_SIMULACAO]],tblVendas[[#This Row],[NR_SIMULACAO]],tblVendas[[#This Row],[VALOR_TI]],""),0)</f>
        <v>0</v>
      </c>
      <c r="J61">
        <f>IF(tblCalculo[[#This Row],[STATUS]]="CONCLUÍDO",_xlfn.XLOOKUP(tblCalculo[[#This Row],[NR_SIMULACAO]],tblVendas[[#This Row],[NR_SIMULACAO]],tblVendas[[#This Row],[VALOR_APARELHO]],""),0)</f>
        <v>0</v>
      </c>
      <c r="K61" t="str">
        <f>IF(tblCalculo[[#This Row],[STATUS]]="NEGOCIANDO",tblCalculo[[#This Row],[VALOR_TOTAL]],"")</f>
        <v/>
      </c>
      <c r="L61" t="str">
        <f>IF(tblCalculo[[#This Row],[STATUS]]="ALÇADA",tblCalculo[[#This Row],[VALOR_TOTAL]],"")</f>
        <v/>
      </c>
      <c r="M61" t="str">
        <f>IF(tblCalculo[[#This Row],[STATUS]]="EM ANÁLISE",tblCalculo[[#This Row],[VALOR_TOTAL]],"")</f>
        <v/>
      </c>
      <c r="N61">
        <f>IF(tblCalculo[[#This Row],[STATUS]]="TRAMITANDO",tblCalculo[[#This Row],[VALOR_TOTAL]],"")</f>
        <v>10855.74</v>
      </c>
      <c r="O61" t="str">
        <f>IF(tblCalculo[[#This Row],[STATUS]]="PERDIDO",tblCalculo[[#This Row],[VALOR_TOTAL]],"")</f>
        <v/>
      </c>
      <c r="P61" t="str">
        <f>IF(tblCalculo[[#This Row],[STATUS]]="CONCLUÍDO",tblCalculo[[#This Row],[VALOR_TOTAL]],"")</f>
        <v/>
      </c>
    </row>
    <row r="62" spans="1:23" x14ac:dyDescent="0.25">
      <c r="A62" t="str">
        <f>tblVendas[[#This Row],[NR_SIMULACAO]]</f>
        <v>SIM1052</v>
      </c>
      <c r="B62" s="34" t="str">
        <f>_xlfn.XLOOKUP(A62,tblVendas[[#This Row],[NR_SIMULACAO]],tblVendas[[#This Row],[NR_CNPJ]],"")</f>
        <v>47.499.842/0001-90</v>
      </c>
      <c r="C62" t="str">
        <f>_xlfn.XLOOKUP(A62,tblVendas[[#This Row],[NR_SIMULACAO]],tblVendas[[#This Row],[STATUS]],"")</f>
        <v>CONCLUÍDO</v>
      </c>
      <c r="D62" t="str">
        <f>_xlfn.XLOOKUP(A62,tblVendas[[#This Row],[NR_SIMULACAO]],tblVendas[[#This Row],[MES]],"")</f>
        <v>Fevereiro</v>
      </c>
      <c r="E62">
        <f>SUM(_xlfn.XLOOKUP(tblCalculo[[#This Row],[NR_SIMULACAO]],tblVendas[[#This Row],[NR_SIMULACAO]],tblVendas[[#This Row],[VALOR_MOVEL]],""):_xlfn.XLOOKUP(tblCalculo[[#This Row],[NR_SIMULACAO]],tblVendas[[#This Row],[NR_SIMULACAO]],tblVendas[[#This Row],[VALOR_APARELHO]],""))</f>
        <v>25877.73</v>
      </c>
      <c r="F62">
        <f>IF(tblCalculo[[#This Row],[STATUS]]="CONCLUÍDO",_xlfn.XLOOKUP(tblCalculo[[#This Row],[NR_SIMULACAO]],tblVendas[[#This Row],[NR_SIMULACAO]],tblVendas[[#This Row],[VALOR_MOVEL]],""),0)</f>
        <v>0</v>
      </c>
      <c r="G62">
        <f>IF(tblCalculo[[#This Row],[STATUS]]="CONCLUÍDO",_xlfn.XLOOKUP(tblCalculo[[#This Row],[NR_SIMULACAO]],tblVendas[[#This Row],[NR_SIMULACAO]],tblVendas[[#This Row],[VALOR_AVANCADO]],""),0)</f>
        <v>2091.5100000000002</v>
      </c>
      <c r="H62">
        <f>IF(tblCalculo[[#This Row],[STATUS]]="CONCLUÍDO",_xlfn.XLOOKUP(tblCalculo[[#This Row],[NR_SIMULACAO]],tblVendas[[#This Row],[NR_SIMULACAO]],tblVendas[[#This Row],[VALOR_FIXABASICA]],""),0)</f>
        <v>1266.08</v>
      </c>
      <c r="I62">
        <f>IF(tblCalculo[[#This Row],[STATUS]]="CONCLUÍDO",_xlfn.XLOOKUP(tblCalculo[[#This Row],[NR_SIMULACAO]],tblVendas[[#This Row],[NR_SIMULACAO]],tblVendas[[#This Row],[VALOR_TI]],""),0)</f>
        <v>10109.07</v>
      </c>
      <c r="J62">
        <f>IF(tblCalculo[[#This Row],[STATUS]]="CONCLUÍDO",_xlfn.XLOOKUP(tblCalculo[[#This Row],[NR_SIMULACAO]],tblVendas[[#This Row],[NR_SIMULACAO]],tblVendas[[#This Row],[VALOR_APARELHO]],""),0)</f>
        <v>12411.07</v>
      </c>
      <c r="K62" t="str">
        <f>IF(tblCalculo[[#This Row],[STATUS]]="NEGOCIANDO",tblCalculo[[#This Row],[VALOR_TOTAL]],"")</f>
        <v/>
      </c>
      <c r="L62" t="str">
        <f>IF(tblCalculo[[#This Row],[STATUS]]="ALÇADA",tblCalculo[[#This Row],[VALOR_TOTAL]],"")</f>
        <v/>
      </c>
      <c r="M62" t="str">
        <f>IF(tblCalculo[[#This Row],[STATUS]]="EM ANÁLISE",tblCalculo[[#This Row],[VALOR_TOTAL]],"")</f>
        <v/>
      </c>
      <c r="N62" t="str">
        <f>IF(tblCalculo[[#This Row],[STATUS]]="TRAMITANDO",tblCalculo[[#This Row],[VALOR_TOTAL]],"")</f>
        <v/>
      </c>
      <c r="O62" t="str">
        <f>IF(tblCalculo[[#This Row],[STATUS]]="PERDIDO",tblCalculo[[#This Row],[VALOR_TOTAL]],"")</f>
        <v/>
      </c>
      <c r="P62">
        <f>IF(tblCalculo[[#This Row],[STATUS]]="CONCLUÍDO",tblCalculo[[#This Row],[VALOR_TOTAL]],"")</f>
        <v>25877.73</v>
      </c>
    </row>
    <row r="63" spans="1:23" x14ac:dyDescent="0.25">
      <c r="A63" t="str">
        <f>tblVendas[[#This Row],[NR_SIMULACAO]]</f>
        <v>SIM1053</v>
      </c>
      <c r="B63" s="34" t="str">
        <f>_xlfn.XLOOKUP(A63,tblVendas[[#This Row],[NR_SIMULACAO]],tblVendas[[#This Row],[NR_CNPJ]],"")</f>
        <v>59.597.421/0001-34</v>
      </c>
      <c r="C63" t="str">
        <f>_xlfn.XLOOKUP(A63,tblVendas[[#This Row],[NR_SIMULACAO]],tblVendas[[#This Row],[STATUS]],"")</f>
        <v>TRAMITANDO</v>
      </c>
      <c r="D63" t="str">
        <f>_xlfn.XLOOKUP(A63,tblVendas[[#This Row],[NR_SIMULACAO]],tblVendas[[#This Row],[MES]],"")</f>
        <v>Outubro</v>
      </c>
      <c r="E63">
        <f>SUM(_xlfn.XLOOKUP(tblCalculo[[#This Row],[NR_SIMULACAO]],tblVendas[[#This Row],[NR_SIMULACAO]],tblVendas[[#This Row],[VALOR_MOVEL]],""):_xlfn.XLOOKUP(tblCalculo[[#This Row],[NR_SIMULACAO]],tblVendas[[#This Row],[NR_SIMULACAO]],tblVendas[[#This Row],[VALOR_APARELHO]],""))</f>
        <v>2005.78</v>
      </c>
      <c r="F63">
        <f>IF(tblCalculo[[#This Row],[STATUS]]="CONCLUÍDO",_xlfn.XLOOKUP(tblCalculo[[#This Row],[NR_SIMULACAO]],tblVendas[[#This Row],[NR_SIMULACAO]],tblVendas[[#This Row],[VALOR_MOVEL]],""),0)</f>
        <v>0</v>
      </c>
      <c r="G63">
        <f>IF(tblCalculo[[#This Row],[STATUS]]="CONCLUÍDO",_xlfn.XLOOKUP(tblCalculo[[#This Row],[NR_SIMULACAO]],tblVendas[[#This Row],[NR_SIMULACAO]],tblVendas[[#This Row],[VALOR_AVANCADO]],""),0)</f>
        <v>0</v>
      </c>
      <c r="H63">
        <f>IF(tblCalculo[[#This Row],[STATUS]]="CONCLUÍDO",_xlfn.XLOOKUP(tblCalculo[[#This Row],[NR_SIMULACAO]],tblVendas[[#This Row],[NR_SIMULACAO]],tblVendas[[#This Row],[VALOR_FIXABASICA]],""),0)</f>
        <v>0</v>
      </c>
      <c r="I63">
        <f>IF(tblCalculo[[#This Row],[STATUS]]="CONCLUÍDO",_xlfn.XLOOKUP(tblCalculo[[#This Row],[NR_SIMULACAO]],tblVendas[[#This Row],[NR_SIMULACAO]],tblVendas[[#This Row],[VALOR_TI]],""),0)</f>
        <v>0</v>
      </c>
      <c r="J63">
        <f>IF(tblCalculo[[#This Row],[STATUS]]="CONCLUÍDO",_xlfn.XLOOKUP(tblCalculo[[#This Row],[NR_SIMULACAO]],tblVendas[[#This Row],[NR_SIMULACAO]],tblVendas[[#This Row],[VALOR_APARELHO]],""),0)</f>
        <v>0</v>
      </c>
      <c r="K63" t="str">
        <f>IF(tblCalculo[[#This Row],[STATUS]]="NEGOCIANDO",tblCalculo[[#This Row],[VALOR_TOTAL]],"")</f>
        <v/>
      </c>
      <c r="L63" t="str">
        <f>IF(tblCalculo[[#This Row],[STATUS]]="ALÇADA",tblCalculo[[#This Row],[VALOR_TOTAL]],"")</f>
        <v/>
      </c>
      <c r="M63" t="str">
        <f>IF(tblCalculo[[#This Row],[STATUS]]="EM ANÁLISE",tblCalculo[[#This Row],[VALOR_TOTAL]],"")</f>
        <v/>
      </c>
      <c r="N63">
        <f>IF(tblCalculo[[#This Row],[STATUS]]="TRAMITANDO",tblCalculo[[#This Row],[VALOR_TOTAL]],"")</f>
        <v>2005.78</v>
      </c>
      <c r="O63" t="str">
        <f>IF(tblCalculo[[#This Row],[STATUS]]="PERDIDO",tblCalculo[[#This Row],[VALOR_TOTAL]],"")</f>
        <v/>
      </c>
      <c r="P63" t="str">
        <f>IF(tblCalculo[[#This Row],[STATUS]]="CONCLUÍDO",tblCalculo[[#This Row],[VALOR_TOTAL]],"")</f>
        <v/>
      </c>
    </row>
    <row r="64" spans="1:23" x14ac:dyDescent="0.25">
      <c r="A64" t="str">
        <f>tblVendas[[#This Row],[NR_SIMULACAO]]</f>
        <v>SIM1054</v>
      </c>
      <c r="B64" s="34" t="str">
        <f>_xlfn.XLOOKUP(A64,tblVendas[[#This Row],[NR_SIMULACAO]],tblVendas[[#This Row],[NR_CNPJ]],"")</f>
        <v>93.208.128/0001-74</v>
      </c>
      <c r="C64" t="str">
        <f>_xlfn.XLOOKUP(A64,tblVendas[[#This Row],[NR_SIMULACAO]],tblVendas[[#This Row],[STATUS]],"")</f>
        <v>NEGOCIANDO</v>
      </c>
      <c r="D64" t="str">
        <f>_xlfn.XLOOKUP(A64,tblVendas[[#This Row],[NR_SIMULACAO]],tblVendas[[#This Row],[MES]],"")</f>
        <v>Janeiro</v>
      </c>
      <c r="E64">
        <f>SUM(_xlfn.XLOOKUP(tblCalculo[[#This Row],[NR_SIMULACAO]],tblVendas[[#This Row],[NR_SIMULACAO]],tblVendas[[#This Row],[VALOR_MOVEL]],""):_xlfn.XLOOKUP(tblCalculo[[#This Row],[NR_SIMULACAO]],tblVendas[[#This Row],[NR_SIMULACAO]],tblVendas[[#This Row],[VALOR_APARELHO]],""))</f>
        <v>19811.34</v>
      </c>
      <c r="F64">
        <f>IF(tblCalculo[[#This Row],[STATUS]]="CONCLUÍDO",_xlfn.XLOOKUP(tblCalculo[[#This Row],[NR_SIMULACAO]],tblVendas[[#This Row],[NR_SIMULACAO]],tblVendas[[#This Row],[VALOR_MOVEL]],""),0)</f>
        <v>0</v>
      </c>
      <c r="G64">
        <f>IF(tblCalculo[[#This Row],[STATUS]]="CONCLUÍDO",_xlfn.XLOOKUP(tblCalculo[[#This Row],[NR_SIMULACAO]],tblVendas[[#This Row],[NR_SIMULACAO]],tblVendas[[#This Row],[VALOR_AVANCADO]],""),0)</f>
        <v>0</v>
      </c>
      <c r="H64">
        <f>IF(tblCalculo[[#This Row],[STATUS]]="CONCLUÍDO",_xlfn.XLOOKUP(tblCalculo[[#This Row],[NR_SIMULACAO]],tblVendas[[#This Row],[NR_SIMULACAO]],tblVendas[[#This Row],[VALOR_FIXABASICA]],""),0)</f>
        <v>0</v>
      </c>
      <c r="I64">
        <f>IF(tblCalculo[[#This Row],[STATUS]]="CONCLUÍDO",_xlfn.XLOOKUP(tblCalculo[[#This Row],[NR_SIMULACAO]],tblVendas[[#This Row],[NR_SIMULACAO]],tblVendas[[#This Row],[VALOR_TI]],""),0)</f>
        <v>0</v>
      </c>
      <c r="J64">
        <f>IF(tblCalculo[[#This Row],[STATUS]]="CONCLUÍDO",_xlfn.XLOOKUP(tblCalculo[[#This Row],[NR_SIMULACAO]],tblVendas[[#This Row],[NR_SIMULACAO]],tblVendas[[#This Row],[VALOR_APARELHO]],""),0)</f>
        <v>0</v>
      </c>
      <c r="K64">
        <f>IF(tblCalculo[[#This Row],[STATUS]]="NEGOCIANDO",tblCalculo[[#This Row],[VALOR_TOTAL]],"")</f>
        <v>19811.34</v>
      </c>
      <c r="L64" t="str">
        <f>IF(tblCalculo[[#This Row],[STATUS]]="ALÇADA",tblCalculo[[#This Row],[VALOR_TOTAL]],"")</f>
        <v/>
      </c>
      <c r="M64" t="str">
        <f>IF(tblCalculo[[#This Row],[STATUS]]="EM ANÁLISE",tblCalculo[[#This Row],[VALOR_TOTAL]],"")</f>
        <v/>
      </c>
      <c r="N64" t="str">
        <f>IF(tblCalculo[[#This Row],[STATUS]]="TRAMITANDO",tblCalculo[[#This Row],[VALOR_TOTAL]],"")</f>
        <v/>
      </c>
      <c r="O64" t="str">
        <f>IF(tblCalculo[[#This Row],[STATUS]]="PERDIDO",tblCalculo[[#This Row],[VALOR_TOTAL]],"")</f>
        <v/>
      </c>
      <c r="P64" t="str">
        <f>IF(tblCalculo[[#This Row],[STATUS]]="CONCLUÍDO",tblCalculo[[#This Row],[VALOR_TOTAL]],"")</f>
        <v/>
      </c>
    </row>
    <row r="65" spans="1:16" x14ac:dyDescent="0.25">
      <c r="A65" t="str">
        <f>tblVendas[[#This Row],[NR_SIMULACAO]]</f>
        <v>SIM1055</v>
      </c>
      <c r="B65" s="34" t="str">
        <f>_xlfn.XLOOKUP(A65,tblVendas[[#This Row],[NR_SIMULACAO]],tblVendas[[#This Row],[NR_CNPJ]],"")</f>
        <v>64.280.864/0001-87</v>
      </c>
      <c r="C65" t="str">
        <f>_xlfn.XLOOKUP(A65,tblVendas[[#This Row],[NR_SIMULACAO]],tblVendas[[#This Row],[STATUS]],"")</f>
        <v>CONCLUÍDO</v>
      </c>
      <c r="D65" t="str">
        <f>_xlfn.XLOOKUP(A65,tblVendas[[#This Row],[NR_SIMULACAO]],tblVendas[[#This Row],[MES]],"")</f>
        <v>Julho</v>
      </c>
      <c r="E65">
        <f>SUM(_xlfn.XLOOKUP(tblCalculo[[#This Row],[NR_SIMULACAO]],tblVendas[[#This Row],[NR_SIMULACAO]],tblVendas[[#This Row],[VALOR_MOVEL]],""):_xlfn.XLOOKUP(tblCalculo[[#This Row],[NR_SIMULACAO]],tblVendas[[#This Row],[NR_SIMULACAO]],tblVendas[[#This Row],[VALOR_APARELHO]],""))</f>
        <v>17885.810000000001</v>
      </c>
      <c r="F65">
        <f>IF(tblCalculo[[#This Row],[STATUS]]="CONCLUÍDO",_xlfn.XLOOKUP(tblCalculo[[#This Row],[NR_SIMULACAO]],tblVendas[[#This Row],[NR_SIMULACAO]],tblVendas[[#This Row],[VALOR_MOVEL]],""),0)</f>
        <v>7734.27</v>
      </c>
      <c r="G65">
        <f>IF(tblCalculo[[#This Row],[STATUS]]="CONCLUÍDO",_xlfn.XLOOKUP(tblCalculo[[#This Row],[NR_SIMULACAO]],tblVendas[[#This Row],[NR_SIMULACAO]],tblVendas[[#This Row],[VALOR_AVANCADO]],""),0)</f>
        <v>779.87</v>
      </c>
      <c r="H65">
        <f>IF(tblCalculo[[#This Row],[STATUS]]="CONCLUÍDO",_xlfn.XLOOKUP(tblCalculo[[#This Row],[NR_SIMULACAO]],tblVendas[[#This Row],[NR_SIMULACAO]],tblVendas[[#This Row],[VALOR_FIXABASICA]],""),0)</f>
        <v>0</v>
      </c>
      <c r="I65">
        <f>IF(tblCalculo[[#This Row],[STATUS]]="CONCLUÍDO",_xlfn.XLOOKUP(tblCalculo[[#This Row],[NR_SIMULACAO]],tblVendas[[#This Row],[NR_SIMULACAO]],tblVendas[[#This Row],[VALOR_TI]],""),0)</f>
        <v>9371.67</v>
      </c>
      <c r="J65">
        <f>IF(tblCalculo[[#This Row],[STATUS]]="CONCLUÍDO",_xlfn.XLOOKUP(tblCalculo[[#This Row],[NR_SIMULACAO]],tblVendas[[#This Row],[NR_SIMULACAO]],tblVendas[[#This Row],[VALOR_APARELHO]],""),0)</f>
        <v>0</v>
      </c>
      <c r="K65" t="str">
        <f>IF(tblCalculo[[#This Row],[STATUS]]="NEGOCIANDO",tblCalculo[[#This Row],[VALOR_TOTAL]],"")</f>
        <v/>
      </c>
      <c r="L65" t="str">
        <f>IF(tblCalculo[[#This Row],[STATUS]]="ALÇADA",tblCalculo[[#This Row],[VALOR_TOTAL]],"")</f>
        <v/>
      </c>
      <c r="M65" t="str">
        <f>IF(tblCalculo[[#This Row],[STATUS]]="EM ANÁLISE",tblCalculo[[#This Row],[VALOR_TOTAL]],"")</f>
        <v/>
      </c>
      <c r="N65" t="str">
        <f>IF(tblCalculo[[#This Row],[STATUS]]="TRAMITANDO",tblCalculo[[#This Row],[VALOR_TOTAL]],"")</f>
        <v/>
      </c>
      <c r="O65" t="str">
        <f>IF(tblCalculo[[#This Row],[STATUS]]="PERDIDO",tblCalculo[[#This Row],[VALOR_TOTAL]],"")</f>
        <v/>
      </c>
      <c r="P65">
        <f>IF(tblCalculo[[#This Row],[STATUS]]="CONCLUÍDO",tblCalculo[[#This Row],[VALOR_TOTAL]],"")</f>
        <v>17885.810000000001</v>
      </c>
    </row>
    <row r="66" spans="1:16" x14ac:dyDescent="0.25">
      <c r="A66" t="str">
        <f>tblVendas[[#This Row],[NR_SIMULACAO]]</f>
        <v>SIM1056</v>
      </c>
      <c r="B66" s="34" t="str">
        <f>_xlfn.XLOOKUP(A66,tblVendas[[#This Row],[NR_SIMULACAO]],tblVendas[[#This Row],[NR_CNPJ]],"")</f>
        <v>66.657.500/0001-66</v>
      </c>
      <c r="C66" t="str">
        <f>_xlfn.XLOOKUP(A66,tblVendas[[#This Row],[NR_SIMULACAO]],tblVendas[[#This Row],[STATUS]],"")</f>
        <v>CONCLUÍDO</v>
      </c>
      <c r="D66" t="str">
        <f>_xlfn.XLOOKUP(A66,tblVendas[[#This Row],[NR_SIMULACAO]],tblVendas[[#This Row],[MES]],"")</f>
        <v>Abril</v>
      </c>
      <c r="E66">
        <f>SUM(_xlfn.XLOOKUP(tblCalculo[[#This Row],[NR_SIMULACAO]],tblVendas[[#This Row],[NR_SIMULACAO]],tblVendas[[#This Row],[VALOR_MOVEL]],""):_xlfn.XLOOKUP(tblCalculo[[#This Row],[NR_SIMULACAO]],tblVendas[[#This Row],[NR_SIMULACAO]],tblVendas[[#This Row],[VALOR_APARELHO]],""))</f>
        <v>7276.32</v>
      </c>
      <c r="F66">
        <f>IF(tblCalculo[[#This Row],[STATUS]]="CONCLUÍDO",_xlfn.XLOOKUP(tblCalculo[[#This Row],[NR_SIMULACAO]],tblVendas[[#This Row],[NR_SIMULACAO]],tblVendas[[#This Row],[VALOR_MOVEL]],""),0)</f>
        <v>0</v>
      </c>
      <c r="G66">
        <f>IF(tblCalculo[[#This Row],[STATUS]]="CONCLUÍDO",_xlfn.XLOOKUP(tblCalculo[[#This Row],[NR_SIMULACAO]],tblVendas[[#This Row],[NR_SIMULACAO]],tblVendas[[#This Row],[VALOR_AVANCADO]],""),0)</f>
        <v>2022.2</v>
      </c>
      <c r="H66">
        <f>IF(tblCalculo[[#This Row],[STATUS]]="CONCLUÍDO",_xlfn.XLOOKUP(tblCalculo[[#This Row],[NR_SIMULACAO]],tblVendas[[#This Row],[NR_SIMULACAO]],tblVendas[[#This Row],[VALOR_FIXABASICA]],""),0)</f>
        <v>0</v>
      </c>
      <c r="I66">
        <f>IF(tblCalculo[[#This Row],[STATUS]]="CONCLUÍDO",_xlfn.XLOOKUP(tblCalculo[[#This Row],[NR_SIMULACAO]],tblVendas[[#This Row],[NR_SIMULACAO]],tblVendas[[#This Row],[VALOR_TI]],""),0)</f>
        <v>0</v>
      </c>
      <c r="J66">
        <f>IF(tblCalculo[[#This Row],[STATUS]]="CONCLUÍDO",_xlfn.XLOOKUP(tblCalculo[[#This Row],[NR_SIMULACAO]],tblVendas[[#This Row],[NR_SIMULACAO]],tblVendas[[#This Row],[VALOR_APARELHO]],""),0)</f>
        <v>5254.12</v>
      </c>
      <c r="K66" t="str">
        <f>IF(tblCalculo[[#This Row],[STATUS]]="NEGOCIANDO",tblCalculo[[#This Row],[VALOR_TOTAL]],"")</f>
        <v/>
      </c>
      <c r="L66" t="str">
        <f>IF(tblCalculo[[#This Row],[STATUS]]="ALÇADA",tblCalculo[[#This Row],[VALOR_TOTAL]],"")</f>
        <v/>
      </c>
      <c r="M66" t="str">
        <f>IF(tblCalculo[[#This Row],[STATUS]]="EM ANÁLISE",tblCalculo[[#This Row],[VALOR_TOTAL]],"")</f>
        <v/>
      </c>
      <c r="N66" t="str">
        <f>IF(tblCalculo[[#This Row],[STATUS]]="TRAMITANDO",tblCalculo[[#This Row],[VALOR_TOTAL]],"")</f>
        <v/>
      </c>
      <c r="O66" t="str">
        <f>IF(tblCalculo[[#This Row],[STATUS]]="PERDIDO",tblCalculo[[#This Row],[VALOR_TOTAL]],"")</f>
        <v/>
      </c>
      <c r="P66">
        <f>IF(tblCalculo[[#This Row],[STATUS]]="CONCLUÍDO",tblCalculo[[#This Row],[VALOR_TOTAL]],"")</f>
        <v>7276.32</v>
      </c>
    </row>
    <row r="67" spans="1:16" x14ac:dyDescent="0.25">
      <c r="A67" t="str">
        <f>tblVendas[[#This Row],[NR_SIMULACAO]]</f>
        <v>SIM1057</v>
      </c>
      <c r="B67" s="34" t="str">
        <f>_xlfn.XLOOKUP(A67,tblVendas[[#This Row],[NR_SIMULACAO]],tblVendas[[#This Row],[NR_CNPJ]],"")</f>
        <v>14.535.992/0001-20</v>
      </c>
      <c r="C67" t="str">
        <f>_xlfn.XLOOKUP(A67,tblVendas[[#This Row],[NR_SIMULACAO]],tblVendas[[#This Row],[STATUS]],"")</f>
        <v>ALÇADA</v>
      </c>
      <c r="D67" t="str">
        <f>_xlfn.XLOOKUP(A67,tblVendas[[#This Row],[NR_SIMULACAO]],tblVendas[[#This Row],[MES]],"")</f>
        <v>Junho</v>
      </c>
      <c r="E67">
        <f>SUM(_xlfn.XLOOKUP(tblCalculo[[#This Row],[NR_SIMULACAO]],tblVendas[[#This Row],[NR_SIMULACAO]],tblVendas[[#This Row],[VALOR_MOVEL]],""):_xlfn.XLOOKUP(tblCalculo[[#This Row],[NR_SIMULACAO]],tblVendas[[#This Row],[NR_SIMULACAO]],tblVendas[[#This Row],[VALOR_APARELHO]],""))</f>
        <v>376.29</v>
      </c>
      <c r="F67">
        <f>IF(tblCalculo[[#This Row],[STATUS]]="CONCLUÍDO",_xlfn.XLOOKUP(tblCalculo[[#This Row],[NR_SIMULACAO]],tblVendas[[#This Row],[NR_SIMULACAO]],tblVendas[[#This Row],[VALOR_MOVEL]],""),0)</f>
        <v>0</v>
      </c>
      <c r="G67">
        <f>IF(tblCalculo[[#This Row],[STATUS]]="CONCLUÍDO",_xlfn.XLOOKUP(tblCalculo[[#This Row],[NR_SIMULACAO]],tblVendas[[#This Row],[NR_SIMULACAO]],tblVendas[[#This Row],[VALOR_AVANCADO]],""),0)</f>
        <v>0</v>
      </c>
      <c r="H67">
        <f>IF(tblCalculo[[#This Row],[STATUS]]="CONCLUÍDO",_xlfn.XLOOKUP(tblCalculo[[#This Row],[NR_SIMULACAO]],tblVendas[[#This Row],[NR_SIMULACAO]],tblVendas[[#This Row],[VALOR_FIXABASICA]],""),0)</f>
        <v>0</v>
      </c>
      <c r="I67">
        <f>IF(tblCalculo[[#This Row],[STATUS]]="CONCLUÍDO",_xlfn.XLOOKUP(tblCalculo[[#This Row],[NR_SIMULACAO]],tblVendas[[#This Row],[NR_SIMULACAO]],tblVendas[[#This Row],[VALOR_TI]],""),0)</f>
        <v>0</v>
      </c>
      <c r="J67">
        <f>IF(tblCalculo[[#This Row],[STATUS]]="CONCLUÍDO",_xlfn.XLOOKUP(tblCalculo[[#This Row],[NR_SIMULACAO]],tblVendas[[#This Row],[NR_SIMULACAO]],tblVendas[[#This Row],[VALOR_APARELHO]],""),0)</f>
        <v>0</v>
      </c>
      <c r="K67" t="str">
        <f>IF(tblCalculo[[#This Row],[STATUS]]="NEGOCIANDO",tblCalculo[[#This Row],[VALOR_TOTAL]],"")</f>
        <v/>
      </c>
      <c r="L67">
        <f>IF(tblCalculo[[#This Row],[STATUS]]="ALÇADA",tblCalculo[[#This Row],[VALOR_TOTAL]],"")</f>
        <v>376.29</v>
      </c>
      <c r="M67" t="str">
        <f>IF(tblCalculo[[#This Row],[STATUS]]="EM ANÁLISE",tblCalculo[[#This Row],[VALOR_TOTAL]],"")</f>
        <v/>
      </c>
      <c r="N67" t="str">
        <f>IF(tblCalculo[[#This Row],[STATUS]]="TRAMITANDO",tblCalculo[[#This Row],[VALOR_TOTAL]],"")</f>
        <v/>
      </c>
      <c r="O67" t="str">
        <f>IF(tblCalculo[[#This Row],[STATUS]]="PERDIDO",tblCalculo[[#This Row],[VALOR_TOTAL]],"")</f>
        <v/>
      </c>
      <c r="P67" t="str">
        <f>IF(tblCalculo[[#This Row],[STATUS]]="CONCLUÍDO",tblCalculo[[#This Row],[VALOR_TOTAL]],"")</f>
        <v/>
      </c>
    </row>
    <row r="68" spans="1:16" x14ac:dyDescent="0.25">
      <c r="A68" t="str">
        <f>tblVendas[[#This Row],[NR_SIMULACAO]]</f>
        <v>SIM1058</v>
      </c>
      <c r="B68" s="34" t="str">
        <f>_xlfn.XLOOKUP(A68,tblVendas[[#This Row],[NR_SIMULACAO]],tblVendas[[#This Row],[NR_CNPJ]],"")</f>
        <v>61.914.506/0001-72</v>
      </c>
      <c r="C68" t="str">
        <f>_xlfn.XLOOKUP(A68,tblVendas[[#This Row],[NR_SIMULACAO]],tblVendas[[#This Row],[STATUS]],"")</f>
        <v>ALÇADA</v>
      </c>
      <c r="D68" t="str">
        <f>_xlfn.XLOOKUP(A68,tblVendas[[#This Row],[NR_SIMULACAO]],tblVendas[[#This Row],[MES]],"")</f>
        <v>Maio</v>
      </c>
      <c r="E68">
        <f>SUM(_xlfn.XLOOKUP(tblCalculo[[#This Row],[NR_SIMULACAO]],tblVendas[[#This Row],[NR_SIMULACAO]],tblVendas[[#This Row],[VALOR_MOVEL]],""):_xlfn.XLOOKUP(tblCalculo[[#This Row],[NR_SIMULACAO]],tblVendas[[#This Row],[NR_SIMULACAO]],tblVendas[[#This Row],[VALOR_APARELHO]],""))</f>
        <v>6077.7</v>
      </c>
      <c r="F68">
        <f>IF(tblCalculo[[#This Row],[STATUS]]="CONCLUÍDO",_xlfn.XLOOKUP(tblCalculo[[#This Row],[NR_SIMULACAO]],tblVendas[[#This Row],[NR_SIMULACAO]],tblVendas[[#This Row],[VALOR_MOVEL]],""),0)</f>
        <v>0</v>
      </c>
      <c r="G68">
        <f>IF(tblCalculo[[#This Row],[STATUS]]="CONCLUÍDO",_xlfn.XLOOKUP(tblCalculo[[#This Row],[NR_SIMULACAO]],tblVendas[[#This Row],[NR_SIMULACAO]],tblVendas[[#This Row],[VALOR_AVANCADO]],""),0)</f>
        <v>0</v>
      </c>
      <c r="H68">
        <f>IF(tblCalculo[[#This Row],[STATUS]]="CONCLUÍDO",_xlfn.XLOOKUP(tblCalculo[[#This Row],[NR_SIMULACAO]],tblVendas[[#This Row],[NR_SIMULACAO]],tblVendas[[#This Row],[VALOR_FIXABASICA]],""),0)</f>
        <v>0</v>
      </c>
      <c r="I68">
        <f>IF(tblCalculo[[#This Row],[STATUS]]="CONCLUÍDO",_xlfn.XLOOKUP(tblCalculo[[#This Row],[NR_SIMULACAO]],tblVendas[[#This Row],[NR_SIMULACAO]],tblVendas[[#This Row],[VALOR_TI]],""),0)</f>
        <v>0</v>
      </c>
      <c r="J68">
        <f>IF(tblCalculo[[#This Row],[STATUS]]="CONCLUÍDO",_xlfn.XLOOKUP(tblCalculo[[#This Row],[NR_SIMULACAO]],tblVendas[[#This Row],[NR_SIMULACAO]],tblVendas[[#This Row],[VALOR_APARELHO]],""),0)</f>
        <v>0</v>
      </c>
      <c r="K68" t="str">
        <f>IF(tblCalculo[[#This Row],[STATUS]]="NEGOCIANDO",tblCalculo[[#This Row],[VALOR_TOTAL]],"")</f>
        <v/>
      </c>
      <c r="L68">
        <f>IF(tblCalculo[[#This Row],[STATUS]]="ALÇADA",tblCalculo[[#This Row],[VALOR_TOTAL]],"")</f>
        <v>6077.7</v>
      </c>
      <c r="M68" t="str">
        <f>IF(tblCalculo[[#This Row],[STATUS]]="EM ANÁLISE",tblCalculo[[#This Row],[VALOR_TOTAL]],"")</f>
        <v/>
      </c>
      <c r="N68" t="str">
        <f>IF(tblCalculo[[#This Row],[STATUS]]="TRAMITANDO",tblCalculo[[#This Row],[VALOR_TOTAL]],"")</f>
        <v/>
      </c>
      <c r="O68" t="str">
        <f>IF(tblCalculo[[#This Row],[STATUS]]="PERDIDO",tblCalculo[[#This Row],[VALOR_TOTAL]],"")</f>
        <v/>
      </c>
      <c r="P68" t="str">
        <f>IF(tblCalculo[[#This Row],[STATUS]]="CONCLUÍDO",tblCalculo[[#This Row],[VALOR_TOTAL]],"")</f>
        <v/>
      </c>
    </row>
    <row r="69" spans="1:16" x14ac:dyDescent="0.25">
      <c r="A69" t="str">
        <f>tblVendas[[#This Row],[NR_SIMULACAO]]</f>
        <v>SIM1059</v>
      </c>
      <c r="B69" s="34" t="str">
        <f>_xlfn.XLOOKUP(A69,tblVendas[[#This Row],[NR_SIMULACAO]],tblVendas[[#This Row],[NR_CNPJ]],"")</f>
        <v>98.951.254/0001-50</v>
      </c>
      <c r="C69" t="str">
        <f>_xlfn.XLOOKUP(A69,tblVendas[[#This Row],[NR_SIMULACAO]],tblVendas[[#This Row],[STATUS]],"")</f>
        <v>EM ANÁLISE</v>
      </c>
      <c r="D69" t="str">
        <f>_xlfn.XLOOKUP(A69,tblVendas[[#This Row],[NR_SIMULACAO]],tblVendas[[#This Row],[MES]],"")</f>
        <v>Janeiro</v>
      </c>
      <c r="E69">
        <f>SUM(_xlfn.XLOOKUP(tblCalculo[[#This Row],[NR_SIMULACAO]],tblVendas[[#This Row],[NR_SIMULACAO]],tblVendas[[#This Row],[VALOR_MOVEL]],""):_xlfn.XLOOKUP(tblCalculo[[#This Row],[NR_SIMULACAO]],tblVendas[[#This Row],[NR_SIMULACAO]],tblVendas[[#This Row],[VALOR_APARELHO]],""))</f>
        <v>4739.87</v>
      </c>
      <c r="F69">
        <f>IF(tblCalculo[[#This Row],[STATUS]]="CONCLUÍDO",_xlfn.XLOOKUP(tblCalculo[[#This Row],[NR_SIMULACAO]],tblVendas[[#This Row],[NR_SIMULACAO]],tblVendas[[#This Row],[VALOR_MOVEL]],""),0)</f>
        <v>0</v>
      </c>
      <c r="G69">
        <f>IF(tblCalculo[[#This Row],[STATUS]]="CONCLUÍDO",_xlfn.XLOOKUP(tblCalculo[[#This Row],[NR_SIMULACAO]],tblVendas[[#This Row],[NR_SIMULACAO]],tblVendas[[#This Row],[VALOR_AVANCADO]],""),0)</f>
        <v>0</v>
      </c>
      <c r="H69">
        <f>IF(tblCalculo[[#This Row],[STATUS]]="CONCLUÍDO",_xlfn.XLOOKUP(tblCalculo[[#This Row],[NR_SIMULACAO]],tblVendas[[#This Row],[NR_SIMULACAO]],tblVendas[[#This Row],[VALOR_FIXABASICA]],""),0)</f>
        <v>0</v>
      </c>
      <c r="I69">
        <f>IF(tblCalculo[[#This Row],[STATUS]]="CONCLUÍDO",_xlfn.XLOOKUP(tblCalculo[[#This Row],[NR_SIMULACAO]],tblVendas[[#This Row],[NR_SIMULACAO]],tblVendas[[#This Row],[VALOR_TI]],""),0)</f>
        <v>0</v>
      </c>
      <c r="J69">
        <f>IF(tblCalculo[[#This Row],[STATUS]]="CONCLUÍDO",_xlfn.XLOOKUP(tblCalculo[[#This Row],[NR_SIMULACAO]],tblVendas[[#This Row],[NR_SIMULACAO]],tblVendas[[#This Row],[VALOR_APARELHO]],""),0)</f>
        <v>0</v>
      </c>
      <c r="K69" t="str">
        <f>IF(tblCalculo[[#This Row],[STATUS]]="NEGOCIANDO",tblCalculo[[#This Row],[VALOR_TOTAL]],"")</f>
        <v/>
      </c>
      <c r="L69" t="str">
        <f>IF(tblCalculo[[#This Row],[STATUS]]="ALÇADA",tblCalculo[[#This Row],[VALOR_TOTAL]],"")</f>
        <v/>
      </c>
      <c r="M69">
        <f>IF(tblCalculo[[#This Row],[STATUS]]="EM ANÁLISE",tblCalculo[[#This Row],[VALOR_TOTAL]],"")</f>
        <v>4739.87</v>
      </c>
      <c r="N69" t="str">
        <f>IF(tblCalculo[[#This Row],[STATUS]]="TRAMITANDO",tblCalculo[[#This Row],[VALOR_TOTAL]],"")</f>
        <v/>
      </c>
      <c r="O69" t="str">
        <f>IF(tblCalculo[[#This Row],[STATUS]]="PERDIDO",tblCalculo[[#This Row],[VALOR_TOTAL]],"")</f>
        <v/>
      </c>
      <c r="P69" t="str">
        <f>IF(tblCalculo[[#This Row],[STATUS]]="CONCLUÍDO",tblCalculo[[#This Row],[VALOR_TOTAL]],"")</f>
        <v/>
      </c>
    </row>
    <row r="70" spans="1:16" x14ac:dyDescent="0.25">
      <c r="A70" t="str">
        <f>tblVendas[[#This Row],[NR_SIMULACAO]]</f>
        <v>SIM1060</v>
      </c>
      <c r="B70" s="34" t="str">
        <f>_xlfn.XLOOKUP(A70,tblVendas[[#This Row],[NR_SIMULACAO]],tblVendas[[#This Row],[NR_CNPJ]],"")</f>
        <v>61.400.252/0001-76</v>
      </c>
      <c r="C70" t="str">
        <f>_xlfn.XLOOKUP(A70,tblVendas[[#This Row],[NR_SIMULACAO]],tblVendas[[#This Row],[STATUS]],"")</f>
        <v>PERDIDO</v>
      </c>
      <c r="D70" t="str">
        <f>_xlfn.XLOOKUP(A70,tblVendas[[#This Row],[NR_SIMULACAO]],tblVendas[[#This Row],[MES]],"")</f>
        <v>Setembro</v>
      </c>
      <c r="E70">
        <f>SUM(_xlfn.XLOOKUP(tblCalculo[[#This Row],[NR_SIMULACAO]],tblVendas[[#This Row],[NR_SIMULACAO]],tblVendas[[#This Row],[VALOR_MOVEL]],""):_xlfn.XLOOKUP(tblCalculo[[#This Row],[NR_SIMULACAO]],tblVendas[[#This Row],[NR_SIMULACAO]],tblVendas[[#This Row],[VALOR_APARELHO]],""))</f>
        <v>16660.61</v>
      </c>
      <c r="F70">
        <f>IF(tblCalculo[[#This Row],[STATUS]]="CONCLUÍDO",_xlfn.XLOOKUP(tblCalculo[[#This Row],[NR_SIMULACAO]],tblVendas[[#This Row],[NR_SIMULACAO]],tblVendas[[#This Row],[VALOR_MOVEL]],""),0)</f>
        <v>0</v>
      </c>
      <c r="G70">
        <f>IF(tblCalculo[[#This Row],[STATUS]]="CONCLUÍDO",_xlfn.XLOOKUP(tblCalculo[[#This Row],[NR_SIMULACAO]],tblVendas[[#This Row],[NR_SIMULACAO]],tblVendas[[#This Row],[VALOR_AVANCADO]],""),0)</f>
        <v>0</v>
      </c>
      <c r="H70">
        <f>IF(tblCalculo[[#This Row],[STATUS]]="CONCLUÍDO",_xlfn.XLOOKUP(tblCalculo[[#This Row],[NR_SIMULACAO]],tblVendas[[#This Row],[NR_SIMULACAO]],tblVendas[[#This Row],[VALOR_FIXABASICA]],""),0)</f>
        <v>0</v>
      </c>
      <c r="I70">
        <f>IF(tblCalculo[[#This Row],[STATUS]]="CONCLUÍDO",_xlfn.XLOOKUP(tblCalculo[[#This Row],[NR_SIMULACAO]],tblVendas[[#This Row],[NR_SIMULACAO]],tblVendas[[#This Row],[VALOR_TI]],""),0)</f>
        <v>0</v>
      </c>
      <c r="J70">
        <f>IF(tblCalculo[[#This Row],[STATUS]]="CONCLUÍDO",_xlfn.XLOOKUP(tblCalculo[[#This Row],[NR_SIMULACAO]],tblVendas[[#This Row],[NR_SIMULACAO]],tblVendas[[#This Row],[VALOR_APARELHO]],""),0)</f>
        <v>0</v>
      </c>
      <c r="K70" t="str">
        <f>IF(tblCalculo[[#This Row],[STATUS]]="NEGOCIANDO",tblCalculo[[#This Row],[VALOR_TOTAL]],"")</f>
        <v/>
      </c>
      <c r="L70" t="str">
        <f>IF(tblCalculo[[#This Row],[STATUS]]="ALÇADA",tblCalculo[[#This Row],[VALOR_TOTAL]],"")</f>
        <v/>
      </c>
      <c r="M70" t="str">
        <f>IF(tblCalculo[[#This Row],[STATUS]]="EM ANÁLISE",tblCalculo[[#This Row],[VALOR_TOTAL]],"")</f>
        <v/>
      </c>
      <c r="N70" t="str">
        <f>IF(tblCalculo[[#This Row],[STATUS]]="TRAMITANDO",tblCalculo[[#This Row],[VALOR_TOTAL]],"")</f>
        <v/>
      </c>
      <c r="O70">
        <f>IF(tblCalculo[[#This Row],[STATUS]]="PERDIDO",tblCalculo[[#This Row],[VALOR_TOTAL]],"")</f>
        <v>16660.61</v>
      </c>
      <c r="P70" t="str">
        <f>IF(tblCalculo[[#This Row],[STATUS]]="CONCLUÍDO",tblCalculo[[#This Row],[VALOR_TOTAL]],"")</f>
        <v/>
      </c>
    </row>
    <row r="71" spans="1:16" x14ac:dyDescent="0.25">
      <c r="A71" t="str">
        <f>tblVendas[[#This Row],[NR_SIMULACAO]]</f>
        <v>SIM1061</v>
      </c>
      <c r="B71" s="34" t="str">
        <f>_xlfn.XLOOKUP(A71,tblVendas[[#This Row],[NR_SIMULACAO]],tblVendas[[#This Row],[NR_CNPJ]],"")</f>
        <v>13.439.261/0001-97</v>
      </c>
      <c r="C71" t="str">
        <f>_xlfn.XLOOKUP(A71,tblVendas[[#This Row],[NR_SIMULACAO]],tblVendas[[#This Row],[STATUS]],"")</f>
        <v>ALÇADA</v>
      </c>
      <c r="D71" t="str">
        <f>_xlfn.XLOOKUP(A71,tblVendas[[#This Row],[NR_SIMULACAO]],tblVendas[[#This Row],[MES]],"")</f>
        <v>Abril</v>
      </c>
      <c r="E71">
        <f>SUM(_xlfn.XLOOKUP(tblCalculo[[#This Row],[NR_SIMULACAO]],tblVendas[[#This Row],[NR_SIMULACAO]],tblVendas[[#This Row],[VALOR_MOVEL]],""):_xlfn.XLOOKUP(tblCalculo[[#This Row],[NR_SIMULACAO]],tblVendas[[#This Row],[NR_SIMULACAO]],tblVendas[[#This Row],[VALOR_APARELHO]],""))</f>
        <v>14624.25</v>
      </c>
      <c r="F71">
        <f>IF(tblCalculo[[#This Row],[STATUS]]="CONCLUÍDO",_xlfn.XLOOKUP(tblCalculo[[#This Row],[NR_SIMULACAO]],tblVendas[[#This Row],[NR_SIMULACAO]],tblVendas[[#This Row],[VALOR_MOVEL]],""),0)</f>
        <v>0</v>
      </c>
      <c r="G71">
        <f>IF(tblCalculo[[#This Row],[STATUS]]="CONCLUÍDO",_xlfn.XLOOKUP(tblCalculo[[#This Row],[NR_SIMULACAO]],tblVendas[[#This Row],[NR_SIMULACAO]],tblVendas[[#This Row],[VALOR_AVANCADO]],""),0)</f>
        <v>0</v>
      </c>
      <c r="H71">
        <f>IF(tblCalculo[[#This Row],[STATUS]]="CONCLUÍDO",_xlfn.XLOOKUP(tblCalculo[[#This Row],[NR_SIMULACAO]],tblVendas[[#This Row],[NR_SIMULACAO]],tblVendas[[#This Row],[VALOR_FIXABASICA]],""),0)</f>
        <v>0</v>
      </c>
      <c r="I71">
        <f>IF(tblCalculo[[#This Row],[STATUS]]="CONCLUÍDO",_xlfn.XLOOKUP(tblCalculo[[#This Row],[NR_SIMULACAO]],tblVendas[[#This Row],[NR_SIMULACAO]],tblVendas[[#This Row],[VALOR_TI]],""),0)</f>
        <v>0</v>
      </c>
      <c r="J71">
        <f>IF(tblCalculo[[#This Row],[STATUS]]="CONCLUÍDO",_xlfn.XLOOKUP(tblCalculo[[#This Row],[NR_SIMULACAO]],tblVendas[[#This Row],[NR_SIMULACAO]],tblVendas[[#This Row],[VALOR_APARELHO]],""),0)</f>
        <v>0</v>
      </c>
      <c r="K71" t="str">
        <f>IF(tblCalculo[[#This Row],[STATUS]]="NEGOCIANDO",tblCalculo[[#This Row],[VALOR_TOTAL]],"")</f>
        <v/>
      </c>
      <c r="L71">
        <f>IF(tblCalculo[[#This Row],[STATUS]]="ALÇADA",tblCalculo[[#This Row],[VALOR_TOTAL]],"")</f>
        <v>14624.25</v>
      </c>
      <c r="M71" t="str">
        <f>IF(tblCalculo[[#This Row],[STATUS]]="EM ANÁLISE",tblCalculo[[#This Row],[VALOR_TOTAL]],"")</f>
        <v/>
      </c>
      <c r="N71" t="str">
        <f>IF(tblCalculo[[#This Row],[STATUS]]="TRAMITANDO",tblCalculo[[#This Row],[VALOR_TOTAL]],"")</f>
        <v/>
      </c>
      <c r="O71" t="str">
        <f>IF(tblCalculo[[#This Row],[STATUS]]="PERDIDO",tblCalculo[[#This Row],[VALOR_TOTAL]],"")</f>
        <v/>
      </c>
      <c r="P71" t="str">
        <f>IF(tblCalculo[[#This Row],[STATUS]]="CONCLUÍDO",tblCalculo[[#This Row],[VALOR_TOTAL]],"")</f>
        <v/>
      </c>
    </row>
    <row r="72" spans="1:16" x14ac:dyDescent="0.25">
      <c r="A72" t="str">
        <f>tblVendas[[#This Row],[NR_SIMULACAO]]</f>
        <v>SIM1062</v>
      </c>
      <c r="B72" s="34" t="str">
        <f>_xlfn.XLOOKUP(A72,tblVendas[[#This Row],[NR_SIMULACAO]],tblVendas[[#This Row],[NR_CNPJ]],"")</f>
        <v>50.838.351/0001-27</v>
      </c>
      <c r="C72" t="str">
        <f>_xlfn.XLOOKUP(A72,tblVendas[[#This Row],[NR_SIMULACAO]],tblVendas[[#This Row],[STATUS]],"")</f>
        <v>PERDIDO</v>
      </c>
      <c r="D72" t="str">
        <f>_xlfn.XLOOKUP(A72,tblVendas[[#This Row],[NR_SIMULACAO]],tblVendas[[#This Row],[MES]],"")</f>
        <v>Maio</v>
      </c>
      <c r="E72">
        <f>SUM(_xlfn.XLOOKUP(tblCalculo[[#This Row],[NR_SIMULACAO]],tblVendas[[#This Row],[NR_SIMULACAO]],tblVendas[[#This Row],[VALOR_MOVEL]],""):_xlfn.XLOOKUP(tblCalculo[[#This Row],[NR_SIMULACAO]],tblVendas[[#This Row],[NR_SIMULACAO]],tblVendas[[#This Row],[VALOR_APARELHO]],""))</f>
        <v>17402.71</v>
      </c>
      <c r="F72">
        <f>IF(tblCalculo[[#This Row],[STATUS]]="CONCLUÍDO",_xlfn.XLOOKUP(tblCalculo[[#This Row],[NR_SIMULACAO]],tblVendas[[#This Row],[NR_SIMULACAO]],tblVendas[[#This Row],[VALOR_MOVEL]],""),0)</f>
        <v>0</v>
      </c>
      <c r="G72">
        <f>IF(tblCalculo[[#This Row],[STATUS]]="CONCLUÍDO",_xlfn.XLOOKUP(tblCalculo[[#This Row],[NR_SIMULACAO]],tblVendas[[#This Row],[NR_SIMULACAO]],tblVendas[[#This Row],[VALOR_AVANCADO]],""),0)</f>
        <v>0</v>
      </c>
      <c r="H72">
        <f>IF(tblCalculo[[#This Row],[STATUS]]="CONCLUÍDO",_xlfn.XLOOKUP(tblCalculo[[#This Row],[NR_SIMULACAO]],tblVendas[[#This Row],[NR_SIMULACAO]],tblVendas[[#This Row],[VALOR_FIXABASICA]],""),0)</f>
        <v>0</v>
      </c>
      <c r="I72">
        <f>IF(tblCalculo[[#This Row],[STATUS]]="CONCLUÍDO",_xlfn.XLOOKUP(tblCalculo[[#This Row],[NR_SIMULACAO]],tblVendas[[#This Row],[NR_SIMULACAO]],tblVendas[[#This Row],[VALOR_TI]],""),0)</f>
        <v>0</v>
      </c>
      <c r="J72">
        <f>IF(tblCalculo[[#This Row],[STATUS]]="CONCLUÍDO",_xlfn.XLOOKUP(tblCalculo[[#This Row],[NR_SIMULACAO]],tblVendas[[#This Row],[NR_SIMULACAO]],tblVendas[[#This Row],[VALOR_APARELHO]],""),0)</f>
        <v>0</v>
      </c>
      <c r="K72" t="str">
        <f>IF(tblCalculo[[#This Row],[STATUS]]="NEGOCIANDO",tblCalculo[[#This Row],[VALOR_TOTAL]],"")</f>
        <v/>
      </c>
      <c r="L72" t="str">
        <f>IF(tblCalculo[[#This Row],[STATUS]]="ALÇADA",tblCalculo[[#This Row],[VALOR_TOTAL]],"")</f>
        <v/>
      </c>
      <c r="M72" t="str">
        <f>IF(tblCalculo[[#This Row],[STATUS]]="EM ANÁLISE",tblCalculo[[#This Row],[VALOR_TOTAL]],"")</f>
        <v/>
      </c>
      <c r="N72" t="str">
        <f>IF(tblCalculo[[#This Row],[STATUS]]="TRAMITANDO",tblCalculo[[#This Row],[VALOR_TOTAL]],"")</f>
        <v/>
      </c>
      <c r="O72">
        <f>IF(tblCalculo[[#This Row],[STATUS]]="PERDIDO",tblCalculo[[#This Row],[VALOR_TOTAL]],"")</f>
        <v>17402.71</v>
      </c>
      <c r="P72" t="str">
        <f>IF(tblCalculo[[#This Row],[STATUS]]="CONCLUÍDO",tblCalculo[[#This Row],[VALOR_TOTAL]],"")</f>
        <v/>
      </c>
    </row>
    <row r="73" spans="1:16" x14ac:dyDescent="0.25">
      <c r="A73" t="str">
        <f>tblVendas[[#This Row],[NR_SIMULACAO]]</f>
        <v>SIM1063</v>
      </c>
      <c r="B73" s="34" t="str">
        <f>_xlfn.XLOOKUP(A73,tblVendas[[#This Row],[NR_SIMULACAO]],tblVendas[[#This Row],[NR_CNPJ]],"")</f>
        <v>19.701.865/0001-43</v>
      </c>
      <c r="C73" t="str">
        <f>_xlfn.XLOOKUP(A73,tblVendas[[#This Row],[NR_SIMULACAO]],tblVendas[[#This Row],[STATUS]],"")</f>
        <v>CONCLUÍDO</v>
      </c>
      <c r="D73" t="str">
        <f>_xlfn.XLOOKUP(A73,tblVendas[[#This Row],[NR_SIMULACAO]],tblVendas[[#This Row],[MES]],"")</f>
        <v>Maio</v>
      </c>
      <c r="E73">
        <f>SUM(_xlfn.XLOOKUP(tblCalculo[[#This Row],[NR_SIMULACAO]],tblVendas[[#This Row],[NR_SIMULACAO]],tblVendas[[#This Row],[VALOR_MOVEL]],""):_xlfn.XLOOKUP(tblCalculo[[#This Row],[NR_SIMULACAO]],tblVendas[[#This Row],[NR_SIMULACAO]],tblVendas[[#This Row],[VALOR_APARELHO]],""))</f>
        <v>619.12</v>
      </c>
      <c r="F73">
        <f>IF(tblCalculo[[#This Row],[STATUS]]="CONCLUÍDO",_xlfn.XLOOKUP(tblCalculo[[#This Row],[NR_SIMULACAO]],tblVendas[[#This Row],[NR_SIMULACAO]],tblVendas[[#This Row],[VALOR_MOVEL]],""),0)</f>
        <v>0</v>
      </c>
      <c r="G73">
        <f>IF(tblCalculo[[#This Row],[STATUS]]="CONCLUÍDO",_xlfn.XLOOKUP(tblCalculo[[#This Row],[NR_SIMULACAO]],tblVendas[[#This Row],[NR_SIMULACAO]],tblVendas[[#This Row],[VALOR_AVANCADO]],""),0)</f>
        <v>0</v>
      </c>
      <c r="H73">
        <f>IF(tblCalculo[[#This Row],[STATUS]]="CONCLUÍDO",_xlfn.XLOOKUP(tblCalculo[[#This Row],[NR_SIMULACAO]],tblVendas[[#This Row],[NR_SIMULACAO]],tblVendas[[#This Row],[VALOR_FIXABASICA]],""),0)</f>
        <v>0</v>
      </c>
      <c r="I73">
        <f>IF(tblCalculo[[#This Row],[STATUS]]="CONCLUÍDO",_xlfn.XLOOKUP(tblCalculo[[#This Row],[NR_SIMULACAO]],tblVendas[[#This Row],[NR_SIMULACAO]],tblVendas[[#This Row],[VALOR_TI]],""),0)</f>
        <v>619.12</v>
      </c>
      <c r="J73">
        <f>IF(tblCalculo[[#This Row],[STATUS]]="CONCLUÍDO",_xlfn.XLOOKUP(tblCalculo[[#This Row],[NR_SIMULACAO]],tblVendas[[#This Row],[NR_SIMULACAO]],tblVendas[[#This Row],[VALOR_APARELHO]],""),0)</f>
        <v>0</v>
      </c>
      <c r="K73" t="str">
        <f>IF(tblCalculo[[#This Row],[STATUS]]="NEGOCIANDO",tblCalculo[[#This Row],[VALOR_TOTAL]],"")</f>
        <v/>
      </c>
      <c r="L73" t="str">
        <f>IF(tblCalculo[[#This Row],[STATUS]]="ALÇADA",tblCalculo[[#This Row],[VALOR_TOTAL]],"")</f>
        <v/>
      </c>
      <c r="M73" t="str">
        <f>IF(tblCalculo[[#This Row],[STATUS]]="EM ANÁLISE",tblCalculo[[#This Row],[VALOR_TOTAL]],"")</f>
        <v/>
      </c>
      <c r="N73" t="str">
        <f>IF(tblCalculo[[#This Row],[STATUS]]="TRAMITANDO",tblCalculo[[#This Row],[VALOR_TOTAL]],"")</f>
        <v/>
      </c>
      <c r="O73" t="str">
        <f>IF(tblCalculo[[#This Row],[STATUS]]="PERDIDO",tblCalculo[[#This Row],[VALOR_TOTAL]],"")</f>
        <v/>
      </c>
      <c r="P73">
        <f>IF(tblCalculo[[#This Row],[STATUS]]="CONCLUÍDO",tblCalculo[[#This Row],[VALOR_TOTAL]],"")</f>
        <v>619.12</v>
      </c>
    </row>
    <row r="74" spans="1:16" x14ac:dyDescent="0.25">
      <c r="A74" t="str">
        <f>tblVendas[[#This Row],[NR_SIMULACAO]]</f>
        <v>SIM1064</v>
      </c>
      <c r="B74" s="34" t="str">
        <f>_xlfn.XLOOKUP(A74,tblVendas[[#This Row],[NR_SIMULACAO]],tblVendas[[#This Row],[NR_CNPJ]],"")</f>
        <v>64.599.917/0001-98</v>
      </c>
      <c r="C74" t="str">
        <f>_xlfn.XLOOKUP(A74,tblVendas[[#This Row],[NR_SIMULACAO]],tblVendas[[#This Row],[STATUS]],"")</f>
        <v>NEGOCIANDO</v>
      </c>
      <c r="D74" t="str">
        <f>_xlfn.XLOOKUP(A74,tblVendas[[#This Row],[NR_SIMULACAO]],tblVendas[[#This Row],[MES]],"")</f>
        <v>Setembro</v>
      </c>
      <c r="E74">
        <f>SUM(_xlfn.XLOOKUP(tblCalculo[[#This Row],[NR_SIMULACAO]],tblVendas[[#This Row],[NR_SIMULACAO]],tblVendas[[#This Row],[VALOR_MOVEL]],""):_xlfn.XLOOKUP(tblCalculo[[#This Row],[NR_SIMULACAO]],tblVendas[[#This Row],[NR_SIMULACAO]],tblVendas[[#This Row],[VALOR_APARELHO]],""))</f>
        <v>2958.4300000000003</v>
      </c>
      <c r="F74">
        <f>IF(tblCalculo[[#This Row],[STATUS]]="CONCLUÍDO",_xlfn.XLOOKUP(tblCalculo[[#This Row],[NR_SIMULACAO]],tblVendas[[#This Row],[NR_SIMULACAO]],tblVendas[[#This Row],[VALOR_MOVEL]],""),0)</f>
        <v>0</v>
      </c>
      <c r="G74">
        <f>IF(tblCalculo[[#This Row],[STATUS]]="CONCLUÍDO",_xlfn.XLOOKUP(tblCalculo[[#This Row],[NR_SIMULACAO]],tblVendas[[#This Row],[NR_SIMULACAO]],tblVendas[[#This Row],[VALOR_AVANCADO]],""),0)</f>
        <v>0</v>
      </c>
      <c r="H74">
        <f>IF(tblCalculo[[#This Row],[STATUS]]="CONCLUÍDO",_xlfn.XLOOKUP(tblCalculo[[#This Row],[NR_SIMULACAO]],tblVendas[[#This Row],[NR_SIMULACAO]],tblVendas[[#This Row],[VALOR_FIXABASICA]],""),0)</f>
        <v>0</v>
      </c>
      <c r="I74">
        <f>IF(tblCalculo[[#This Row],[STATUS]]="CONCLUÍDO",_xlfn.XLOOKUP(tblCalculo[[#This Row],[NR_SIMULACAO]],tblVendas[[#This Row],[NR_SIMULACAO]],tblVendas[[#This Row],[VALOR_TI]],""),0)</f>
        <v>0</v>
      </c>
      <c r="J74">
        <f>IF(tblCalculo[[#This Row],[STATUS]]="CONCLUÍDO",_xlfn.XLOOKUP(tblCalculo[[#This Row],[NR_SIMULACAO]],tblVendas[[#This Row],[NR_SIMULACAO]],tblVendas[[#This Row],[VALOR_APARELHO]],""),0)</f>
        <v>0</v>
      </c>
      <c r="K74">
        <f>IF(tblCalculo[[#This Row],[STATUS]]="NEGOCIANDO",tblCalculo[[#This Row],[VALOR_TOTAL]],"")</f>
        <v>2958.4300000000003</v>
      </c>
      <c r="L74" t="str">
        <f>IF(tblCalculo[[#This Row],[STATUS]]="ALÇADA",tblCalculo[[#This Row],[VALOR_TOTAL]],"")</f>
        <v/>
      </c>
      <c r="M74" t="str">
        <f>IF(tblCalculo[[#This Row],[STATUS]]="EM ANÁLISE",tblCalculo[[#This Row],[VALOR_TOTAL]],"")</f>
        <v/>
      </c>
      <c r="N74" t="str">
        <f>IF(tblCalculo[[#This Row],[STATUS]]="TRAMITANDO",tblCalculo[[#This Row],[VALOR_TOTAL]],"")</f>
        <v/>
      </c>
      <c r="O74" t="str">
        <f>IF(tblCalculo[[#This Row],[STATUS]]="PERDIDO",tblCalculo[[#This Row],[VALOR_TOTAL]],"")</f>
        <v/>
      </c>
      <c r="P74" t="str">
        <f>IF(tblCalculo[[#This Row],[STATUS]]="CONCLUÍDO",tblCalculo[[#This Row],[VALOR_TOTAL]],"")</f>
        <v/>
      </c>
    </row>
    <row r="75" spans="1:16" x14ac:dyDescent="0.25">
      <c r="A75" t="str">
        <f>tblVendas[[#This Row],[NR_SIMULACAO]]</f>
        <v>SIM1065</v>
      </c>
      <c r="B75" s="34" t="str">
        <f>_xlfn.XLOOKUP(A75,tblVendas[[#This Row],[NR_SIMULACAO]],tblVendas[[#This Row],[NR_CNPJ]],"")</f>
        <v>88.285.994/0001-24</v>
      </c>
      <c r="C75" t="str">
        <f>_xlfn.XLOOKUP(A75,tblVendas[[#This Row],[NR_SIMULACAO]],tblVendas[[#This Row],[STATUS]],"")</f>
        <v>EM ANÁLISE</v>
      </c>
      <c r="D75" t="str">
        <f>_xlfn.XLOOKUP(A75,tblVendas[[#This Row],[NR_SIMULACAO]],tblVendas[[#This Row],[MES]],"")</f>
        <v>Novembro</v>
      </c>
      <c r="E75">
        <f>SUM(_xlfn.XLOOKUP(tblCalculo[[#This Row],[NR_SIMULACAO]],tblVendas[[#This Row],[NR_SIMULACAO]],tblVendas[[#This Row],[VALOR_MOVEL]],""):_xlfn.XLOOKUP(tblCalculo[[#This Row],[NR_SIMULACAO]],tblVendas[[#This Row],[NR_SIMULACAO]],tblVendas[[#This Row],[VALOR_APARELHO]],""))</f>
        <v>9048.369999999999</v>
      </c>
      <c r="F75">
        <f>IF(tblCalculo[[#This Row],[STATUS]]="CONCLUÍDO",_xlfn.XLOOKUP(tblCalculo[[#This Row],[NR_SIMULACAO]],tblVendas[[#This Row],[NR_SIMULACAO]],tblVendas[[#This Row],[VALOR_MOVEL]],""),0)</f>
        <v>0</v>
      </c>
      <c r="G75">
        <f>IF(tblCalculo[[#This Row],[STATUS]]="CONCLUÍDO",_xlfn.XLOOKUP(tblCalculo[[#This Row],[NR_SIMULACAO]],tblVendas[[#This Row],[NR_SIMULACAO]],tblVendas[[#This Row],[VALOR_AVANCADO]],""),0)</f>
        <v>0</v>
      </c>
      <c r="H75">
        <f>IF(tblCalculo[[#This Row],[STATUS]]="CONCLUÍDO",_xlfn.XLOOKUP(tblCalculo[[#This Row],[NR_SIMULACAO]],tblVendas[[#This Row],[NR_SIMULACAO]],tblVendas[[#This Row],[VALOR_FIXABASICA]],""),0)</f>
        <v>0</v>
      </c>
      <c r="I75">
        <f>IF(tblCalculo[[#This Row],[STATUS]]="CONCLUÍDO",_xlfn.XLOOKUP(tblCalculo[[#This Row],[NR_SIMULACAO]],tblVendas[[#This Row],[NR_SIMULACAO]],tblVendas[[#This Row],[VALOR_TI]],""),0)</f>
        <v>0</v>
      </c>
      <c r="J75">
        <f>IF(tblCalculo[[#This Row],[STATUS]]="CONCLUÍDO",_xlfn.XLOOKUP(tblCalculo[[#This Row],[NR_SIMULACAO]],tblVendas[[#This Row],[NR_SIMULACAO]],tblVendas[[#This Row],[VALOR_APARELHO]],""),0)</f>
        <v>0</v>
      </c>
      <c r="K75" t="str">
        <f>IF(tblCalculo[[#This Row],[STATUS]]="NEGOCIANDO",tblCalculo[[#This Row],[VALOR_TOTAL]],"")</f>
        <v/>
      </c>
      <c r="L75" t="str">
        <f>IF(tblCalculo[[#This Row],[STATUS]]="ALÇADA",tblCalculo[[#This Row],[VALOR_TOTAL]],"")</f>
        <v/>
      </c>
      <c r="M75">
        <f>IF(tblCalculo[[#This Row],[STATUS]]="EM ANÁLISE",tblCalculo[[#This Row],[VALOR_TOTAL]],"")</f>
        <v>9048.369999999999</v>
      </c>
      <c r="N75" t="str">
        <f>IF(tblCalculo[[#This Row],[STATUS]]="TRAMITANDO",tblCalculo[[#This Row],[VALOR_TOTAL]],"")</f>
        <v/>
      </c>
      <c r="O75" t="str">
        <f>IF(tblCalculo[[#This Row],[STATUS]]="PERDIDO",tblCalculo[[#This Row],[VALOR_TOTAL]],"")</f>
        <v/>
      </c>
      <c r="P75" t="str">
        <f>IF(tblCalculo[[#This Row],[STATUS]]="CONCLUÍDO",tblCalculo[[#This Row],[VALOR_TOTAL]],"")</f>
        <v/>
      </c>
    </row>
    <row r="76" spans="1:16" x14ac:dyDescent="0.25">
      <c r="A76" t="str">
        <f>tblVendas[[#This Row],[NR_SIMULACAO]]</f>
        <v>SIM1066</v>
      </c>
      <c r="B76" s="34" t="str">
        <f>_xlfn.XLOOKUP(A76,tblVendas[[#This Row],[NR_SIMULACAO]],tblVendas[[#This Row],[NR_CNPJ]],"")</f>
        <v>80.596.321/0001-87</v>
      </c>
      <c r="C76" t="str">
        <f>_xlfn.XLOOKUP(A76,tblVendas[[#This Row],[NR_SIMULACAO]],tblVendas[[#This Row],[STATUS]],"")</f>
        <v>EM ANÁLISE</v>
      </c>
      <c r="D76" t="str">
        <f>_xlfn.XLOOKUP(A76,tblVendas[[#This Row],[NR_SIMULACAO]],tblVendas[[#This Row],[MES]],"")</f>
        <v>Outubro</v>
      </c>
      <c r="E76">
        <f>SUM(_xlfn.XLOOKUP(tblCalculo[[#This Row],[NR_SIMULACAO]],tblVendas[[#This Row],[NR_SIMULACAO]],tblVendas[[#This Row],[VALOR_MOVEL]],""):_xlfn.XLOOKUP(tblCalculo[[#This Row],[NR_SIMULACAO]],tblVendas[[#This Row],[NR_SIMULACAO]],tblVendas[[#This Row],[VALOR_APARELHO]],""))</f>
        <v>5627.88</v>
      </c>
      <c r="F76">
        <f>IF(tblCalculo[[#This Row],[STATUS]]="CONCLUÍDO",_xlfn.XLOOKUP(tblCalculo[[#This Row],[NR_SIMULACAO]],tblVendas[[#This Row],[NR_SIMULACAO]],tblVendas[[#This Row],[VALOR_MOVEL]],""),0)</f>
        <v>0</v>
      </c>
      <c r="G76">
        <f>IF(tblCalculo[[#This Row],[STATUS]]="CONCLUÍDO",_xlfn.XLOOKUP(tblCalculo[[#This Row],[NR_SIMULACAO]],tblVendas[[#This Row],[NR_SIMULACAO]],tblVendas[[#This Row],[VALOR_AVANCADO]],""),0)</f>
        <v>0</v>
      </c>
      <c r="H76">
        <f>IF(tblCalculo[[#This Row],[STATUS]]="CONCLUÍDO",_xlfn.XLOOKUP(tblCalculo[[#This Row],[NR_SIMULACAO]],tblVendas[[#This Row],[NR_SIMULACAO]],tblVendas[[#This Row],[VALOR_FIXABASICA]],""),0)</f>
        <v>0</v>
      </c>
      <c r="I76">
        <f>IF(tblCalculo[[#This Row],[STATUS]]="CONCLUÍDO",_xlfn.XLOOKUP(tblCalculo[[#This Row],[NR_SIMULACAO]],tblVendas[[#This Row],[NR_SIMULACAO]],tblVendas[[#This Row],[VALOR_TI]],""),0)</f>
        <v>0</v>
      </c>
      <c r="J76">
        <f>IF(tblCalculo[[#This Row],[STATUS]]="CONCLUÍDO",_xlfn.XLOOKUP(tblCalculo[[#This Row],[NR_SIMULACAO]],tblVendas[[#This Row],[NR_SIMULACAO]],tblVendas[[#This Row],[VALOR_APARELHO]],""),0)</f>
        <v>0</v>
      </c>
      <c r="K76" t="str">
        <f>IF(tblCalculo[[#This Row],[STATUS]]="NEGOCIANDO",tblCalculo[[#This Row],[VALOR_TOTAL]],"")</f>
        <v/>
      </c>
      <c r="L76" t="str">
        <f>IF(tblCalculo[[#This Row],[STATUS]]="ALÇADA",tblCalculo[[#This Row],[VALOR_TOTAL]],"")</f>
        <v/>
      </c>
      <c r="M76">
        <f>IF(tblCalculo[[#This Row],[STATUS]]="EM ANÁLISE",tblCalculo[[#This Row],[VALOR_TOTAL]],"")</f>
        <v>5627.88</v>
      </c>
      <c r="N76" t="str">
        <f>IF(tblCalculo[[#This Row],[STATUS]]="TRAMITANDO",tblCalculo[[#This Row],[VALOR_TOTAL]],"")</f>
        <v/>
      </c>
      <c r="O76" t="str">
        <f>IF(tblCalculo[[#This Row],[STATUS]]="PERDIDO",tblCalculo[[#This Row],[VALOR_TOTAL]],"")</f>
        <v/>
      </c>
      <c r="P76" t="str">
        <f>IF(tblCalculo[[#This Row],[STATUS]]="CONCLUÍDO",tblCalculo[[#This Row],[VALOR_TOTAL]],"")</f>
        <v/>
      </c>
    </row>
    <row r="77" spans="1:16" x14ac:dyDescent="0.25">
      <c r="A77" t="str">
        <f>tblVendas[[#This Row],[NR_SIMULACAO]]</f>
        <v>SIM1067</v>
      </c>
      <c r="B77" s="34" t="str">
        <f>_xlfn.XLOOKUP(A77,tblVendas[[#This Row],[NR_SIMULACAO]],tblVendas[[#This Row],[NR_CNPJ]],"")</f>
        <v>38.414.406/0001-90</v>
      </c>
      <c r="C77" t="str">
        <f>_xlfn.XLOOKUP(A77,tblVendas[[#This Row],[NR_SIMULACAO]],tblVendas[[#This Row],[STATUS]],"")</f>
        <v>EM ANÁLISE</v>
      </c>
      <c r="D77" t="str">
        <f>_xlfn.XLOOKUP(A77,tblVendas[[#This Row],[NR_SIMULACAO]],tblVendas[[#This Row],[MES]],"")</f>
        <v>Agosto</v>
      </c>
      <c r="E77">
        <f>SUM(_xlfn.XLOOKUP(tblCalculo[[#This Row],[NR_SIMULACAO]],tblVendas[[#This Row],[NR_SIMULACAO]],tblVendas[[#This Row],[VALOR_MOVEL]],""):_xlfn.XLOOKUP(tblCalculo[[#This Row],[NR_SIMULACAO]],tblVendas[[#This Row],[NR_SIMULACAO]],tblVendas[[#This Row],[VALOR_APARELHO]],""))</f>
        <v>11202.179999999998</v>
      </c>
      <c r="F77">
        <f>IF(tblCalculo[[#This Row],[STATUS]]="CONCLUÍDO",_xlfn.XLOOKUP(tblCalculo[[#This Row],[NR_SIMULACAO]],tblVendas[[#This Row],[NR_SIMULACAO]],tblVendas[[#This Row],[VALOR_MOVEL]],""),0)</f>
        <v>0</v>
      </c>
      <c r="G77">
        <f>IF(tblCalculo[[#This Row],[STATUS]]="CONCLUÍDO",_xlfn.XLOOKUP(tblCalculo[[#This Row],[NR_SIMULACAO]],tblVendas[[#This Row],[NR_SIMULACAO]],tblVendas[[#This Row],[VALOR_AVANCADO]],""),0)</f>
        <v>0</v>
      </c>
      <c r="H77">
        <f>IF(tblCalculo[[#This Row],[STATUS]]="CONCLUÍDO",_xlfn.XLOOKUP(tblCalculo[[#This Row],[NR_SIMULACAO]],tblVendas[[#This Row],[NR_SIMULACAO]],tblVendas[[#This Row],[VALOR_FIXABASICA]],""),0)</f>
        <v>0</v>
      </c>
      <c r="I77">
        <f>IF(tblCalculo[[#This Row],[STATUS]]="CONCLUÍDO",_xlfn.XLOOKUP(tblCalculo[[#This Row],[NR_SIMULACAO]],tblVendas[[#This Row],[NR_SIMULACAO]],tblVendas[[#This Row],[VALOR_TI]],""),0)</f>
        <v>0</v>
      </c>
      <c r="J77">
        <f>IF(tblCalculo[[#This Row],[STATUS]]="CONCLUÍDO",_xlfn.XLOOKUP(tblCalculo[[#This Row],[NR_SIMULACAO]],tblVendas[[#This Row],[NR_SIMULACAO]],tblVendas[[#This Row],[VALOR_APARELHO]],""),0)</f>
        <v>0</v>
      </c>
      <c r="K77" t="str">
        <f>IF(tblCalculo[[#This Row],[STATUS]]="NEGOCIANDO",tblCalculo[[#This Row],[VALOR_TOTAL]],"")</f>
        <v/>
      </c>
      <c r="L77" t="str">
        <f>IF(tblCalculo[[#This Row],[STATUS]]="ALÇADA",tblCalculo[[#This Row],[VALOR_TOTAL]],"")</f>
        <v/>
      </c>
      <c r="M77">
        <f>IF(tblCalculo[[#This Row],[STATUS]]="EM ANÁLISE",tblCalculo[[#This Row],[VALOR_TOTAL]],"")</f>
        <v>11202.179999999998</v>
      </c>
      <c r="N77" t="str">
        <f>IF(tblCalculo[[#This Row],[STATUS]]="TRAMITANDO",tblCalculo[[#This Row],[VALOR_TOTAL]],"")</f>
        <v/>
      </c>
      <c r="O77" t="str">
        <f>IF(tblCalculo[[#This Row],[STATUS]]="PERDIDO",tblCalculo[[#This Row],[VALOR_TOTAL]],"")</f>
        <v/>
      </c>
      <c r="P77" t="str">
        <f>IF(tblCalculo[[#This Row],[STATUS]]="CONCLUÍDO",tblCalculo[[#This Row],[VALOR_TOTAL]],"")</f>
        <v/>
      </c>
    </row>
    <row r="78" spans="1:16" x14ac:dyDescent="0.25">
      <c r="A78" t="str">
        <f>tblVendas[[#This Row],[NR_SIMULACAO]]</f>
        <v>SIM1068</v>
      </c>
      <c r="B78" s="34" t="str">
        <f>_xlfn.XLOOKUP(A78,tblVendas[[#This Row],[NR_SIMULACAO]],tblVendas[[#This Row],[NR_CNPJ]],"")</f>
        <v>61.168.550/0001-35</v>
      </c>
      <c r="C78" t="str">
        <f>_xlfn.XLOOKUP(A78,tblVendas[[#This Row],[NR_SIMULACAO]],tblVendas[[#This Row],[STATUS]],"")</f>
        <v>CONCLUÍDO</v>
      </c>
      <c r="D78" t="str">
        <f>_xlfn.XLOOKUP(A78,tblVendas[[#This Row],[NR_SIMULACAO]],tblVendas[[#This Row],[MES]],"")</f>
        <v>Março</v>
      </c>
      <c r="E78">
        <f>SUM(_xlfn.XLOOKUP(tblCalculo[[#This Row],[NR_SIMULACAO]],tblVendas[[#This Row],[NR_SIMULACAO]],tblVendas[[#This Row],[VALOR_MOVEL]],""):_xlfn.XLOOKUP(tblCalculo[[#This Row],[NR_SIMULACAO]],tblVendas[[#This Row],[NR_SIMULACAO]],tblVendas[[#This Row],[VALOR_APARELHO]],""))</f>
        <v>13874.44</v>
      </c>
      <c r="F78">
        <f>IF(tblCalculo[[#This Row],[STATUS]]="CONCLUÍDO",_xlfn.XLOOKUP(tblCalculo[[#This Row],[NR_SIMULACAO]],tblVendas[[#This Row],[NR_SIMULACAO]],tblVendas[[#This Row],[VALOR_MOVEL]],""),0)</f>
        <v>6552.77</v>
      </c>
      <c r="G78">
        <f>IF(tblCalculo[[#This Row],[STATUS]]="CONCLUÍDO",_xlfn.XLOOKUP(tblCalculo[[#This Row],[NR_SIMULACAO]],tblVendas[[#This Row],[NR_SIMULACAO]],tblVendas[[#This Row],[VALOR_AVANCADO]],""),0)</f>
        <v>0</v>
      </c>
      <c r="H78">
        <f>IF(tblCalculo[[#This Row],[STATUS]]="CONCLUÍDO",_xlfn.XLOOKUP(tblCalculo[[#This Row],[NR_SIMULACAO]],tblVendas[[#This Row],[NR_SIMULACAO]],tblVendas[[#This Row],[VALOR_FIXABASICA]],""),0)</f>
        <v>0</v>
      </c>
      <c r="I78">
        <f>IF(tblCalculo[[#This Row],[STATUS]]="CONCLUÍDO",_xlfn.XLOOKUP(tblCalculo[[#This Row],[NR_SIMULACAO]],tblVendas[[#This Row],[NR_SIMULACAO]],tblVendas[[#This Row],[VALOR_TI]],""),0)</f>
        <v>7321.67</v>
      </c>
      <c r="J78">
        <f>IF(tblCalculo[[#This Row],[STATUS]]="CONCLUÍDO",_xlfn.XLOOKUP(tblCalculo[[#This Row],[NR_SIMULACAO]],tblVendas[[#This Row],[NR_SIMULACAO]],tblVendas[[#This Row],[VALOR_APARELHO]],""),0)</f>
        <v>0</v>
      </c>
      <c r="K78" t="str">
        <f>IF(tblCalculo[[#This Row],[STATUS]]="NEGOCIANDO",tblCalculo[[#This Row],[VALOR_TOTAL]],"")</f>
        <v/>
      </c>
      <c r="L78" t="str">
        <f>IF(tblCalculo[[#This Row],[STATUS]]="ALÇADA",tblCalculo[[#This Row],[VALOR_TOTAL]],"")</f>
        <v/>
      </c>
      <c r="M78" t="str">
        <f>IF(tblCalculo[[#This Row],[STATUS]]="EM ANÁLISE",tblCalculo[[#This Row],[VALOR_TOTAL]],"")</f>
        <v/>
      </c>
      <c r="N78" t="str">
        <f>IF(tblCalculo[[#This Row],[STATUS]]="TRAMITANDO",tblCalculo[[#This Row],[VALOR_TOTAL]],"")</f>
        <v/>
      </c>
      <c r="O78" t="str">
        <f>IF(tblCalculo[[#This Row],[STATUS]]="PERDIDO",tblCalculo[[#This Row],[VALOR_TOTAL]],"")</f>
        <v/>
      </c>
      <c r="P78">
        <f>IF(tblCalculo[[#This Row],[STATUS]]="CONCLUÍDO",tblCalculo[[#This Row],[VALOR_TOTAL]],"")</f>
        <v>13874.44</v>
      </c>
    </row>
    <row r="79" spans="1:16" x14ac:dyDescent="0.25">
      <c r="A79" t="str">
        <f>tblVendas[[#This Row],[NR_SIMULACAO]]</f>
        <v>SIM1069</v>
      </c>
      <c r="B79" s="34" t="str">
        <f>_xlfn.XLOOKUP(A79,tblVendas[[#This Row],[NR_SIMULACAO]],tblVendas[[#This Row],[NR_CNPJ]],"")</f>
        <v>14.117.774/0001-57</v>
      </c>
      <c r="C79" t="str">
        <f>_xlfn.XLOOKUP(A79,tblVendas[[#This Row],[NR_SIMULACAO]],tblVendas[[#This Row],[STATUS]],"")</f>
        <v>ALÇADA</v>
      </c>
      <c r="D79" t="str">
        <f>_xlfn.XLOOKUP(A79,tblVendas[[#This Row],[NR_SIMULACAO]],tblVendas[[#This Row],[MES]],"")</f>
        <v>Maio</v>
      </c>
      <c r="E79">
        <f>SUM(_xlfn.XLOOKUP(tblCalculo[[#This Row],[NR_SIMULACAO]],tblVendas[[#This Row],[NR_SIMULACAO]],tblVendas[[#This Row],[VALOR_MOVEL]],""):_xlfn.XLOOKUP(tblCalculo[[#This Row],[NR_SIMULACAO]],tblVendas[[#This Row],[NR_SIMULACAO]],tblVendas[[#This Row],[VALOR_APARELHO]],""))</f>
        <v>25808.91</v>
      </c>
      <c r="F79">
        <f>IF(tblCalculo[[#This Row],[STATUS]]="CONCLUÍDO",_xlfn.XLOOKUP(tblCalculo[[#This Row],[NR_SIMULACAO]],tblVendas[[#This Row],[NR_SIMULACAO]],tblVendas[[#This Row],[VALOR_MOVEL]],""),0)</f>
        <v>0</v>
      </c>
      <c r="G79">
        <f>IF(tblCalculo[[#This Row],[STATUS]]="CONCLUÍDO",_xlfn.XLOOKUP(tblCalculo[[#This Row],[NR_SIMULACAO]],tblVendas[[#This Row],[NR_SIMULACAO]],tblVendas[[#This Row],[VALOR_AVANCADO]],""),0)</f>
        <v>0</v>
      </c>
      <c r="H79">
        <f>IF(tblCalculo[[#This Row],[STATUS]]="CONCLUÍDO",_xlfn.XLOOKUP(tblCalculo[[#This Row],[NR_SIMULACAO]],tblVendas[[#This Row],[NR_SIMULACAO]],tblVendas[[#This Row],[VALOR_FIXABASICA]],""),0)</f>
        <v>0</v>
      </c>
      <c r="I79">
        <f>IF(tblCalculo[[#This Row],[STATUS]]="CONCLUÍDO",_xlfn.XLOOKUP(tblCalculo[[#This Row],[NR_SIMULACAO]],tblVendas[[#This Row],[NR_SIMULACAO]],tblVendas[[#This Row],[VALOR_TI]],""),0)</f>
        <v>0</v>
      </c>
      <c r="J79">
        <f>IF(tblCalculo[[#This Row],[STATUS]]="CONCLUÍDO",_xlfn.XLOOKUP(tblCalculo[[#This Row],[NR_SIMULACAO]],tblVendas[[#This Row],[NR_SIMULACAO]],tblVendas[[#This Row],[VALOR_APARELHO]],""),0)</f>
        <v>0</v>
      </c>
      <c r="K79" t="str">
        <f>IF(tblCalculo[[#This Row],[STATUS]]="NEGOCIANDO",tblCalculo[[#This Row],[VALOR_TOTAL]],"")</f>
        <v/>
      </c>
      <c r="L79">
        <f>IF(tblCalculo[[#This Row],[STATUS]]="ALÇADA",tblCalculo[[#This Row],[VALOR_TOTAL]],"")</f>
        <v>25808.91</v>
      </c>
      <c r="M79" t="str">
        <f>IF(tblCalculo[[#This Row],[STATUS]]="EM ANÁLISE",tblCalculo[[#This Row],[VALOR_TOTAL]],"")</f>
        <v/>
      </c>
      <c r="N79" t="str">
        <f>IF(tblCalculo[[#This Row],[STATUS]]="TRAMITANDO",tblCalculo[[#This Row],[VALOR_TOTAL]],"")</f>
        <v/>
      </c>
      <c r="O79" t="str">
        <f>IF(tblCalculo[[#This Row],[STATUS]]="PERDIDO",tblCalculo[[#This Row],[VALOR_TOTAL]],"")</f>
        <v/>
      </c>
      <c r="P79" t="str">
        <f>IF(tblCalculo[[#This Row],[STATUS]]="CONCLUÍDO",tblCalculo[[#This Row],[VALOR_TOTAL]],"")</f>
        <v/>
      </c>
    </row>
    <row r="80" spans="1:16" x14ac:dyDescent="0.25">
      <c r="A80" t="str">
        <f>tblVendas[[#This Row],[NR_SIMULACAO]]</f>
        <v>SIM1070</v>
      </c>
      <c r="B80" s="34" t="str">
        <f>_xlfn.XLOOKUP(A80,tblVendas[[#This Row],[NR_SIMULACAO]],tblVendas[[#This Row],[NR_CNPJ]],"")</f>
        <v>70.839.549/0001-81</v>
      </c>
      <c r="C80" t="str">
        <f>_xlfn.XLOOKUP(A80,tblVendas[[#This Row],[NR_SIMULACAO]],tblVendas[[#This Row],[STATUS]],"")</f>
        <v>NEGOCIANDO</v>
      </c>
      <c r="D80" t="str">
        <f>_xlfn.XLOOKUP(A80,tblVendas[[#This Row],[NR_SIMULACAO]],tblVendas[[#This Row],[MES]],"")</f>
        <v>Julho</v>
      </c>
      <c r="E80">
        <f>SUM(_xlfn.XLOOKUP(tblCalculo[[#This Row],[NR_SIMULACAO]],tblVendas[[#This Row],[NR_SIMULACAO]],tblVendas[[#This Row],[VALOR_MOVEL]],""):_xlfn.XLOOKUP(tblCalculo[[#This Row],[NR_SIMULACAO]],tblVendas[[#This Row],[NR_SIMULACAO]],tblVendas[[#This Row],[VALOR_APARELHO]],""))</f>
        <v>310.94</v>
      </c>
      <c r="F80">
        <f>IF(tblCalculo[[#This Row],[STATUS]]="CONCLUÍDO",_xlfn.XLOOKUP(tblCalculo[[#This Row],[NR_SIMULACAO]],tblVendas[[#This Row],[NR_SIMULACAO]],tblVendas[[#This Row],[VALOR_MOVEL]],""),0)</f>
        <v>0</v>
      </c>
      <c r="G80">
        <f>IF(tblCalculo[[#This Row],[STATUS]]="CONCLUÍDO",_xlfn.XLOOKUP(tblCalculo[[#This Row],[NR_SIMULACAO]],tblVendas[[#This Row],[NR_SIMULACAO]],tblVendas[[#This Row],[VALOR_AVANCADO]],""),0)</f>
        <v>0</v>
      </c>
      <c r="H80">
        <f>IF(tblCalculo[[#This Row],[STATUS]]="CONCLUÍDO",_xlfn.XLOOKUP(tblCalculo[[#This Row],[NR_SIMULACAO]],tblVendas[[#This Row],[NR_SIMULACAO]],tblVendas[[#This Row],[VALOR_FIXABASICA]],""),0)</f>
        <v>0</v>
      </c>
      <c r="I80">
        <f>IF(tblCalculo[[#This Row],[STATUS]]="CONCLUÍDO",_xlfn.XLOOKUP(tblCalculo[[#This Row],[NR_SIMULACAO]],tblVendas[[#This Row],[NR_SIMULACAO]],tblVendas[[#This Row],[VALOR_TI]],""),0)</f>
        <v>0</v>
      </c>
      <c r="J80">
        <f>IF(tblCalculo[[#This Row],[STATUS]]="CONCLUÍDO",_xlfn.XLOOKUP(tblCalculo[[#This Row],[NR_SIMULACAO]],tblVendas[[#This Row],[NR_SIMULACAO]],tblVendas[[#This Row],[VALOR_APARELHO]],""),0)</f>
        <v>0</v>
      </c>
      <c r="K80">
        <f>IF(tblCalculo[[#This Row],[STATUS]]="NEGOCIANDO",tblCalculo[[#This Row],[VALOR_TOTAL]],"")</f>
        <v>310.94</v>
      </c>
      <c r="L80" t="str">
        <f>IF(tblCalculo[[#This Row],[STATUS]]="ALÇADA",tblCalculo[[#This Row],[VALOR_TOTAL]],"")</f>
        <v/>
      </c>
      <c r="M80" t="str">
        <f>IF(tblCalculo[[#This Row],[STATUS]]="EM ANÁLISE",tblCalculo[[#This Row],[VALOR_TOTAL]],"")</f>
        <v/>
      </c>
      <c r="N80" t="str">
        <f>IF(tblCalculo[[#This Row],[STATUS]]="TRAMITANDO",tblCalculo[[#This Row],[VALOR_TOTAL]],"")</f>
        <v/>
      </c>
      <c r="O80" t="str">
        <f>IF(tblCalculo[[#This Row],[STATUS]]="PERDIDO",tblCalculo[[#This Row],[VALOR_TOTAL]],"")</f>
        <v/>
      </c>
      <c r="P80" t="str">
        <f>IF(tblCalculo[[#This Row],[STATUS]]="CONCLUÍDO",tblCalculo[[#This Row],[VALOR_TOTAL]],"")</f>
        <v/>
      </c>
    </row>
    <row r="81" spans="1:16" x14ac:dyDescent="0.25">
      <c r="A81" t="str">
        <f>tblVendas[[#This Row],[NR_SIMULACAO]]</f>
        <v>SIM1071</v>
      </c>
      <c r="B81" s="34" t="str">
        <f>_xlfn.XLOOKUP(A81,tblVendas[[#This Row],[NR_SIMULACAO]],tblVendas[[#This Row],[NR_CNPJ]],"")</f>
        <v>36.713.824/0001-44</v>
      </c>
      <c r="C81" t="str">
        <f>_xlfn.XLOOKUP(A81,tblVendas[[#This Row],[NR_SIMULACAO]],tblVendas[[#This Row],[STATUS]],"")</f>
        <v>ALÇADA</v>
      </c>
      <c r="D81" t="str">
        <f>_xlfn.XLOOKUP(A81,tblVendas[[#This Row],[NR_SIMULACAO]],tblVendas[[#This Row],[MES]],"")</f>
        <v>Janeiro</v>
      </c>
      <c r="E81">
        <f>SUM(_xlfn.XLOOKUP(tblCalculo[[#This Row],[NR_SIMULACAO]],tblVendas[[#This Row],[NR_SIMULACAO]],tblVendas[[#This Row],[VALOR_MOVEL]],""):_xlfn.XLOOKUP(tblCalculo[[#This Row],[NR_SIMULACAO]],tblVendas[[#This Row],[NR_SIMULACAO]],tblVendas[[#This Row],[VALOR_APARELHO]],""))</f>
        <v>18197.78</v>
      </c>
      <c r="F81">
        <f>IF(tblCalculo[[#This Row],[STATUS]]="CONCLUÍDO",_xlfn.XLOOKUP(tblCalculo[[#This Row],[NR_SIMULACAO]],tblVendas[[#This Row],[NR_SIMULACAO]],tblVendas[[#This Row],[VALOR_MOVEL]],""),0)</f>
        <v>0</v>
      </c>
      <c r="G81">
        <f>IF(tblCalculo[[#This Row],[STATUS]]="CONCLUÍDO",_xlfn.XLOOKUP(tblCalculo[[#This Row],[NR_SIMULACAO]],tblVendas[[#This Row],[NR_SIMULACAO]],tblVendas[[#This Row],[VALOR_AVANCADO]],""),0)</f>
        <v>0</v>
      </c>
      <c r="H81">
        <f>IF(tblCalculo[[#This Row],[STATUS]]="CONCLUÍDO",_xlfn.XLOOKUP(tblCalculo[[#This Row],[NR_SIMULACAO]],tblVendas[[#This Row],[NR_SIMULACAO]],tblVendas[[#This Row],[VALOR_FIXABASICA]],""),0)</f>
        <v>0</v>
      </c>
      <c r="I81">
        <f>IF(tblCalculo[[#This Row],[STATUS]]="CONCLUÍDO",_xlfn.XLOOKUP(tblCalculo[[#This Row],[NR_SIMULACAO]],tblVendas[[#This Row],[NR_SIMULACAO]],tblVendas[[#This Row],[VALOR_TI]],""),0)</f>
        <v>0</v>
      </c>
      <c r="J81">
        <f>IF(tblCalculo[[#This Row],[STATUS]]="CONCLUÍDO",_xlfn.XLOOKUP(tblCalculo[[#This Row],[NR_SIMULACAO]],tblVendas[[#This Row],[NR_SIMULACAO]],tblVendas[[#This Row],[VALOR_APARELHO]],""),0)</f>
        <v>0</v>
      </c>
      <c r="K81" t="str">
        <f>IF(tblCalculo[[#This Row],[STATUS]]="NEGOCIANDO",tblCalculo[[#This Row],[VALOR_TOTAL]],"")</f>
        <v/>
      </c>
      <c r="L81">
        <f>IF(tblCalculo[[#This Row],[STATUS]]="ALÇADA",tblCalculo[[#This Row],[VALOR_TOTAL]],"")</f>
        <v>18197.78</v>
      </c>
      <c r="M81" t="str">
        <f>IF(tblCalculo[[#This Row],[STATUS]]="EM ANÁLISE",tblCalculo[[#This Row],[VALOR_TOTAL]],"")</f>
        <v/>
      </c>
      <c r="N81" t="str">
        <f>IF(tblCalculo[[#This Row],[STATUS]]="TRAMITANDO",tblCalculo[[#This Row],[VALOR_TOTAL]],"")</f>
        <v/>
      </c>
      <c r="O81" t="str">
        <f>IF(tblCalculo[[#This Row],[STATUS]]="PERDIDO",tblCalculo[[#This Row],[VALOR_TOTAL]],"")</f>
        <v/>
      </c>
      <c r="P81" t="str">
        <f>IF(tblCalculo[[#This Row],[STATUS]]="CONCLUÍDO",tblCalculo[[#This Row],[VALOR_TOTAL]],"")</f>
        <v/>
      </c>
    </row>
    <row r="82" spans="1:16" x14ac:dyDescent="0.25">
      <c r="A82" t="str">
        <f>tblVendas[[#This Row],[NR_SIMULACAO]]</f>
        <v>SIM1072</v>
      </c>
      <c r="B82" s="34" t="str">
        <f>_xlfn.XLOOKUP(A82,tblVendas[[#This Row],[NR_SIMULACAO]],tblVendas[[#This Row],[NR_CNPJ]],"")</f>
        <v>33.141.183/0001-33</v>
      </c>
      <c r="C82" t="str">
        <f>_xlfn.XLOOKUP(A82,tblVendas[[#This Row],[NR_SIMULACAO]],tblVendas[[#This Row],[STATUS]],"")</f>
        <v>PERDIDO</v>
      </c>
      <c r="D82" t="str">
        <f>_xlfn.XLOOKUP(A82,tblVendas[[#This Row],[NR_SIMULACAO]],tblVendas[[#This Row],[MES]],"")</f>
        <v>Setembro</v>
      </c>
      <c r="E82">
        <f>SUM(_xlfn.XLOOKUP(tblCalculo[[#This Row],[NR_SIMULACAO]],tblVendas[[#This Row],[NR_SIMULACAO]],tblVendas[[#This Row],[VALOR_MOVEL]],""):_xlfn.XLOOKUP(tblCalculo[[#This Row],[NR_SIMULACAO]],tblVendas[[#This Row],[NR_SIMULACAO]],tblVendas[[#This Row],[VALOR_APARELHO]],""))</f>
        <v>11158.35</v>
      </c>
      <c r="F82">
        <f>IF(tblCalculo[[#This Row],[STATUS]]="CONCLUÍDO",_xlfn.XLOOKUP(tblCalculo[[#This Row],[NR_SIMULACAO]],tblVendas[[#This Row],[NR_SIMULACAO]],tblVendas[[#This Row],[VALOR_MOVEL]],""),0)</f>
        <v>0</v>
      </c>
      <c r="G82">
        <f>IF(tblCalculo[[#This Row],[STATUS]]="CONCLUÍDO",_xlfn.XLOOKUP(tblCalculo[[#This Row],[NR_SIMULACAO]],tblVendas[[#This Row],[NR_SIMULACAO]],tblVendas[[#This Row],[VALOR_AVANCADO]],""),0)</f>
        <v>0</v>
      </c>
      <c r="H82">
        <f>IF(tblCalculo[[#This Row],[STATUS]]="CONCLUÍDO",_xlfn.XLOOKUP(tblCalculo[[#This Row],[NR_SIMULACAO]],tblVendas[[#This Row],[NR_SIMULACAO]],tblVendas[[#This Row],[VALOR_FIXABASICA]],""),0)</f>
        <v>0</v>
      </c>
      <c r="I82">
        <f>IF(tblCalculo[[#This Row],[STATUS]]="CONCLUÍDO",_xlfn.XLOOKUP(tblCalculo[[#This Row],[NR_SIMULACAO]],tblVendas[[#This Row],[NR_SIMULACAO]],tblVendas[[#This Row],[VALOR_TI]],""),0)</f>
        <v>0</v>
      </c>
      <c r="J82">
        <f>IF(tblCalculo[[#This Row],[STATUS]]="CONCLUÍDO",_xlfn.XLOOKUP(tblCalculo[[#This Row],[NR_SIMULACAO]],tblVendas[[#This Row],[NR_SIMULACAO]],tblVendas[[#This Row],[VALOR_APARELHO]],""),0)</f>
        <v>0</v>
      </c>
      <c r="K82" t="str">
        <f>IF(tblCalculo[[#This Row],[STATUS]]="NEGOCIANDO",tblCalculo[[#This Row],[VALOR_TOTAL]],"")</f>
        <v/>
      </c>
      <c r="L82" t="str">
        <f>IF(tblCalculo[[#This Row],[STATUS]]="ALÇADA",tblCalculo[[#This Row],[VALOR_TOTAL]],"")</f>
        <v/>
      </c>
      <c r="M82" t="str">
        <f>IF(tblCalculo[[#This Row],[STATUS]]="EM ANÁLISE",tblCalculo[[#This Row],[VALOR_TOTAL]],"")</f>
        <v/>
      </c>
      <c r="N82" t="str">
        <f>IF(tblCalculo[[#This Row],[STATUS]]="TRAMITANDO",tblCalculo[[#This Row],[VALOR_TOTAL]],"")</f>
        <v/>
      </c>
      <c r="O82">
        <f>IF(tblCalculo[[#This Row],[STATUS]]="PERDIDO",tblCalculo[[#This Row],[VALOR_TOTAL]],"")</f>
        <v>11158.35</v>
      </c>
      <c r="P82" t="str">
        <f>IF(tblCalculo[[#This Row],[STATUS]]="CONCLUÍDO",tblCalculo[[#This Row],[VALOR_TOTAL]],"")</f>
        <v/>
      </c>
    </row>
    <row r="83" spans="1:16" x14ac:dyDescent="0.25">
      <c r="A83" t="str">
        <f>tblVendas[[#This Row],[NR_SIMULACAO]]</f>
        <v>SIM1073</v>
      </c>
      <c r="B83" s="34" t="str">
        <f>_xlfn.XLOOKUP(A83,tblVendas[[#This Row],[NR_SIMULACAO]],tblVendas[[#This Row],[NR_CNPJ]],"")</f>
        <v>66.327.291/0001-32</v>
      </c>
      <c r="C83" t="str">
        <f>_xlfn.XLOOKUP(A83,tblVendas[[#This Row],[NR_SIMULACAO]],tblVendas[[#This Row],[STATUS]],"")</f>
        <v>CONCLUÍDO</v>
      </c>
      <c r="D83" t="str">
        <f>_xlfn.XLOOKUP(A83,tblVendas[[#This Row],[NR_SIMULACAO]],tblVendas[[#This Row],[MES]],"")</f>
        <v>Novembro</v>
      </c>
      <c r="E83">
        <f>SUM(_xlfn.XLOOKUP(tblCalculo[[#This Row],[NR_SIMULACAO]],tblVendas[[#This Row],[NR_SIMULACAO]],tblVendas[[#This Row],[VALOR_MOVEL]],""):_xlfn.XLOOKUP(tblCalculo[[#This Row],[NR_SIMULACAO]],tblVendas[[#This Row],[NR_SIMULACAO]],tblVendas[[#This Row],[VALOR_APARELHO]],""))</f>
        <v>13832.18</v>
      </c>
      <c r="F83">
        <f>IF(tblCalculo[[#This Row],[STATUS]]="CONCLUÍDO",_xlfn.XLOOKUP(tblCalculo[[#This Row],[NR_SIMULACAO]],tblVendas[[#This Row],[NR_SIMULACAO]],tblVendas[[#This Row],[VALOR_MOVEL]],""),0)</f>
        <v>5890.4</v>
      </c>
      <c r="G83">
        <f>IF(tblCalculo[[#This Row],[STATUS]]="CONCLUÍDO",_xlfn.XLOOKUP(tblCalculo[[#This Row],[NR_SIMULACAO]],tblVendas[[#This Row],[NR_SIMULACAO]],tblVendas[[#This Row],[VALOR_AVANCADO]],""),0)</f>
        <v>0</v>
      </c>
      <c r="H83">
        <f>IF(tblCalculo[[#This Row],[STATUS]]="CONCLUÍDO",_xlfn.XLOOKUP(tblCalculo[[#This Row],[NR_SIMULACAO]],tblVendas[[#This Row],[NR_SIMULACAO]],tblVendas[[#This Row],[VALOR_FIXABASICA]],""),0)</f>
        <v>1094.3800000000001</v>
      </c>
      <c r="I83">
        <f>IF(tblCalculo[[#This Row],[STATUS]]="CONCLUÍDO",_xlfn.XLOOKUP(tblCalculo[[#This Row],[NR_SIMULACAO]],tblVendas[[#This Row],[NR_SIMULACAO]],tblVendas[[#This Row],[VALOR_TI]],""),0)</f>
        <v>0</v>
      </c>
      <c r="J83">
        <f>IF(tblCalculo[[#This Row],[STATUS]]="CONCLUÍDO",_xlfn.XLOOKUP(tblCalculo[[#This Row],[NR_SIMULACAO]],tblVendas[[#This Row],[NR_SIMULACAO]],tblVendas[[#This Row],[VALOR_APARELHO]],""),0)</f>
        <v>6847.4</v>
      </c>
      <c r="K83" t="str">
        <f>IF(tblCalculo[[#This Row],[STATUS]]="NEGOCIANDO",tblCalculo[[#This Row],[VALOR_TOTAL]],"")</f>
        <v/>
      </c>
      <c r="L83" t="str">
        <f>IF(tblCalculo[[#This Row],[STATUS]]="ALÇADA",tblCalculo[[#This Row],[VALOR_TOTAL]],"")</f>
        <v/>
      </c>
      <c r="M83" t="str">
        <f>IF(tblCalculo[[#This Row],[STATUS]]="EM ANÁLISE",tblCalculo[[#This Row],[VALOR_TOTAL]],"")</f>
        <v/>
      </c>
      <c r="N83" t="str">
        <f>IF(tblCalculo[[#This Row],[STATUS]]="TRAMITANDO",tblCalculo[[#This Row],[VALOR_TOTAL]],"")</f>
        <v/>
      </c>
      <c r="O83" t="str">
        <f>IF(tblCalculo[[#This Row],[STATUS]]="PERDIDO",tblCalculo[[#This Row],[VALOR_TOTAL]],"")</f>
        <v/>
      </c>
      <c r="P83">
        <f>IF(tblCalculo[[#This Row],[STATUS]]="CONCLUÍDO",tblCalculo[[#This Row],[VALOR_TOTAL]],"")</f>
        <v>13832.18</v>
      </c>
    </row>
    <row r="84" spans="1:16" x14ac:dyDescent="0.25">
      <c r="A84" t="str">
        <f>tblVendas[[#This Row],[NR_SIMULACAO]]</f>
        <v>SIM1074</v>
      </c>
      <c r="B84" s="34" t="str">
        <f>_xlfn.XLOOKUP(A84,tblVendas[[#This Row],[NR_SIMULACAO]],tblVendas[[#This Row],[NR_CNPJ]],"")</f>
        <v>43.302.419/0001-64</v>
      </c>
      <c r="C84" t="str">
        <f>_xlfn.XLOOKUP(A84,tblVendas[[#This Row],[NR_SIMULACAO]],tblVendas[[#This Row],[STATUS]],"")</f>
        <v>ALÇADA</v>
      </c>
      <c r="D84" t="str">
        <f>_xlfn.XLOOKUP(A84,tblVendas[[#This Row],[NR_SIMULACAO]],tblVendas[[#This Row],[MES]],"")</f>
        <v>Fevereiro</v>
      </c>
      <c r="E84">
        <f>SUM(_xlfn.XLOOKUP(tblCalculo[[#This Row],[NR_SIMULACAO]],tblVendas[[#This Row],[NR_SIMULACAO]],tblVendas[[#This Row],[VALOR_MOVEL]],""):_xlfn.XLOOKUP(tblCalculo[[#This Row],[NR_SIMULACAO]],tblVendas[[#This Row],[NR_SIMULACAO]],tblVendas[[#This Row],[VALOR_APARELHO]],""))</f>
        <v>5261.13</v>
      </c>
      <c r="F84">
        <f>IF(tblCalculo[[#This Row],[STATUS]]="CONCLUÍDO",_xlfn.XLOOKUP(tblCalculo[[#This Row],[NR_SIMULACAO]],tblVendas[[#This Row],[NR_SIMULACAO]],tblVendas[[#This Row],[VALOR_MOVEL]],""),0)</f>
        <v>0</v>
      </c>
      <c r="G84">
        <f>IF(tblCalculo[[#This Row],[STATUS]]="CONCLUÍDO",_xlfn.XLOOKUP(tblCalculo[[#This Row],[NR_SIMULACAO]],tblVendas[[#This Row],[NR_SIMULACAO]],tblVendas[[#This Row],[VALOR_AVANCADO]],""),0)</f>
        <v>0</v>
      </c>
      <c r="H84">
        <f>IF(tblCalculo[[#This Row],[STATUS]]="CONCLUÍDO",_xlfn.XLOOKUP(tblCalculo[[#This Row],[NR_SIMULACAO]],tblVendas[[#This Row],[NR_SIMULACAO]],tblVendas[[#This Row],[VALOR_FIXABASICA]],""),0)</f>
        <v>0</v>
      </c>
      <c r="I84">
        <f>IF(tblCalculo[[#This Row],[STATUS]]="CONCLUÍDO",_xlfn.XLOOKUP(tblCalculo[[#This Row],[NR_SIMULACAO]],tblVendas[[#This Row],[NR_SIMULACAO]],tblVendas[[#This Row],[VALOR_TI]],""),0)</f>
        <v>0</v>
      </c>
      <c r="J84">
        <f>IF(tblCalculo[[#This Row],[STATUS]]="CONCLUÍDO",_xlfn.XLOOKUP(tblCalculo[[#This Row],[NR_SIMULACAO]],tblVendas[[#This Row],[NR_SIMULACAO]],tblVendas[[#This Row],[VALOR_APARELHO]],""),0)</f>
        <v>0</v>
      </c>
      <c r="K84" t="str">
        <f>IF(tblCalculo[[#This Row],[STATUS]]="NEGOCIANDO",tblCalculo[[#This Row],[VALOR_TOTAL]],"")</f>
        <v/>
      </c>
      <c r="L84">
        <f>IF(tblCalculo[[#This Row],[STATUS]]="ALÇADA",tblCalculo[[#This Row],[VALOR_TOTAL]],"")</f>
        <v>5261.13</v>
      </c>
      <c r="M84" t="str">
        <f>IF(tblCalculo[[#This Row],[STATUS]]="EM ANÁLISE",tblCalculo[[#This Row],[VALOR_TOTAL]],"")</f>
        <v/>
      </c>
      <c r="N84" t="str">
        <f>IF(tblCalculo[[#This Row],[STATUS]]="TRAMITANDO",tblCalculo[[#This Row],[VALOR_TOTAL]],"")</f>
        <v/>
      </c>
      <c r="O84" t="str">
        <f>IF(tblCalculo[[#This Row],[STATUS]]="PERDIDO",tblCalculo[[#This Row],[VALOR_TOTAL]],"")</f>
        <v/>
      </c>
      <c r="P84" t="str">
        <f>IF(tblCalculo[[#This Row],[STATUS]]="CONCLUÍDO",tblCalculo[[#This Row],[VALOR_TOTAL]],"")</f>
        <v/>
      </c>
    </row>
    <row r="85" spans="1:16" x14ac:dyDescent="0.25">
      <c r="A85" t="str">
        <f>tblVendas[[#This Row],[NR_SIMULACAO]]</f>
        <v>SIM1075</v>
      </c>
      <c r="B85" s="34" t="str">
        <f>_xlfn.XLOOKUP(A85,tblVendas[[#This Row],[NR_SIMULACAO]],tblVendas[[#This Row],[NR_CNPJ]],"")</f>
        <v>90.446.789/0001-99</v>
      </c>
      <c r="C85" t="str">
        <f>_xlfn.XLOOKUP(A85,tblVendas[[#This Row],[NR_SIMULACAO]],tblVendas[[#This Row],[STATUS]],"")</f>
        <v>ALÇADA</v>
      </c>
      <c r="D85" t="str">
        <f>_xlfn.XLOOKUP(A85,tblVendas[[#This Row],[NR_SIMULACAO]],tblVendas[[#This Row],[MES]],"")</f>
        <v>Maio</v>
      </c>
      <c r="E85">
        <f>SUM(_xlfn.XLOOKUP(tblCalculo[[#This Row],[NR_SIMULACAO]],tblVendas[[#This Row],[NR_SIMULACAO]],tblVendas[[#This Row],[VALOR_MOVEL]],""):_xlfn.XLOOKUP(tblCalculo[[#This Row],[NR_SIMULACAO]],tblVendas[[#This Row],[NR_SIMULACAO]],tblVendas[[#This Row],[VALOR_APARELHO]],""))</f>
        <v>16821.68</v>
      </c>
      <c r="F85">
        <f>IF(tblCalculo[[#This Row],[STATUS]]="CONCLUÍDO",_xlfn.XLOOKUP(tblCalculo[[#This Row],[NR_SIMULACAO]],tblVendas[[#This Row],[NR_SIMULACAO]],tblVendas[[#This Row],[VALOR_MOVEL]],""),0)</f>
        <v>0</v>
      </c>
      <c r="G85">
        <f>IF(tblCalculo[[#This Row],[STATUS]]="CONCLUÍDO",_xlfn.XLOOKUP(tblCalculo[[#This Row],[NR_SIMULACAO]],tblVendas[[#This Row],[NR_SIMULACAO]],tblVendas[[#This Row],[VALOR_AVANCADO]],""),0)</f>
        <v>0</v>
      </c>
      <c r="H85">
        <f>IF(tblCalculo[[#This Row],[STATUS]]="CONCLUÍDO",_xlfn.XLOOKUP(tblCalculo[[#This Row],[NR_SIMULACAO]],tblVendas[[#This Row],[NR_SIMULACAO]],tblVendas[[#This Row],[VALOR_FIXABASICA]],""),0)</f>
        <v>0</v>
      </c>
      <c r="I85">
        <f>IF(tblCalculo[[#This Row],[STATUS]]="CONCLUÍDO",_xlfn.XLOOKUP(tblCalculo[[#This Row],[NR_SIMULACAO]],tblVendas[[#This Row],[NR_SIMULACAO]],tblVendas[[#This Row],[VALOR_TI]],""),0)</f>
        <v>0</v>
      </c>
      <c r="J85">
        <f>IF(tblCalculo[[#This Row],[STATUS]]="CONCLUÍDO",_xlfn.XLOOKUP(tblCalculo[[#This Row],[NR_SIMULACAO]],tblVendas[[#This Row],[NR_SIMULACAO]],tblVendas[[#This Row],[VALOR_APARELHO]],""),0)</f>
        <v>0</v>
      </c>
      <c r="K85" t="str">
        <f>IF(tblCalculo[[#This Row],[STATUS]]="NEGOCIANDO",tblCalculo[[#This Row],[VALOR_TOTAL]],"")</f>
        <v/>
      </c>
      <c r="L85">
        <f>IF(tblCalculo[[#This Row],[STATUS]]="ALÇADA",tblCalculo[[#This Row],[VALOR_TOTAL]],"")</f>
        <v>16821.68</v>
      </c>
      <c r="M85" t="str">
        <f>IF(tblCalculo[[#This Row],[STATUS]]="EM ANÁLISE",tblCalculo[[#This Row],[VALOR_TOTAL]],"")</f>
        <v/>
      </c>
      <c r="N85" t="str">
        <f>IF(tblCalculo[[#This Row],[STATUS]]="TRAMITANDO",tblCalculo[[#This Row],[VALOR_TOTAL]],"")</f>
        <v/>
      </c>
      <c r="O85" t="str">
        <f>IF(tblCalculo[[#This Row],[STATUS]]="PERDIDO",tblCalculo[[#This Row],[VALOR_TOTAL]],"")</f>
        <v/>
      </c>
      <c r="P85" t="str">
        <f>IF(tblCalculo[[#This Row],[STATUS]]="CONCLUÍDO",tblCalculo[[#This Row],[VALOR_TOTAL]],"")</f>
        <v/>
      </c>
    </row>
    <row r="86" spans="1:16" x14ac:dyDescent="0.25">
      <c r="A86" t="str">
        <f>tblVendas[[#This Row],[NR_SIMULACAO]]</f>
        <v>SIM1076</v>
      </c>
      <c r="B86" s="34" t="str">
        <f>_xlfn.XLOOKUP(A86,tblVendas[[#This Row],[NR_SIMULACAO]],tblVendas[[#This Row],[NR_CNPJ]],"")</f>
        <v>53.568.803/0001-53</v>
      </c>
      <c r="C86" t="str">
        <f>_xlfn.XLOOKUP(A86,tblVendas[[#This Row],[NR_SIMULACAO]],tblVendas[[#This Row],[STATUS]],"")</f>
        <v>EM ANÁLISE</v>
      </c>
      <c r="D86" t="str">
        <f>_xlfn.XLOOKUP(A86,tblVendas[[#This Row],[NR_SIMULACAO]],tblVendas[[#This Row],[MES]],"")</f>
        <v>Dezembro</v>
      </c>
      <c r="E86">
        <f>SUM(_xlfn.XLOOKUP(tblCalculo[[#This Row],[NR_SIMULACAO]],tblVendas[[#This Row],[NR_SIMULACAO]],tblVendas[[#This Row],[VALOR_MOVEL]],""):_xlfn.XLOOKUP(tblCalculo[[#This Row],[NR_SIMULACAO]],tblVendas[[#This Row],[NR_SIMULACAO]],tblVendas[[#This Row],[VALOR_APARELHO]],""))</f>
        <v>10222.4</v>
      </c>
      <c r="F86">
        <f>IF(tblCalculo[[#This Row],[STATUS]]="CONCLUÍDO",_xlfn.XLOOKUP(tblCalculo[[#This Row],[NR_SIMULACAO]],tblVendas[[#This Row],[NR_SIMULACAO]],tblVendas[[#This Row],[VALOR_MOVEL]],""),0)</f>
        <v>0</v>
      </c>
      <c r="G86">
        <f>IF(tblCalculo[[#This Row],[STATUS]]="CONCLUÍDO",_xlfn.XLOOKUP(tblCalculo[[#This Row],[NR_SIMULACAO]],tblVendas[[#This Row],[NR_SIMULACAO]],tblVendas[[#This Row],[VALOR_AVANCADO]],""),0)</f>
        <v>0</v>
      </c>
      <c r="H86">
        <f>IF(tblCalculo[[#This Row],[STATUS]]="CONCLUÍDO",_xlfn.XLOOKUP(tblCalculo[[#This Row],[NR_SIMULACAO]],tblVendas[[#This Row],[NR_SIMULACAO]],tblVendas[[#This Row],[VALOR_FIXABASICA]],""),0)</f>
        <v>0</v>
      </c>
      <c r="I86">
        <f>IF(tblCalculo[[#This Row],[STATUS]]="CONCLUÍDO",_xlfn.XLOOKUP(tblCalculo[[#This Row],[NR_SIMULACAO]],tblVendas[[#This Row],[NR_SIMULACAO]],tblVendas[[#This Row],[VALOR_TI]],""),0)</f>
        <v>0</v>
      </c>
      <c r="J86">
        <f>IF(tblCalculo[[#This Row],[STATUS]]="CONCLUÍDO",_xlfn.XLOOKUP(tblCalculo[[#This Row],[NR_SIMULACAO]],tblVendas[[#This Row],[NR_SIMULACAO]],tblVendas[[#This Row],[VALOR_APARELHO]],""),0)</f>
        <v>0</v>
      </c>
      <c r="K86" t="str">
        <f>IF(tblCalculo[[#This Row],[STATUS]]="NEGOCIANDO",tblCalculo[[#This Row],[VALOR_TOTAL]],"")</f>
        <v/>
      </c>
      <c r="L86" t="str">
        <f>IF(tblCalculo[[#This Row],[STATUS]]="ALÇADA",tblCalculo[[#This Row],[VALOR_TOTAL]],"")</f>
        <v/>
      </c>
      <c r="M86">
        <f>IF(tblCalculo[[#This Row],[STATUS]]="EM ANÁLISE",tblCalculo[[#This Row],[VALOR_TOTAL]],"")</f>
        <v>10222.4</v>
      </c>
      <c r="N86" t="str">
        <f>IF(tblCalculo[[#This Row],[STATUS]]="TRAMITANDO",tblCalculo[[#This Row],[VALOR_TOTAL]],"")</f>
        <v/>
      </c>
      <c r="O86" t="str">
        <f>IF(tblCalculo[[#This Row],[STATUS]]="PERDIDO",tblCalculo[[#This Row],[VALOR_TOTAL]],"")</f>
        <v/>
      </c>
      <c r="P86" t="str">
        <f>IF(tblCalculo[[#This Row],[STATUS]]="CONCLUÍDO",tblCalculo[[#This Row],[VALOR_TOTAL]],"")</f>
        <v/>
      </c>
    </row>
    <row r="87" spans="1:16" x14ac:dyDescent="0.25">
      <c r="A87" t="str">
        <f>tblVendas[[#This Row],[NR_SIMULACAO]]</f>
        <v>SIM1077</v>
      </c>
      <c r="B87" s="34" t="str">
        <f>_xlfn.XLOOKUP(A87,tblVendas[[#This Row],[NR_SIMULACAO]],tblVendas[[#This Row],[NR_CNPJ]],"")</f>
        <v>60.958.902/0001-38</v>
      </c>
      <c r="C87" t="str">
        <f>_xlfn.XLOOKUP(A87,tblVendas[[#This Row],[NR_SIMULACAO]],tblVendas[[#This Row],[STATUS]],"")</f>
        <v>TRAMITANDO</v>
      </c>
      <c r="D87" t="str">
        <f>_xlfn.XLOOKUP(A87,tblVendas[[#This Row],[NR_SIMULACAO]],tblVendas[[#This Row],[MES]],"")</f>
        <v>Setembro</v>
      </c>
      <c r="E87">
        <f>SUM(_xlfn.XLOOKUP(tblCalculo[[#This Row],[NR_SIMULACAO]],tblVendas[[#This Row],[NR_SIMULACAO]],tblVendas[[#This Row],[VALOR_MOVEL]],""):_xlfn.XLOOKUP(tblCalculo[[#This Row],[NR_SIMULACAO]],tblVendas[[#This Row],[NR_SIMULACAO]],tblVendas[[#This Row],[VALOR_APARELHO]],""))</f>
        <v>10302.86</v>
      </c>
      <c r="F87">
        <f>IF(tblCalculo[[#This Row],[STATUS]]="CONCLUÍDO",_xlfn.XLOOKUP(tblCalculo[[#This Row],[NR_SIMULACAO]],tblVendas[[#This Row],[NR_SIMULACAO]],tblVendas[[#This Row],[VALOR_MOVEL]],""),0)</f>
        <v>0</v>
      </c>
      <c r="G87">
        <f>IF(tblCalculo[[#This Row],[STATUS]]="CONCLUÍDO",_xlfn.XLOOKUP(tblCalculo[[#This Row],[NR_SIMULACAO]],tblVendas[[#This Row],[NR_SIMULACAO]],tblVendas[[#This Row],[VALOR_AVANCADO]],""),0)</f>
        <v>0</v>
      </c>
      <c r="H87">
        <f>IF(tblCalculo[[#This Row],[STATUS]]="CONCLUÍDO",_xlfn.XLOOKUP(tblCalculo[[#This Row],[NR_SIMULACAO]],tblVendas[[#This Row],[NR_SIMULACAO]],tblVendas[[#This Row],[VALOR_FIXABASICA]],""),0)</f>
        <v>0</v>
      </c>
      <c r="I87">
        <f>IF(tblCalculo[[#This Row],[STATUS]]="CONCLUÍDO",_xlfn.XLOOKUP(tblCalculo[[#This Row],[NR_SIMULACAO]],tblVendas[[#This Row],[NR_SIMULACAO]],tblVendas[[#This Row],[VALOR_TI]],""),0)</f>
        <v>0</v>
      </c>
      <c r="J87">
        <f>IF(tblCalculo[[#This Row],[STATUS]]="CONCLUÍDO",_xlfn.XLOOKUP(tblCalculo[[#This Row],[NR_SIMULACAO]],tblVendas[[#This Row],[NR_SIMULACAO]],tblVendas[[#This Row],[VALOR_APARELHO]],""),0)</f>
        <v>0</v>
      </c>
      <c r="K87" t="str">
        <f>IF(tblCalculo[[#This Row],[STATUS]]="NEGOCIANDO",tblCalculo[[#This Row],[VALOR_TOTAL]],"")</f>
        <v/>
      </c>
      <c r="L87" t="str">
        <f>IF(tblCalculo[[#This Row],[STATUS]]="ALÇADA",tblCalculo[[#This Row],[VALOR_TOTAL]],"")</f>
        <v/>
      </c>
      <c r="M87" t="str">
        <f>IF(tblCalculo[[#This Row],[STATUS]]="EM ANÁLISE",tblCalculo[[#This Row],[VALOR_TOTAL]],"")</f>
        <v/>
      </c>
      <c r="N87">
        <f>IF(tblCalculo[[#This Row],[STATUS]]="TRAMITANDO",tblCalculo[[#This Row],[VALOR_TOTAL]],"")</f>
        <v>10302.86</v>
      </c>
      <c r="O87" t="str">
        <f>IF(tblCalculo[[#This Row],[STATUS]]="PERDIDO",tblCalculo[[#This Row],[VALOR_TOTAL]],"")</f>
        <v/>
      </c>
      <c r="P87" t="str">
        <f>IF(tblCalculo[[#This Row],[STATUS]]="CONCLUÍDO",tblCalculo[[#This Row],[VALOR_TOTAL]],"")</f>
        <v/>
      </c>
    </row>
    <row r="88" spans="1:16" x14ac:dyDescent="0.25">
      <c r="A88" t="str">
        <f>tblVendas[[#This Row],[NR_SIMULACAO]]</f>
        <v>SIM1078</v>
      </c>
      <c r="B88" s="34" t="str">
        <f>_xlfn.XLOOKUP(A88,tblVendas[[#This Row],[NR_SIMULACAO]],tblVendas[[#This Row],[NR_CNPJ]],"")</f>
        <v>79.431.990/0001-66</v>
      </c>
      <c r="C88" t="str">
        <f>_xlfn.XLOOKUP(A88,tblVendas[[#This Row],[NR_SIMULACAO]],tblVendas[[#This Row],[STATUS]],"")</f>
        <v>NEGOCIANDO</v>
      </c>
      <c r="D88" t="str">
        <f>_xlfn.XLOOKUP(A88,tblVendas[[#This Row],[NR_SIMULACAO]],tblVendas[[#This Row],[MES]],"")</f>
        <v>Julho</v>
      </c>
      <c r="E88">
        <f>SUM(_xlfn.XLOOKUP(tblCalculo[[#This Row],[NR_SIMULACAO]],tblVendas[[#This Row],[NR_SIMULACAO]],tblVendas[[#This Row],[VALOR_MOVEL]],""):_xlfn.XLOOKUP(tblCalculo[[#This Row],[NR_SIMULACAO]],tblVendas[[#This Row],[NR_SIMULACAO]],tblVendas[[#This Row],[VALOR_APARELHO]],""))</f>
        <v>10256.68</v>
      </c>
      <c r="F88">
        <f>IF(tblCalculo[[#This Row],[STATUS]]="CONCLUÍDO",_xlfn.XLOOKUP(tblCalculo[[#This Row],[NR_SIMULACAO]],tblVendas[[#This Row],[NR_SIMULACAO]],tblVendas[[#This Row],[VALOR_MOVEL]],""),0)</f>
        <v>0</v>
      </c>
      <c r="G88">
        <f>IF(tblCalculo[[#This Row],[STATUS]]="CONCLUÍDO",_xlfn.XLOOKUP(tblCalculo[[#This Row],[NR_SIMULACAO]],tblVendas[[#This Row],[NR_SIMULACAO]],tblVendas[[#This Row],[VALOR_AVANCADO]],""),0)</f>
        <v>0</v>
      </c>
      <c r="H88">
        <f>IF(tblCalculo[[#This Row],[STATUS]]="CONCLUÍDO",_xlfn.XLOOKUP(tblCalculo[[#This Row],[NR_SIMULACAO]],tblVendas[[#This Row],[NR_SIMULACAO]],tblVendas[[#This Row],[VALOR_FIXABASICA]],""),0)</f>
        <v>0</v>
      </c>
      <c r="I88">
        <f>IF(tblCalculo[[#This Row],[STATUS]]="CONCLUÍDO",_xlfn.XLOOKUP(tblCalculo[[#This Row],[NR_SIMULACAO]],tblVendas[[#This Row],[NR_SIMULACAO]],tblVendas[[#This Row],[VALOR_TI]],""),0)</f>
        <v>0</v>
      </c>
      <c r="J88">
        <f>IF(tblCalculo[[#This Row],[STATUS]]="CONCLUÍDO",_xlfn.XLOOKUP(tblCalculo[[#This Row],[NR_SIMULACAO]],tblVendas[[#This Row],[NR_SIMULACAO]],tblVendas[[#This Row],[VALOR_APARELHO]],""),0)</f>
        <v>0</v>
      </c>
      <c r="K88">
        <f>IF(tblCalculo[[#This Row],[STATUS]]="NEGOCIANDO",tblCalculo[[#This Row],[VALOR_TOTAL]],"")</f>
        <v>10256.68</v>
      </c>
      <c r="L88" t="str">
        <f>IF(tblCalculo[[#This Row],[STATUS]]="ALÇADA",tblCalculo[[#This Row],[VALOR_TOTAL]],"")</f>
        <v/>
      </c>
      <c r="M88" t="str">
        <f>IF(tblCalculo[[#This Row],[STATUS]]="EM ANÁLISE",tblCalculo[[#This Row],[VALOR_TOTAL]],"")</f>
        <v/>
      </c>
      <c r="N88" t="str">
        <f>IF(tblCalculo[[#This Row],[STATUS]]="TRAMITANDO",tblCalculo[[#This Row],[VALOR_TOTAL]],"")</f>
        <v/>
      </c>
      <c r="O88" t="str">
        <f>IF(tblCalculo[[#This Row],[STATUS]]="PERDIDO",tblCalculo[[#This Row],[VALOR_TOTAL]],"")</f>
        <v/>
      </c>
      <c r="P88" t="str">
        <f>IF(tblCalculo[[#This Row],[STATUS]]="CONCLUÍDO",tblCalculo[[#This Row],[VALOR_TOTAL]],"")</f>
        <v/>
      </c>
    </row>
    <row r="89" spans="1:16" x14ac:dyDescent="0.25">
      <c r="A89" t="str">
        <f>tblVendas[[#This Row],[NR_SIMULACAO]]</f>
        <v>SIM1079</v>
      </c>
      <c r="B89" s="34" t="str">
        <f>_xlfn.XLOOKUP(A89,tblVendas[[#This Row],[NR_SIMULACAO]],tblVendas[[#This Row],[NR_CNPJ]],"")</f>
        <v>25.935.949/0001-25</v>
      </c>
      <c r="C89" t="str">
        <f>_xlfn.XLOOKUP(A89,tblVendas[[#This Row],[NR_SIMULACAO]],tblVendas[[#This Row],[STATUS]],"")</f>
        <v>EM ANÁLISE</v>
      </c>
      <c r="D89" t="str">
        <f>_xlfn.XLOOKUP(A89,tblVendas[[#This Row],[NR_SIMULACAO]],tblVendas[[#This Row],[MES]],"")</f>
        <v>Janeiro</v>
      </c>
      <c r="E89">
        <f>SUM(_xlfn.XLOOKUP(tblCalculo[[#This Row],[NR_SIMULACAO]],tblVendas[[#This Row],[NR_SIMULACAO]],tblVendas[[#This Row],[VALOR_MOVEL]],""):_xlfn.XLOOKUP(tblCalculo[[#This Row],[NR_SIMULACAO]],tblVendas[[#This Row],[NR_SIMULACAO]],tblVendas[[#This Row],[VALOR_APARELHO]],""))</f>
        <v>14555.48</v>
      </c>
      <c r="F89">
        <f>IF(tblCalculo[[#This Row],[STATUS]]="CONCLUÍDO",_xlfn.XLOOKUP(tblCalculo[[#This Row],[NR_SIMULACAO]],tblVendas[[#This Row],[NR_SIMULACAO]],tblVendas[[#This Row],[VALOR_MOVEL]],""),0)</f>
        <v>0</v>
      </c>
      <c r="G89">
        <f>IF(tblCalculo[[#This Row],[STATUS]]="CONCLUÍDO",_xlfn.XLOOKUP(tblCalculo[[#This Row],[NR_SIMULACAO]],tblVendas[[#This Row],[NR_SIMULACAO]],tblVendas[[#This Row],[VALOR_AVANCADO]],""),0)</f>
        <v>0</v>
      </c>
      <c r="H89">
        <f>IF(tblCalculo[[#This Row],[STATUS]]="CONCLUÍDO",_xlfn.XLOOKUP(tblCalculo[[#This Row],[NR_SIMULACAO]],tblVendas[[#This Row],[NR_SIMULACAO]],tblVendas[[#This Row],[VALOR_FIXABASICA]],""),0)</f>
        <v>0</v>
      </c>
      <c r="I89">
        <f>IF(tblCalculo[[#This Row],[STATUS]]="CONCLUÍDO",_xlfn.XLOOKUP(tblCalculo[[#This Row],[NR_SIMULACAO]],tblVendas[[#This Row],[NR_SIMULACAO]],tblVendas[[#This Row],[VALOR_TI]],""),0)</f>
        <v>0</v>
      </c>
      <c r="J89">
        <f>IF(tblCalculo[[#This Row],[STATUS]]="CONCLUÍDO",_xlfn.XLOOKUP(tblCalculo[[#This Row],[NR_SIMULACAO]],tblVendas[[#This Row],[NR_SIMULACAO]],tblVendas[[#This Row],[VALOR_APARELHO]],""),0)</f>
        <v>0</v>
      </c>
      <c r="K89" t="str">
        <f>IF(tblCalculo[[#This Row],[STATUS]]="NEGOCIANDO",tblCalculo[[#This Row],[VALOR_TOTAL]],"")</f>
        <v/>
      </c>
      <c r="L89" t="str">
        <f>IF(tblCalculo[[#This Row],[STATUS]]="ALÇADA",tblCalculo[[#This Row],[VALOR_TOTAL]],"")</f>
        <v/>
      </c>
      <c r="M89">
        <f>IF(tblCalculo[[#This Row],[STATUS]]="EM ANÁLISE",tblCalculo[[#This Row],[VALOR_TOTAL]],"")</f>
        <v>14555.48</v>
      </c>
      <c r="N89" t="str">
        <f>IF(tblCalculo[[#This Row],[STATUS]]="TRAMITANDO",tblCalculo[[#This Row],[VALOR_TOTAL]],"")</f>
        <v/>
      </c>
      <c r="O89" t="str">
        <f>IF(tblCalculo[[#This Row],[STATUS]]="PERDIDO",tblCalculo[[#This Row],[VALOR_TOTAL]],"")</f>
        <v/>
      </c>
      <c r="P89" t="str">
        <f>IF(tblCalculo[[#This Row],[STATUS]]="CONCLUÍDO",tblCalculo[[#This Row],[VALOR_TOTAL]],"")</f>
        <v/>
      </c>
    </row>
    <row r="90" spans="1:16" x14ac:dyDescent="0.25">
      <c r="A90" t="str">
        <f>tblVendas[[#This Row],[NR_SIMULACAO]]</f>
        <v>SIM1080</v>
      </c>
      <c r="B90" s="34" t="str">
        <f>_xlfn.XLOOKUP(A90,tblVendas[[#This Row],[NR_SIMULACAO]],tblVendas[[#This Row],[NR_CNPJ]],"")</f>
        <v>71.590.654/0001-97</v>
      </c>
      <c r="C90" t="str">
        <f>_xlfn.XLOOKUP(A90,tblVendas[[#This Row],[NR_SIMULACAO]],tblVendas[[#This Row],[STATUS]],"")</f>
        <v>PERDIDO</v>
      </c>
      <c r="D90" t="str">
        <f>_xlfn.XLOOKUP(A90,tblVendas[[#This Row],[NR_SIMULACAO]],tblVendas[[#This Row],[MES]],"")</f>
        <v>Fevereiro</v>
      </c>
      <c r="E90">
        <f>SUM(_xlfn.XLOOKUP(tblCalculo[[#This Row],[NR_SIMULACAO]],tblVendas[[#This Row],[NR_SIMULACAO]],tblVendas[[#This Row],[VALOR_MOVEL]],""):_xlfn.XLOOKUP(tblCalculo[[#This Row],[NR_SIMULACAO]],tblVendas[[#This Row],[NR_SIMULACAO]],tblVendas[[#This Row],[VALOR_APARELHO]],""))</f>
        <v>8921.0499999999993</v>
      </c>
      <c r="F90">
        <f>IF(tblCalculo[[#This Row],[STATUS]]="CONCLUÍDO",_xlfn.XLOOKUP(tblCalculo[[#This Row],[NR_SIMULACAO]],tblVendas[[#This Row],[NR_SIMULACAO]],tblVendas[[#This Row],[VALOR_MOVEL]],""),0)</f>
        <v>0</v>
      </c>
      <c r="G90">
        <f>IF(tblCalculo[[#This Row],[STATUS]]="CONCLUÍDO",_xlfn.XLOOKUP(tblCalculo[[#This Row],[NR_SIMULACAO]],tblVendas[[#This Row],[NR_SIMULACAO]],tblVendas[[#This Row],[VALOR_AVANCADO]],""),0)</f>
        <v>0</v>
      </c>
      <c r="H90">
        <f>IF(tblCalculo[[#This Row],[STATUS]]="CONCLUÍDO",_xlfn.XLOOKUP(tblCalculo[[#This Row],[NR_SIMULACAO]],tblVendas[[#This Row],[NR_SIMULACAO]],tblVendas[[#This Row],[VALOR_FIXABASICA]],""),0)</f>
        <v>0</v>
      </c>
      <c r="I90">
        <f>IF(tblCalculo[[#This Row],[STATUS]]="CONCLUÍDO",_xlfn.XLOOKUP(tblCalculo[[#This Row],[NR_SIMULACAO]],tblVendas[[#This Row],[NR_SIMULACAO]],tblVendas[[#This Row],[VALOR_TI]],""),0)</f>
        <v>0</v>
      </c>
      <c r="J90">
        <f>IF(tblCalculo[[#This Row],[STATUS]]="CONCLUÍDO",_xlfn.XLOOKUP(tblCalculo[[#This Row],[NR_SIMULACAO]],tblVendas[[#This Row],[NR_SIMULACAO]],tblVendas[[#This Row],[VALOR_APARELHO]],""),0)</f>
        <v>0</v>
      </c>
      <c r="K90" t="str">
        <f>IF(tblCalculo[[#This Row],[STATUS]]="NEGOCIANDO",tblCalculo[[#This Row],[VALOR_TOTAL]],"")</f>
        <v/>
      </c>
      <c r="L90" t="str">
        <f>IF(tblCalculo[[#This Row],[STATUS]]="ALÇADA",tblCalculo[[#This Row],[VALOR_TOTAL]],"")</f>
        <v/>
      </c>
      <c r="M90" t="str">
        <f>IF(tblCalculo[[#This Row],[STATUS]]="EM ANÁLISE",tblCalculo[[#This Row],[VALOR_TOTAL]],"")</f>
        <v/>
      </c>
      <c r="N90" t="str">
        <f>IF(tblCalculo[[#This Row],[STATUS]]="TRAMITANDO",tblCalculo[[#This Row],[VALOR_TOTAL]],"")</f>
        <v/>
      </c>
      <c r="O90">
        <f>IF(tblCalculo[[#This Row],[STATUS]]="PERDIDO",tblCalculo[[#This Row],[VALOR_TOTAL]],"")</f>
        <v>8921.0499999999993</v>
      </c>
      <c r="P90" t="str">
        <f>IF(tblCalculo[[#This Row],[STATUS]]="CONCLUÍDO",tblCalculo[[#This Row],[VALOR_TOTAL]],"")</f>
        <v/>
      </c>
    </row>
    <row r="91" spans="1:16" x14ac:dyDescent="0.25">
      <c r="A91" t="str">
        <f>tblVendas[[#This Row],[NR_SIMULACAO]]</f>
        <v>SIM1081</v>
      </c>
      <c r="B91" s="34" t="str">
        <f>_xlfn.XLOOKUP(A91,tblVendas[[#This Row],[NR_SIMULACAO]],tblVendas[[#This Row],[NR_CNPJ]],"")</f>
        <v>40.392.461/0001-84</v>
      </c>
      <c r="C91" t="str">
        <f>_xlfn.XLOOKUP(A91,tblVendas[[#This Row],[NR_SIMULACAO]],tblVendas[[#This Row],[STATUS]],"")</f>
        <v>PERDIDO</v>
      </c>
      <c r="D91" t="str">
        <f>_xlfn.XLOOKUP(A91,tblVendas[[#This Row],[NR_SIMULACAO]],tblVendas[[#This Row],[MES]],"")</f>
        <v>Janeiro</v>
      </c>
      <c r="E91">
        <f>SUM(_xlfn.XLOOKUP(tblCalculo[[#This Row],[NR_SIMULACAO]],tblVendas[[#This Row],[NR_SIMULACAO]],tblVendas[[#This Row],[VALOR_MOVEL]],""):_xlfn.XLOOKUP(tblCalculo[[#This Row],[NR_SIMULACAO]],tblVendas[[#This Row],[NR_SIMULACAO]],tblVendas[[#This Row],[VALOR_APARELHO]],""))</f>
        <v>5561.1399999999994</v>
      </c>
      <c r="F91">
        <f>IF(tblCalculo[[#This Row],[STATUS]]="CONCLUÍDO",_xlfn.XLOOKUP(tblCalculo[[#This Row],[NR_SIMULACAO]],tblVendas[[#This Row],[NR_SIMULACAO]],tblVendas[[#This Row],[VALOR_MOVEL]],""),0)</f>
        <v>0</v>
      </c>
      <c r="G91">
        <f>IF(tblCalculo[[#This Row],[STATUS]]="CONCLUÍDO",_xlfn.XLOOKUP(tblCalculo[[#This Row],[NR_SIMULACAO]],tblVendas[[#This Row],[NR_SIMULACAO]],tblVendas[[#This Row],[VALOR_AVANCADO]],""),0)</f>
        <v>0</v>
      </c>
      <c r="H91">
        <f>IF(tblCalculo[[#This Row],[STATUS]]="CONCLUÍDO",_xlfn.XLOOKUP(tblCalculo[[#This Row],[NR_SIMULACAO]],tblVendas[[#This Row],[NR_SIMULACAO]],tblVendas[[#This Row],[VALOR_FIXABASICA]],""),0)</f>
        <v>0</v>
      </c>
      <c r="I91">
        <f>IF(tblCalculo[[#This Row],[STATUS]]="CONCLUÍDO",_xlfn.XLOOKUP(tblCalculo[[#This Row],[NR_SIMULACAO]],tblVendas[[#This Row],[NR_SIMULACAO]],tblVendas[[#This Row],[VALOR_TI]],""),0)</f>
        <v>0</v>
      </c>
      <c r="J91">
        <f>IF(tblCalculo[[#This Row],[STATUS]]="CONCLUÍDO",_xlfn.XLOOKUP(tblCalculo[[#This Row],[NR_SIMULACAO]],tblVendas[[#This Row],[NR_SIMULACAO]],tblVendas[[#This Row],[VALOR_APARELHO]],""),0)</f>
        <v>0</v>
      </c>
      <c r="K91" t="str">
        <f>IF(tblCalculo[[#This Row],[STATUS]]="NEGOCIANDO",tblCalculo[[#This Row],[VALOR_TOTAL]],"")</f>
        <v/>
      </c>
      <c r="L91" t="str">
        <f>IF(tblCalculo[[#This Row],[STATUS]]="ALÇADA",tblCalculo[[#This Row],[VALOR_TOTAL]],"")</f>
        <v/>
      </c>
      <c r="M91" t="str">
        <f>IF(tblCalculo[[#This Row],[STATUS]]="EM ANÁLISE",tblCalculo[[#This Row],[VALOR_TOTAL]],"")</f>
        <v/>
      </c>
      <c r="N91" t="str">
        <f>IF(tblCalculo[[#This Row],[STATUS]]="TRAMITANDO",tblCalculo[[#This Row],[VALOR_TOTAL]],"")</f>
        <v/>
      </c>
      <c r="O91">
        <f>IF(tblCalculo[[#This Row],[STATUS]]="PERDIDO",tblCalculo[[#This Row],[VALOR_TOTAL]],"")</f>
        <v>5561.1399999999994</v>
      </c>
      <c r="P91" t="str">
        <f>IF(tblCalculo[[#This Row],[STATUS]]="CONCLUÍDO",tblCalculo[[#This Row],[VALOR_TOTAL]],"")</f>
        <v/>
      </c>
    </row>
    <row r="92" spans="1:16" x14ac:dyDescent="0.25">
      <c r="A92" t="str">
        <f>tblVendas[[#This Row],[NR_SIMULACAO]]</f>
        <v>SIM1082</v>
      </c>
      <c r="B92" s="34" t="str">
        <f>_xlfn.XLOOKUP(A92,tblVendas[[#This Row],[NR_SIMULACAO]],tblVendas[[#This Row],[NR_CNPJ]],"")</f>
        <v>53.252.920/0001-63</v>
      </c>
      <c r="C92" t="str">
        <f>_xlfn.XLOOKUP(A92,tblVendas[[#This Row],[NR_SIMULACAO]],tblVendas[[#This Row],[STATUS]],"")</f>
        <v>PERDIDO</v>
      </c>
      <c r="D92" t="str">
        <f>_xlfn.XLOOKUP(A92,tblVendas[[#This Row],[NR_SIMULACAO]],tblVendas[[#This Row],[MES]],"")</f>
        <v>Maio</v>
      </c>
      <c r="E92">
        <f>SUM(_xlfn.XLOOKUP(tblCalculo[[#This Row],[NR_SIMULACAO]],tblVendas[[#This Row],[NR_SIMULACAO]],tblVendas[[#This Row],[VALOR_MOVEL]],""):_xlfn.XLOOKUP(tblCalculo[[#This Row],[NR_SIMULACAO]],tblVendas[[#This Row],[NR_SIMULACAO]],tblVendas[[#This Row],[VALOR_APARELHO]],""))</f>
        <v>13835.73</v>
      </c>
      <c r="F92">
        <f>IF(tblCalculo[[#This Row],[STATUS]]="CONCLUÍDO",_xlfn.XLOOKUP(tblCalculo[[#This Row],[NR_SIMULACAO]],tblVendas[[#This Row],[NR_SIMULACAO]],tblVendas[[#This Row],[VALOR_MOVEL]],""),0)</f>
        <v>0</v>
      </c>
      <c r="G92">
        <f>IF(tblCalculo[[#This Row],[STATUS]]="CONCLUÍDO",_xlfn.XLOOKUP(tblCalculo[[#This Row],[NR_SIMULACAO]],tblVendas[[#This Row],[NR_SIMULACAO]],tblVendas[[#This Row],[VALOR_AVANCADO]],""),0)</f>
        <v>0</v>
      </c>
      <c r="H92">
        <f>IF(tblCalculo[[#This Row],[STATUS]]="CONCLUÍDO",_xlfn.XLOOKUP(tblCalculo[[#This Row],[NR_SIMULACAO]],tblVendas[[#This Row],[NR_SIMULACAO]],tblVendas[[#This Row],[VALOR_FIXABASICA]],""),0)</f>
        <v>0</v>
      </c>
      <c r="I92">
        <f>IF(tblCalculo[[#This Row],[STATUS]]="CONCLUÍDO",_xlfn.XLOOKUP(tblCalculo[[#This Row],[NR_SIMULACAO]],tblVendas[[#This Row],[NR_SIMULACAO]],tblVendas[[#This Row],[VALOR_TI]],""),0)</f>
        <v>0</v>
      </c>
      <c r="J92">
        <f>IF(tblCalculo[[#This Row],[STATUS]]="CONCLUÍDO",_xlfn.XLOOKUP(tblCalculo[[#This Row],[NR_SIMULACAO]],tblVendas[[#This Row],[NR_SIMULACAO]],tblVendas[[#This Row],[VALOR_APARELHO]],""),0)</f>
        <v>0</v>
      </c>
      <c r="K92" t="str">
        <f>IF(tblCalculo[[#This Row],[STATUS]]="NEGOCIANDO",tblCalculo[[#This Row],[VALOR_TOTAL]],"")</f>
        <v/>
      </c>
      <c r="L92" t="str">
        <f>IF(tblCalculo[[#This Row],[STATUS]]="ALÇADA",tblCalculo[[#This Row],[VALOR_TOTAL]],"")</f>
        <v/>
      </c>
      <c r="M92" t="str">
        <f>IF(tblCalculo[[#This Row],[STATUS]]="EM ANÁLISE",tblCalculo[[#This Row],[VALOR_TOTAL]],"")</f>
        <v/>
      </c>
      <c r="N92" t="str">
        <f>IF(tblCalculo[[#This Row],[STATUS]]="TRAMITANDO",tblCalculo[[#This Row],[VALOR_TOTAL]],"")</f>
        <v/>
      </c>
      <c r="O92">
        <f>IF(tblCalculo[[#This Row],[STATUS]]="PERDIDO",tblCalculo[[#This Row],[VALOR_TOTAL]],"")</f>
        <v>13835.73</v>
      </c>
      <c r="P92" t="str">
        <f>IF(tblCalculo[[#This Row],[STATUS]]="CONCLUÍDO",tblCalculo[[#This Row],[VALOR_TOTAL]],"")</f>
        <v/>
      </c>
    </row>
    <row r="93" spans="1:16" x14ac:dyDescent="0.25">
      <c r="A93" t="str">
        <f>tblVendas[[#This Row],[NR_SIMULACAO]]</f>
        <v>SIM1083</v>
      </c>
      <c r="B93" s="34" t="str">
        <f>_xlfn.XLOOKUP(A93,tblVendas[[#This Row],[NR_SIMULACAO]],tblVendas[[#This Row],[NR_CNPJ]],"")</f>
        <v>69.668.516/0001-17</v>
      </c>
      <c r="C93" t="str">
        <f>_xlfn.XLOOKUP(A93,tblVendas[[#This Row],[NR_SIMULACAO]],tblVendas[[#This Row],[STATUS]],"")</f>
        <v>EM ANÁLISE</v>
      </c>
      <c r="D93" t="str">
        <f>_xlfn.XLOOKUP(A93,tblVendas[[#This Row],[NR_SIMULACAO]],tblVendas[[#This Row],[MES]],"")</f>
        <v>Junho</v>
      </c>
      <c r="E93">
        <f>SUM(_xlfn.XLOOKUP(tblCalculo[[#This Row],[NR_SIMULACAO]],tblVendas[[#This Row],[NR_SIMULACAO]],tblVendas[[#This Row],[VALOR_MOVEL]],""):_xlfn.XLOOKUP(tblCalculo[[#This Row],[NR_SIMULACAO]],tblVendas[[#This Row],[NR_SIMULACAO]],tblVendas[[#This Row],[VALOR_APARELHO]],""))</f>
        <v>18773.79</v>
      </c>
      <c r="F93">
        <f>IF(tblCalculo[[#This Row],[STATUS]]="CONCLUÍDO",_xlfn.XLOOKUP(tblCalculo[[#This Row],[NR_SIMULACAO]],tblVendas[[#This Row],[NR_SIMULACAO]],tblVendas[[#This Row],[VALOR_MOVEL]],""),0)</f>
        <v>0</v>
      </c>
      <c r="G93">
        <f>IF(tblCalculo[[#This Row],[STATUS]]="CONCLUÍDO",_xlfn.XLOOKUP(tblCalculo[[#This Row],[NR_SIMULACAO]],tblVendas[[#This Row],[NR_SIMULACAO]],tblVendas[[#This Row],[VALOR_AVANCADO]],""),0)</f>
        <v>0</v>
      </c>
      <c r="H93">
        <f>IF(tblCalculo[[#This Row],[STATUS]]="CONCLUÍDO",_xlfn.XLOOKUP(tblCalculo[[#This Row],[NR_SIMULACAO]],tblVendas[[#This Row],[NR_SIMULACAO]],tblVendas[[#This Row],[VALOR_FIXABASICA]],""),0)</f>
        <v>0</v>
      </c>
      <c r="I93">
        <f>IF(tblCalculo[[#This Row],[STATUS]]="CONCLUÍDO",_xlfn.XLOOKUP(tblCalculo[[#This Row],[NR_SIMULACAO]],tblVendas[[#This Row],[NR_SIMULACAO]],tblVendas[[#This Row],[VALOR_TI]],""),0)</f>
        <v>0</v>
      </c>
      <c r="J93">
        <f>IF(tblCalculo[[#This Row],[STATUS]]="CONCLUÍDO",_xlfn.XLOOKUP(tblCalculo[[#This Row],[NR_SIMULACAO]],tblVendas[[#This Row],[NR_SIMULACAO]],tblVendas[[#This Row],[VALOR_APARELHO]],""),0)</f>
        <v>0</v>
      </c>
      <c r="K93" t="str">
        <f>IF(tblCalculo[[#This Row],[STATUS]]="NEGOCIANDO",tblCalculo[[#This Row],[VALOR_TOTAL]],"")</f>
        <v/>
      </c>
      <c r="L93" t="str">
        <f>IF(tblCalculo[[#This Row],[STATUS]]="ALÇADA",tblCalculo[[#This Row],[VALOR_TOTAL]],"")</f>
        <v/>
      </c>
      <c r="M93">
        <f>IF(tblCalculo[[#This Row],[STATUS]]="EM ANÁLISE",tblCalculo[[#This Row],[VALOR_TOTAL]],"")</f>
        <v>18773.79</v>
      </c>
      <c r="N93" t="str">
        <f>IF(tblCalculo[[#This Row],[STATUS]]="TRAMITANDO",tblCalculo[[#This Row],[VALOR_TOTAL]],"")</f>
        <v/>
      </c>
      <c r="O93" t="str">
        <f>IF(tblCalculo[[#This Row],[STATUS]]="PERDIDO",tblCalculo[[#This Row],[VALOR_TOTAL]],"")</f>
        <v/>
      </c>
      <c r="P93" t="str">
        <f>IF(tblCalculo[[#This Row],[STATUS]]="CONCLUÍDO",tblCalculo[[#This Row],[VALOR_TOTAL]],"")</f>
        <v/>
      </c>
    </row>
    <row r="94" spans="1:16" x14ac:dyDescent="0.25">
      <c r="A94" t="str">
        <f>tblVendas[[#This Row],[NR_SIMULACAO]]</f>
        <v>SIM1084</v>
      </c>
      <c r="B94" s="34" t="str">
        <f>_xlfn.XLOOKUP(A94,tblVendas[[#This Row],[NR_SIMULACAO]],tblVendas[[#This Row],[NR_CNPJ]],"")</f>
        <v>83.809.679/0001-29</v>
      </c>
      <c r="C94" t="str">
        <f>_xlfn.XLOOKUP(A94,tblVendas[[#This Row],[NR_SIMULACAO]],tblVendas[[#This Row],[STATUS]],"")</f>
        <v>EM ANÁLISE</v>
      </c>
      <c r="D94" t="str">
        <f>_xlfn.XLOOKUP(A94,tblVendas[[#This Row],[NR_SIMULACAO]],tblVendas[[#This Row],[MES]],"")</f>
        <v>Agosto</v>
      </c>
      <c r="E94">
        <f>SUM(_xlfn.XLOOKUP(tblCalculo[[#This Row],[NR_SIMULACAO]],tblVendas[[#This Row],[NR_SIMULACAO]],tblVendas[[#This Row],[VALOR_MOVEL]],""):_xlfn.XLOOKUP(tblCalculo[[#This Row],[NR_SIMULACAO]],tblVendas[[#This Row],[NR_SIMULACAO]],tblVendas[[#This Row],[VALOR_APARELHO]],""))</f>
        <v>16751.46</v>
      </c>
      <c r="F94">
        <f>IF(tblCalculo[[#This Row],[STATUS]]="CONCLUÍDO",_xlfn.XLOOKUP(tblCalculo[[#This Row],[NR_SIMULACAO]],tblVendas[[#This Row],[NR_SIMULACAO]],tblVendas[[#This Row],[VALOR_MOVEL]],""),0)</f>
        <v>0</v>
      </c>
      <c r="G94">
        <f>IF(tblCalculo[[#This Row],[STATUS]]="CONCLUÍDO",_xlfn.XLOOKUP(tblCalculo[[#This Row],[NR_SIMULACAO]],tblVendas[[#This Row],[NR_SIMULACAO]],tblVendas[[#This Row],[VALOR_AVANCADO]],""),0)</f>
        <v>0</v>
      </c>
      <c r="H94">
        <f>IF(tblCalculo[[#This Row],[STATUS]]="CONCLUÍDO",_xlfn.XLOOKUP(tblCalculo[[#This Row],[NR_SIMULACAO]],tblVendas[[#This Row],[NR_SIMULACAO]],tblVendas[[#This Row],[VALOR_FIXABASICA]],""),0)</f>
        <v>0</v>
      </c>
      <c r="I94">
        <f>IF(tblCalculo[[#This Row],[STATUS]]="CONCLUÍDO",_xlfn.XLOOKUP(tblCalculo[[#This Row],[NR_SIMULACAO]],tblVendas[[#This Row],[NR_SIMULACAO]],tblVendas[[#This Row],[VALOR_TI]],""),0)</f>
        <v>0</v>
      </c>
      <c r="J94">
        <f>IF(tblCalculo[[#This Row],[STATUS]]="CONCLUÍDO",_xlfn.XLOOKUP(tblCalculo[[#This Row],[NR_SIMULACAO]],tblVendas[[#This Row],[NR_SIMULACAO]],tblVendas[[#This Row],[VALOR_APARELHO]],""),0)</f>
        <v>0</v>
      </c>
      <c r="K94" t="str">
        <f>IF(tblCalculo[[#This Row],[STATUS]]="NEGOCIANDO",tblCalculo[[#This Row],[VALOR_TOTAL]],"")</f>
        <v/>
      </c>
      <c r="L94" t="str">
        <f>IF(tblCalculo[[#This Row],[STATUS]]="ALÇADA",tblCalculo[[#This Row],[VALOR_TOTAL]],"")</f>
        <v/>
      </c>
      <c r="M94">
        <f>IF(tblCalculo[[#This Row],[STATUS]]="EM ANÁLISE",tblCalculo[[#This Row],[VALOR_TOTAL]],"")</f>
        <v>16751.46</v>
      </c>
      <c r="N94" t="str">
        <f>IF(tblCalculo[[#This Row],[STATUS]]="TRAMITANDO",tblCalculo[[#This Row],[VALOR_TOTAL]],"")</f>
        <v/>
      </c>
      <c r="O94" t="str">
        <f>IF(tblCalculo[[#This Row],[STATUS]]="PERDIDO",tblCalculo[[#This Row],[VALOR_TOTAL]],"")</f>
        <v/>
      </c>
      <c r="P94" t="str">
        <f>IF(tblCalculo[[#This Row],[STATUS]]="CONCLUÍDO",tblCalculo[[#This Row],[VALOR_TOTAL]],"")</f>
        <v/>
      </c>
    </row>
    <row r="95" spans="1:16" x14ac:dyDescent="0.25">
      <c r="A95" t="str">
        <f>tblVendas[[#This Row],[NR_SIMULACAO]]</f>
        <v>SIM1085</v>
      </c>
      <c r="B95" s="34" t="str">
        <f>_xlfn.XLOOKUP(A95,tblVendas[[#This Row],[NR_SIMULACAO]],tblVendas[[#This Row],[NR_CNPJ]],"")</f>
        <v>12.174.572/0001-71</v>
      </c>
      <c r="C95" t="str">
        <f>_xlfn.XLOOKUP(A95,tblVendas[[#This Row],[NR_SIMULACAO]],tblVendas[[#This Row],[STATUS]],"")</f>
        <v>TRAMITANDO</v>
      </c>
      <c r="D95" t="str">
        <f>_xlfn.XLOOKUP(A95,tblVendas[[#This Row],[NR_SIMULACAO]],tblVendas[[#This Row],[MES]],"")</f>
        <v>Dezembro</v>
      </c>
      <c r="E95">
        <f>SUM(_xlfn.XLOOKUP(tblCalculo[[#This Row],[NR_SIMULACAO]],tblVendas[[#This Row],[NR_SIMULACAO]],tblVendas[[#This Row],[VALOR_MOVEL]],""):_xlfn.XLOOKUP(tblCalculo[[#This Row],[NR_SIMULACAO]],tblVendas[[#This Row],[NR_SIMULACAO]],tblVendas[[#This Row],[VALOR_APARELHO]],""))</f>
        <v>4612.88</v>
      </c>
      <c r="F95">
        <f>IF(tblCalculo[[#This Row],[STATUS]]="CONCLUÍDO",_xlfn.XLOOKUP(tblCalculo[[#This Row],[NR_SIMULACAO]],tblVendas[[#This Row],[NR_SIMULACAO]],tblVendas[[#This Row],[VALOR_MOVEL]],""),0)</f>
        <v>0</v>
      </c>
      <c r="G95">
        <f>IF(tblCalculo[[#This Row],[STATUS]]="CONCLUÍDO",_xlfn.XLOOKUP(tblCalculo[[#This Row],[NR_SIMULACAO]],tblVendas[[#This Row],[NR_SIMULACAO]],tblVendas[[#This Row],[VALOR_AVANCADO]],""),0)</f>
        <v>0</v>
      </c>
      <c r="H95">
        <f>IF(tblCalculo[[#This Row],[STATUS]]="CONCLUÍDO",_xlfn.XLOOKUP(tblCalculo[[#This Row],[NR_SIMULACAO]],tblVendas[[#This Row],[NR_SIMULACAO]],tblVendas[[#This Row],[VALOR_FIXABASICA]],""),0)</f>
        <v>0</v>
      </c>
      <c r="I95">
        <f>IF(tblCalculo[[#This Row],[STATUS]]="CONCLUÍDO",_xlfn.XLOOKUP(tblCalculo[[#This Row],[NR_SIMULACAO]],tblVendas[[#This Row],[NR_SIMULACAO]],tblVendas[[#This Row],[VALOR_TI]],""),0)</f>
        <v>0</v>
      </c>
      <c r="J95">
        <f>IF(tblCalculo[[#This Row],[STATUS]]="CONCLUÍDO",_xlfn.XLOOKUP(tblCalculo[[#This Row],[NR_SIMULACAO]],tblVendas[[#This Row],[NR_SIMULACAO]],tblVendas[[#This Row],[VALOR_APARELHO]],""),0)</f>
        <v>0</v>
      </c>
      <c r="K95" t="str">
        <f>IF(tblCalculo[[#This Row],[STATUS]]="NEGOCIANDO",tblCalculo[[#This Row],[VALOR_TOTAL]],"")</f>
        <v/>
      </c>
      <c r="L95" t="str">
        <f>IF(tblCalculo[[#This Row],[STATUS]]="ALÇADA",tblCalculo[[#This Row],[VALOR_TOTAL]],"")</f>
        <v/>
      </c>
      <c r="M95" t="str">
        <f>IF(tblCalculo[[#This Row],[STATUS]]="EM ANÁLISE",tblCalculo[[#This Row],[VALOR_TOTAL]],"")</f>
        <v/>
      </c>
      <c r="N95">
        <f>IF(tblCalculo[[#This Row],[STATUS]]="TRAMITANDO",tblCalculo[[#This Row],[VALOR_TOTAL]],"")</f>
        <v>4612.88</v>
      </c>
      <c r="O95" t="str">
        <f>IF(tblCalculo[[#This Row],[STATUS]]="PERDIDO",tblCalculo[[#This Row],[VALOR_TOTAL]],"")</f>
        <v/>
      </c>
      <c r="P95" t="str">
        <f>IF(tblCalculo[[#This Row],[STATUS]]="CONCLUÍDO",tblCalculo[[#This Row],[VALOR_TOTAL]],"")</f>
        <v/>
      </c>
    </row>
    <row r="96" spans="1:16" x14ac:dyDescent="0.25">
      <c r="A96" t="str">
        <f>tblVendas[[#This Row],[NR_SIMULACAO]]</f>
        <v>SIM1086</v>
      </c>
      <c r="B96" s="34" t="str">
        <f>_xlfn.XLOOKUP(A96,tblVendas[[#This Row],[NR_SIMULACAO]],tblVendas[[#This Row],[NR_CNPJ]],"")</f>
        <v>39.400.131/0001-48</v>
      </c>
      <c r="C96" t="str">
        <f>_xlfn.XLOOKUP(A96,tblVendas[[#This Row],[NR_SIMULACAO]],tblVendas[[#This Row],[STATUS]],"")</f>
        <v>PERDIDO</v>
      </c>
      <c r="D96" t="str">
        <f>_xlfn.XLOOKUP(A96,tblVendas[[#This Row],[NR_SIMULACAO]],tblVendas[[#This Row],[MES]],"")</f>
        <v>Maio</v>
      </c>
      <c r="E96">
        <f>SUM(_xlfn.XLOOKUP(tblCalculo[[#This Row],[NR_SIMULACAO]],tblVendas[[#This Row],[NR_SIMULACAO]],tblVendas[[#This Row],[VALOR_MOVEL]],""):_xlfn.XLOOKUP(tblCalculo[[#This Row],[NR_SIMULACAO]],tblVendas[[#This Row],[NR_SIMULACAO]],tblVendas[[#This Row],[VALOR_APARELHO]],""))</f>
        <v>6311.79</v>
      </c>
      <c r="F96">
        <f>IF(tblCalculo[[#This Row],[STATUS]]="CONCLUÍDO",_xlfn.XLOOKUP(tblCalculo[[#This Row],[NR_SIMULACAO]],tblVendas[[#This Row],[NR_SIMULACAO]],tblVendas[[#This Row],[VALOR_MOVEL]],""),0)</f>
        <v>0</v>
      </c>
      <c r="G96">
        <f>IF(tblCalculo[[#This Row],[STATUS]]="CONCLUÍDO",_xlfn.XLOOKUP(tblCalculo[[#This Row],[NR_SIMULACAO]],tblVendas[[#This Row],[NR_SIMULACAO]],tblVendas[[#This Row],[VALOR_AVANCADO]],""),0)</f>
        <v>0</v>
      </c>
      <c r="H96">
        <f>IF(tblCalculo[[#This Row],[STATUS]]="CONCLUÍDO",_xlfn.XLOOKUP(tblCalculo[[#This Row],[NR_SIMULACAO]],tblVendas[[#This Row],[NR_SIMULACAO]],tblVendas[[#This Row],[VALOR_FIXABASICA]],""),0)</f>
        <v>0</v>
      </c>
      <c r="I96">
        <f>IF(tblCalculo[[#This Row],[STATUS]]="CONCLUÍDO",_xlfn.XLOOKUP(tblCalculo[[#This Row],[NR_SIMULACAO]],tblVendas[[#This Row],[NR_SIMULACAO]],tblVendas[[#This Row],[VALOR_TI]],""),0)</f>
        <v>0</v>
      </c>
      <c r="J96">
        <f>IF(tblCalculo[[#This Row],[STATUS]]="CONCLUÍDO",_xlfn.XLOOKUP(tblCalculo[[#This Row],[NR_SIMULACAO]],tblVendas[[#This Row],[NR_SIMULACAO]],tblVendas[[#This Row],[VALOR_APARELHO]],""),0)</f>
        <v>0</v>
      </c>
      <c r="K96" t="str">
        <f>IF(tblCalculo[[#This Row],[STATUS]]="NEGOCIANDO",tblCalculo[[#This Row],[VALOR_TOTAL]],"")</f>
        <v/>
      </c>
      <c r="L96" t="str">
        <f>IF(tblCalculo[[#This Row],[STATUS]]="ALÇADA",tblCalculo[[#This Row],[VALOR_TOTAL]],"")</f>
        <v/>
      </c>
      <c r="M96" t="str">
        <f>IF(tblCalculo[[#This Row],[STATUS]]="EM ANÁLISE",tblCalculo[[#This Row],[VALOR_TOTAL]],"")</f>
        <v/>
      </c>
      <c r="N96" t="str">
        <f>IF(tblCalculo[[#This Row],[STATUS]]="TRAMITANDO",tblCalculo[[#This Row],[VALOR_TOTAL]],"")</f>
        <v/>
      </c>
      <c r="O96">
        <f>IF(tblCalculo[[#This Row],[STATUS]]="PERDIDO",tblCalculo[[#This Row],[VALOR_TOTAL]],"")</f>
        <v>6311.79</v>
      </c>
      <c r="P96" t="str">
        <f>IF(tblCalculo[[#This Row],[STATUS]]="CONCLUÍDO",tblCalculo[[#This Row],[VALOR_TOTAL]],"")</f>
        <v/>
      </c>
    </row>
    <row r="97" spans="1:16" x14ac:dyDescent="0.25">
      <c r="A97" t="str">
        <f>tblVendas[[#This Row],[NR_SIMULACAO]]</f>
        <v>SIM1087</v>
      </c>
      <c r="B97" s="34" t="str">
        <f>_xlfn.XLOOKUP(A97,tblVendas[[#This Row],[NR_SIMULACAO]],tblVendas[[#This Row],[NR_CNPJ]],"")</f>
        <v>17.653.334/0001-98</v>
      </c>
      <c r="C97" t="str">
        <f>_xlfn.XLOOKUP(A97,tblVendas[[#This Row],[NR_SIMULACAO]],tblVendas[[#This Row],[STATUS]],"")</f>
        <v>CONCLUÍDO</v>
      </c>
      <c r="D97" t="str">
        <f>_xlfn.XLOOKUP(A97,tblVendas[[#This Row],[NR_SIMULACAO]],tblVendas[[#This Row],[MES]],"")</f>
        <v>Abril</v>
      </c>
      <c r="E97">
        <f>SUM(_xlfn.XLOOKUP(tblCalculo[[#This Row],[NR_SIMULACAO]],tblVendas[[#This Row],[NR_SIMULACAO]],tblVendas[[#This Row],[VALOR_MOVEL]],""):_xlfn.XLOOKUP(tblCalculo[[#This Row],[NR_SIMULACAO]],tblVendas[[#This Row],[NR_SIMULACAO]],tblVendas[[#This Row],[VALOR_APARELHO]],""))</f>
        <v>16231.8</v>
      </c>
      <c r="F97">
        <f>IF(tblCalculo[[#This Row],[STATUS]]="CONCLUÍDO",_xlfn.XLOOKUP(tblCalculo[[#This Row],[NR_SIMULACAO]],tblVendas[[#This Row],[NR_SIMULACAO]],tblVendas[[#This Row],[VALOR_MOVEL]],""),0)</f>
        <v>0</v>
      </c>
      <c r="G97">
        <f>IF(tblCalculo[[#This Row],[STATUS]]="CONCLUÍDO",_xlfn.XLOOKUP(tblCalculo[[#This Row],[NR_SIMULACAO]],tblVendas[[#This Row],[NR_SIMULACAO]],tblVendas[[#This Row],[VALOR_AVANCADO]],""),0)</f>
        <v>3535.29</v>
      </c>
      <c r="H97">
        <f>IF(tblCalculo[[#This Row],[STATUS]]="CONCLUÍDO",_xlfn.XLOOKUP(tblCalculo[[#This Row],[NR_SIMULACAO]],tblVendas[[#This Row],[NR_SIMULACAO]],tblVendas[[#This Row],[VALOR_FIXABASICA]],""),0)</f>
        <v>624.95000000000005</v>
      </c>
      <c r="I97">
        <f>IF(tblCalculo[[#This Row],[STATUS]]="CONCLUÍDO",_xlfn.XLOOKUP(tblCalculo[[#This Row],[NR_SIMULACAO]],tblVendas[[#This Row],[NR_SIMULACAO]],tblVendas[[#This Row],[VALOR_TI]],""),0)</f>
        <v>0</v>
      </c>
      <c r="J97">
        <f>IF(tblCalculo[[#This Row],[STATUS]]="CONCLUÍDO",_xlfn.XLOOKUP(tblCalculo[[#This Row],[NR_SIMULACAO]],tblVendas[[#This Row],[NR_SIMULACAO]],tblVendas[[#This Row],[VALOR_APARELHO]],""),0)</f>
        <v>12071.56</v>
      </c>
      <c r="K97" t="str">
        <f>IF(tblCalculo[[#This Row],[STATUS]]="NEGOCIANDO",tblCalculo[[#This Row],[VALOR_TOTAL]],"")</f>
        <v/>
      </c>
      <c r="L97" t="str">
        <f>IF(tblCalculo[[#This Row],[STATUS]]="ALÇADA",tblCalculo[[#This Row],[VALOR_TOTAL]],"")</f>
        <v/>
      </c>
      <c r="M97" t="str">
        <f>IF(tblCalculo[[#This Row],[STATUS]]="EM ANÁLISE",tblCalculo[[#This Row],[VALOR_TOTAL]],"")</f>
        <v/>
      </c>
      <c r="N97" t="str">
        <f>IF(tblCalculo[[#This Row],[STATUS]]="TRAMITANDO",tblCalculo[[#This Row],[VALOR_TOTAL]],"")</f>
        <v/>
      </c>
      <c r="O97" t="str">
        <f>IF(tblCalculo[[#This Row],[STATUS]]="PERDIDO",tblCalculo[[#This Row],[VALOR_TOTAL]],"")</f>
        <v/>
      </c>
      <c r="P97">
        <f>IF(tblCalculo[[#This Row],[STATUS]]="CONCLUÍDO",tblCalculo[[#This Row],[VALOR_TOTAL]],"")</f>
        <v>16231.8</v>
      </c>
    </row>
    <row r="98" spans="1:16" x14ac:dyDescent="0.25">
      <c r="A98" t="str">
        <f>tblVendas[[#This Row],[NR_SIMULACAO]]</f>
        <v>SIM1088</v>
      </c>
      <c r="B98" s="34" t="str">
        <f>_xlfn.XLOOKUP(A98,tblVendas[[#This Row],[NR_SIMULACAO]],tblVendas[[#This Row],[NR_CNPJ]],"")</f>
        <v>42.156.726/0001-86</v>
      </c>
      <c r="C98" t="str">
        <f>_xlfn.XLOOKUP(A98,tblVendas[[#This Row],[NR_SIMULACAO]],tblVendas[[#This Row],[STATUS]],"")</f>
        <v>TRAMITANDO</v>
      </c>
      <c r="D98" t="str">
        <f>_xlfn.XLOOKUP(A98,tblVendas[[#This Row],[NR_SIMULACAO]],tblVendas[[#This Row],[MES]],"")</f>
        <v>Novembro</v>
      </c>
      <c r="E98">
        <f>SUM(_xlfn.XLOOKUP(tblCalculo[[#This Row],[NR_SIMULACAO]],tblVendas[[#This Row],[NR_SIMULACAO]],tblVendas[[#This Row],[VALOR_MOVEL]],""):_xlfn.XLOOKUP(tblCalculo[[#This Row],[NR_SIMULACAO]],tblVendas[[#This Row],[NR_SIMULACAO]],tblVendas[[#This Row],[VALOR_APARELHO]],""))</f>
        <v>4789.29</v>
      </c>
      <c r="F98">
        <f>IF(tblCalculo[[#This Row],[STATUS]]="CONCLUÍDO",_xlfn.XLOOKUP(tblCalculo[[#This Row],[NR_SIMULACAO]],tblVendas[[#This Row],[NR_SIMULACAO]],tblVendas[[#This Row],[VALOR_MOVEL]],""),0)</f>
        <v>0</v>
      </c>
      <c r="G98">
        <f>IF(tblCalculo[[#This Row],[STATUS]]="CONCLUÍDO",_xlfn.XLOOKUP(tblCalculo[[#This Row],[NR_SIMULACAO]],tblVendas[[#This Row],[NR_SIMULACAO]],tblVendas[[#This Row],[VALOR_AVANCADO]],""),0)</f>
        <v>0</v>
      </c>
      <c r="H98">
        <f>IF(tblCalculo[[#This Row],[STATUS]]="CONCLUÍDO",_xlfn.XLOOKUP(tblCalculo[[#This Row],[NR_SIMULACAO]],tblVendas[[#This Row],[NR_SIMULACAO]],tblVendas[[#This Row],[VALOR_FIXABASICA]],""),0)</f>
        <v>0</v>
      </c>
      <c r="I98">
        <f>IF(tblCalculo[[#This Row],[STATUS]]="CONCLUÍDO",_xlfn.XLOOKUP(tblCalculo[[#This Row],[NR_SIMULACAO]],tblVendas[[#This Row],[NR_SIMULACAO]],tblVendas[[#This Row],[VALOR_TI]],""),0)</f>
        <v>0</v>
      </c>
      <c r="J98">
        <f>IF(tblCalculo[[#This Row],[STATUS]]="CONCLUÍDO",_xlfn.XLOOKUP(tblCalculo[[#This Row],[NR_SIMULACAO]],tblVendas[[#This Row],[NR_SIMULACAO]],tblVendas[[#This Row],[VALOR_APARELHO]],""),0)</f>
        <v>0</v>
      </c>
      <c r="K98" t="str">
        <f>IF(tblCalculo[[#This Row],[STATUS]]="NEGOCIANDO",tblCalculo[[#This Row],[VALOR_TOTAL]],"")</f>
        <v/>
      </c>
      <c r="L98" t="str">
        <f>IF(tblCalculo[[#This Row],[STATUS]]="ALÇADA",tblCalculo[[#This Row],[VALOR_TOTAL]],"")</f>
        <v/>
      </c>
      <c r="M98" t="str">
        <f>IF(tblCalculo[[#This Row],[STATUS]]="EM ANÁLISE",tblCalculo[[#This Row],[VALOR_TOTAL]],"")</f>
        <v/>
      </c>
      <c r="N98">
        <f>IF(tblCalculo[[#This Row],[STATUS]]="TRAMITANDO",tblCalculo[[#This Row],[VALOR_TOTAL]],"")</f>
        <v>4789.29</v>
      </c>
      <c r="O98" t="str">
        <f>IF(tblCalculo[[#This Row],[STATUS]]="PERDIDO",tblCalculo[[#This Row],[VALOR_TOTAL]],"")</f>
        <v/>
      </c>
      <c r="P98" t="str">
        <f>IF(tblCalculo[[#This Row],[STATUS]]="CONCLUÍDO",tblCalculo[[#This Row],[VALOR_TOTAL]],"")</f>
        <v/>
      </c>
    </row>
    <row r="99" spans="1:16" x14ac:dyDescent="0.25">
      <c r="A99" t="str">
        <f>tblVendas[[#This Row],[NR_SIMULACAO]]</f>
        <v>SIM1089</v>
      </c>
      <c r="B99" s="34" t="str">
        <f>_xlfn.XLOOKUP(A99,tblVendas[[#This Row],[NR_SIMULACAO]],tblVendas[[#This Row],[NR_CNPJ]],"")</f>
        <v>69.490.543/0001-49</v>
      </c>
      <c r="C99" t="str">
        <f>_xlfn.XLOOKUP(A99,tblVendas[[#This Row],[NR_SIMULACAO]],tblVendas[[#This Row],[STATUS]],"")</f>
        <v>PERDIDO</v>
      </c>
      <c r="D99" t="str">
        <f>_xlfn.XLOOKUP(A99,tblVendas[[#This Row],[NR_SIMULACAO]],tblVendas[[#This Row],[MES]],"")</f>
        <v>Maio</v>
      </c>
      <c r="E99">
        <f>SUM(_xlfn.XLOOKUP(tblCalculo[[#This Row],[NR_SIMULACAO]],tblVendas[[#This Row],[NR_SIMULACAO]],tblVendas[[#This Row],[VALOR_MOVEL]],""):_xlfn.XLOOKUP(tblCalculo[[#This Row],[NR_SIMULACAO]],tblVendas[[#This Row],[NR_SIMULACAO]],tblVendas[[#This Row],[VALOR_APARELHO]],""))</f>
        <v>8344.5300000000007</v>
      </c>
      <c r="F99">
        <f>IF(tblCalculo[[#This Row],[STATUS]]="CONCLUÍDO",_xlfn.XLOOKUP(tblCalculo[[#This Row],[NR_SIMULACAO]],tblVendas[[#This Row],[NR_SIMULACAO]],tblVendas[[#This Row],[VALOR_MOVEL]],""),0)</f>
        <v>0</v>
      </c>
      <c r="G99">
        <f>IF(tblCalculo[[#This Row],[STATUS]]="CONCLUÍDO",_xlfn.XLOOKUP(tblCalculo[[#This Row],[NR_SIMULACAO]],tblVendas[[#This Row],[NR_SIMULACAO]],tblVendas[[#This Row],[VALOR_AVANCADO]],""),0)</f>
        <v>0</v>
      </c>
      <c r="H99">
        <f>IF(tblCalculo[[#This Row],[STATUS]]="CONCLUÍDO",_xlfn.XLOOKUP(tblCalculo[[#This Row],[NR_SIMULACAO]],tblVendas[[#This Row],[NR_SIMULACAO]],tblVendas[[#This Row],[VALOR_FIXABASICA]],""),0)</f>
        <v>0</v>
      </c>
      <c r="I99">
        <f>IF(tblCalculo[[#This Row],[STATUS]]="CONCLUÍDO",_xlfn.XLOOKUP(tblCalculo[[#This Row],[NR_SIMULACAO]],tblVendas[[#This Row],[NR_SIMULACAO]],tblVendas[[#This Row],[VALOR_TI]],""),0)</f>
        <v>0</v>
      </c>
      <c r="J99">
        <f>IF(tblCalculo[[#This Row],[STATUS]]="CONCLUÍDO",_xlfn.XLOOKUP(tblCalculo[[#This Row],[NR_SIMULACAO]],tblVendas[[#This Row],[NR_SIMULACAO]],tblVendas[[#This Row],[VALOR_APARELHO]],""),0)</f>
        <v>0</v>
      </c>
      <c r="K99" t="str">
        <f>IF(tblCalculo[[#This Row],[STATUS]]="NEGOCIANDO",tblCalculo[[#This Row],[VALOR_TOTAL]],"")</f>
        <v/>
      </c>
      <c r="L99" t="str">
        <f>IF(tblCalculo[[#This Row],[STATUS]]="ALÇADA",tblCalculo[[#This Row],[VALOR_TOTAL]],"")</f>
        <v/>
      </c>
      <c r="M99" t="str">
        <f>IF(tblCalculo[[#This Row],[STATUS]]="EM ANÁLISE",tblCalculo[[#This Row],[VALOR_TOTAL]],"")</f>
        <v/>
      </c>
      <c r="N99" t="str">
        <f>IF(tblCalculo[[#This Row],[STATUS]]="TRAMITANDO",tblCalculo[[#This Row],[VALOR_TOTAL]],"")</f>
        <v/>
      </c>
      <c r="O99">
        <f>IF(tblCalculo[[#This Row],[STATUS]]="PERDIDO",tblCalculo[[#This Row],[VALOR_TOTAL]],"")</f>
        <v>8344.5300000000007</v>
      </c>
      <c r="P99" t="str">
        <f>IF(tblCalculo[[#This Row],[STATUS]]="CONCLUÍDO",tblCalculo[[#This Row],[VALOR_TOTAL]],"")</f>
        <v/>
      </c>
    </row>
    <row r="100" spans="1:16" x14ac:dyDescent="0.25">
      <c r="A100" t="str">
        <f>tblVendas[[#This Row],[NR_SIMULACAO]]</f>
        <v>SIM1090</v>
      </c>
      <c r="B100" s="34" t="str">
        <f>_xlfn.XLOOKUP(A100,tblVendas[[#This Row],[NR_SIMULACAO]],tblVendas[[#This Row],[NR_CNPJ]],"")</f>
        <v>21.866.513/0001-92</v>
      </c>
      <c r="C100" t="str">
        <f>_xlfn.XLOOKUP(A100,tblVendas[[#This Row],[NR_SIMULACAO]],tblVendas[[#This Row],[STATUS]],"")</f>
        <v>EM ANÁLISE</v>
      </c>
      <c r="D100" t="str">
        <f>_xlfn.XLOOKUP(A100,tblVendas[[#This Row],[NR_SIMULACAO]],tblVendas[[#This Row],[MES]],"")</f>
        <v>Agosto</v>
      </c>
      <c r="E100">
        <f>SUM(_xlfn.XLOOKUP(tblCalculo[[#This Row],[NR_SIMULACAO]],tblVendas[[#This Row],[NR_SIMULACAO]],tblVendas[[#This Row],[VALOR_MOVEL]],""):_xlfn.XLOOKUP(tblCalculo[[#This Row],[NR_SIMULACAO]],tblVendas[[#This Row],[NR_SIMULACAO]],tblVendas[[#This Row],[VALOR_APARELHO]],""))</f>
        <v>13546.36</v>
      </c>
      <c r="F100">
        <f>IF(tblCalculo[[#This Row],[STATUS]]="CONCLUÍDO",_xlfn.XLOOKUP(tblCalculo[[#This Row],[NR_SIMULACAO]],tblVendas[[#This Row],[NR_SIMULACAO]],tblVendas[[#This Row],[VALOR_MOVEL]],""),0)</f>
        <v>0</v>
      </c>
      <c r="G100">
        <f>IF(tblCalculo[[#This Row],[STATUS]]="CONCLUÍDO",_xlfn.XLOOKUP(tblCalculo[[#This Row],[NR_SIMULACAO]],tblVendas[[#This Row],[NR_SIMULACAO]],tblVendas[[#This Row],[VALOR_AVANCADO]],""),0)</f>
        <v>0</v>
      </c>
      <c r="H100">
        <f>IF(tblCalculo[[#This Row],[STATUS]]="CONCLUÍDO",_xlfn.XLOOKUP(tblCalculo[[#This Row],[NR_SIMULACAO]],tblVendas[[#This Row],[NR_SIMULACAO]],tblVendas[[#This Row],[VALOR_FIXABASICA]],""),0)</f>
        <v>0</v>
      </c>
      <c r="I100">
        <f>IF(tblCalculo[[#This Row],[STATUS]]="CONCLUÍDO",_xlfn.XLOOKUP(tblCalculo[[#This Row],[NR_SIMULACAO]],tblVendas[[#This Row],[NR_SIMULACAO]],tblVendas[[#This Row],[VALOR_TI]],""),0)</f>
        <v>0</v>
      </c>
      <c r="J100">
        <f>IF(tblCalculo[[#This Row],[STATUS]]="CONCLUÍDO",_xlfn.XLOOKUP(tblCalculo[[#This Row],[NR_SIMULACAO]],tblVendas[[#This Row],[NR_SIMULACAO]],tblVendas[[#This Row],[VALOR_APARELHO]],""),0)</f>
        <v>0</v>
      </c>
      <c r="K100" t="str">
        <f>IF(tblCalculo[[#This Row],[STATUS]]="NEGOCIANDO",tblCalculo[[#This Row],[VALOR_TOTAL]],"")</f>
        <v/>
      </c>
      <c r="L100" t="str">
        <f>IF(tblCalculo[[#This Row],[STATUS]]="ALÇADA",tblCalculo[[#This Row],[VALOR_TOTAL]],"")</f>
        <v/>
      </c>
      <c r="M100">
        <f>IF(tblCalculo[[#This Row],[STATUS]]="EM ANÁLISE",tblCalculo[[#This Row],[VALOR_TOTAL]],"")</f>
        <v>13546.36</v>
      </c>
      <c r="N100" t="str">
        <f>IF(tblCalculo[[#This Row],[STATUS]]="TRAMITANDO",tblCalculo[[#This Row],[VALOR_TOTAL]],"")</f>
        <v/>
      </c>
      <c r="O100" t="str">
        <f>IF(tblCalculo[[#This Row],[STATUS]]="PERDIDO",tblCalculo[[#This Row],[VALOR_TOTAL]],"")</f>
        <v/>
      </c>
      <c r="P100" t="str">
        <f>IF(tblCalculo[[#This Row],[STATUS]]="CONCLUÍDO",tblCalculo[[#This Row],[VALOR_TOTAL]],"")</f>
        <v/>
      </c>
    </row>
    <row r="101" spans="1:16" x14ac:dyDescent="0.25">
      <c r="A101" t="str">
        <f>tblVendas[[#This Row],[NR_SIMULACAO]]</f>
        <v>SIM1091</v>
      </c>
      <c r="B101" s="34" t="str">
        <f>_xlfn.XLOOKUP(A101,tblVendas[[#This Row],[NR_SIMULACAO]],tblVendas[[#This Row],[NR_CNPJ]],"")</f>
        <v>82.335.437/0001-39</v>
      </c>
      <c r="C101" t="str">
        <f>_xlfn.XLOOKUP(A101,tblVendas[[#This Row],[NR_SIMULACAO]],tblVendas[[#This Row],[STATUS]],"")</f>
        <v>EM ANÁLISE</v>
      </c>
      <c r="D101" t="str">
        <f>_xlfn.XLOOKUP(A101,tblVendas[[#This Row],[NR_SIMULACAO]],tblVendas[[#This Row],[MES]],"")</f>
        <v>Abril</v>
      </c>
      <c r="E101">
        <f>SUM(_xlfn.XLOOKUP(tblCalculo[[#This Row],[NR_SIMULACAO]],tblVendas[[#This Row],[NR_SIMULACAO]],tblVendas[[#This Row],[VALOR_MOVEL]],""):_xlfn.XLOOKUP(tblCalculo[[#This Row],[NR_SIMULACAO]],tblVendas[[#This Row],[NR_SIMULACAO]],tblVendas[[#This Row],[VALOR_APARELHO]],""))</f>
        <v>888.23</v>
      </c>
      <c r="F101">
        <f>IF(tblCalculo[[#This Row],[STATUS]]="CONCLUÍDO",_xlfn.XLOOKUP(tblCalculo[[#This Row],[NR_SIMULACAO]],tblVendas[[#This Row],[NR_SIMULACAO]],tblVendas[[#This Row],[VALOR_MOVEL]],""),0)</f>
        <v>0</v>
      </c>
      <c r="G101">
        <f>IF(tblCalculo[[#This Row],[STATUS]]="CONCLUÍDO",_xlfn.XLOOKUP(tblCalculo[[#This Row],[NR_SIMULACAO]],tblVendas[[#This Row],[NR_SIMULACAO]],tblVendas[[#This Row],[VALOR_AVANCADO]],""),0)</f>
        <v>0</v>
      </c>
      <c r="H101">
        <f>IF(tblCalculo[[#This Row],[STATUS]]="CONCLUÍDO",_xlfn.XLOOKUP(tblCalculo[[#This Row],[NR_SIMULACAO]],tblVendas[[#This Row],[NR_SIMULACAO]],tblVendas[[#This Row],[VALOR_FIXABASICA]],""),0)</f>
        <v>0</v>
      </c>
      <c r="I101">
        <f>IF(tblCalculo[[#This Row],[STATUS]]="CONCLUÍDO",_xlfn.XLOOKUP(tblCalculo[[#This Row],[NR_SIMULACAO]],tblVendas[[#This Row],[NR_SIMULACAO]],tblVendas[[#This Row],[VALOR_TI]],""),0)</f>
        <v>0</v>
      </c>
      <c r="J101">
        <f>IF(tblCalculo[[#This Row],[STATUS]]="CONCLUÍDO",_xlfn.XLOOKUP(tblCalculo[[#This Row],[NR_SIMULACAO]],tblVendas[[#This Row],[NR_SIMULACAO]],tblVendas[[#This Row],[VALOR_APARELHO]],""),0)</f>
        <v>0</v>
      </c>
      <c r="K101" t="str">
        <f>IF(tblCalculo[[#This Row],[STATUS]]="NEGOCIANDO",tblCalculo[[#This Row],[VALOR_TOTAL]],"")</f>
        <v/>
      </c>
      <c r="L101" t="str">
        <f>IF(tblCalculo[[#This Row],[STATUS]]="ALÇADA",tblCalculo[[#This Row],[VALOR_TOTAL]],"")</f>
        <v/>
      </c>
      <c r="M101">
        <f>IF(tblCalculo[[#This Row],[STATUS]]="EM ANÁLISE",tblCalculo[[#This Row],[VALOR_TOTAL]],"")</f>
        <v>888.23</v>
      </c>
      <c r="N101" t="str">
        <f>IF(tblCalculo[[#This Row],[STATUS]]="TRAMITANDO",tblCalculo[[#This Row],[VALOR_TOTAL]],"")</f>
        <v/>
      </c>
      <c r="O101" t="str">
        <f>IF(tblCalculo[[#This Row],[STATUS]]="PERDIDO",tblCalculo[[#This Row],[VALOR_TOTAL]],"")</f>
        <v/>
      </c>
      <c r="P101" t="str">
        <f>IF(tblCalculo[[#This Row],[STATUS]]="CONCLUÍDO",tblCalculo[[#This Row],[VALOR_TOTAL]],"")</f>
        <v/>
      </c>
    </row>
    <row r="102" spans="1:16" x14ac:dyDescent="0.25">
      <c r="A102" t="str">
        <f>tblVendas[[#This Row],[NR_SIMULACAO]]</f>
        <v>SIM1092</v>
      </c>
      <c r="B102" s="34" t="str">
        <f>_xlfn.XLOOKUP(A102,tblVendas[[#This Row],[NR_SIMULACAO]],tblVendas[[#This Row],[NR_CNPJ]],"")</f>
        <v>92.788.117/0001-85</v>
      </c>
      <c r="C102" t="str">
        <f>_xlfn.XLOOKUP(A102,tblVendas[[#This Row],[NR_SIMULACAO]],tblVendas[[#This Row],[STATUS]],"")</f>
        <v>PERDIDO</v>
      </c>
      <c r="D102" t="str">
        <f>_xlfn.XLOOKUP(A102,tblVendas[[#This Row],[NR_SIMULACAO]],tblVendas[[#This Row],[MES]],"")</f>
        <v>Novembro</v>
      </c>
      <c r="E102">
        <f>SUM(_xlfn.XLOOKUP(tblCalculo[[#This Row],[NR_SIMULACAO]],tblVendas[[#This Row],[NR_SIMULACAO]],tblVendas[[#This Row],[VALOR_MOVEL]],""):_xlfn.XLOOKUP(tblCalculo[[#This Row],[NR_SIMULACAO]],tblVendas[[#This Row],[NR_SIMULACAO]],tblVendas[[#This Row],[VALOR_APARELHO]],""))</f>
        <v>13046.5</v>
      </c>
      <c r="F102">
        <f>IF(tblCalculo[[#This Row],[STATUS]]="CONCLUÍDO",_xlfn.XLOOKUP(tblCalculo[[#This Row],[NR_SIMULACAO]],tblVendas[[#This Row],[NR_SIMULACAO]],tblVendas[[#This Row],[VALOR_MOVEL]],""),0)</f>
        <v>0</v>
      </c>
      <c r="G102">
        <f>IF(tblCalculo[[#This Row],[STATUS]]="CONCLUÍDO",_xlfn.XLOOKUP(tblCalculo[[#This Row],[NR_SIMULACAO]],tblVendas[[#This Row],[NR_SIMULACAO]],tblVendas[[#This Row],[VALOR_AVANCADO]],""),0)</f>
        <v>0</v>
      </c>
      <c r="H102">
        <f>IF(tblCalculo[[#This Row],[STATUS]]="CONCLUÍDO",_xlfn.XLOOKUP(tblCalculo[[#This Row],[NR_SIMULACAO]],tblVendas[[#This Row],[NR_SIMULACAO]],tblVendas[[#This Row],[VALOR_FIXABASICA]],""),0)</f>
        <v>0</v>
      </c>
      <c r="I102">
        <f>IF(tblCalculo[[#This Row],[STATUS]]="CONCLUÍDO",_xlfn.XLOOKUP(tblCalculo[[#This Row],[NR_SIMULACAO]],tblVendas[[#This Row],[NR_SIMULACAO]],tblVendas[[#This Row],[VALOR_TI]],""),0)</f>
        <v>0</v>
      </c>
      <c r="J102">
        <f>IF(tblCalculo[[#This Row],[STATUS]]="CONCLUÍDO",_xlfn.XLOOKUP(tblCalculo[[#This Row],[NR_SIMULACAO]],tblVendas[[#This Row],[NR_SIMULACAO]],tblVendas[[#This Row],[VALOR_APARELHO]],""),0)</f>
        <v>0</v>
      </c>
      <c r="K102" t="str">
        <f>IF(tblCalculo[[#This Row],[STATUS]]="NEGOCIANDO",tblCalculo[[#This Row],[VALOR_TOTAL]],"")</f>
        <v/>
      </c>
      <c r="L102" t="str">
        <f>IF(tblCalculo[[#This Row],[STATUS]]="ALÇADA",tblCalculo[[#This Row],[VALOR_TOTAL]],"")</f>
        <v/>
      </c>
      <c r="M102" t="str">
        <f>IF(tblCalculo[[#This Row],[STATUS]]="EM ANÁLISE",tblCalculo[[#This Row],[VALOR_TOTAL]],"")</f>
        <v/>
      </c>
      <c r="N102" t="str">
        <f>IF(tblCalculo[[#This Row],[STATUS]]="TRAMITANDO",tblCalculo[[#This Row],[VALOR_TOTAL]],"")</f>
        <v/>
      </c>
      <c r="O102">
        <f>IF(tblCalculo[[#This Row],[STATUS]]="PERDIDO",tblCalculo[[#This Row],[VALOR_TOTAL]],"")</f>
        <v>13046.5</v>
      </c>
      <c r="P102" t="str">
        <f>IF(tblCalculo[[#This Row],[STATUS]]="CONCLUÍDO",tblCalculo[[#This Row],[VALOR_TOTAL]],"")</f>
        <v/>
      </c>
    </row>
    <row r="103" spans="1:16" x14ac:dyDescent="0.25">
      <c r="A103" t="str">
        <f>tblVendas[[#This Row],[NR_SIMULACAO]]</f>
        <v>SIM1093</v>
      </c>
      <c r="B103" s="34" t="str">
        <f>_xlfn.XLOOKUP(A103,tblVendas[[#This Row],[NR_SIMULACAO]],tblVendas[[#This Row],[NR_CNPJ]],"")</f>
        <v>50.782.595/0001-60</v>
      </c>
      <c r="C103" t="str">
        <f>_xlfn.XLOOKUP(A103,tblVendas[[#This Row],[NR_SIMULACAO]],tblVendas[[#This Row],[STATUS]],"")</f>
        <v>EM ANÁLISE</v>
      </c>
      <c r="D103" t="str">
        <f>_xlfn.XLOOKUP(A103,tblVendas[[#This Row],[NR_SIMULACAO]],tblVendas[[#This Row],[MES]],"")</f>
        <v>Novembro</v>
      </c>
      <c r="E103">
        <f>SUM(_xlfn.XLOOKUP(tblCalculo[[#This Row],[NR_SIMULACAO]],tblVendas[[#This Row],[NR_SIMULACAO]],tblVendas[[#This Row],[VALOR_MOVEL]],""):_xlfn.XLOOKUP(tblCalculo[[#This Row],[NR_SIMULACAO]],tblVendas[[#This Row],[NR_SIMULACAO]],tblVendas[[#This Row],[VALOR_APARELHO]],""))</f>
        <v>15768.09</v>
      </c>
      <c r="F103">
        <f>IF(tblCalculo[[#This Row],[STATUS]]="CONCLUÍDO",_xlfn.XLOOKUP(tblCalculo[[#This Row],[NR_SIMULACAO]],tblVendas[[#This Row],[NR_SIMULACAO]],tblVendas[[#This Row],[VALOR_MOVEL]],""),0)</f>
        <v>0</v>
      </c>
      <c r="G103">
        <f>IF(tblCalculo[[#This Row],[STATUS]]="CONCLUÍDO",_xlfn.XLOOKUP(tblCalculo[[#This Row],[NR_SIMULACAO]],tblVendas[[#This Row],[NR_SIMULACAO]],tblVendas[[#This Row],[VALOR_AVANCADO]],""),0)</f>
        <v>0</v>
      </c>
      <c r="H103">
        <f>IF(tblCalculo[[#This Row],[STATUS]]="CONCLUÍDO",_xlfn.XLOOKUP(tblCalculo[[#This Row],[NR_SIMULACAO]],tblVendas[[#This Row],[NR_SIMULACAO]],tblVendas[[#This Row],[VALOR_FIXABASICA]],""),0)</f>
        <v>0</v>
      </c>
      <c r="I103">
        <f>IF(tblCalculo[[#This Row],[STATUS]]="CONCLUÍDO",_xlfn.XLOOKUP(tblCalculo[[#This Row],[NR_SIMULACAO]],tblVendas[[#This Row],[NR_SIMULACAO]],tblVendas[[#This Row],[VALOR_TI]],""),0)</f>
        <v>0</v>
      </c>
      <c r="J103">
        <f>IF(tblCalculo[[#This Row],[STATUS]]="CONCLUÍDO",_xlfn.XLOOKUP(tblCalculo[[#This Row],[NR_SIMULACAO]],tblVendas[[#This Row],[NR_SIMULACAO]],tblVendas[[#This Row],[VALOR_APARELHO]],""),0)</f>
        <v>0</v>
      </c>
      <c r="K103" t="str">
        <f>IF(tblCalculo[[#This Row],[STATUS]]="NEGOCIANDO",tblCalculo[[#This Row],[VALOR_TOTAL]],"")</f>
        <v/>
      </c>
      <c r="L103" t="str">
        <f>IF(tblCalculo[[#This Row],[STATUS]]="ALÇADA",tblCalculo[[#This Row],[VALOR_TOTAL]],"")</f>
        <v/>
      </c>
      <c r="M103">
        <f>IF(tblCalculo[[#This Row],[STATUS]]="EM ANÁLISE",tblCalculo[[#This Row],[VALOR_TOTAL]],"")</f>
        <v>15768.09</v>
      </c>
      <c r="N103" t="str">
        <f>IF(tblCalculo[[#This Row],[STATUS]]="TRAMITANDO",tblCalculo[[#This Row],[VALOR_TOTAL]],"")</f>
        <v/>
      </c>
      <c r="O103" t="str">
        <f>IF(tblCalculo[[#This Row],[STATUS]]="PERDIDO",tblCalculo[[#This Row],[VALOR_TOTAL]],"")</f>
        <v/>
      </c>
      <c r="P103" t="str">
        <f>IF(tblCalculo[[#This Row],[STATUS]]="CONCLUÍDO",tblCalculo[[#This Row],[VALOR_TOTAL]],"")</f>
        <v/>
      </c>
    </row>
    <row r="104" spans="1:16" x14ac:dyDescent="0.25">
      <c r="A104" t="str">
        <f>tblVendas[[#This Row],[NR_SIMULACAO]]</f>
        <v>SIM1094</v>
      </c>
      <c r="B104" s="34" t="str">
        <f>_xlfn.XLOOKUP(A104,tblVendas[[#This Row],[NR_SIMULACAO]],tblVendas[[#This Row],[NR_CNPJ]],"")</f>
        <v>60.366.559/0001-26</v>
      </c>
      <c r="C104" t="str">
        <f>_xlfn.XLOOKUP(A104,tblVendas[[#This Row],[NR_SIMULACAO]],tblVendas[[#This Row],[STATUS]],"")</f>
        <v>EM ANÁLISE</v>
      </c>
      <c r="D104" t="str">
        <f>_xlfn.XLOOKUP(A104,tblVendas[[#This Row],[NR_SIMULACAO]],tblVendas[[#This Row],[MES]],"")</f>
        <v>Julho</v>
      </c>
      <c r="E104">
        <f>SUM(_xlfn.XLOOKUP(tblCalculo[[#This Row],[NR_SIMULACAO]],tblVendas[[#This Row],[NR_SIMULACAO]],tblVendas[[#This Row],[VALOR_MOVEL]],""):_xlfn.XLOOKUP(tblCalculo[[#This Row],[NR_SIMULACAO]],tblVendas[[#This Row],[NR_SIMULACAO]],tblVendas[[#This Row],[VALOR_APARELHO]],""))</f>
        <v>4058.21</v>
      </c>
      <c r="F104">
        <f>IF(tblCalculo[[#This Row],[STATUS]]="CONCLUÍDO",_xlfn.XLOOKUP(tblCalculo[[#This Row],[NR_SIMULACAO]],tblVendas[[#This Row],[NR_SIMULACAO]],tblVendas[[#This Row],[VALOR_MOVEL]],""),0)</f>
        <v>0</v>
      </c>
      <c r="G104">
        <f>IF(tblCalculo[[#This Row],[STATUS]]="CONCLUÍDO",_xlfn.XLOOKUP(tblCalculo[[#This Row],[NR_SIMULACAO]],tblVendas[[#This Row],[NR_SIMULACAO]],tblVendas[[#This Row],[VALOR_AVANCADO]],""),0)</f>
        <v>0</v>
      </c>
      <c r="H104">
        <f>IF(tblCalculo[[#This Row],[STATUS]]="CONCLUÍDO",_xlfn.XLOOKUP(tblCalculo[[#This Row],[NR_SIMULACAO]],tblVendas[[#This Row],[NR_SIMULACAO]],tblVendas[[#This Row],[VALOR_FIXABASICA]],""),0)</f>
        <v>0</v>
      </c>
      <c r="I104">
        <f>IF(tblCalculo[[#This Row],[STATUS]]="CONCLUÍDO",_xlfn.XLOOKUP(tblCalculo[[#This Row],[NR_SIMULACAO]],tblVendas[[#This Row],[NR_SIMULACAO]],tblVendas[[#This Row],[VALOR_TI]],""),0)</f>
        <v>0</v>
      </c>
      <c r="J104">
        <f>IF(tblCalculo[[#This Row],[STATUS]]="CONCLUÍDO",_xlfn.XLOOKUP(tblCalculo[[#This Row],[NR_SIMULACAO]],tblVendas[[#This Row],[NR_SIMULACAO]],tblVendas[[#This Row],[VALOR_APARELHO]],""),0)</f>
        <v>0</v>
      </c>
      <c r="K104" t="str">
        <f>IF(tblCalculo[[#This Row],[STATUS]]="NEGOCIANDO",tblCalculo[[#This Row],[VALOR_TOTAL]],"")</f>
        <v/>
      </c>
      <c r="L104" t="str">
        <f>IF(tblCalculo[[#This Row],[STATUS]]="ALÇADA",tblCalculo[[#This Row],[VALOR_TOTAL]],"")</f>
        <v/>
      </c>
      <c r="M104">
        <f>IF(tblCalculo[[#This Row],[STATUS]]="EM ANÁLISE",tblCalculo[[#This Row],[VALOR_TOTAL]],"")</f>
        <v>4058.21</v>
      </c>
      <c r="N104" t="str">
        <f>IF(tblCalculo[[#This Row],[STATUS]]="TRAMITANDO",tblCalculo[[#This Row],[VALOR_TOTAL]],"")</f>
        <v/>
      </c>
      <c r="O104" t="str">
        <f>IF(tblCalculo[[#This Row],[STATUS]]="PERDIDO",tblCalculo[[#This Row],[VALOR_TOTAL]],"")</f>
        <v/>
      </c>
      <c r="P104" t="str">
        <f>IF(tblCalculo[[#This Row],[STATUS]]="CONCLUÍDO",tblCalculo[[#This Row],[VALOR_TOTAL]],"")</f>
        <v/>
      </c>
    </row>
    <row r="105" spans="1:16" x14ac:dyDescent="0.25">
      <c r="A105" t="str">
        <f>tblVendas[[#This Row],[NR_SIMULACAO]]</f>
        <v>SIM1095</v>
      </c>
      <c r="B105" s="34" t="str">
        <f>_xlfn.XLOOKUP(A105,tblVendas[[#This Row],[NR_SIMULACAO]],tblVendas[[#This Row],[NR_CNPJ]],"")</f>
        <v>86.923.152/0001-15</v>
      </c>
      <c r="C105" t="str">
        <f>_xlfn.XLOOKUP(A105,tblVendas[[#This Row],[NR_SIMULACAO]],tblVendas[[#This Row],[STATUS]],"")</f>
        <v>NEGOCIANDO</v>
      </c>
      <c r="D105" t="str">
        <f>_xlfn.XLOOKUP(A105,tblVendas[[#This Row],[NR_SIMULACAO]],tblVendas[[#This Row],[MES]],"")</f>
        <v>Junho</v>
      </c>
      <c r="E105">
        <f>SUM(_xlfn.XLOOKUP(tblCalculo[[#This Row],[NR_SIMULACAO]],tblVendas[[#This Row],[NR_SIMULACAO]],tblVendas[[#This Row],[VALOR_MOVEL]],""):_xlfn.XLOOKUP(tblCalculo[[#This Row],[NR_SIMULACAO]],tblVendas[[#This Row],[NR_SIMULACAO]],tblVendas[[#This Row],[VALOR_APARELHO]],""))</f>
        <v>6863.76</v>
      </c>
      <c r="F105">
        <f>IF(tblCalculo[[#This Row],[STATUS]]="CONCLUÍDO",_xlfn.XLOOKUP(tblCalculo[[#This Row],[NR_SIMULACAO]],tblVendas[[#This Row],[NR_SIMULACAO]],tblVendas[[#This Row],[VALOR_MOVEL]],""),0)</f>
        <v>0</v>
      </c>
      <c r="G105">
        <f>IF(tblCalculo[[#This Row],[STATUS]]="CONCLUÍDO",_xlfn.XLOOKUP(tblCalculo[[#This Row],[NR_SIMULACAO]],tblVendas[[#This Row],[NR_SIMULACAO]],tblVendas[[#This Row],[VALOR_AVANCADO]],""),0)</f>
        <v>0</v>
      </c>
      <c r="H105">
        <f>IF(tblCalculo[[#This Row],[STATUS]]="CONCLUÍDO",_xlfn.XLOOKUP(tblCalculo[[#This Row],[NR_SIMULACAO]],tblVendas[[#This Row],[NR_SIMULACAO]],tblVendas[[#This Row],[VALOR_FIXABASICA]],""),0)</f>
        <v>0</v>
      </c>
      <c r="I105">
        <f>IF(tblCalculo[[#This Row],[STATUS]]="CONCLUÍDO",_xlfn.XLOOKUP(tblCalculo[[#This Row],[NR_SIMULACAO]],tblVendas[[#This Row],[NR_SIMULACAO]],tblVendas[[#This Row],[VALOR_TI]],""),0)</f>
        <v>0</v>
      </c>
      <c r="J105">
        <f>IF(tblCalculo[[#This Row],[STATUS]]="CONCLUÍDO",_xlfn.XLOOKUP(tblCalculo[[#This Row],[NR_SIMULACAO]],tblVendas[[#This Row],[NR_SIMULACAO]],tblVendas[[#This Row],[VALOR_APARELHO]],""),0)</f>
        <v>0</v>
      </c>
      <c r="K105">
        <f>IF(tblCalculo[[#This Row],[STATUS]]="NEGOCIANDO",tblCalculo[[#This Row],[VALOR_TOTAL]],"")</f>
        <v>6863.76</v>
      </c>
      <c r="L105" t="str">
        <f>IF(tblCalculo[[#This Row],[STATUS]]="ALÇADA",tblCalculo[[#This Row],[VALOR_TOTAL]],"")</f>
        <v/>
      </c>
      <c r="M105" t="str">
        <f>IF(tblCalculo[[#This Row],[STATUS]]="EM ANÁLISE",tblCalculo[[#This Row],[VALOR_TOTAL]],"")</f>
        <v/>
      </c>
      <c r="N105" t="str">
        <f>IF(tblCalculo[[#This Row],[STATUS]]="TRAMITANDO",tblCalculo[[#This Row],[VALOR_TOTAL]],"")</f>
        <v/>
      </c>
      <c r="O105" t="str">
        <f>IF(tblCalculo[[#This Row],[STATUS]]="PERDIDO",tblCalculo[[#This Row],[VALOR_TOTAL]],"")</f>
        <v/>
      </c>
      <c r="P105" t="str">
        <f>IF(tblCalculo[[#This Row],[STATUS]]="CONCLUÍDO",tblCalculo[[#This Row],[VALOR_TOTAL]],"")</f>
        <v/>
      </c>
    </row>
    <row r="106" spans="1:16" x14ac:dyDescent="0.25">
      <c r="A106" t="str">
        <f>tblVendas[[#This Row],[NR_SIMULACAO]]</f>
        <v>SIM1096</v>
      </c>
      <c r="B106" s="34" t="str">
        <f>_xlfn.XLOOKUP(A106,tblVendas[[#This Row],[NR_SIMULACAO]],tblVendas[[#This Row],[NR_CNPJ]],"")</f>
        <v>11.735.996/0001-13</v>
      </c>
      <c r="C106" t="str">
        <f>_xlfn.XLOOKUP(A106,tblVendas[[#This Row],[NR_SIMULACAO]],tblVendas[[#This Row],[STATUS]],"")</f>
        <v>PERDIDO</v>
      </c>
      <c r="D106" t="str">
        <f>_xlfn.XLOOKUP(A106,tblVendas[[#This Row],[NR_SIMULACAO]],tblVendas[[#This Row],[MES]],"")</f>
        <v>Abril</v>
      </c>
      <c r="E106">
        <f>SUM(_xlfn.XLOOKUP(tblCalculo[[#This Row],[NR_SIMULACAO]],tblVendas[[#This Row],[NR_SIMULACAO]],tblVendas[[#This Row],[VALOR_MOVEL]],""):_xlfn.XLOOKUP(tblCalculo[[#This Row],[NR_SIMULACAO]],tblVendas[[#This Row],[NR_SIMULACAO]],tblVendas[[#This Row],[VALOR_APARELHO]],""))</f>
        <v>4705.57</v>
      </c>
      <c r="F106">
        <f>IF(tblCalculo[[#This Row],[STATUS]]="CONCLUÍDO",_xlfn.XLOOKUP(tblCalculo[[#This Row],[NR_SIMULACAO]],tblVendas[[#This Row],[NR_SIMULACAO]],tblVendas[[#This Row],[VALOR_MOVEL]],""),0)</f>
        <v>0</v>
      </c>
      <c r="G106">
        <f>IF(tblCalculo[[#This Row],[STATUS]]="CONCLUÍDO",_xlfn.XLOOKUP(tblCalculo[[#This Row],[NR_SIMULACAO]],tblVendas[[#This Row],[NR_SIMULACAO]],tblVendas[[#This Row],[VALOR_AVANCADO]],""),0)</f>
        <v>0</v>
      </c>
      <c r="H106">
        <f>IF(tblCalculo[[#This Row],[STATUS]]="CONCLUÍDO",_xlfn.XLOOKUP(tblCalculo[[#This Row],[NR_SIMULACAO]],tblVendas[[#This Row],[NR_SIMULACAO]],tblVendas[[#This Row],[VALOR_FIXABASICA]],""),0)</f>
        <v>0</v>
      </c>
      <c r="I106">
        <f>IF(tblCalculo[[#This Row],[STATUS]]="CONCLUÍDO",_xlfn.XLOOKUP(tblCalculo[[#This Row],[NR_SIMULACAO]],tblVendas[[#This Row],[NR_SIMULACAO]],tblVendas[[#This Row],[VALOR_TI]],""),0)</f>
        <v>0</v>
      </c>
      <c r="J106">
        <f>IF(tblCalculo[[#This Row],[STATUS]]="CONCLUÍDO",_xlfn.XLOOKUP(tblCalculo[[#This Row],[NR_SIMULACAO]],tblVendas[[#This Row],[NR_SIMULACAO]],tblVendas[[#This Row],[VALOR_APARELHO]],""),0)</f>
        <v>0</v>
      </c>
      <c r="K106" t="str">
        <f>IF(tblCalculo[[#This Row],[STATUS]]="NEGOCIANDO",tblCalculo[[#This Row],[VALOR_TOTAL]],"")</f>
        <v/>
      </c>
      <c r="L106" t="str">
        <f>IF(tblCalculo[[#This Row],[STATUS]]="ALÇADA",tblCalculo[[#This Row],[VALOR_TOTAL]],"")</f>
        <v/>
      </c>
      <c r="M106" t="str">
        <f>IF(tblCalculo[[#This Row],[STATUS]]="EM ANÁLISE",tblCalculo[[#This Row],[VALOR_TOTAL]],"")</f>
        <v/>
      </c>
      <c r="N106" t="str">
        <f>IF(tblCalculo[[#This Row],[STATUS]]="TRAMITANDO",tblCalculo[[#This Row],[VALOR_TOTAL]],"")</f>
        <v/>
      </c>
      <c r="O106">
        <f>IF(tblCalculo[[#This Row],[STATUS]]="PERDIDO",tblCalculo[[#This Row],[VALOR_TOTAL]],"")</f>
        <v>4705.57</v>
      </c>
      <c r="P106" t="str">
        <f>IF(tblCalculo[[#This Row],[STATUS]]="CONCLUÍDO",tblCalculo[[#This Row],[VALOR_TOTAL]],"")</f>
        <v/>
      </c>
    </row>
    <row r="107" spans="1:16" x14ac:dyDescent="0.25">
      <c r="A107" t="str">
        <f>tblVendas[[#This Row],[NR_SIMULACAO]]</f>
        <v>SIM1097</v>
      </c>
      <c r="B107" s="34" t="str">
        <f>_xlfn.XLOOKUP(A107,tblVendas[[#This Row],[NR_SIMULACAO]],tblVendas[[#This Row],[NR_CNPJ]],"")</f>
        <v>48.446.615/0001-63</v>
      </c>
      <c r="C107" t="str">
        <f>_xlfn.XLOOKUP(A107,tblVendas[[#This Row],[NR_SIMULACAO]],tblVendas[[#This Row],[STATUS]],"")</f>
        <v>TRAMITANDO</v>
      </c>
      <c r="D107" t="str">
        <f>_xlfn.XLOOKUP(A107,tblVendas[[#This Row],[NR_SIMULACAO]],tblVendas[[#This Row],[MES]],"")</f>
        <v>Outubro</v>
      </c>
      <c r="E107">
        <f>SUM(_xlfn.XLOOKUP(tblCalculo[[#This Row],[NR_SIMULACAO]],tblVendas[[#This Row],[NR_SIMULACAO]],tblVendas[[#This Row],[VALOR_MOVEL]],""):_xlfn.XLOOKUP(tblCalculo[[#This Row],[NR_SIMULACAO]],tblVendas[[#This Row],[NR_SIMULACAO]],tblVendas[[#This Row],[VALOR_APARELHO]],""))</f>
        <v>4541.7</v>
      </c>
      <c r="F107">
        <f>IF(tblCalculo[[#This Row],[STATUS]]="CONCLUÍDO",_xlfn.XLOOKUP(tblCalculo[[#This Row],[NR_SIMULACAO]],tblVendas[[#This Row],[NR_SIMULACAO]],tblVendas[[#This Row],[VALOR_MOVEL]],""),0)</f>
        <v>0</v>
      </c>
      <c r="G107">
        <f>IF(tblCalculo[[#This Row],[STATUS]]="CONCLUÍDO",_xlfn.XLOOKUP(tblCalculo[[#This Row],[NR_SIMULACAO]],tblVendas[[#This Row],[NR_SIMULACAO]],tblVendas[[#This Row],[VALOR_AVANCADO]],""),0)</f>
        <v>0</v>
      </c>
      <c r="H107">
        <f>IF(tblCalculo[[#This Row],[STATUS]]="CONCLUÍDO",_xlfn.XLOOKUP(tblCalculo[[#This Row],[NR_SIMULACAO]],tblVendas[[#This Row],[NR_SIMULACAO]],tblVendas[[#This Row],[VALOR_FIXABASICA]],""),0)</f>
        <v>0</v>
      </c>
      <c r="I107">
        <f>IF(tblCalculo[[#This Row],[STATUS]]="CONCLUÍDO",_xlfn.XLOOKUP(tblCalculo[[#This Row],[NR_SIMULACAO]],tblVendas[[#This Row],[NR_SIMULACAO]],tblVendas[[#This Row],[VALOR_TI]],""),0)</f>
        <v>0</v>
      </c>
      <c r="J107">
        <f>IF(tblCalculo[[#This Row],[STATUS]]="CONCLUÍDO",_xlfn.XLOOKUP(tblCalculo[[#This Row],[NR_SIMULACAO]],tblVendas[[#This Row],[NR_SIMULACAO]],tblVendas[[#This Row],[VALOR_APARELHO]],""),0)</f>
        <v>0</v>
      </c>
      <c r="K107" t="str">
        <f>IF(tblCalculo[[#This Row],[STATUS]]="NEGOCIANDO",tblCalculo[[#This Row],[VALOR_TOTAL]],"")</f>
        <v/>
      </c>
      <c r="L107" t="str">
        <f>IF(tblCalculo[[#This Row],[STATUS]]="ALÇADA",tblCalculo[[#This Row],[VALOR_TOTAL]],"")</f>
        <v/>
      </c>
      <c r="M107" t="str">
        <f>IF(tblCalculo[[#This Row],[STATUS]]="EM ANÁLISE",tblCalculo[[#This Row],[VALOR_TOTAL]],"")</f>
        <v/>
      </c>
      <c r="N107">
        <f>IF(tblCalculo[[#This Row],[STATUS]]="TRAMITANDO",tblCalculo[[#This Row],[VALOR_TOTAL]],"")</f>
        <v>4541.7</v>
      </c>
      <c r="O107" t="str">
        <f>IF(tblCalculo[[#This Row],[STATUS]]="PERDIDO",tblCalculo[[#This Row],[VALOR_TOTAL]],"")</f>
        <v/>
      </c>
      <c r="P107" t="str">
        <f>IF(tblCalculo[[#This Row],[STATUS]]="CONCLUÍDO",tblCalculo[[#This Row],[VALOR_TOTAL]],"")</f>
        <v/>
      </c>
    </row>
    <row r="108" spans="1:16" x14ac:dyDescent="0.25">
      <c r="A108" t="str">
        <f>tblVendas[[#This Row],[NR_SIMULACAO]]</f>
        <v>SIM1098</v>
      </c>
      <c r="B108" s="34" t="str">
        <f>_xlfn.XLOOKUP(A108,tblVendas[[#This Row],[NR_SIMULACAO]],tblVendas[[#This Row],[NR_CNPJ]],"")</f>
        <v>95.269.319/0001-46</v>
      </c>
      <c r="C108" t="str">
        <f>_xlfn.XLOOKUP(A108,tblVendas[[#This Row],[NR_SIMULACAO]],tblVendas[[#This Row],[STATUS]],"")</f>
        <v>EM ANÁLISE</v>
      </c>
      <c r="D108" t="str">
        <f>_xlfn.XLOOKUP(A108,tblVendas[[#This Row],[NR_SIMULACAO]],tblVendas[[#This Row],[MES]],"")</f>
        <v>Janeiro</v>
      </c>
      <c r="E108">
        <f>SUM(_xlfn.XLOOKUP(tblCalculo[[#This Row],[NR_SIMULACAO]],tblVendas[[#This Row],[NR_SIMULACAO]],tblVendas[[#This Row],[VALOR_MOVEL]],""):_xlfn.XLOOKUP(tblCalculo[[#This Row],[NR_SIMULACAO]],tblVendas[[#This Row],[NR_SIMULACAO]],tblVendas[[#This Row],[VALOR_APARELHO]],""))</f>
        <v>24332.370000000003</v>
      </c>
      <c r="F108">
        <f>IF(tblCalculo[[#This Row],[STATUS]]="CONCLUÍDO",_xlfn.XLOOKUP(tblCalculo[[#This Row],[NR_SIMULACAO]],tblVendas[[#This Row],[NR_SIMULACAO]],tblVendas[[#This Row],[VALOR_MOVEL]],""),0)</f>
        <v>0</v>
      </c>
      <c r="G108">
        <f>IF(tblCalculo[[#This Row],[STATUS]]="CONCLUÍDO",_xlfn.XLOOKUP(tblCalculo[[#This Row],[NR_SIMULACAO]],tblVendas[[#This Row],[NR_SIMULACAO]],tblVendas[[#This Row],[VALOR_AVANCADO]],""),0)</f>
        <v>0</v>
      </c>
      <c r="H108">
        <f>IF(tblCalculo[[#This Row],[STATUS]]="CONCLUÍDO",_xlfn.XLOOKUP(tblCalculo[[#This Row],[NR_SIMULACAO]],tblVendas[[#This Row],[NR_SIMULACAO]],tblVendas[[#This Row],[VALOR_FIXABASICA]],""),0)</f>
        <v>0</v>
      </c>
      <c r="I108">
        <f>IF(tblCalculo[[#This Row],[STATUS]]="CONCLUÍDO",_xlfn.XLOOKUP(tblCalculo[[#This Row],[NR_SIMULACAO]],tblVendas[[#This Row],[NR_SIMULACAO]],tblVendas[[#This Row],[VALOR_TI]],""),0)</f>
        <v>0</v>
      </c>
      <c r="J108">
        <f>IF(tblCalculo[[#This Row],[STATUS]]="CONCLUÍDO",_xlfn.XLOOKUP(tblCalculo[[#This Row],[NR_SIMULACAO]],tblVendas[[#This Row],[NR_SIMULACAO]],tblVendas[[#This Row],[VALOR_APARELHO]],""),0)</f>
        <v>0</v>
      </c>
      <c r="K108" t="str">
        <f>IF(tblCalculo[[#This Row],[STATUS]]="NEGOCIANDO",tblCalculo[[#This Row],[VALOR_TOTAL]],"")</f>
        <v/>
      </c>
      <c r="L108" t="str">
        <f>IF(tblCalculo[[#This Row],[STATUS]]="ALÇADA",tblCalculo[[#This Row],[VALOR_TOTAL]],"")</f>
        <v/>
      </c>
      <c r="M108">
        <f>IF(tblCalculo[[#This Row],[STATUS]]="EM ANÁLISE",tblCalculo[[#This Row],[VALOR_TOTAL]],"")</f>
        <v>24332.370000000003</v>
      </c>
      <c r="N108" t="str">
        <f>IF(tblCalculo[[#This Row],[STATUS]]="TRAMITANDO",tblCalculo[[#This Row],[VALOR_TOTAL]],"")</f>
        <v/>
      </c>
      <c r="O108" t="str">
        <f>IF(tblCalculo[[#This Row],[STATUS]]="PERDIDO",tblCalculo[[#This Row],[VALOR_TOTAL]],"")</f>
        <v/>
      </c>
      <c r="P108" t="str">
        <f>IF(tblCalculo[[#This Row],[STATUS]]="CONCLUÍDO",tblCalculo[[#This Row],[VALOR_TOTAL]],"")</f>
        <v/>
      </c>
    </row>
    <row r="109" spans="1:16" x14ac:dyDescent="0.25">
      <c r="A109" t="str">
        <f>tblVendas[[#This Row],[NR_SIMULACAO]]</f>
        <v>SIM1099</v>
      </c>
      <c r="B109" s="34" t="str">
        <f>_xlfn.XLOOKUP(A109,tblVendas[[#This Row],[NR_SIMULACAO]],tblVendas[[#This Row],[NR_CNPJ]],"")</f>
        <v>11.356.777/0001-29</v>
      </c>
      <c r="C109" t="str">
        <f>_xlfn.XLOOKUP(A109,tblVendas[[#This Row],[NR_SIMULACAO]],tblVendas[[#This Row],[STATUS]],"")</f>
        <v>CONCLUÍDO</v>
      </c>
      <c r="D109" t="str">
        <f>_xlfn.XLOOKUP(A109,tblVendas[[#This Row],[NR_SIMULACAO]],tblVendas[[#This Row],[MES]],"")</f>
        <v>Maio</v>
      </c>
      <c r="E109">
        <f>SUM(_xlfn.XLOOKUP(tblCalculo[[#This Row],[NR_SIMULACAO]],tblVendas[[#This Row],[NR_SIMULACAO]],tblVendas[[#This Row],[VALOR_MOVEL]],""):_xlfn.XLOOKUP(tblCalculo[[#This Row],[NR_SIMULACAO]],tblVendas[[#This Row],[NR_SIMULACAO]],tblVendas[[#This Row],[VALOR_APARELHO]],""))</f>
        <v>14907.36</v>
      </c>
      <c r="F109">
        <f>IF(tblCalculo[[#This Row],[STATUS]]="CONCLUÍDO",_xlfn.XLOOKUP(tblCalculo[[#This Row],[NR_SIMULACAO]],tblVendas[[#This Row],[NR_SIMULACAO]],tblVendas[[#This Row],[VALOR_MOVEL]],""),0)</f>
        <v>6334.02</v>
      </c>
      <c r="G109">
        <f>IF(tblCalculo[[#This Row],[STATUS]]="CONCLUÍDO",_xlfn.XLOOKUP(tblCalculo[[#This Row],[NR_SIMULACAO]],tblVendas[[#This Row],[NR_SIMULACAO]],tblVendas[[#This Row],[VALOR_AVANCADO]],""),0)</f>
        <v>0</v>
      </c>
      <c r="H109">
        <f>IF(tblCalculo[[#This Row],[STATUS]]="CONCLUÍDO",_xlfn.XLOOKUP(tblCalculo[[#This Row],[NR_SIMULACAO]],tblVendas[[#This Row],[NR_SIMULACAO]],tblVendas[[#This Row],[VALOR_FIXABASICA]],""),0)</f>
        <v>2155.7399999999998</v>
      </c>
      <c r="I109">
        <f>IF(tblCalculo[[#This Row],[STATUS]]="CONCLUÍDO",_xlfn.XLOOKUP(tblCalculo[[#This Row],[NR_SIMULACAO]],tblVendas[[#This Row],[NR_SIMULACAO]],tblVendas[[#This Row],[VALOR_TI]],""),0)</f>
        <v>6417.6</v>
      </c>
      <c r="J109">
        <f>IF(tblCalculo[[#This Row],[STATUS]]="CONCLUÍDO",_xlfn.XLOOKUP(tblCalculo[[#This Row],[NR_SIMULACAO]],tblVendas[[#This Row],[NR_SIMULACAO]],tblVendas[[#This Row],[VALOR_APARELHO]],""),0)</f>
        <v>0</v>
      </c>
      <c r="K109" t="str">
        <f>IF(tblCalculo[[#This Row],[STATUS]]="NEGOCIANDO",tblCalculo[[#This Row],[VALOR_TOTAL]],"")</f>
        <v/>
      </c>
      <c r="L109" t="str">
        <f>IF(tblCalculo[[#This Row],[STATUS]]="ALÇADA",tblCalculo[[#This Row],[VALOR_TOTAL]],"")</f>
        <v/>
      </c>
      <c r="M109" t="str">
        <f>IF(tblCalculo[[#This Row],[STATUS]]="EM ANÁLISE",tblCalculo[[#This Row],[VALOR_TOTAL]],"")</f>
        <v/>
      </c>
      <c r="N109" t="str">
        <f>IF(tblCalculo[[#This Row],[STATUS]]="TRAMITANDO",tblCalculo[[#This Row],[VALOR_TOTAL]],"")</f>
        <v/>
      </c>
      <c r="O109" t="str">
        <f>IF(tblCalculo[[#This Row],[STATUS]]="PERDIDO",tblCalculo[[#This Row],[VALOR_TOTAL]],"")</f>
        <v/>
      </c>
      <c r="P109">
        <f>IF(tblCalculo[[#This Row],[STATUS]]="CONCLUÍDO",tblCalculo[[#This Row],[VALOR_TOTAL]],"")</f>
        <v>14907.36</v>
      </c>
    </row>
    <row r="110" spans="1:16" x14ac:dyDescent="0.25">
      <c r="A110" t="str">
        <f>tblVendas[[#This Row],[NR_SIMULACAO]]</f>
        <v>SIM1100</v>
      </c>
      <c r="B110" s="34" t="str">
        <f>_xlfn.XLOOKUP(A110,tblVendas[[#This Row],[NR_SIMULACAO]],tblVendas[[#This Row],[NR_CNPJ]],"")</f>
        <v>35.665.987/0001-38</v>
      </c>
      <c r="C110" t="str">
        <f>_xlfn.XLOOKUP(A110,tblVendas[[#This Row],[NR_SIMULACAO]],tblVendas[[#This Row],[STATUS]],"")</f>
        <v>ALÇADA</v>
      </c>
      <c r="D110" t="str">
        <f>_xlfn.XLOOKUP(A110,tblVendas[[#This Row],[NR_SIMULACAO]],tblVendas[[#This Row],[MES]],"")</f>
        <v>Março</v>
      </c>
      <c r="E110">
        <f>SUM(_xlfn.XLOOKUP(tblCalculo[[#This Row],[NR_SIMULACAO]],tblVendas[[#This Row],[NR_SIMULACAO]],tblVendas[[#This Row],[VALOR_MOVEL]],""):_xlfn.XLOOKUP(tblCalculo[[#This Row],[NR_SIMULACAO]],tblVendas[[#This Row],[NR_SIMULACAO]],tblVendas[[#This Row],[VALOR_APARELHO]],""))</f>
        <v>3441.4700000000003</v>
      </c>
      <c r="F110">
        <f>IF(tblCalculo[[#This Row],[STATUS]]="CONCLUÍDO",_xlfn.XLOOKUP(tblCalculo[[#This Row],[NR_SIMULACAO]],tblVendas[[#This Row],[NR_SIMULACAO]],tblVendas[[#This Row],[VALOR_MOVEL]],""),0)</f>
        <v>0</v>
      </c>
      <c r="G110">
        <f>IF(tblCalculo[[#This Row],[STATUS]]="CONCLUÍDO",_xlfn.XLOOKUP(tblCalculo[[#This Row],[NR_SIMULACAO]],tblVendas[[#This Row],[NR_SIMULACAO]],tblVendas[[#This Row],[VALOR_AVANCADO]],""),0)</f>
        <v>0</v>
      </c>
      <c r="H110">
        <f>IF(tblCalculo[[#This Row],[STATUS]]="CONCLUÍDO",_xlfn.XLOOKUP(tblCalculo[[#This Row],[NR_SIMULACAO]],tblVendas[[#This Row],[NR_SIMULACAO]],tblVendas[[#This Row],[VALOR_FIXABASICA]],""),0)</f>
        <v>0</v>
      </c>
      <c r="I110">
        <f>IF(tblCalculo[[#This Row],[STATUS]]="CONCLUÍDO",_xlfn.XLOOKUP(tblCalculo[[#This Row],[NR_SIMULACAO]],tblVendas[[#This Row],[NR_SIMULACAO]],tblVendas[[#This Row],[VALOR_TI]],""),0)</f>
        <v>0</v>
      </c>
      <c r="J110">
        <f>IF(tblCalculo[[#This Row],[STATUS]]="CONCLUÍDO",_xlfn.XLOOKUP(tblCalculo[[#This Row],[NR_SIMULACAO]],tblVendas[[#This Row],[NR_SIMULACAO]],tblVendas[[#This Row],[VALOR_APARELHO]],""),0)</f>
        <v>0</v>
      </c>
      <c r="K110" t="str">
        <f>IF(tblCalculo[[#This Row],[STATUS]]="NEGOCIANDO",tblCalculo[[#This Row],[VALOR_TOTAL]],"")</f>
        <v/>
      </c>
      <c r="L110">
        <f>IF(tblCalculo[[#This Row],[STATUS]]="ALÇADA",tblCalculo[[#This Row],[VALOR_TOTAL]],"")</f>
        <v>3441.4700000000003</v>
      </c>
      <c r="M110" t="str">
        <f>IF(tblCalculo[[#This Row],[STATUS]]="EM ANÁLISE",tblCalculo[[#This Row],[VALOR_TOTAL]],"")</f>
        <v/>
      </c>
      <c r="N110" t="str">
        <f>IF(tblCalculo[[#This Row],[STATUS]]="TRAMITANDO",tblCalculo[[#This Row],[VALOR_TOTAL]],"")</f>
        <v/>
      </c>
      <c r="O110" t="str">
        <f>IF(tblCalculo[[#This Row],[STATUS]]="PERDIDO",tblCalculo[[#This Row],[VALOR_TOTAL]],"")</f>
        <v/>
      </c>
      <c r="P110" t="str">
        <f>IF(tblCalculo[[#This Row],[STATUS]]="CONCLUÍDO",tblCalculo[[#This Row],[VALOR_TOTAL]],"")</f>
        <v/>
      </c>
    </row>
    <row r="111" spans="1:16" x14ac:dyDescent="0.25">
      <c r="A111" t="str">
        <f>tblVendas[[#This Row],[NR_SIMULACAO]]</f>
        <v>SIM1101</v>
      </c>
      <c r="B111" s="34" t="str">
        <f>_xlfn.XLOOKUP(A111,tblVendas[[#This Row],[NR_SIMULACAO]],tblVendas[[#This Row],[NR_CNPJ]],"")</f>
        <v>43.104.452/0001-79</v>
      </c>
      <c r="C111" t="str">
        <f>_xlfn.XLOOKUP(A111,tblVendas[[#This Row],[NR_SIMULACAO]],tblVendas[[#This Row],[STATUS]],"")</f>
        <v>NEGOCIANDO</v>
      </c>
      <c r="D111" t="str">
        <f>_xlfn.XLOOKUP(A111,tblVendas[[#This Row],[NR_SIMULACAO]],tblVendas[[#This Row],[MES]],"")</f>
        <v>Fevereiro</v>
      </c>
      <c r="E111">
        <f>SUM(_xlfn.XLOOKUP(tblCalculo[[#This Row],[NR_SIMULACAO]],tblVendas[[#This Row],[NR_SIMULACAO]],tblVendas[[#This Row],[VALOR_MOVEL]],""):_xlfn.XLOOKUP(tblCalculo[[#This Row],[NR_SIMULACAO]],tblVendas[[#This Row],[NR_SIMULACAO]],tblVendas[[#This Row],[VALOR_APARELHO]],""))</f>
        <v>6869.54</v>
      </c>
      <c r="F111">
        <f>IF(tblCalculo[[#This Row],[STATUS]]="CONCLUÍDO",_xlfn.XLOOKUP(tblCalculo[[#This Row],[NR_SIMULACAO]],tblVendas[[#This Row],[NR_SIMULACAO]],tblVendas[[#This Row],[VALOR_MOVEL]],""),0)</f>
        <v>0</v>
      </c>
      <c r="G111">
        <f>IF(tblCalculo[[#This Row],[STATUS]]="CONCLUÍDO",_xlfn.XLOOKUP(tblCalculo[[#This Row],[NR_SIMULACAO]],tblVendas[[#This Row],[NR_SIMULACAO]],tblVendas[[#This Row],[VALOR_AVANCADO]],""),0)</f>
        <v>0</v>
      </c>
      <c r="H111">
        <f>IF(tblCalculo[[#This Row],[STATUS]]="CONCLUÍDO",_xlfn.XLOOKUP(tblCalculo[[#This Row],[NR_SIMULACAO]],tblVendas[[#This Row],[NR_SIMULACAO]],tblVendas[[#This Row],[VALOR_FIXABASICA]],""),0)</f>
        <v>0</v>
      </c>
      <c r="I111">
        <f>IF(tblCalculo[[#This Row],[STATUS]]="CONCLUÍDO",_xlfn.XLOOKUP(tblCalculo[[#This Row],[NR_SIMULACAO]],tblVendas[[#This Row],[NR_SIMULACAO]],tblVendas[[#This Row],[VALOR_TI]],""),0)</f>
        <v>0</v>
      </c>
      <c r="J111">
        <f>IF(tblCalculo[[#This Row],[STATUS]]="CONCLUÍDO",_xlfn.XLOOKUP(tblCalculo[[#This Row],[NR_SIMULACAO]],tblVendas[[#This Row],[NR_SIMULACAO]],tblVendas[[#This Row],[VALOR_APARELHO]],""),0)</f>
        <v>0</v>
      </c>
      <c r="K111">
        <f>IF(tblCalculo[[#This Row],[STATUS]]="NEGOCIANDO",tblCalculo[[#This Row],[VALOR_TOTAL]],"")</f>
        <v>6869.54</v>
      </c>
      <c r="L111" t="str">
        <f>IF(tblCalculo[[#This Row],[STATUS]]="ALÇADA",tblCalculo[[#This Row],[VALOR_TOTAL]],"")</f>
        <v/>
      </c>
      <c r="M111" t="str">
        <f>IF(tblCalculo[[#This Row],[STATUS]]="EM ANÁLISE",tblCalculo[[#This Row],[VALOR_TOTAL]],"")</f>
        <v/>
      </c>
      <c r="N111" t="str">
        <f>IF(tblCalculo[[#This Row],[STATUS]]="TRAMITANDO",tblCalculo[[#This Row],[VALOR_TOTAL]],"")</f>
        <v/>
      </c>
      <c r="O111" t="str">
        <f>IF(tblCalculo[[#This Row],[STATUS]]="PERDIDO",tblCalculo[[#This Row],[VALOR_TOTAL]],"")</f>
        <v/>
      </c>
      <c r="P111" t="str">
        <f>IF(tblCalculo[[#This Row],[STATUS]]="CONCLUÍDO",tblCalculo[[#This Row],[VALOR_TOTAL]],"")</f>
        <v/>
      </c>
    </row>
    <row r="112" spans="1:16" x14ac:dyDescent="0.25">
      <c r="A112" t="str">
        <f>tblVendas[[#This Row],[NR_SIMULACAO]]</f>
        <v>SIM1102</v>
      </c>
      <c r="B112" s="34" t="str">
        <f>_xlfn.XLOOKUP(A112,tblVendas[[#This Row],[NR_SIMULACAO]],tblVendas[[#This Row],[NR_CNPJ]],"")</f>
        <v>66.381.248/0001-73</v>
      </c>
      <c r="C112" t="str">
        <f>_xlfn.XLOOKUP(A112,tblVendas[[#This Row],[NR_SIMULACAO]],tblVendas[[#This Row],[STATUS]],"")</f>
        <v>NEGOCIANDO</v>
      </c>
      <c r="D112" t="str">
        <f>_xlfn.XLOOKUP(A112,tblVendas[[#This Row],[NR_SIMULACAO]],tblVendas[[#This Row],[MES]],"")</f>
        <v>Setembro</v>
      </c>
      <c r="E112">
        <f>SUM(_xlfn.XLOOKUP(tblCalculo[[#This Row],[NR_SIMULACAO]],tblVendas[[#This Row],[NR_SIMULACAO]],tblVendas[[#This Row],[VALOR_MOVEL]],""):_xlfn.XLOOKUP(tblCalculo[[#This Row],[NR_SIMULACAO]],tblVendas[[#This Row],[NR_SIMULACAO]],tblVendas[[#This Row],[VALOR_APARELHO]],""))</f>
        <v>11404.42</v>
      </c>
      <c r="F112">
        <f>IF(tblCalculo[[#This Row],[STATUS]]="CONCLUÍDO",_xlfn.XLOOKUP(tblCalculo[[#This Row],[NR_SIMULACAO]],tblVendas[[#This Row],[NR_SIMULACAO]],tblVendas[[#This Row],[VALOR_MOVEL]],""),0)</f>
        <v>0</v>
      </c>
      <c r="G112">
        <f>IF(tblCalculo[[#This Row],[STATUS]]="CONCLUÍDO",_xlfn.XLOOKUP(tblCalculo[[#This Row],[NR_SIMULACAO]],tblVendas[[#This Row],[NR_SIMULACAO]],tblVendas[[#This Row],[VALOR_AVANCADO]],""),0)</f>
        <v>0</v>
      </c>
      <c r="H112">
        <f>IF(tblCalculo[[#This Row],[STATUS]]="CONCLUÍDO",_xlfn.XLOOKUP(tblCalculo[[#This Row],[NR_SIMULACAO]],tblVendas[[#This Row],[NR_SIMULACAO]],tblVendas[[#This Row],[VALOR_FIXABASICA]],""),0)</f>
        <v>0</v>
      </c>
      <c r="I112">
        <f>IF(tblCalculo[[#This Row],[STATUS]]="CONCLUÍDO",_xlfn.XLOOKUP(tblCalculo[[#This Row],[NR_SIMULACAO]],tblVendas[[#This Row],[NR_SIMULACAO]],tblVendas[[#This Row],[VALOR_TI]],""),0)</f>
        <v>0</v>
      </c>
      <c r="J112">
        <f>IF(tblCalculo[[#This Row],[STATUS]]="CONCLUÍDO",_xlfn.XLOOKUP(tblCalculo[[#This Row],[NR_SIMULACAO]],tblVendas[[#This Row],[NR_SIMULACAO]],tblVendas[[#This Row],[VALOR_APARELHO]],""),0)</f>
        <v>0</v>
      </c>
      <c r="K112">
        <f>IF(tblCalculo[[#This Row],[STATUS]]="NEGOCIANDO",tblCalculo[[#This Row],[VALOR_TOTAL]],"")</f>
        <v>11404.42</v>
      </c>
      <c r="L112" t="str">
        <f>IF(tblCalculo[[#This Row],[STATUS]]="ALÇADA",tblCalculo[[#This Row],[VALOR_TOTAL]],"")</f>
        <v/>
      </c>
      <c r="M112" t="str">
        <f>IF(tblCalculo[[#This Row],[STATUS]]="EM ANÁLISE",tblCalculo[[#This Row],[VALOR_TOTAL]],"")</f>
        <v/>
      </c>
      <c r="N112" t="str">
        <f>IF(tblCalculo[[#This Row],[STATUS]]="TRAMITANDO",tblCalculo[[#This Row],[VALOR_TOTAL]],"")</f>
        <v/>
      </c>
      <c r="O112" t="str">
        <f>IF(tblCalculo[[#This Row],[STATUS]]="PERDIDO",tblCalculo[[#This Row],[VALOR_TOTAL]],"")</f>
        <v/>
      </c>
      <c r="P112" t="str">
        <f>IF(tblCalculo[[#This Row],[STATUS]]="CONCLUÍDO",tblCalculo[[#This Row],[VALOR_TOTAL]],"")</f>
        <v/>
      </c>
    </row>
    <row r="113" spans="1:16" x14ac:dyDescent="0.25">
      <c r="A113" t="str">
        <f>tblVendas[[#This Row],[NR_SIMULACAO]]</f>
        <v>SIM1103</v>
      </c>
      <c r="B113" s="34" t="str">
        <f>_xlfn.XLOOKUP(A113,tblVendas[[#This Row],[NR_SIMULACAO]],tblVendas[[#This Row],[NR_CNPJ]],"")</f>
        <v>11.263.520/0001-88</v>
      </c>
      <c r="C113" t="str">
        <f>_xlfn.XLOOKUP(A113,tblVendas[[#This Row],[NR_SIMULACAO]],tblVendas[[#This Row],[STATUS]],"")</f>
        <v>ALÇADA</v>
      </c>
      <c r="D113" t="str">
        <f>_xlfn.XLOOKUP(A113,tblVendas[[#This Row],[NR_SIMULACAO]],tblVendas[[#This Row],[MES]],"")</f>
        <v>Janeiro</v>
      </c>
      <c r="E113">
        <f>SUM(_xlfn.XLOOKUP(tblCalculo[[#This Row],[NR_SIMULACAO]],tblVendas[[#This Row],[NR_SIMULACAO]],tblVendas[[#This Row],[VALOR_MOVEL]],""):_xlfn.XLOOKUP(tblCalculo[[#This Row],[NR_SIMULACAO]],tblVendas[[#This Row],[NR_SIMULACAO]],tblVendas[[#This Row],[VALOR_APARELHO]],""))</f>
        <v>1300.74</v>
      </c>
      <c r="F113">
        <f>IF(tblCalculo[[#This Row],[STATUS]]="CONCLUÍDO",_xlfn.XLOOKUP(tblCalculo[[#This Row],[NR_SIMULACAO]],tblVendas[[#This Row],[NR_SIMULACAO]],tblVendas[[#This Row],[VALOR_MOVEL]],""),0)</f>
        <v>0</v>
      </c>
      <c r="G113">
        <f>IF(tblCalculo[[#This Row],[STATUS]]="CONCLUÍDO",_xlfn.XLOOKUP(tblCalculo[[#This Row],[NR_SIMULACAO]],tblVendas[[#This Row],[NR_SIMULACAO]],tblVendas[[#This Row],[VALOR_AVANCADO]],""),0)</f>
        <v>0</v>
      </c>
      <c r="H113">
        <f>IF(tblCalculo[[#This Row],[STATUS]]="CONCLUÍDO",_xlfn.XLOOKUP(tblCalculo[[#This Row],[NR_SIMULACAO]],tblVendas[[#This Row],[NR_SIMULACAO]],tblVendas[[#This Row],[VALOR_FIXABASICA]],""),0)</f>
        <v>0</v>
      </c>
      <c r="I113">
        <f>IF(tblCalculo[[#This Row],[STATUS]]="CONCLUÍDO",_xlfn.XLOOKUP(tblCalculo[[#This Row],[NR_SIMULACAO]],tblVendas[[#This Row],[NR_SIMULACAO]],tblVendas[[#This Row],[VALOR_TI]],""),0)</f>
        <v>0</v>
      </c>
      <c r="J113">
        <f>IF(tblCalculo[[#This Row],[STATUS]]="CONCLUÍDO",_xlfn.XLOOKUP(tblCalculo[[#This Row],[NR_SIMULACAO]],tblVendas[[#This Row],[NR_SIMULACAO]],tblVendas[[#This Row],[VALOR_APARELHO]],""),0)</f>
        <v>0</v>
      </c>
      <c r="K113" t="str">
        <f>IF(tblCalculo[[#This Row],[STATUS]]="NEGOCIANDO",tblCalculo[[#This Row],[VALOR_TOTAL]],"")</f>
        <v/>
      </c>
      <c r="L113">
        <f>IF(tblCalculo[[#This Row],[STATUS]]="ALÇADA",tblCalculo[[#This Row],[VALOR_TOTAL]],"")</f>
        <v>1300.74</v>
      </c>
      <c r="M113" t="str">
        <f>IF(tblCalculo[[#This Row],[STATUS]]="EM ANÁLISE",tblCalculo[[#This Row],[VALOR_TOTAL]],"")</f>
        <v/>
      </c>
      <c r="N113" t="str">
        <f>IF(tblCalculo[[#This Row],[STATUS]]="TRAMITANDO",tblCalculo[[#This Row],[VALOR_TOTAL]],"")</f>
        <v/>
      </c>
      <c r="O113" t="str">
        <f>IF(tblCalculo[[#This Row],[STATUS]]="PERDIDO",tblCalculo[[#This Row],[VALOR_TOTAL]],"")</f>
        <v/>
      </c>
      <c r="P113" t="str">
        <f>IF(tblCalculo[[#This Row],[STATUS]]="CONCLUÍDO",tblCalculo[[#This Row],[VALOR_TOTAL]],"")</f>
        <v/>
      </c>
    </row>
    <row r="114" spans="1:16" x14ac:dyDescent="0.25">
      <c r="A114" t="str">
        <f>tblVendas[[#This Row],[NR_SIMULACAO]]</f>
        <v>SIM1104</v>
      </c>
      <c r="B114" s="34" t="str">
        <f>_xlfn.XLOOKUP(A114,tblVendas[[#This Row],[NR_SIMULACAO]],tblVendas[[#This Row],[NR_CNPJ]],"")</f>
        <v>65.168.770/0001-79</v>
      </c>
      <c r="C114" t="str">
        <f>_xlfn.XLOOKUP(A114,tblVendas[[#This Row],[NR_SIMULACAO]],tblVendas[[#This Row],[STATUS]],"")</f>
        <v>TRAMITANDO</v>
      </c>
      <c r="D114" t="str">
        <f>_xlfn.XLOOKUP(A114,tblVendas[[#This Row],[NR_SIMULACAO]],tblVendas[[#This Row],[MES]],"")</f>
        <v>Setembro</v>
      </c>
      <c r="E114">
        <f>SUM(_xlfn.XLOOKUP(tblCalculo[[#This Row],[NR_SIMULACAO]],tblVendas[[#This Row],[NR_SIMULACAO]],tblVendas[[#This Row],[VALOR_MOVEL]],""):_xlfn.XLOOKUP(tblCalculo[[#This Row],[NR_SIMULACAO]],tblVendas[[#This Row],[NR_SIMULACAO]],tblVendas[[#This Row],[VALOR_APARELHO]],""))</f>
        <v>18411.53</v>
      </c>
      <c r="F114">
        <f>IF(tblCalculo[[#This Row],[STATUS]]="CONCLUÍDO",_xlfn.XLOOKUP(tblCalculo[[#This Row],[NR_SIMULACAO]],tblVendas[[#This Row],[NR_SIMULACAO]],tblVendas[[#This Row],[VALOR_MOVEL]],""),0)</f>
        <v>0</v>
      </c>
      <c r="G114">
        <f>IF(tblCalculo[[#This Row],[STATUS]]="CONCLUÍDO",_xlfn.XLOOKUP(tblCalculo[[#This Row],[NR_SIMULACAO]],tblVendas[[#This Row],[NR_SIMULACAO]],tblVendas[[#This Row],[VALOR_AVANCADO]],""),0)</f>
        <v>0</v>
      </c>
      <c r="H114">
        <f>IF(tblCalculo[[#This Row],[STATUS]]="CONCLUÍDO",_xlfn.XLOOKUP(tblCalculo[[#This Row],[NR_SIMULACAO]],tblVendas[[#This Row],[NR_SIMULACAO]],tblVendas[[#This Row],[VALOR_FIXABASICA]],""),0)</f>
        <v>0</v>
      </c>
      <c r="I114">
        <f>IF(tblCalculo[[#This Row],[STATUS]]="CONCLUÍDO",_xlfn.XLOOKUP(tblCalculo[[#This Row],[NR_SIMULACAO]],tblVendas[[#This Row],[NR_SIMULACAO]],tblVendas[[#This Row],[VALOR_TI]],""),0)</f>
        <v>0</v>
      </c>
      <c r="J114">
        <f>IF(tblCalculo[[#This Row],[STATUS]]="CONCLUÍDO",_xlfn.XLOOKUP(tblCalculo[[#This Row],[NR_SIMULACAO]],tblVendas[[#This Row],[NR_SIMULACAO]],tblVendas[[#This Row],[VALOR_APARELHO]],""),0)</f>
        <v>0</v>
      </c>
      <c r="K114" t="str">
        <f>IF(tblCalculo[[#This Row],[STATUS]]="NEGOCIANDO",tblCalculo[[#This Row],[VALOR_TOTAL]],"")</f>
        <v/>
      </c>
      <c r="L114" t="str">
        <f>IF(tblCalculo[[#This Row],[STATUS]]="ALÇADA",tblCalculo[[#This Row],[VALOR_TOTAL]],"")</f>
        <v/>
      </c>
      <c r="M114" t="str">
        <f>IF(tblCalculo[[#This Row],[STATUS]]="EM ANÁLISE",tblCalculo[[#This Row],[VALOR_TOTAL]],"")</f>
        <v/>
      </c>
      <c r="N114">
        <f>IF(tblCalculo[[#This Row],[STATUS]]="TRAMITANDO",tblCalculo[[#This Row],[VALOR_TOTAL]],"")</f>
        <v>18411.53</v>
      </c>
      <c r="O114" t="str">
        <f>IF(tblCalculo[[#This Row],[STATUS]]="PERDIDO",tblCalculo[[#This Row],[VALOR_TOTAL]],"")</f>
        <v/>
      </c>
      <c r="P114" t="str">
        <f>IF(tblCalculo[[#This Row],[STATUS]]="CONCLUÍDO",tblCalculo[[#This Row],[VALOR_TOTAL]],"")</f>
        <v/>
      </c>
    </row>
    <row r="115" spans="1:16" x14ac:dyDescent="0.25">
      <c r="A115" t="str">
        <f>tblVendas[[#This Row],[NR_SIMULACAO]]</f>
        <v>SIM1105</v>
      </c>
      <c r="B115" s="34" t="str">
        <f>_xlfn.XLOOKUP(A115,tblVendas[[#This Row],[NR_SIMULACAO]],tblVendas[[#This Row],[NR_CNPJ]],"")</f>
        <v>56.233.889/0001-91</v>
      </c>
      <c r="C115" t="str">
        <f>_xlfn.XLOOKUP(A115,tblVendas[[#This Row],[NR_SIMULACAO]],tblVendas[[#This Row],[STATUS]],"")</f>
        <v>PERDIDO</v>
      </c>
      <c r="D115" t="str">
        <f>_xlfn.XLOOKUP(A115,tblVendas[[#This Row],[NR_SIMULACAO]],tblVendas[[#This Row],[MES]],"")</f>
        <v>Janeiro</v>
      </c>
      <c r="E115">
        <f>SUM(_xlfn.XLOOKUP(tblCalculo[[#This Row],[NR_SIMULACAO]],tblVendas[[#This Row],[NR_SIMULACAO]],tblVendas[[#This Row],[VALOR_MOVEL]],""):_xlfn.XLOOKUP(tblCalculo[[#This Row],[NR_SIMULACAO]],tblVendas[[#This Row],[NR_SIMULACAO]],tblVendas[[#This Row],[VALOR_APARELHO]],""))</f>
        <v>700.38</v>
      </c>
      <c r="F115">
        <f>IF(tblCalculo[[#This Row],[STATUS]]="CONCLUÍDO",_xlfn.XLOOKUP(tblCalculo[[#This Row],[NR_SIMULACAO]],tblVendas[[#This Row],[NR_SIMULACAO]],tblVendas[[#This Row],[VALOR_MOVEL]],""),0)</f>
        <v>0</v>
      </c>
      <c r="G115">
        <f>IF(tblCalculo[[#This Row],[STATUS]]="CONCLUÍDO",_xlfn.XLOOKUP(tblCalculo[[#This Row],[NR_SIMULACAO]],tblVendas[[#This Row],[NR_SIMULACAO]],tblVendas[[#This Row],[VALOR_AVANCADO]],""),0)</f>
        <v>0</v>
      </c>
      <c r="H115">
        <f>IF(tblCalculo[[#This Row],[STATUS]]="CONCLUÍDO",_xlfn.XLOOKUP(tblCalculo[[#This Row],[NR_SIMULACAO]],tblVendas[[#This Row],[NR_SIMULACAO]],tblVendas[[#This Row],[VALOR_FIXABASICA]],""),0)</f>
        <v>0</v>
      </c>
      <c r="I115">
        <f>IF(tblCalculo[[#This Row],[STATUS]]="CONCLUÍDO",_xlfn.XLOOKUP(tblCalculo[[#This Row],[NR_SIMULACAO]],tblVendas[[#This Row],[NR_SIMULACAO]],tblVendas[[#This Row],[VALOR_TI]],""),0)</f>
        <v>0</v>
      </c>
      <c r="J115">
        <f>IF(tblCalculo[[#This Row],[STATUS]]="CONCLUÍDO",_xlfn.XLOOKUP(tblCalculo[[#This Row],[NR_SIMULACAO]],tblVendas[[#This Row],[NR_SIMULACAO]],tblVendas[[#This Row],[VALOR_APARELHO]],""),0)</f>
        <v>0</v>
      </c>
      <c r="K115" t="str">
        <f>IF(tblCalculo[[#This Row],[STATUS]]="NEGOCIANDO",tblCalculo[[#This Row],[VALOR_TOTAL]],"")</f>
        <v/>
      </c>
      <c r="L115" t="str">
        <f>IF(tblCalculo[[#This Row],[STATUS]]="ALÇADA",tblCalculo[[#This Row],[VALOR_TOTAL]],"")</f>
        <v/>
      </c>
      <c r="M115" t="str">
        <f>IF(tblCalculo[[#This Row],[STATUS]]="EM ANÁLISE",tblCalculo[[#This Row],[VALOR_TOTAL]],"")</f>
        <v/>
      </c>
      <c r="N115" t="str">
        <f>IF(tblCalculo[[#This Row],[STATUS]]="TRAMITANDO",tblCalculo[[#This Row],[VALOR_TOTAL]],"")</f>
        <v/>
      </c>
      <c r="O115">
        <f>IF(tblCalculo[[#This Row],[STATUS]]="PERDIDO",tblCalculo[[#This Row],[VALOR_TOTAL]],"")</f>
        <v>700.38</v>
      </c>
      <c r="P115" t="str">
        <f>IF(tblCalculo[[#This Row],[STATUS]]="CONCLUÍDO",tblCalculo[[#This Row],[VALOR_TOTAL]],"")</f>
        <v/>
      </c>
    </row>
    <row r="116" spans="1:16" x14ac:dyDescent="0.25">
      <c r="A116" t="str">
        <f>tblVendas[[#This Row],[NR_SIMULACAO]]</f>
        <v>SIM1106</v>
      </c>
      <c r="B116" s="34" t="str">
        <f>_xlfn.XLOOKUP(A116,tblVendas[[#This Row],[NR_SIMULACAO]],tblVendas[[#This Row],[NR_CNPJ]],"")</f>
        <v>44.967.582/0001-20</v>
      </c>
      <c r="C116" t="str">
        <f>_xlfn.XLOOKUP(A116,tblVendas[[#This Row],[NR_SIMULACAO]],tblVendas[[#This Row],[STATUS]],"")</f>
        <v>TRAMITANDO</v>
      </c>
      <c r="D116" t="str">
        <f>_xlfn.XLOOKUP(A116,tblVendas[[#This Row],[NR_SIMULACAO]],tblVendas[[#This Row],[MES]],"")</f>
        <v>Agosto</v>
      </c>
      <c r="E116">
        <f>SUM(_xlfn.XLOOKUP(tblCalculo[[#This Row],[NR_SIMULACAO]],tblVendas[[#This Row],[NR_SIMULACAO]],tblVendas[[#This Row],[VALOR_MOVEL]],""):_xlfn.XLOOKUP(tblCalculo[[#This Row],[NR_SIMULACAO]],tblVendas[[#This Row],[NR_SIMULACAO]],tblVendas[[#This Row],[VALOR_APARELHO]],""))</f>
        <v>6179.29</v>
      </c>
      <c r="F116">
        <f>IF(tblCalculo[[#This Row],[STATUS]]="CONCLUÍDO",_xlfn.XLOOKUP(tblCalculo[[#This Row],[NR_SIMULACAO]],tblVendas[[#This Row],[NR_SIMULACAO]],tblVendas[[#This Row],[VALOR_MOVEL]],""),0)</f>
        <v>0</v>
      </c>
      <c r="G116">
        <f>IF(tblCalculo[[#This Row],[STATUS]]="CONCLUÍDO",_xlfn.XLOOKUP(tblCalculo[[#This Row],[NR_SIMULACAO]],tblVendas[[#This Row],[NR_SIMULACAO]],tblVendas[[#This Row],[VALOR_AVANCADO]],""),0)</f>
        <v>0</v>
      </c>
      <c r="H116">
        <f>IF(tblCalculo[[#This Row],[STATUS]]="CONCLUÍDO",_xlfn.XLOOKUP(tblCalculo[[#This Row],[NR_SIMULACAO]],tblVendas[[#This Row],[NR_SIMULACAO]],tblVendas[[#This Row],[VALOR_FIXABASICA]],""),0)</f>
        <v>0</v>
      </c>
      <c r="I116">
        <f>IF(tblCalculo[[#This Row],[STATUS]]="CONCLUÍDO",_xlfn.XLOOKUP(tblCalculo[[#This Row],[NR_SIMULACAO]],tblVendas[[#This Row],[NR_SIMULACAO]],tblVendas[[#This Row],[VALOR_TI]],""),0)</f>
        <v>0</v>
      </c>
      <c r="J116">
        <f>IF(tblCalculo[[#This Row],[STATUS]]="CONCLUÍDO",_xlfn.XLOOKUP(tblCalculo[[#This Row],[NR_SIMULACAO]],tblVendas[[#This Row],[NR_SIMULACAO]],tblVendas[[#This Row],[VALOR_APARELHO]],""),0)</f>
        <v>0</v>
      </c>
      <c r="K116" t="str">
        <f>IF(tblCalculo[[#This Row],[STATUS]]="NEGOCIANDO",tblCalculo[[#This Row],[VALOR_TOTAL]],"")</f>
        <v/>
      </c>
      <c r="L116" t="str">
        <f>IF(tblCalculo[[#This Row],[STATUS]]="ALÇADA",tblCalculo[[#This Row],[VALOR_TOTAL]],"")</f>
        <v/>
      </c>
      <c r="M116" t="str">
        <f>IF(tblCalculo[[#This Row],[STATUS]]="EM ANÁLISE",tblCalculo[[#This Row],[VALOR_TOTAL]],"")</f>
        <v/>
      </c>
      <c r="N116">
        <f>IF(tblCalculo[[#This Row],[STATUS]]="TRAMITANDO",tblCalculo[[#This Row],[VALOR_TOTAL]],"")</f>
        <v>6179.29</v>
      </c>
      <c r="O116" t="str">
        <f>IF(tblCalculo[[#This Row],[STATUS]]="PERDIDO",tblCalculo[[#This Row],[VALOR_TOTAL]],"")</f>
        <v/>
      </c>
      <c r="P116" t="str">
        <f>IF(tblCalculo[[#This Row],[STATUS]]="CONCLUÍDO",tblCalculo[[#This Row],[VALOR_TOTAL]],"")</f>
        <v/>
      </c>
    </row>
    <row r="117" spans="1:16" x14ac:dyDescent="0.25">
      <c r="A117" t="str">
        <f>tblVendas[[#This Row],[NR_SIMULACAO]]</f>
        <v>SIM1107</v>
      </c>
      <c r="B117" s="34" t="str">
        <f>_xlfn.XLOOKUP(A117,tblVendas[[#This Row],[NR_SIMULACAO]],tblVendas[[#This Row],[NR_CNPJ]],"")</f>
        <v>30.909.793/0001-75</v>
      </c>
      <c r="C117" t="str">
        <f>_xlfn.XLOOKUP(A117,tblVendas[[#This Row],[NR_SIMULACAO]],tblVendas[[#This Row],[STATUS]],"")</f>
        <v>PERDIDO</v>
      </c>
      <c r="D117" t="str">
        <f>_xlfn.XLOOKUP(A117,tblVendas[[#This Row],[NR_SIMULACAO]],tblVendas[[#This Row],[MES]],"")</f>
        <v>Março</v>
      </c>
      <c r="E117">
        <f>SUM(_xlfn.XLOOKUP(tblCalculo[[#This Row],[NR_SIMULACAO]],tblVendas[[#This Row],[NR_SIMULACAO]],tblVendas[[#This Row],[VALOR_MOVEL]],""):_xlfn.XLOOKUP(tblCalculo[[#This Row],[NR_SIMULACAO]],tblVendas[[#This Row],[NR_SIMULACAO]],tblVendas[[#This Row],[VALOR_APARELHO]],""))</f>
        <v>5803.53</v>
      </c>
      <c r="F117">
        <f>IF(tblCalculo[[#This Row],[STATUS]]="CONCLUÍDO",_xlfn.XLOOKUP(tblCalculo[[#This Row],[NR_SIMULACAO]],tblVendas[[#This Row],[NR_SIMULACAO]],tblVendas[[#This Row],[VALOR_MOVEL]],""),0)</f>
        <v>0</v>
      </c>
      <c r="G117">
        <f>IF(tblCalculo[[#This Row],[STATUS]]="CONCLUÍDO",_xlfn.XLOOKUP(tblCalculo[[#This Row],[NR_SIMULACAO]],tblVendas[[#This Row],[NR_SIMULACAO]],tblVendas[[#This Row],[VALOR_AVANCADO]],""),0)</f>
        <v>0</v>
      </c>
      <c r="H117">
        <f>IF(tblCalculo[[#This Row],[STATUS]]="CONCLUÍDO",_xlfn.XLOOKUP(tblCalculo[[#This Row],[NR_SIMULACAO]],tblVendas[[#This Row],[NR_SIMULACAO]],tblVendas[[#This Row],[VALOR_FIXABASICA]],""),0)</f>
        <v>0</v>
      </c>
      <c r="I117">
        <f>IF(tblCalculo[[#This Row],[STATUS]]="CONCLUÍDO",_xlfn.XLOOKUP(tblCalculo[[#This Row],[NR_SIMULACAO]],tblVendas[[#This Row],[NR_SIMULACAO]],tblVendas[[#This Row],[VALOR_TI]],""),0)</f>
        <v>0</v>
      </c>
      <c r="J117">
        <f>IF(tblCalculo[[#This Row],[STATUS]]="CONCLUÍDO",_xlfn.XLOOKUP(tblCalculo[[#This Row],[NR_SIMULACAO]],tblVendas[[#This Row],[NR_SIMULACAO]],tblVendas[[#This Row],[VALOR_APARELHO]],""),0)</f>
        <v>0</v>
      </c>
      <c r="K117" t="str">
        <f>IF(tblCalculo[[#This Row],[STATUS]]="NEGOCIANDO",tblCalculo[[#This Row],[VALOR_TOTAL]],"")</f>
        <v/>
      </c>
      <c r="L117" t="str">
        <f>IF(tblCalculo[[#This Row],[STATUS]]="ALÇADA",tblCalculo[[#This Row],[VALOR_TOTAL]],"")</f>
        <v/>
      </c>
      <c r="M117" t="str">
        <f>IF(tblCalculo[[#This Row],[STATUS]]="EM ANÁLISE",tblCalculo[[#This Row],[VALOR_TOTAL]],"")</f>
        <v/>
      </c>
      <c r="N117" t="str">
        <f>IF(tblCalculo[[#This Row],[STATUS]]="TRAMITANDO",tblCalculo[[#This Row],[VALOR_TOTAL]],"")</f>
        <v/>
      </c>
      <c r="O117">
        <f>IF(tblCalculo[[#This Row],[STATUS]]="PERDIDO",tblCalculo[[#This Row],[VALOR_TOTAL]],"")</f>
        <v>5803.53</v>
      </c>
      <c r="P117" t="str">
        <f>IF(tblCalculo[[#This Row],[STATUS]]="CONCLUÍDO",tblCalculo[[#This Row],[VALOR_TOTAL]],"")</f>
        <v/>
      </c>
    </row>
    <row r="118" spans="1:16" x14ac:dyDescent="0.25">
      <c r="A118" t="str">
        <f>tblVendas[[#This Row],[NR_SIMULACAO]]</f>
        <v>SIM1108</v>
      </c>
      <c r="B118" s="34" t="str">
        <f>_xlfn.XLOOKUP(A118,tblVendas[[#This Row],[NR_SIMULACAO]],tblVendas[[#This Row],[NR_CNPJ]],"")</f>
        <v>59.264.707/0001-71</v>
      </c>
      <c r="C118" t="str">
        <f>_xlfn.XLOOKUP(A118,tblVendas[[#This Row],[NR_SIMULACAO]],tblVendas[[#This Row],[STATUS]],"")</f>
        <v>PERDIDO</v>
      </c>
      <c r="D118" t="str">
        <f>_xlfn.XLOOKUP(A118,tblVendas[[#This Row],[NR_SIMULACAO]],tblVendas[[#This Row],[MES]],"")</f>
        <v>Dezembro</v>
      </c>
      <c r="E118">
        <f>SUM(_xlfn.XLOOKUP(tblCalculo[[#This Row],[NR_SIMULACAO]],tblVendas[[#This Row],[NR_SIMULACAO]],tblVendas[[#This Row],[VALOR_MOVEL]],""):_xlfn.XLOOKUP(tblCalculo[[#This Row],[NR_SIMULACAO]],tblVendas[[#This Row],[NR_SIMULACAO]],tblVendas[[#This Row],[VALOR_APARELHO]],""))</f>
        <v>9315.4500000000007</v>
      </c>
      <c r="F118">
        <f>IF(tblCalculo[[#This Row],[STATUS]]="CONCLUÍDO",_xlfn.XLOOKUP(tblCalculo[[#This Row],[NR_SIMULACAO]],tblVendas[[#This Row],[NR_SIMULACAO]],tblVendas[[#This Row],[VALOR_MOVEL]],""),0)</f>
        <v>0</v>
      </c>
      <c r="G118">
        <f>IF(tblCalculo[[#This Row],[STATUS]]="CONCLUÍDO",_xlfn.XLOOKUP(tblCalculo[[#This Row],[NR_SIMULACAO]],tblVendas[[#This Row],[NR_SIMULACAO]],tblVendas[[#This Row],[VALOR_AVANCADO]],""),0)</f>
        <v>0</v>
      </c>
      <c r="H118">
        <f>IF(tblCalculo[[#This Row],[STATUS]]="CONCLUÍDO",_xlfn.XLOOKUP(tblCalculo[[#This Row],[NR_SIMULACAO]],tblVendas[[#This Row],[NR_SIMULACAO]],tblVendas[[#This Row],[VALOR_FIXABASICA]],""),0)</f>
        <v>0</v>
      </c>
      <c r="I118">
        <f>IF(tblCalculo[[#This Row],[STATUS]]="CONCLUÍDO",_xlfn.XLOOKUP(tblCalculo[[#This Row],[NR_SIMULACAO]],tblVendas[[#This Row],[NR_SIMULACAO]],tblVendas[[#This Row],[VALOR_TI]],""),0)</f>
        <v>0</v>
      </c>
      <c r="J118">
        <f>IF(tblCalculo[[#This Row],[STATUS]]="CONCLUÍDO",_xlfn.XLOOKUP(tblCalculo[[#This Row],[NR_SIMULACAO]],tblVendas[[#This Row],[NR_SIMULACAO]],tblVendas[[#This Row],[VALOR_APARELHO]],""),0)</f>
        <v>0</v>
      </c>
      <c r="K118" t="str">
        <f>IF(tblCalculo[[#This Row],[STATUS]]="NEGOCIANDO",tblCalculo[[#This Row],[VALOR_TOTAL]],"")</f>
        <v/>
      </c>
      <c r="L118" t="str">
        <f>IF(tblCalculo[[#This Row],[STATUS]]="ALÇADA",tblCalculo[[#This Row],[VALOR_TOTAL]],"")</f>
        <v/>
      </c>
      <c r="M118" t="str">
        <f>IF(tblCalculo[[#This Row],[STATUS]]="EM ANÁLISE",tblCalculo[[#This Row],[VALOR_TOTAL]],"")</f>
        <v/>
      </c>
      <c r="N118" t="str">
        <f>IF(tblCalculo[[#This Row],[STATUS]]="TRAMITANDO",tblCalculo[[#This Row],[VALOR_TOTAL]],"")</f>
        <v/>
      </c>
      <c r="O118">
        <f>IF(tblCalculo[[#This Row],[STATUS]]="PERDIDO",tblCalculo[[#This Row],[VALOR_TOTAL]],"")</f>
        <v>9315.4500000000007</v>
      </c>
      <c r="P118" t="str">
        <f>IF(tblCalculo[[#This Row],[STATUS]]="CONCLUÍDO",tblCalculo[[#This Row],[VALOR_TOTAL]],"")</f>
        <v/>
      </c>
    </row>
    <row r="119" spans="1:16" x14ac:dyDescent="0.25">
      <c r="A119" t="str">
        <f>tblVendas[[#This Row],[NR_SIMULACAO]]</f>
        <v>SIM1109</v>
      </c>
      <c r="B119" s="34" t="str">
        <f>_xlfn.XLOOKUP(A119,tblVendas[[#This Row],[NR_SIMULACAO]],tblVendas[[#This Row],[NR_CNPJ]],"")</f>
        <v>69.642.104/0001-85</v>
      </c>
      <c r="C119" t="str">
        <f>_xlfn.XLOOKUP(A119,tblVendas[[#This Row],[NR_SIMULACAO]],tblVendas[[#This Row],[STATUS]],"")</f>
        <v>EM ANÁLISE</v>
      </c>
      <c r="D119" t="str">
        <f>_xlfn.XLOOKUP(A119,tblVendas[[#This Row],[NR_SIMULACAO]],tblVendas[[#This Row],[MES]],"")</f>
        <v>Julho</v>
      </c>
      <c r="E119">
        <f>SUM(_xlfn.XLOOKUP(tblCalculo[[#This Row],[NR_SIMULACAO]],tblVendas[[#This Row],[NR_SIMULACAO]],tblVendas[[#This Row],[VALOR_MOVEL]],""):_xlfn.XLOOKUP(tblCalculo[[#This Row],[NR_SIMULACAO]],tblVendas[[#This Row],[NR_SIMULACAO]],tblVendas[[#This Row],[VALOR_APARELHO]],""))</f>
        <v>141.96</v>
      </c>
      <c r="F119">
        <f>IF(tblCalculo[[#This Row],[STATUS]]="CONCLUÍDO",_xlfn.XLOOKUP(tblCalculo[[#This Row],[NR_SIMULACAO]],tblVendas[[#This Row],[NR_SIMULACAO]],tblVendas[[#This Row],[VALOR_MOVEL]],""),0)</f>
        <v>0</v>
      </c>
      <c r="G119">
        <f>IF(tblCalculo[[#This Row],[STATUS]]="CONCLUÍDO",_xlfn.XLOOKUP(tblCalculo[[#This Row],[NR_SIMULACAO]],tblVendas[[#This Row],[NR_SIMULACAO]],tblVendas[[#This Row],[VALOR_AVANCADO]],""),0)</f>
        <v>0</v>
      </c>
      <c r="H119">
        <f>IF(tblCalculo[[#This Row],[STATUS]]="CONCLUÍDO",_xlfn.XLOOKUP(tblCalculo[[#This Row],[NR_SIMULACAO]],tblVendas[[#This Row],[NR_SIMULACAO]],tblVendas[[#This Row],[VALOR_FIXABASICA]],""),0)</f>
        <v>0</v>
      </c>
      <c r="I119">
        <f>IF(tblCalculo[[#This Row],[STATUS]]="CONCLUÍDO",_xlfn.XLOOKUP(tblCalculo[[#This Row],[NR_SIMULACAO]],tblVendas[[#This Row],[NR_SIMULACAO]],tblVendas[[#This Row],[VALOR_TI]],""),0)</f>
        <v>0</v>
      </c>
      <c r="J119">
        <f>IF(tblCalculo[[#This Row],[STATUS]]="CONCLUÍDO",_xlfn.XLOOKUP(tblCalculo[[#This Row],[NR_SIMULACAO]],tblVendas[[#This Row],[NR_SIMULACAO]],tblVendas[[#This Row],[VALOR_APARELHO]],""),0)</f>
        <v>0</v>
      </c>
      <c r="K119" t="str">
        <f>IF(tblCalculo[[#This Row],[STATUS]]="NEGOCIANDO",tblCalculo[[#This Row],[VALOR_TOTAL]],"")</f>
        <v/>
      </c>
      <c r="L119" t="str">
        <f>IF(tblCalculo[[#This Row],[STATUS]]="ALÇADA",tblCalculo[[#This Row],[VALOR_TOTAL]],"")</f>
        <v/>
      </c>
      <c r="M119">
        <f>IF(tblCalculo[[#This Row],[STATUS]]="EM ANÁLISE",tblCalculo[[#This Row],[VALOR_TOTAL]],"")</f>
        <v>141.96</v>
      </c>
      <c r="N119" t="str">
        <f>IF(tblCalculo[[#This Row],[STATUS]]="TRAMITANDO",tblCalculo[[#This Row],[VALOR_TOTAL]],"")</f>
        <v/>
      </c>
      <c r="O119" t="str">
        <f>IF(tblCalculo[[#This Row],[STATUS]]="PERDIDO",tblCalculo[[#This Row],[VALOR_TOTAL]],"")</f>
        <v/>
      </c>
      <c r="P119" t="str">
        <f>IF(tblCalculo[[#This Row],[STATUS]]="CONCLUÍDO",tblCalculo[[#This Row],[VALOR_TOTAL]],"")</f>
        <v/>
      </c>
    </row>
    <row r="120" spans="1:16" x14ac:dyDescent="0.25">
      <c r="A120" t="str">
        <f>tblVendas[[#This Row],[NR_SIMULACAO]]</f>
        <v>SIM1110</v>
      </c>
      <c r="B120" s="34" t="str">
        <f>_xlfn.XLOOKUP(A120,tblVendas[[#This Row],[NR_SIMULACAO]],tblVendas[[#This Row],[NR_CNPJ]],"")</f>
        <v>89.879.972/0001-98</v>
      </c>
      <c r="C120" t="str">
        <f>_xlfn.XLOOKUP(A120,tblVendas[[#This Row],[NR_SIMULACAO]],tblVendas[[#This Row],[STATUS]],"")</f>
        <v>PERDIDO</v>
      </c>
      <c r="D120" t="str">
        <f>_xlfn.XLOOKUP(A120,tblVendas[[#This Row],[NR_SIMULACAO]],tblVendas[[#This Row],[MES]],"")</f>
        <v>Janeiro</v>
      </c>
      <c r="E120">
        <f>SUM(_xlfn.XLOOKUP(tblCalculo[[#This Row],[NR_SIMULACAO]],tblVendas[[#This Row],[NR_SIMULACAO]],tblVendas[[#This Row],[VALOR_MOVEL]],""):_xlfn.XLOOKUP(tblCalculo[[#This Row],[NR_SIMULACAO]],tblVendas[[#This Row],[NR_SIMULACAO]],tblVendas[[#This Row],[VALOR_APARELHO]],""))</f>
        <v>9618.91</v>
      </c>
      <c r="F120">
        <f>IF(tblCalculo[[#This Row],[STATUS]]="CONCLUÍDO",_xlfn.XLOOKUP(tblCalculo[[#This Row],[NR_SIMULACAO]],tblVendas[[#This Row],[NR_SIMULACAO]],tblVendas[[#This Row],[VALOR_MOVEL]],""),0)</f>
        <v>0</v>
      </c>
      <c r="G120">
        <f>IF(tblCalculo[[#This Row],[STATUS]]="CONCLUÍDO",_xlfn.XLOOKUP(tblCalculo[[#This Row],[NR_SIMULACAO]],tblVendas[[#This Row],[NR_SIMULACAO]],tblVendas[[#This Row],[VALOR_AVANCADO]],""),0)</f>
        <v>0</v>
      </c>
      <c r="H120">
        <f>IF(tblCalculo[[#This Row],[STATUS]]="CONCLUÍDO",_xlfn.XLOOKUP(tblCalculo[[#This Row],[NR_SIMULACAO]],tblVendas[[#This Row],[NR_SIMULACAO]],tblVendas[[#This Row],[VALOR_FIXABASICA]],""),0)</f>
        <v>0</v>
      </c>
      <c r="I120">
        <f>IF(tblCalculo[[#This Row],[STATUS]]="CONCLUÍDO",_xlfn.XLOOKUP(tblCalculo[[#This Row],[NR_SIMULACAO]],tblVendas[[#This Row],[NR_SIMULACAO]],tblVendas[[#This Row],[VALOR_TI]],""),0)</f>
        <v>0</v>
      </c>
      <c r="J120">
        <f>IF(tblCalculo[[#This Row],[STATUS]]="CONCLUÍDO",_xlfn.XLOOKUP(tblCalculo[[#This Row],[NR_SIMULACAO]],tblVendas[[#This Row],[NR_SIMULACAO]],tblVendas[[#This Row],[VALOR_APARELHO]],""),0)</f>
        <v>0</v>
      </c>
      <c r="K120" t="str">
        <f>IF(tblCalculo[[#This Row],[STATUS]]="NEGOCIANDO",tblCalculo[[#This Row],[VALOR_TOTAL]],"")</f>
        <v/>
      </c>
      <c r="L120" t="str">
        <f>IF(tblCalculo[[#This Row],[STATUS]]="ALÇADA",tblCalculo[[#This Row],[VALOR_TOTAL]],"")</f>
        <v/>
      </c>
      <c r="M120" t="str">
        <f>IF(tblCalculo[[#This Row],[STATUS]]="EM ANÁLISE",tblCalculo[[#This Row],[VALOR_TOTAL]],"")</f>
        <v/>
      </c>
      <c r="N120" t="str">
        <f>IF(tblCalculo[[#This Row],[STATUS]]="TRAMITANDO",tblCalculo[[#This Row],[VALOR_TOTAL]],"")</f>
        <v/>
      </c>
      <c r="O120">
        <f>IF(tblCalculo[[#This Row],[STATUS]]="PERDIDO",tblCalculo[[#This Row],[VALOR_TOTAL]],"")</f>
        <v>9618.91</v>
      </c>
      <c r="P120" t="str">
        <f>IF(tblCalculo[[#This Row],[STATUS]]="CONCLUÍDO",tblCalculo[[#This Row],[VALOR_TOTAL]],"")</f>
        <v/>
      </c>
    </row>
    <row r="121" spans="1:16" x14ac:dyDescent="0.25">
      <c r="A121" t="str">
        <f>tblVendas[[#This Row],[NR_SIMULACAO]]</f>
        <v>SIM1111</v>
      </c>
      <c r="B121" s="34" t="str">
        <f>_xlfn.XLOOKUP(A121,tblVendas[[#This Row],[NR_SIMULACAO]],tblVendas[[#This Row],[NR_CNPJ]],"")</f>
        <v>26.826.114/0001-85</v>
      </c>
      <c r="C121" t="str">
        <f>_xlfn.XLOOKUP(A121,tblVendas[[#This Row],[NR_SIMULACAO]],tblVendas[[#This Row],[STATUS]],"")</f>
        <v>CONCLUÍDO</v>
      </c>
      <c r="D121" t="str">
        <f>_xlfn.XLOOKUP(A121,tblVendas[[#This Row],[NR_SIMULACAO]],tblVendas[[#This Row],[MES]],"")</f>
        <v>Dezembro</v>
      </c>
      <c r="E121">
        <f>SUM(_xlfn.XLOOKUP(tblCalculo[[#This Row],[NR_SIMULACAO]],tblVendas[[#This Row],[NR_SIMULACAO]],tblVendas[[#This Row],[VALOR_MOVEL]],""):_xlfn.XLOOKUP(tblCalculo[[#This Row],[NR_SIMULACAO]],tblVendas[[#This Row],[NR_SIMULACAO]],tblVendas[[#This Row],[VALOR_APARELHO]],""))</f>
        <v>1106.3399999999999</v>
      </c>
      <c r="F121">
        <f>IF(tblCalculo[[#This Row],[STATUS]]="CONCLUÍDO",_xlfn.XLOOKUP(tblCalculo[[#This Row],[NR_SIMULACAO]],tblVendas[[#This Row],[NR_SIMULACAO]],tblVendas[[#This Row],[VALOR_MOVEL]],""),0)</f>
        <v>0</v>
      </c>
      <c r="G121">
        <f>IF(tblCalculo[[#This Row],[STATUS]]="CONCLUÍDO",_xlfn.XLOOKUP(tblCalculo[[#This Row],[NR_SIMULACAO]],tblVendas[[#This Row],[NR_SIMULACAO]],tblVendas[[#This Row],[VALOR_AVANCADO]],""),0)</f>
        <v>0</v>
      </c>
      <c r="H121">
        <f>IF(tblCalculo[[#This Row],[STATUS]]="CONCLUÍDO",_xlfn.XLOOKUP(tblCalculo[[#This Row],[NR_SIMULACAO]],tblVendas[[#This Row],[NR_SIMULACAO]],tblVendas[[#This Row],[VALOR_FIXABASICA]],""),0)</f>
        <v>0</v>
      </c>
      <c r="I121">
        <f>IF(tblCalculo[[#This Row],[STATUS]]="CONCLUÍDO",_xlfn.XLOOKUP(tblCalculo[[#This Row],[NR_SIMULACAO]],tblVendas[[#This Row],[NR_SIMULACAO]],tblVendas[[#This Row],[VALOR_TI]],""),0)</f>
        <v>0</v>
      </c>
      <c r="J121">
        <f>IF(tblCalculo[[#This Row],[STATUS]]="CONCLUÍDO",_xlfn.XLOOKUP(tblCalculo[[#This Row],[NR_SIMULACAO]],tblVendas[[#This Row],[NR_SIMULACAO]],tblVendas[[#This Row],[VALOR_APARELHO]],""),0)</f>
        <v>1106.3399999999999</v>
      </c>
      <c r="K121" t="str">
        <f>IF(tblCalculo[[#This Row],[STATUS]]="NEGOCIANDO",tblCalculo[[#This Row],[VALOR_TOTAL]],"")</f>
        <v/>
      </c>
      <c r="L121" t="str">
        <f>IF(tblCalculo[[#This Row],[STATUS]]="ALÇADA",tblCalculo[[#This Row],[VALOR_TOTAL]],"")</f>
        <v/>
      </c>
      <c r="M121" t="str">
        <f>IF(tblCalculo[[#This Row],[STATUS]]="EM ANÁLISE",tblCalculo[[#This Row],[VALOR_TOTAL]],"")</f>
        <v/>
      </c>
      <c r="N121" t="str">
        <f>IF(tblCalculo[[#This Row],[STATUS]]="TRAMITANDO",tblCalculo[[#This Row],[VALOR_TOTAL]],"")</f>
        <v/>
      </c>
      <c r="O121" t="str">
        <f>IF(tblCalculo[[#This Row],[STATUS]]="PERDIDO",tblCalculo[[#This Row],[VALOR_TOTAL]],"")</f>
        <v/>
      </c>
      <c r="P121">
        <f>IF(tblCalculo[[#This Row],[STATUS]]="CONCLUÍDO",tblCalculo[[#This Row],[VALOR_TOTAL]],"")</f>
        <v>1106.3399999999999</v>
      </c>
    </row>
    <row r="122" spans="1:16" x14ac:dyDescent="0.25">
      <c r="A122" t="str">
        <f>tblVendas[[#This Row],[NR_SIMULACAO]]</f>
        <v>SIM1112</v>
      </c>
      <c r="B122" s="34" t="str">
        <f>_xlfn.XLOOKUP(A122,tblVendas[[#This Row],[NR_SIMULACAO]],tblVendas[[#This Row],[NR_CNPJ]],"")</f>
        <v>87.239.960/0001-84</v>
      </c>
      <c r="C122" t="str">
        <f>_xlfn.XLOOKUP(A122,tblVendas[[#This Row],[NR_SIMULACAO]],tblVendas[[#This Row],[STATUS]],"")</f>
        <v>EM ANÁLISE</v>
      </c>
      <c r="D122" t="str">
        <f>_xlfn.XLOOKUP(A122,tblVendas[[#This Row],[NR_SIMULACAO]],tblVendas[[#This Row],[MES]],"")</f>
        <v>Maio</v>
      </c>
      <c r="E122">
        <f>SUM(_xlfn.XLOOKUP(tblCalculo[[#This Row],[NR_SIMULACAO]],tblVendas[[#This Row],[NR_SIMULACAO]],tblVendas[[#This Row],[VALOR_MOVEL]],""):_xlfn.XLOOKUP(tblCalculo[[#This Row],[NR_SIMULACAO]],tblVendas[[#This Row],[NR_SIMULACAO]],tblVendas[[#This Row],[VALOR_APARELHO]],""))</f>
        <v>7836.75</v>
      </c>
      <c r="F122">
        <f>IF(tblCalculo[[#This Row],[STATUS]]="CONCLUÍDO",_xlfn.XLOOKUP(tblCalculo[[#This Row],[NR_SIMULACAO]],tblVendas[[#This Row],[NR_SIMULACAO]],tblVendas[[#This Row],[VALOR_MOVEL]],""),0)</f>
        <v>0</v>
      </c>
      <c r="G122">
        <f>IF(tblCalculo[[#This Row],[STATUS]]="CONCLUÍDO",_xlfn.XLOOKUP(tblCalculo[[#This Row],[NR_SIMULACAO]],tblVendas[[#This Row],[NR_SIMULACAO]],tblVendas[[#This Row],[VALOR_AVANCADO]],""),0)</f>
        <v>0</v>
      </c>
      <c r="H122">
        <f>IF(tblCalculo[[#This Row],[STATUS]]="CONCLUÍDO",_xlfn.XLOOKUP(tblCalculo[[#This Row],[NR_SIMULACAO]],tblVendas[[#This Row],[NR_SIMULACAO]],tblVendas[[#This Row],[VALOR_FIXABASICA]],""),0)</f>
        <v>0</v>
      </c>
      <c r="I122">
        <f>IF(tblCalculo[[#This Row],[STATUS]]="CONCLUÍDO",_xlfn.XLOOKUP(tblCalculo[[#This Row],[NR_SIMULACAO]],tblVendas[[#This Row],[NR_SIMULACAO]],tblVendas[[#This Row],[VALOR_TI]],""),0)</f>
        <v>0</v>
      </c>
      <c r="J122">
        <f>IF(tblCalculo[[#This Row],[STATUS]]="CONCLUÍDO",_xlfn.XLOOKUP(tblCalculo[[#This Row],[NR_SIMULACAO]],tblVendas[[#This Row],[NR_SIMULACAO]],tblVendas[[#This Row],[VALOR_APARELHO]],""),0)</f>
        <v>0</v>
      </c>
      <c r="K122" t="str">
        <f>IF(tblCalculo[[#This Row],[STATUS]]="NEGOCIANDO",tblCalculo[[#This Row],[VALOR_TOTAL]],"")</f>
        <v/>
      </c>
      <c r="L122" t="str">
        <f>IF(tblCalculo[[#This Row],[STATUS]]="ALÇADA",tblCalculo[[#This Row],[VALOR_TOTAL]],"")</f>
        <v/>
      </c>
      <c r="M122">
        <f>IF(tblCalculo[[#This Row],[STATUS]]="EM ANÁLISE",tblCalculo[[#This Row],[VALOR_TOTAL]],"")</f>
        <v>7836.75</v>
      </c>
      <c r="N122" t="str">
        <f>IF(tblCalculo[[#This Row],[STATUS]]="TRAMITANDO",tblCalculo[[#This Row],[VALOR_TOTAL]],"")</f>
        <v/>
      </c>
      <c r="O122" t="str">
        <f>IF(tblCalculo[[#This Row],[STATUS]]="PERDIDO",tblCalculo[[#This Row],[VALOR_TOTAL]],"")</f>
        <v/>
      </c>
      <c r="P122" t="str">
        <f>IF(tblCalculo[[#This Row],[STATUS]]="CONCLUÍDO",tblCalculo[[#This Row],[VALOR_TOTAL]],"")</f>
        <v/>
      </c>
    </row>
    <row r="123" spans="1:16" x14ac:dyDescent="0.25">
      <c r="A123" t="str">
        <f>tblVendas[[#This Row],[NR_SIMULACAO]]</f>
        <v>SIM1113</v>
      </c>
      <c r="B123" s="34" t="str">
        <f>_xlfn.XLOOKUP(A123,tblVendas[[#This Row],[NR_SIMULACAO]],tblVendas[[#This Row],[NR_CNPJ]],"")</f>
        <v>22.958.375/0001-98</v>
      </c>
      <c r="C123" t="str">
        <f>_xlfn.XLOOKUP(A123,tblVendas[[#This Row],[NR_SIMULACAO]],tblVendas[[#This Row],[STATUS]],"")</f>
        <v>TRAMITANDO</v>
      </c>
      <c r="D123" t="str">
        <f>_xlfn.XLOOKUP(A123,tblVendas[[#This Row],[NR_SIMULACAO]],tblVendas[[#This Row],[MES]],"")</f>
        <v>Março</v>
      </c>
      <c r="E123">
        <f>SUM(_xlfn.XLOOKUP(tblCalculo[[#This Row],[NR_SIMULACAO]],tblVendas[[#This Row],[NR_SIMULACAO]],tblVendas[[#This Row],[VALOR_MOVEL]],""):_xlfn.XLOOKUP(tblCalculo[[#This Row],[NR_SIMULACAO]],tblVendas[[#This Row],[NR_SIMULACAO]],tblVendas[[#This Row],[VALOR_APARELHO]],""))</f>
        <v>5536.65</v>
      </c>
      <c r="F123">
        <f>IF(tblCalculo[[#This Row],[STATUS]]="CONCLUÍDO",_xlfn.XLOOKUP(tblCalculo[[#This Row],[NR_SIMULACAO]],tblVendas[[#This Row],[NR_SIMULACAO]],tblVendas[[#This Row],[VALOR_MOVEL]],""),0)</f>
        <v>0</v>
      </c>
      <c r="G123">
        <f>IF(tblCalculo[[#This Row],[STATUS]]="CONCLUÍDO",_xlfn.XLOOKUP(tblCalculo[[#This Row],[NR_SIMULACAO]],tblVendas[[#This Row],[NR_SIMULACAO]],tblVendas[[#This Row],[VALOR_AVANCADO]],""),0)</f>
        <v>0</v>
      </c>
      <c r="H123">
        <f>IF(tblCalculo[[#This Row],[STATUS]]="CONCLUÍDO",_xlfn.XLOOKUP(tblCalculo[[#This Row],[NR_SIMULACAO]],tblVendas[[#This Row],[NR_SIMULACAO]],tblVendas[[#This Row],[VALOR_FIXABASICA]],""),0)</f>
        <v>0</v>
      </c>
      <c r="I123">
        <f>IF(tblCalculo[[#This Row],[STATUS]]="CONCLUÍDO",_xlfn.XLOOKUP(tblCalculo[[#This Row],[NR_SIMULACAO]],tblVendas[[#This Row],[NR_SIMULACAO]],tblVendas[[#This Row],[VALOR_TI]],""),0)</f>
        <v>0</v>
      </c>
      <c r="J123">
        <f>IF(tblCalculo[[#This Row],[STATUS]]="CONCLUÍDO",_xlfn.XLOOKUP(tblCalculo[[#This Row],[NR_SIMULACAO]],tblVendas[[#This Row],[NR_SIMULACAO]],tblVendas[[#This Row],[VALOR_APARELHO]],""),0)</f>
        <v>0</v>
      </c>
      <c r="K123" t="str">
        <f>IF(tblCalculo[[#This Row],[STATUS]]="NEGOCIANDO",tblCalculo[[#This Row],[VALOR_TOTAL]],"")</f>
        <v/>
      </c>
      <c r="L123" t="str">
        <f>IF(tblCalculo[[#This Row],[STATUS]]="ALÇADA",tblCalculo[[#This Row],[VALOR_TOTAL]],"")</f>
        <v/>
      </c>
      <c r="M123" t="str">
        <f>IF(tblCalculo[[#This Row],[STATUS]]="EM ANÁLISE",tblCalculo[[#This Row],[VALOR_TOTAL]],"")</f>
        <v/>
      </c>
      <c r="N123">
        <f>IF(tblCalculo[[#This Row],[STATUS]]="TRAMITANDO",tblCalculo[[#This Row],[VALOR_TOTAL]],"")</f>
        <v>5536.65</v>
      </c>
      <c r="O123" t="str">
        <f>IF(tblCalculo[[#This Row],[STATUS]]="PERDIDO",tblCalculo[[#This Row],[VALOR_TOTAL]],"")</f>
        <v/>
      </c>
      <c r="P123" t="str">
        <f>IF(tblCalculo[[#This Row],[STATUS]]="CONCLUÍDO",tblCalculo[[#This Row],[VALOR_TOTAL]],"")</f>
        <v/>
      </c>
    </row>
    <row r="124" spans="1:16" x14ac:dyDescent="0.25">
      <c r="A124" t="str">
        <f>tblVendas[[#This Row],[NR_SIMULACAO]]</f>
        <v>SIM1114</v>
      </c>
      <c r="B124" s="34" t="str">
        <f>_xlfn.XLOOKUP(A124,tblVendas[[#This Row],[NR_SIMULACAO]],tblVendas[[#This Row],[NR_CNPJ]],"")</f>
        <v>33.103.496/0001-43</v>
      </c>
      <c r="C124" t="str">
        <f>_xlfn.XLOOKUP(A124,tblVendas[[#This Row],[NR_SIMULACAO]],tblVendas[[#This Row],[STATUS]],"")</f>
        <v>ALÇADA</v>
      </c>
      <c r="D124" t="str">
        <f>_xlfn.XLOOKUP(A124,tblVendas[[#This Row],[NR_SIMULACAO]],tblVendas[[#This Row],[MES]],"")</f>
        <v>Janeiro</v>
      </c>
      <c r="E124">
        <f>SUM(_xlfn.XLOOKUP(tblCalculo[[#This Row],[NR_SIMULACAO]],tblVendas[[#This Row],[NR_SIMULACAO]],tblVendas[[#This Row],[VALOR_MOVEL]],""):_xlfn.XLOOKUP(tblCalculo[[#This Row],[NR_SIMULACAO]],tblVendas[[#This Row],[NR_SIMULACAO]],tblVendas[[#This Row],[VALOR_APARELHO]],""))</f>
        <v>6604.55</v>
      </c>
      <c r="F124">
        <f>IF(tblCalculo[[#This Row],[STATUS]]="CONCLUÍDO",_xlfn.XLOOKUP(tblCalculo[[#This Row],[NR_SIMULACAO]],tblVendas[[#This Row],[NR_SIMULACAO]],tblVendas[[#This Row],[VALOR_MOVEL]],""),0)</f>
        <v>0</v>
      </c>
      <c r="G124">
        <f>IF(tblCalculo[[#This Row],[STATUS]]="CONCLUÍDO",_xlfn.XLOOKUP(tblCalculo[[#This Row],[NR_SIMULACAO]],tblVendas[[#This Row],[NR_SIMULACAO]],tblVendas[[#This Row],[VALOR_AVANCADO]],""),0)</f>
        <v>0</v>
      </c>
      <c r="H124">
        <f>IF(tblCalculo[[#This Row],[STATUS]]="CONCLUÍDO",_xlfn.XLOOKUP(tblCalculo[[#This Row],[NR_SIMULACAO]],tblVendas[[#This Row],[NR_SIMULACAO]],tblVendas[[#This Row],[VALOR_FIXABASICA]],""),0)</f>
        <v>0</v>
      </c>
      <c r="I124">
        <f>IF(tblCalculo[[#This Row],[STATUS]]="CONCLUÍDO",_xlfn.XLOOKUP(tblCalculo[[#This Row],[NR_SIMULACAO]],tblVendas[[#This Row],[NR_SIMULACAO]],tblVendas[[#This Row],[VALOR_TI]],""),0)</f>
        <v>0</v>
      </c>
      <c r="J124">
        <f>IF(tblCalculo[[#This Row],[STATUS]]="CONCLUÍDO",_xlfn.XLOOKUP(tblCalculo[[#This Row],[NR_SIMULACAO]],tblVendas[[#This Row],[NR_SIMULACAO]],tblVendas[[#This Row],[VALOR_APARELHO]],""),0)</f>
        <v>0</v>
      </c>
      <c r="K124" t="str">
        <f>IF(tblCalculo[[#This Row],[STATUS]]="NEGOCIANDO",tblCalculo[[#This Row],[VALOR_TOTAL]],"")</f>
        <v/>
      </c>
      <c r="L124">
        <f>IF(tblCalculo[[#This Row],[STATUS]]="ALÇADA",tblCalculo[[#This Row],[VALOR_TOTAL]],"")</f>
        <v>6604.55</v>
      </c>
      <c r="M124" t="str">
        <f>IF(tblCalculo[[#This Row],[STATUS]]="EM ANÁLISE",tblCalculo[[#This Row],[VALOR_TOTAL]],"")</f>
        <v/>
      </c>
      <c r="N124" t="str">
        <f>IF(tblCalculo[[#This Row],[STATUS]]="TRAMITANDO",tblCalculo[[#This Row],[VALOR_TOTAL]],"")</f>
        <v/>
      </c>
      <c r="O124" t="str">
        <f>IF(tblCalculo[[#This Row],[STATUS]]="PERDIDO",tblCalculo[[#This Row],[VALOR_TOTAL]],"")</f>
        <v/>
      </c>
      <c r="P124" t="str">
        <f>IF(tblCalculo[[#This Row],[STATUS]]="CONCLUÍDO",tblCalculo[[#This Row],[VALOR_TOTAL]],"")</f>
        <v/>
      </c>
    </row>
    <row r="125" spans="1:16" x14ac:dyDescent="0.25">
      <c r="A125" t="str">
        <f>tblVendas[[#This Row],[NR_SIMULACAO]]</f>
        <v>SIM1115</v>
      </c>
      <c r="B125" s="34" t="str">
        <f>_xlfn.XLOOKUP(A125,tblVendas[[#This Row],[NR_SIMULACAO]],tblVendas[[#This Row],[NR_CNPJ]],"")</f>
        <v>14.663.901/0001-65</v>
      </c>
      <c r="C125" t="str">
        <f>_xlfn.XLOOKUP(A125,tblVendas[[#This Row],[NR_SIMULACAO]],tblVendas[[#This Row],[STATUS]],"")</f>
        <v>EM ANÁLISE</v>
      </c>
      <c r="D125" t="str">
        <f>_xlfn.XLOOKUP(A125,tblVendas[[#This Row],[NR_SIMULACAO]],tblVendas[[#This Row],[MES]],"")</f>
        <v>Setembro</v>
      </c>
      <c r="E125">
        <f>SUM(_xlfn.XLOOKUP(tblCalculo[[#This Row],[NR_SIMULACAO]],tblVendas[[#This Row],[NR_SIMULACAO]],tblVendas[[#This Row],[VALOR_MOVEL]],""):_xlfn.XLOOKUP(tblCalculo[[#This Row],[NR_SIMULACAO]],tblVendas[[#This Row],[NR_SIMULACAO]],tblVendas[[#This Row],[VALOR_APARELHO]],""))</f>
        <v>14032.460000000001</v>
      </c>
      <c r="F125">
        <f>IF(tblCalculo[[#This Row],[STATUS]]="CONCLUÍDO",_xlfn.XLOOKUP(tblCalculo[[#This Row],[NR_SIMULACAO]],tblVendas[[#This Row],[NR_SIMULACAO]],tblVendas[[#This Row],[VALOR_MOVEL]],""),0)</f>
        <v>0</v>
      </c>
      <c r="G125">
        <f>IF(tblCalculo[[#This Row],[STATUS]]="CONCLUÍDO",_xlfn.XLOOKUP(tblCalculo[[#This Row],[NR_SIMULACAO]],tblVendas[[#This Row],[NR_SIMULACAO]],tblVendas[[#This Row],[VALOR_AVANCADO]],""),0)</f>
        <v>0</v>
      </c>
      <c r="H125">
        <f>IF(tblCalculo[[#This Row],[STATUS]]="CONCLUÍDO",_xlfn.XLOOKUP(tblCalculo[[#This Row],[NR_SIMULACAO]],tblVendas[[#This Row],[NR_SIMULACAO]],tblVendas[[#This Row],[VALOR_FIXABASICA]],""),0)</f>
        <v>0</v>
      </c>
      <c r="I125">
        <f>IF(tblCalculo[[#This Row],[STATUS]]="CONCLUÍDO",_xlfn.XLOOKUP(tblCalculo[[#This Row],[NR_SIMULACAO]],tblVendas[[#This Row],[NR_SIMULACAO]],tblVendas[[#This Row],[VALOR_TI]],""),0)</f>
        <v>0</v>
      </c>
      <c r="J125">
        <f>IF(tblCalculo[[#This Row],[STATUS]]="CONCLUÍDO",_xlfn.XLOOKUP(tblCalculo[[#This Row],[NR_SIMULACAO]],tblVendas[[#This Row],[NR_SIMULACAO]],tblVendas[[#This Row],[VALOR_APARELHO]],""),0)</f>
        <v>0</v>
      </c>
      <c r="K125" t="str">
        <f>IF(tblCalculo[[#This Row],[STATUS]]="NEGOCIANDO",tblCalculo[[#This Row],[VALOR_TOTAL]],"")</f>
        <v/>
      </c>
      <c r="L125" t="str">
        <f>IF(tblCalculo[[#This Row],[STATUS]]="ALÇADA",tblCalculo[[#This Row],[VALOR_TOTAL]],"")</f>
        <v/>
      </c>
      <c r="M125">
        <f>IF(tblCalculo[[#This Row],[STATUS]]="EM ANÁLISE",tblCalculo[[#This Row],[VALOR_TOTAL]],"")</f>
        <v>14032.460000000001</v>
      </c>
      <c r="N125" t="str">
        <f>IF(tblCalculo[[#This Row],[STATUS]]="TRAMITANDO",tblCalculo[[#This Row],[VALOR_TOTAL]],"")</f>
        <v/>
      </c>
      <c r="O125" t="str">
        <f>IF(tblCalculo[[#This Row],[STATUS]]="PERDIDO",tblCalculo[[#This Row],[VALOR_TOTAL]],"")</f>
        <v/>
      </c>
      <c r="P125" t="str">
        <f>IF(tblCalculo[[#This Row],[STATUS]]="CONCLUÍDO",tblCalculo[[#This Row],[VALOR_TOTAL]],"")</f>
        <v/>
      </c>
    </row>
    <row r="126" spans="1:16" x14ac:dyDescent="0.25">
      <c r="A126" t="str">
        <f>tblVendas[[#This Row],[NR_SIMULACAO]]</f>
        <v>SIM1116</v>
      </c>
      <c r="B126" s="34" t="str">
        <f>_xlfn.XLOOKUP(A126,tblVendas[[#This Row],[NR_SIMULACAO]],tblVendas[[#This Row],[NR_CNPJ]],"")</f>
        <v>46.511.204/0001-28</v>
      </c>
      <c r="C126" t="str">
        <f>_xlfn.XLOOKUP(A126,tblVendas[[#This Row],[NR_SIMULACAO]],tblVendas[[#This Row],[STATUS]],"")</f>
        <v>TRAMITANDO</v>
      </c>
      <c r="D126" t="str">
        <f>_xlfn.XLOOKUP(A126,tblVendas[[#This Row],[NR_SIMULACAO]],tblVendas[[#This Row],[MES]],"")</f>
        <v>Novembro</v>
      </c>
      <c r="E126">
        <f>SUM(_xlfn.XLOOKUP(tblCalculo[[#This Row],[NR_SIMULACAO]],tblVendas[[#This Row],[NR_SIMULACAO]],tblVendas[[#This Row],[VALOR_MOVEL]],""):_xlfn.XLOOKUP(tblCalculo[[#This Row],[NR_SIMULACAO]],tblVendas[[#This Row],[NR_SIMULACAO]],tblVendas[[#This Row],[VALOR_APARELHO]],""))</f>
        <v>18557.79</v>
      </c>
      <c r="F126">
        <f>IF(tblCalculo[[#This Row],[STATUS]]="CONCLUÍDO",_xlfn.XLOOKUP(tblCalculo[[#This Row],[NR_SIMULACAO]],tblVendas[[#This Row],[NR_SIMULACAO]],tblVendas[[#This Row],[VALOR_MOVEL]],""),0)</f>
        <v>0</v>
      </c>
      <c r="G126">
        <f>IF(tblCalculo[[#This Row],[STATUS]]="CONCLUÍDO",_xlfn.XLOOKUP(tblCalculo[[#This Row],[NR_SIMULACAO]],tblVendas[[#This Row],[NR_SIMULACAO]],tblVendas[[#This Row],[VALOR_AVANCADO]],""),0)</f>
        <v>0</v>
      </c>
      <c r="H126">
        <f>IF(tblCalculo[[#This Row],[STATUS]]="CONCLUÍDO",_xlfn.XLOOKUP(tblCalculo[[#This Row],[NR_SIMULACAO]],tblVendas[[#This Row],[NR_SIMULACAO]],tblVendas[[#This Row],[VALOR_FIXABASICA]],""),0)</f>
        <v>0</v>
      </c>
      <c r="I126">
        <f>IF(tblCalculo[[#This Row],[STATUS]]="CONCLUÍDO",_xlfn.XLOOKUP(tblCalculo[[#This Row],[NR_SIMULACAO]],tblVendas[[#This Row],[NR_SIMULACAO]],tblVendas[[#This Row],[VALOR_TI]],""),0)</f>
        <v>0</v>
      </c>
      <c r="J126">
        <f>IF(tblCalculo[[#This Row],[STATUS]]="CONCLUÍDO",_xlfn.XLOOKUP(tblCalculo[[#This Row],[NR_SIMULACAO]],tblVendas[[#This Row],[NR_SIMULACAO]],tblVendas[[#This Row],[VALOR_APARELHO]],""),0)</f>
        <v>0</v>
      </c>
      <c r="K126" t="str">
        <f>IF(tblCalculo[[#This Row],[STATUS]]="NEGOCIANDO",tblCalculo[[#This Row],[VALOR_TOTAL]],"")</f>
        <v/>
      </c>
      <c r="L126" t="str">
        <f>IF(tblCalculo[[#This Row],[STATUS]]="ALÇADA",tblCalculo[[#This Row],[VALOR_TOTAL]],"")</f>
        <v/>
      </c>
      <c r="M126" t="str">
        <f>IF(tblCalculo[[#This Row],[STATUS]]="EM ANÁLISE",tblCalculo[[#This Row],[VALOR_TOTAL]],"")</f>
        <v/>
      </c>
      <c r="N126">
        <f>IF(tblCalculo[[#This Row],[STATUS]]="TRAMITANDO",tblCalculo[[#This Row],[VALOR_TOTAL]],"")</f>
        <v>18557.79</v>
      </c>
      <c r="O126" t="str">
        <f>IF(tblCalculo[[#This Row],[STATUS]]="PERDIDO",tblCalculo[[#This Row],[VALOR_TOTAL]],"")</f>
        <v/>
      </c>
      <c r="P126" t="str">
        <f>IF(tblCalculo[[#This Row],[STATUS]]="CONCLUÍDO",tblCalculo[[#This Row],[VALOR_TOTAL]],"")</f>
        <v/>
      </c>
    </row>
    <row r="127" spans="1:16" x14ac:dyDescent="0.25">
      <c r="A127" t="str">
        <f>tblVendas[[#This Row],[NR_SIMULACAO]]</f>
        <v>SIM1117</v>
      </c>
      <c r="B127" s="34" t="str">
        <f>_xlfn.XLOOKUP(A127,tblVendas[[#This Row],[NR_SIMULACAO]],tblVendas[[#This Row],[NR_CNPJ]],"")</f>
        <v>48.718.288/0001-38</v>
      </c>
      <c r="C127" t="str">
        <f>_xlfn.XLOOKUP(A127,tblVendas[[#This Row],[NR_SIMULACAO]],tblVendas[[#This Row],[STATUS]],"")</f>
        <v>TRAMITANDO</v>
      </c>
      <c r="D127" t="str">
        <f>_xlfn.XLOOKUP(A127,tblVendas[[#This Row],[NR_SIMULACAO]],tblVendas[[#This Row],[MES]],"")</f>
        <v>Setembro</v>
      </c>
      <c r="E127">
        <f>SUM(_xlfn.XLOOKUP(tblCalculo[[#This Row],[NR_SIMULACAO]],tblVendas[[#This Row],[NR_SIMULACAO]],tblVendas[[#This Row],[VALOR_MOVEL]],""):_xlfn.XLOOKUP(tblCalculo[[#This Row],[NR_SIMULACAO]],tblVendas[[#This Row],[NR_SIMULACAO]],tblVendas[[#This Row],[VALOR_APARELHO]],""))</f>
        <v>10628.130000000001</v>
      </c>
      <c r="F127">
        <f>IF(tblCalculo[[#This Row],[STATUS]]="CONCLUÍDO",_xlfn.XLOOKUP(tblCalculo[[#This Row],[NR_SIMULACAO]],tblVendas[[#This Row],[NR_SIMULACAO]],tblVendas[[#This Row],[VALOR_MOVEL]],""),0)</f>
        <v>0</v>
      </c>
      <c r="G127">
        <f>IF(tblCalculo[[#This Row],[STATUS]]="CONCLUÍDO",_xlfn.XLOOKUP(tblCalculo[[#This Row],[NR_SIMULACAO]],tblVendas[[#This Row],[NR_SIMULACAO]],tblVendas[[#This Row],[VALOR_AVANCADO]],""),0)</f>
        <v>0</v>
      </c>
      <c r="H127">
        <f>IF(tblCalculo[[#This Row],[STATUS]]="CONCLUÍDO",_xlfn.XLOOKUP(tblCalculo[[#This Row],[NR_SIMULACAO]],tblVendas[[#This Row],[NR_SIMULACAO]],tblVendas[[#This Row],[VALOR_FIXABASICA]],""),0)</f>
        <v>0</v>
      </c>
      <c r="I127">
        <f>IF(tblCalculo[[#This Row],[STATUS]]="CONCLUÍDO",_xlfn.XLOOKUP(tblCalculo[[#This Row],[NR_SIMULACAO]],tblVendas[[#This Row],[NR_SIMULACAO]],tblVendas[[#This Row],[VALOR_TI]],""),0)</f>
        <v>0</v>
      </c>
      <c r="J127">
        <f>IF(tblCalculo[[#This Row],[STATUS]]="CONCLUÍDO",_xlfn.XLOOKUP(tblCalculo[[#This Row],[NR_SIMULACAO]],tblVendas[[#This Row],[NR_SIMULACAO]],tblVendas[[#This Row],[VALOR_APARELHO]],""),0)</f>
        <v>0</v>
      </c>
      <c r="K127" t="str">
        <f>IF(tblCalculo[[#This Row],[STATUS]]="NEGOCIANDO",tblCalculo[[#This Row],[VALOR_TOTAL]],"")</f>
        <v/>
      </c>
      <c r="L127" t="str">
        <f>IF(tblCalculo[[#This Row],[STATUS]]="ALÇADA",tblCalculo[[#This Row],[VALOR_TOTAL]],"")</f>
        <v/>
      </c>
      <c r="M127" t="str">
        <f>IF(tblCalculo[[#This Row],[STATUS]]="EM ANÁLISE",tblCalculo[[#This Row],[VALOR_TOTAL]],"")</f>
        <v/>
      </c>
      <c r="N127">
        <f>IF(tblCalculo[[#This Row],[STATUS]]="TRAMITANDO",tblCalculo[[#This Row],[VALOR_TOTAL]],"")</f>
        <v>10628.130000000001</v>
      </c>
      <c r="O127" t="str">
        <f>IF(tblCalculo[[#This Row],[STATUS]]="PERDIDO",tblCalculo[[#This Row],[VALOR_TOTAL]],"")</f>
        <v/>
      </c>
      <c r="P127" t="str">
        <f>IF(tblCalculo[[#This Row],[STATUS]]="CONCLUÍDO",tblCalculo[[#This Row],[VALOR_TOTAL]],"")</f>
        <v/>
      </c>
    </row>
    <row r="128" spans="1:16" x14ac:dyDescent="0.25">
      <c r="A128" t="str">
        <f>tblVendas[[#This Row],[NR_SIMULACAO]]</f>
        <v>SIM1118</v>
      </c>
      <c r="B128" s="34" t="str">
        <f>_xlfn.XLOOKUP(A128,tblVendas[[#This Row],[NR_SIMULACAO]],tblVendas[[#This Row],[NR_CNPJ]],"")</f>
        <v>38.674.294/0001-58</v>
      </c>
      <c r="C128" t="str">
        <f>_xlfn.XLOOKUP(A128,tblVendas[[#This Row],[NR_SIMULACAO]],tblVendas[[#This Row],[STATUS]],"")</f>
        <v>EM ANÁLISE</v>
      </c>
      <c r="D128" t="str">
        <f>_xlfn.XLOOKUP(A128,tblVendas[[#This Row],[NR_SIMULACAO]],tblVendas[[#This Row],[MES]],"")</f>
        <v>Julho</v>
      </c>
      <c r="E128">
        <f>SUM(_xlfn.XLOOKUP(tblCalculo[[#This Row],[NR_SIMULACAO]],tblVendas[[#This Row],[NR_SIMULACAO]],tblVendas[[#This Row],[VALOR_MOVEL]],""):_xlfn.XLOOKUP(tblCalculo[[#This Row],[NR_SIMULACAO]],tblVendas[[#This Row],[NR_SIMULACAO]],tblVendas[[#This Row],[VALOR_APARELHO]],""))</f>
        <v>14801.58</v>
      </c>
      <c r="F128">
        <f>IF(tblCalculo[[#This Row],[STATUS]]="CONCLUÍDO",_xlfn.XLOOKUP(tblCalculo[[#This Row],[NR_SIMULACAO]],tblVendas[[#This Row],[NR_SIMULACAO]],tblVendas[[#This Row],[VALOR_MOVEL]],""),0)</f>
        <v>0</v>
      </c>
      <c r="G128">
        <f>IF(tblCalculo[[#This Row],[STATUS]]="CONCLUÍDO",_xlfn.XLOOKUP(tblCalculo[[#This Row],[NR_SIMULACAO]],tblVendas[[#This Row],[NR_SIMULACAO]],tblVendas[[#This Row],[VALOR_AVANCADO]],""),0)</f>
        <v>0</v>
      </c>
      <c r="H128">
        <f>IF(tblCalculo[[#This Row],[STATUS]]="CONCLUÍDO",_xlfn.XLOOKUP(tblCalculo[[#This Row],[NR_SIMULACAO]],tblVendas[[#This Row],[NR_SIMULACAO]],tblVendas[[#This Row],[VALOR_FIXABASICA]],""),0)</f>
        <v>0</v>
      </c>
      <c r="I128">
        <f>IF(tblCalculo[[#This Row],[STATUS]]="CONCLUÍDO",_xlfn.XLOOKUP(tblCalculo[[#This Row],[NR_SIMULACAO]],tblVendas[[#This Row],[NR_SIMULACAO]],tblVendas[[#This Row],[VALOR_TI]],""),0)</f>
        <v>0</v>
      </c>
      <c r="J128">
        <f>IF(tblCalculo[[#This Row],[STATUS]]="CONCLUÍDO",_xlfn.XLOOKUP(tblCalculo[[#This Row],[NR_SIMULACAO]],tblVendas[[#This Row],[NR_SIMULACAO]],tblVendas[[#This Row],[VALOR_APARELHO]],""),0)</f>
        <v>0</v>
      </c>
      <c r="K128" t="str">
        <f>IF(tblCalculo[[#This Row],[STATUS]]="NEGOCIANDO",tblCalculo[[#This Row],[VALOR_TOTAL]],"")</f>
        <v/>
      </c>
      <c r="L128" t="str">
        <f>IF(tblCalculo[[#This Row],[STATUS]]="ALÇADA",tblCalculo[[#This Row],[VALOR_TOTAL]],"")</f>
        <v/>
      </c>
      <c r="M128">
        <f>IF(tblCalculo[[#This Row],[STATUS]]="EM ANÁLISE",tblCalculo[[#This Row],[VALOR_TOTAL]],"")</f>
        <v>14801.58</v>
      </c>
      <c r="N128" t="str">
        <f>IF(tblCalculo[[#This Row],[STATUS]]="TRAMITANDO",tblCalculo[[#This Row],[VALOR_TOTAL]],"")</f>
        <v/>
      </c>
      <c r="O128" t="str">
        <f>IF(tblCalculo[[#This Row],[STATUS]]="PERDIDO",tblCalculo[[#This Row],[VALOR_TOTAL]],"")</f>
        <v/>
      </c>
      <c r="P128" t="str">
        <f>IF(tblCalculo[[#This Row],[STATUS]]="CONCLUÍDO",tblCalculo[[#This Row],[VALOR_TOTAL]],"")</f>
        <v/>
      </c>
    </row>
    <row r="129" spans="1:16" x14ac:dyDescent="0.25">
      <c r="A129" t="str">
        <f>tblVendas[[#This Row],[NR_SIMULACAO]]</f>
        <v>SIM1119</v>
      </c>
      <c r="B129" s="34" t="str">
        <f>_xlfn.XLOOKUP(A129,tblVendas[[#This Row],[NR_SIMULACAO]],tblVendas[[#This Row],[NR_CNPJ]],"")</f>
        <v>68.603.836/0001-47</v>
      </c>
      <c r="C129" t="str">
        <f>_xlfn.XLOOKUP(A129,tblVendas[[#This Row],[NR_SIMULACAO]],tblVendas[[#This Row],[STATUS]],"")</f>
        <v>ALÇADA</v>
      </c>
      <c r="D129" t="str">
        <f>_xlfn.XLOOKUP(A129,tblVendas[[#This Row],[NR_SIMULACAO]],tblVendas[[#This Row],[MES]],"")</f>
        <v>Junho</v>
      </c>
      <c r="E129">
        <f>SUM(_xlfn.XLOOKUP(tblCalculo[[#This Row],[NR_SIMULACAO]],tblVendas[[#This Row],[NR_SIMULACAO]],tblVendas[[#This Row],[VALOR_MOVEL]],""):_xlfn.XLOOKUP(tblCalculo[[#This Row],[NR_SIMULACAO]],tblVendas[[#This Row],[NR_SIMULACAO]],tblVendas[[#This Row],[VALOR_APARELHO]],""))</f>
        <v>3767.88</v>
      </c>
      <c r="F129">
        <f>IF(tblCalculo[[#This Row],[STATUS]]="CONCLUÍDO",_xlfn.XLOOKUP(tblCalculo[[#This Row],[NR_SIMULACAO]],tblVendas[[#This Row],[NR_SIMULACAO]],tblVendas[[#This Row],[VALOR_MOVEL]],""),0)</f>
        <v>0</v>
      </c>
      <c r="G129">
        <f>IF(tblCalculo[[#This Row],[STATUS]]="CONCLUÍDO",_xlfn.XLOOKUP(tblCalculo[[#This Row],[NR_SIMULACAO]],tblVendas[[#This Row],[NR_SIMULACAO]],tblVendas[[#This Row],[VALOR_AVANCADO]],""),0)</f>
        <v>0</v>
      </c>
      <c r="H129">
        <f>IF(tblCalculo[[#This Row],[STATUS]]="CONCLUÍDO",_xlfn.XLOOKUP(tblCalculo[[#This Row],[NR_SIMULACAO]],tblVendas[[#This Row],[NR_SIMULACAO]],tblVendas[[#This Row],[VALOR_FIXABASICA]],""),0)</f>
        <v>0</v>
      </c>
      <c r="I129">
        <f>IF(tblCalculo[[#This Row],[STATUS]]="CONCLUÍDO",_xlfn.XLOOKUP(tblCalculo[[#This Row],[NR_SIMULACAO]],tblVendas[[#This Row],[NR_SIMULACAO]],tblVendas[[#This Row],[VALOR_TI]],""),0)</f>
        <v>0</v>
      </c>
      <c r="J129">
        <f>IF(tblCalculo[[#This Row],[STATUS]]="CONCLUÍDO",_xlfn.XLOOKUP(tblCalculo[[#This Row],[NR_SIMULACAO]],tblVendas[[#This Row],[NR_SIMULACAO]],tblVendas[[#This Row],[VALOR_APARELHO]],""),0)</f>
        <v>0</v>
      </c>
      <c r="K129" t="str">
        <f>IF(tblCalculo[[#This Row],[STATUS]]="NEGOCIANDO",tblCalculo[[#This Row],[VALOR_TOTAL]],"")</f>
        <v/>
      </c>
      <c r="L129">
        <f>IF(tblCalculo[[#This Row],[STATUS]]="ALÇADA",tblCalculo[[#This Row],[VALOR_TOTAL]],"")</f>
        <v>3767.88</v>
      </c>
      <c r="M129" t="str">
        <f>IF(tblCalculo[[#This Row],[STATUS]]="EM ANÁLISE",tblCalculo[[#This Row],[VALOR_TOTAL]],"")</f>
        <v/>
      </c>
      <c r="N129" t="str">
        <f>IF(tblCalculo[[#This Row],[STATUS]]="TRAMITANDO",tblCalculo[[#This Row],[VALOR_TOTAL]],"")</f>
        <v/>
      </c>
      <c r="O129" t="str">
        <f>IF(tblCalculo[[#This Row],[STATUS]]="PERDIDO",tblCalculo[[#This Row],[VALOR_TOTAL]],"")</f>
        <v/>
      </c>
      <c r="P129" t="str">
        <f>IF(tblCalculo[[#This Row],[STATUS]]="CONCLUÍDO",tblCalculo[[#This Row],[VALOR_TOTAL]],"")</f>
        <v/>
      </c>
    </row>
    <row r="130" spans="1:16" x14ac:dyDescent="0.25">
      <c r="A130" t="str">
        <f>tblVendas[[#This Row],[NR_SIMULACAO]]</f>
        <v>SIM1120</v>
      </c>
      <c r="B130" s="34" t="str">
        <f>_xlfn.XLOOKUP(A130,tblVendas[[#This Row],[NR_SIMULACAO]],tblVendas[[#This Row],[NR_CNPJ]],"")</f>
        <v>24.901.471/0001-49</v>
      </c>
      <c r="C130" t="str">
        <f>_xlfn.XLOOKUP(A130,tblVendas[[#This Row],[NR_SIMULACAO]],tblVendas[[#This Row],[STATUS]],"")</f>
        <v>EM ANÁLISE</v>
      </c>
      <c r="D130" t="str">
        <f>_xlfn.XLOOKUP(A130,tblVendas[[#This Row],[NR_SIMULACAO]],tblVendas[[#This Row],[MES]],"")</f>
        <v>Junho</v>
      </c>
      <c r="E130">
        <f>SUM(_xlfn.XLOOKUP(tblCalculo[[#This Row],[NR_SIMULACAO]],tblVendas[[#This Row],[NR_SIMULACAO]],tblVendas[[#This Row],[VALOR_MOVEL]],""):_xlfn.XLOOKUP(tblCalculo[[#This Row],[NR_SIMULACAO]],tblVendas[[#This Row],[NR_SIMULACAO]],tblVendas[[#This Row],[VALOR_APARELHO]],""))</f>
        <v>5582.8</v>
      </c>
      <c r="F130">
        <f>IF(tblCalculo[[#This Row],[STATUS]]="CONCLUÍDO",_xlfn.XLOOKUP(tblCalculo[[#This Row],[NR_SIMULACAO]],tblVendas[[#This Row],[NR_SIMULACAO]],tblVendas[[#This Row],[VALOR_MOVEL]],""),0)</f>
        <v>0</v>
      </c>
      <c r="G130">
        <f>IF(tblCalculo[[#This Row],[STATUS]]="CONCLUÍDO",_xlfn.XLOOKUP(tblCalculo[[#This Row],[NR_SIMULACAO]],tblVendas[[#This Row],[NR_SIMULACAO]],tblVendas[[#This Row],[VALOR_AVANCADO]],""),0)</f>
        <v>0</v>
      </c>
      <c r="H130">
        <f>IF(tblCalculo[[#This Row],[STATUS]]="CONCLUÍDO",_xlfn.XLOOKUP(tblCalculo[[#This Row],[NR_SIMULACAO]],tblVendas[[#This Row],[NR_SIMULACAO]],tblVendas[[#This Row],[VALOR_FIXABASICA]],""),0)</f>
        <v>0</v>
      </c>
      <c r="I130">
        <f>IF(tblCalculo[[#This Row],[STATUS]]="CONCLUÍDO",_xlfn.XLOOKUP(tblCalculo[[#This Row],[NR_SIMULACAO]],tblVendas[[#This Row],[NR_SIMULACAO]],tblVendas[[#This Row],[VALOR_TI]],""),0)</f>
        <v>0</v>
      </c>
      <c r="J130">
        <f>IF(tblCalculo[[#This Row],[STATUS]]="CONCLUÍDO",_xlfn.XLOOKUP(tblCalculo[[#This Row],[NR_SIMULACAO]],tblVendas[[#This Row],[NR_SIMULACAO]],tblVendas[[#This Row],[VALOR_APARELHO]],""),0)</f>
        <v>0</v>
      </c>
      <c r="K130" t="str">
        <f>IF(tblCalculo[[#This Row],[STATUS]]="NEGOCIANDO",tblCalculo[[#This Row],[VALOR_TOTAL]],"")</f>
        <v/>
      </c>
      <c r="L130" t="str">
        <f>IF(tblCalculo[[#This Row],[STATUS]]="ALÇADA",tblCalculo[[#This Row],[VALOR_TOTAL]],"")</f>
        <v/>
      </c>
      <c r="M130">
        <f>IF(tblCalculo[[#This Row],[STATUS]]="EM ANÁLISE",tblCalculo[[#This Row],[VALOR_TOTAL]],"")</f>
        <v>5582.8</v>
      </c>
      <c r="N130" t="str">
        <f>IF(tblCalculo[[#This Row],[STATUS]]="TRAMITANDO",tblCalculo[[#This Row],[VALOR_TOTAL]],"")</f>
        <v/>
      </c>
      <c r="O130" t="str">
        <f>IF(tblCalculo[[#This Row],[STATUS]]="PERDIDO",tblCalculo[[#This Row],[VALOR_TOTAL]],"")</f>
        <v/>
      </c>
      <c r="P130" t="str">
        <f>IF(tblCalculo[[#This Row],[STATUS]]="CONCLUÍDO",tblCalculo[[#This Row],[VALOR_TOTAL]],"")</f>
        <v/>
      </c>
    </row>
    <row r="131" spans="1:16" x14ac:dyDescent="0.25">
      <c r="A131" t="str">
        <f>tblVendas[[#This Row],[NR_SIMULACAO]]</f>
        <v>SIM1121</v>
      </c>
      <c r="B131" s="34" t="str">
        <f>_xlfn.XLOOKUP(A131,tblVendas[[#This Row],[NR_SIMULACAO]],tblVendas[[#This Row],[NR_CNPJ]],"")</f>
        <v>52.166.348/0001-25</v>
      </c>
      <c r="C131" t="str">
        <f>_xlfn.XLOOKUP(A131,tblVendas[[#This Row],[NR_SIMULACAO]],tblVendas[[#This Row],[STATUS]],"")</f>
        <v>NEGOCIANDO</v>
      </c>
      <c r="D131" t="str">
        <f>_xlfn.XLOOKUP(A131,tblVendas[[#This Row],[NR_SIMULACAO]],tblVendas[[#This Row],[MES]],"")</f>
        <v>Fevereiro</v>
      </c>
      <c r="E131">
        <f>SUM(_xlfn.XLOOKUP(tblCalculo[[#This Row],[NR_SIMULACAO]],tblVendas[[#This Row],[NR_SIMULACAO]],tblVendas[[#This Row],[VALOR_MOVEL]],""):_xlfn.XLOOKUP(tblCalculo[[#This Row],[NR_SIMULACAO]],tblVendas[[#This Row],[NR_SIMULACAO]],tblVendas[[#This Row],[VALOR_APARELHO]],""))</f>
        <v>13083.08</v>
      </c>
      <c r="F131">
        <f>IF(tblCalculo[[#This Row],[STATUS]]="CONCLUÍDO",_xlfn.XLOOKUP(tblCalculo[[#This Row],[NR_SIMULACAO]],tblVendas[[#This Row],[NR_SIMULACAO]],tblVendas[[#This Row],[VALOR_MOVEL]],""),0)</f>
        <v>0</v>
      </c>
      <c r="G131">
        <f>IF(tblCalculo[[#This Row],[STATUS]]="CONCLUÍDO",_xlfn.XLOOKUP(tblCalculo[[#This Row],[NR_SIMULACAO]],tblVendas[[#This Row],[NR_SIMULACAO]],tblVendas[[#This Row],[VALOR_AVANCADO]],""),0)</f>
        <v>0</v>
      </c>
      <c r="H131">
        <f>IF(tblCalculo[[#This Row],[STATUS]]="CONCLUÍDO",_xlfn.XLOOKUP(tblCalculo[[#This Row],[NR_SIMULACAO]],tblVendas[[#This Row],[NR_SIMULACAO]],tblVendas[[#This Row],[VALOR_FIXABASICA]],""),0)</f>
        <v>0</v>
      </c>
      <c r="I131">
        <f>IF(tblCalculo[[#This Row],[STATUS]]="CONCLUÍDO",_xlfn.XLOOKUP(tblCalculo[[#This Row],[NR_SIMULACAO]],tblVendas[[#This Row],[NR_SIMULACAO]],tblVendas[[#This Row],[VALOR_TI]],""),0)</f>
        <v>0</v>
      </c>
      <c r="J131">
        <f>IF(tblCalculo[[#This Row],[STATUS]]="CONCLUÍDO",_xlfn.XLOOKUP(tblCalculo[[#This Row],[NR_SIMULACAO]],tblVendas[[#This Row],[NR_SIMULACAO]],tblVendas[[#This Row],[VALOR_APARELHO]],""),0)</f>
        <v>0</v>
      </c>
      <c r="K131">
        <f>IF(tblCalculo[[#This Row],[STATUS]]="NEGOCIANDO",tblCalculo[[#This Row],[VALOR_TOTAL]],"")</f>
        <v>13083.08</v>
      </c>
      <c r="L131" t="str">
        <f>IF(tblCalculo[[#This Row],[STATUS]]="ALÇADA",tblCalculo[[#This Row],[VALOR_TOTAL]],"")</f>
        <v/>
      </c>
      <c r="M131" t="str">
        <f>IF(tblCalculo[[#This Row],[STATUS]]="EM ANÁLISE",tblCalculo[[#This Row],[VALOR_TOTAL]],"")</f>
        <v/>
      </c>
      <c r="N131" t="str">
        <f>IF(tblCalculo[[#This Row],[STATUS]]="TRAMITANDO",tblCalculo[[#This Row],[VALOR_TOTAL]],"")</f>
        <v/>
      </c>
      <c r="O131" t="str">
        <f>IF(tblCalculo[[#This Row],[STATUS]]="PERDIDO",tblCalculo[[#This Row],[VALOR_TOTAL]],"")</f>
        <v/>
      </c>
      <c r="P131" t="str">
        <f>IF(tblCalculo[[#This Row],[STATUS]]="CONCLUÍDO",tblCalculo[[#This Row],[VALOR_TOTAL]],"")</f>
        <v/>
      </c>
    </row>
    <row r="132" spans="1:16" x14ac:dyDescent="0.25">
      <c r="A132" t="str">
        <f>tblVendas[[#This Row],[NR_SIMULACAO]]</f>
        <v>SIM1122</v>
      </c>
      <c r="B132" s="34" t="str">
        <f>_xlfn.XLOOKUP(A132,tblVendas[[#This Row],[NR_SIMULACAO]],tblVendas[[#This Row],[NR_CNPJ]],"")</f>
        <v>28.737.183/0001-56</v>
      </c>
      <c r="C132" t="str">
        <f>_xlfn.XLOOKUP(A132,tblVendas[[#This Row],[NR_SIMULACAO]],tblVendas[[#This Row],[STATUS]],"")</f>
        <v>PERDIDO</v>
      </c>
      <c r="D132" t="str">
        <f>_xlfn.XLOOKUP(A132,tblVendas[[#This Row],[NR_SIMULACAO]],tblVendas[[#This Row],[MES]],"")</f>
        <v>Fevereiro</v>
      </c>
      <c r="E132">
        <f>SUM(_xlfn.XLOOKUP(tblCalculo[[#This Row],[NR_SIMULACAO]],tblVendas[[#This Row],[NR_SIMULACAO]],tblVendas[[#This Row],[VALOR_MOVEL]],""):_xlfn.XLOOKUP(tblCalculo[[#This Row],[NR_SIMULACAO]],tblVendas[[#This Row],[NR_SIMULACAO]],tblVendas[[#This Row],[VALOR_APARELHO]],""))</f>
        <v>12828.080000000002</v>
      </c>
      <c r="F132">
        <f>IF(tblCalculo[[#This Row],[STATUS]]="CONCLUÍDO",_xlfn.XLOOKUP(tblCalculo[[#This Row],[NR_SIMULACAO]],tblVendas[[#This Row],[NR_SIMULACAO]],tblVendas[[#This Row],[VALOR_MOVEL]],""),0)</f>
        <v>0</v>
      </c>
      <c r="G132">
        <f>IF(tblCalculo[[#This Row],[STATUS]]="CONCLUÍDO",_xlfn.XLOOKUP(tblCalculo[[#This Row],[NR_SIMULACAO]],tblVendas[[#This Row],[NR_SIMULACAO]],tblVendas[[#This Row],[VALOR_AVANCADO]],""),0)</f>
        <v>0</v>
      </c>
      <c r="H132">
        <f>IF(tblCalculo[[#This Row],[STATUS]]="CONCLUÍDO",_xlfn.XLOOKUP(tblCalculo[[#This Row],[NR_SIMULACAO]],tblVendas[[#This Row],[NR_SIMULACAO]],tblVendas[[#This Row],[VALOR_FIXABASICA]],""),0)</f>
        <v>0</v>
      </c>
      <c r="I132">
        <f>IF(tblCalculo[[#This Row],[STATUS]]="CONCLUÍDO",_xlfn.XLOOKUP(tblCalculo[[#This Row],[NR_SIMULACAO]],tblVendas[[#This Row],[NR_SIMULACAO]],tblVendas[[#This Row],[VALOR_TI]],""),0)</f>
        <v>0</v>
      </c>
      <c r="J132">
        <f>IF(tblCalculo[[#This Row],[STATUS]]="CONCLUÍDO",_xlfn.XLOOKUP(tblCalculo[[#This Row],[NR_SIMULACAO]],tblVendas[[#This Row],[NR_SIMULACAO]],tblVendas[[#This Row],[VALOR_APARELHO]],""),0)</f>
        <v>0</v>
      </c>
      <c r="K132" t="str">
        <f>IF(tblCalculo[[#This Row],[STATUS]]="NEGOCIANDO",tblCalculo[[#This Row],[VALOR_TOTAL]],"")</f>
        <v/>
      </c>
      <c r="L132" t="str">
        <f>IF(tblCalculo[[#This Row],[STATUS]]="ALÇADA",tblCalculo[[#This Row],[VALOR_TOTAL]],"")</f>
        <v/>
      </c>
      <c r="M132" t="str">
        <f>IF(tblCalculo[[#This Row],[STATUS]]="EM ANÁLISE",tblCalculo[[#This Row],[VALOR_TOTAL]],"")</f>
        <v/>
      </c>
      <c r="N132" t="str">
        <f>IF(tblCalculo[[#This Row],[STATUS]]="TRAMITANDO",tblCalculo[[#This Row],[VALOR_TOTAL]],"")</f>
        <v/>
      </c>
      <c r="O132">
        <f>IF(tblCalculo[[#This Row],[STATUS]]="PERDIDO",tblCalculo[[#This Row],[VALOR_TOTAL]],"")</f>
        <v>12828.080000000002</v>
      </c>
      <c r="P132" t="str">
        <f>IF(tblCalculo[[#This Row],[STATUS]]="CONCLUÍDO",tblCalculo[[#This Row],[VALOR_TOTAL]],"")</f>
        <v/>
      </c>
    </row>
    <row r="133" spans="1:16" x14ac:dyDescent="0.25">
      <c r="A133" t="str">
        <f>tblVendas[[#This Row],[NR_SIMULACAO]]</f>
        <v>SIM1123</v>
      </c>
      <c r="B133" s="34" t="str">
        <f>_xlfn.XLOOKUP(A133,tblVendas[[#This Row],[NR_SIMULACAO]],tblVendas[[#This Row],[NR_CNPJ]],"")</f>
        <v>31.491.242/0001-37</v>
      </c>
      <c r="C133" t="str">
        <f>_xlfn.XLOOKUP(A133,tblVendas[[#This Row],[NR_SIMULACAO]],tblVendas[[#This Row],[STATUS]],"")</f>
        <v>EM ANÁLISE</v>
      </c>
      <c r="D133" t="str">
        <f>_xlfn.XLOOKUP(A133,tblVendas[[#This Row],[NR_SIMULACAO]],tblVendas[[#This Row],[MES]],"")</f>
        <v>Dezembro</v>
      </c>
      <c r="E133">
        <f>SUM(_xlfn.XLOOKUP(tblCalculo[[#This Row],[NR_SIMULACAO]],tblVendas[[#This Row],[NR_SIMULACAO]],tblVendas[[#This Row],[VALOR_MOVEL]],""):_xlfn.XLOOKUP(tblCalculo[[#This Row],[NR_SIMULACAO]],tblVendas[[#This Row],[NR_SIMULACAO]],tblVendas[[#This Row],[VALOR_APARELHO]],""))</f>
        <v>7177.04</v>
      </c>
      <c r="F133">
        <f>IF(tblCalculo[[#This Row],[STATUS]]="CONCLUÍDO",_xlfn.XLOOKUP(tblCalculo[[#This Row],[NR_SIMULACAO]],tblVendas[[#This Row],[NR_SIMULACAO]],tblVendas[[#This Row],[VALOR_MOVEL]],""),0)</f>
        <v>0</v>
      </c>
      <c r="G133">
        <f>IF(tblCalculo[[#This Row],[STATUS]]="CONCLUÍDO",_xlfn.XLOOKUP(tblCalculo[[#This Row],[NR_SIMULACAO]],tblVendas[[#This Row],[NR_SIMULACAO]],tblVendas[[#This Row],[VALOR_AVANCADO]],""),0)</f>
        <v>0</v>
      </c>
      <c r="H133">
        <f>IF(tblCalculo[[#This Row],[STATUS]]="CONCLUÍDO",_xlfn.XLOOKUP(tblCalculo[[#This Row],[NR_SIMULACAO]],tblVendas[[#This Row],[NR_SIMULACAO]],tblVendas[[#This Row],[VALOR_FIXABASICA]],""),0)</f>
        <v>0</v>
      </c>
      <c r="I133">
        <f>IF(tblCalculo[[#This Row],[STATUS]]="CONCLUÍDO",_xlfn.XLOOKUP(tblCalculo[[#This Row],[NR_SIMULACAO]],tblVendas[[#This Row],[NR_SIMULACAO]],tblVendas[[#This Row],[VALOR_TI]],""),0)</f>
        <v>0</v>
      </c>
      <c r="J133">
        <f>IF(tblCalculo[[#This Row],[STATUS]]="CONCLUÍDO",_xlfn.XLOOKUP(tblCalculo[[#This Row],[NR_SIMULACAO]],tblVendas[[#This Row],[NR_SIMULACAO]],tblVendas[[#This Row],[VALOR_APARELHO]],""),0)</f>
        <v>0</v>
      </c>
      <c r="K133" t="str">
        <f>IF(tblCalculo[[#This Row],[STATUS]]="NEGOCIANDO",tblCalculo[[#This Row],[VALOR_TOTAL]],"")</f>
        <v/>
      </c>
      <c r="L133" t="str">
        <f>IF(tblCalculo[[#This Row],[STATUS]]="ALÇADA",tblCalculo[[#This Row],[VALOR_TOTAL]],"")</f>
        <v/>
      </c>
      <c r="M133">
        <f>IF(tblCalculo[[#This Row],[STATUS]]="EM ANÁLISE",tblCalculo[[#This Row],[VALOR_TOTAL]],"")</f>
        <v>7177.04</v>
      </c>
      <c r="N133" t="str">
        <f>IF(tblCalculo[[#This Row],[STATUS]]="TRAMITANDO",tblCalculo[[#This Row],[VALOR_TOTAL]],"")</f>
        <v/>
      </c>
      <c r="O133" t="str">
        <f>IF(tblCalculo[[#This Row],[STATUS]]="PERDIDO",tblCalculo[[#This Row],[VALOR_TOTAL]],"")</f>
        <v/>
      </c>
      <c r="P133" t="str">
        <f>IF(tblCalculo[[#This Row],[STATUS]]="CONCLUÍDO",tblCalculo[[#This Row],[VALOR_TOTAL]],"")</f>
        <v/>
      </c>
    </row>
    <row r="134" spans="1:16" x14ac:dyDescent="0.25">
      <c r="A134" t="str">
        <f>tblVendas[[#This Row],[NR_SIMULACAO]]</f>
        <v>SIM1124</v>
      </c>
      <c r="B134" s="34" t="str">
        <f>_xlfn.XLOOKUP(A134,tblVendas[[#This Row],[NR_SIMULACAO]],tblVendas[[#This Row],[NR_CNPJ]],"")</f>
        <v>86.548.606/0001-76</v>
      </c>
      <c r="C134" t="str">
        <f>_xlfn.XLOOKUP(A134,tblVendas[[#This Row],[NR_SIMULACAO]],tblVendas[[#This Row],[STATUS]],"")</f>
        <v>NEGOCIANDO</v>
      </c>
      <c r="D134" t="str">
        <f>_xlfn.XLOOKUP(A134,tblVendas[[#This Row],[NR_SIMULACAO]],tblVendas[[#This Row],[MES]],"")</f>
        <v>Setembro</v>
      </c>
      <c r="E134">
        <f>SUM(_xlfn.XLOOKUP(tblCalculo[[#This Row],[NR_SIMULACAO]],tblVendas[[#This Row],[NR_SIMULACAO]],tblVendas[[#This Row],[VALOR_MOVEL]],""):_xlfn.XLOOKUP(tblCalculo[[#This Row],[NR_SIMULACAO]],tblVendas[[#This Row],[NR_SIMULACAO]],tblVendas[[#This Row],[VALOR_APARELHO]],""))</f>
        <v>12079.529999999999</v>
      </c>
      <c r="F134">
        <f>IF(tblCalculo[[#This Row],[STATUS]]="CONCLUÍDO",_xlfn.XLOOKUP(tblCalculo[[#This Row],[NR_SIMULACAO]],tblVendas[[#This Row],[NR_SIMULACAO]],tblVendas[[#This Row],[VALOR_MOVEL]],""),0)</f>
        <v>0</v>
      </c>
      <c r="G134">
        <f>IF(tblCalculo[[#This Row],[STATUS]]="CONCLUÍDO",_xlfn.XLOOKUP(tblCalculo[[#This Row],[NR_SIMULACAO]],tblVendas[[#This Row],[NR_SIMULACAO]],tblVendas[[#This Row],[VALOR_AVANCADO]],""),0)</f>
        <v>0</v>
      </c>
      <c r="H134">
        <f>IF(tblCalculo[[#This Row],[STATUS]]="CONCLUÍDO",_xlfn.XLOOKUP(tblCalculo[[#This Row],[NR_SIMULACAO]],tblVendas[[#This Row],[NR_SIMULACAO]],tblVendas[[#This Row],[VALOR_FIXABASICA]],""),0)</f>
        <v>0</v>
      </c>
      <c r="I134">
        <f>IF(tblCalculo[[#This Row],[STATUS]]="CONCLUÍDO",_xlfn.XLOOKUP(tblCalculo[[#This Row],[NR_SIMULACAO]],tblVendas[[#This Row],[NR_SIMULACAO]],tblVendas[[#This Row],[VALOR_TI]],""),0)</f>
        <v>0</v>
      </c>
      <c r="J134">
        <f>IF(tblCalculo[[#This Row],[STATUS]]="CONCLUÍDO",_xlfn.XLOOKUP(tblCalculo[[#This Row],[NR_SIMULACAO]],tblVendas[[#This Row],[NR_SIMULACAO]],tblVendas[[#This Row],[VALOR_APARELHO]],""),0)</f>
        <v>0</v>
      </c>
      <c r="K134">
        <f>IF(tblCalculo[[#This Row],[STATUS]]="NEGOCIANDO",tblCalculo[[#This Row],[VALOR_TOTAL]],"")</f>
        <v>12079.529999999999</v>
      </c>
      <c r="L134" t="str">
        <f>IF(tblCalculo[[#This Row],[STATUS]]="ALÇADA",tblCalculo[[#This Row],[VALOR_TOTAL]],"")</f>
        <v/>
      </c>
      <c r="M134" t="str">
        <f>IF(tblCalculo[[#This Row],[STATUS]]="EM ANÁLISE",tblCalculo[[#This Row],[VALOR_TOTAL]],"")</f>
        <v/>
      </c>
      <c r="N134" t="str">
        <f>IF(tblCalculo[[#This Row],[STATUS]]="TRAMITANDO",tblCalculo[[#This Row],[VALOR_TOTAL]],"")</f>
        <v/>
      </c>
      <c r="O134" t="str">
        <f>IF(tblCalculo[[#This Row],[STATUS]]="PERDIDO",tblCalculo[[#This Row],[VALOR_TOTAL]],"")</f>
        <v/>
      </c>
      <c r="P134" t="str">
        <f>IF(tblCalculo[[#This Row],[STATUS]]="CONCLUÍDO",tblCalculo[[#This Row],[VALOR_TOTAL]],"")</f>
        <v/>
      </c>
    </row>
    <row r="135" spans="1:16" x14ac:dyDescent="0.25">
      <c r="A135" t="str">
        <f>tblVendas[[#This Row],[NR_SIMULACAO]]</f>
        <v>SIM1125</v>
      </c>
      <c r="B135" s="34" t="str">
        <f>_xlfn.XLOOKUP(A135,tblVendas[[#This Row],[NR_SIMULACAO]],tblVendas[[#This Row],[NR_CNPJ]],"")</f>
        <v>51.716.851/0001-70</v>
      </c>
      <c r="C135" t="str">
        <f>_xlfn.XLOOKUP(A135,tblVendas[[#This Row],[NR_SIMULACAO]],tblVendas[[#This Row],[STATUS]],"")</f>
        <v>NEGOCIANDO</v>
      </c>
      <c r="D135" t="str">
        <f>_xlfn.XLOOKUP(A135,tblVendas[[#This Row],[NR_SIMULACAO]],tblVendas[[#This Row],[MES]],"")</f>
        <v>Outubro</v>
      </c>
      <c r="E135">
        <f>SUM(_xlfn.XLOOKUP(tblCalculo[[#This Row],[NR_SIMULACAO]],tblVendas[[#This Row],[NR_SIMULACAO]],tblVendas[[#This Row],[VALOR_MOVEL]],""):_xlfn.XLOOKUP(tblCalculo[[#This Row],[NR_SIMULACAO]],tblVendas[[#This Row],[NR_SIMULACAO]],tblVendas[[#This Row],[VALOR_APARELHO]],""))</f>
        <v>2947.1</v>
      </c>
      <c r="F135">
        <f>IF(tblCalculo[[#This Row],[STATUS]]="CONCLUÍDO",_xlfn.XLOOKUP(tblCalculo[[#This Row],[NR_SIMULACAO]],tblVendas[[#This Row],[NR_SIMULACAO]],tblVendas[[#This Row],[VALOR_MOVEL]],""),0)</f>
        <v>0</v>
      </c>
      <c r="G135">
        <f>IF(tblCalculo[[#This Row],[STATUS]]="CONCLUÍDO",_xlfn.XLOOKUP(tblCalculo[[#This Row],[NR_SIMULACAO]],tblVendas[[#This Row],[NR_SIMULACAO]],tblVendas[[#This Row],[VALOR_AVANCADO]],""),0)</f>
        <v>0</v>
      </c>
      <c r="H135">
        <f>IF(tblCalculo[[#This Row],[STATUS]]="CONCLUÍDO",_xlfn.XLOOKUP(tblCalculo[[#This Row],[NR_SIMULACAO]],tblVendas[[#This Row],[NR_SIMULACAO]],tblVendas[[#This Row],[VALOR_FIXABASICA]],""),0)</f>
        <v>0</v>
      </c>
      <c r="I135">
        <f>IF(tblCalculo[[#This Row],[STATUS]]="CONCLUÍDO",_xlfn.XLOOKUP(tblCalculo[[#This Row],[NR_SIMULACAO]],tblVendas[[#This Row],[NR_SIMULACAO]],tblVendas[[#This Row],[VALOR_TI]],""),0)</f>
        <v>0</v>
      </c>
      <c r="J135">
        <f>IF(tblCalculo[[#This Row],[STATUS]]="CONCLUÍDO",_xlfn.XLOOKUP(tblCalculo[[#This Row],[NR_SIMULACAO]],tblVendas[[#This Row],[NR_SIMULACAO]],tblVendas[[#This Row],[VALOR_APARELHO]],""),0)</f>
        <v>0</v>
      </c>
      <c r="K135">
        <f>IF(tblCalculo[[#This Row],[STATUS]]="NEGOCIANDO",tblCalculo[[#This Row],[VALOR_TOTAL]],"")</f>
        <v>2947.1</v>
      </c>
      <c r="L135" t="str">
        <f>IF(tblCalculo[[#This Row],[STATUS]]="ALÇADA",tblCalculo[[#This Row],[VALOR_TOTAL]],"")</f>
        <v/>
      </c>
      <c r="M135" t="str">
        <f>IF(tblCalculo[[#This Row],[STATUS]]="EM ANÁLISE",tblCalculo[[#This Row],[VALOR_TOTAL]],"")</f>
        <v/>
      </c>
      <c r="N135" t="str">
        <f>IF(tblCalculo[[#This Row],[STATUS]]="TRAMITANDO",tblCalculo[[#This Row],[VALOR_TOTAL]],"")</f>
        <v/>
      </c>
      <c r="O135" t="str">
        <f>IF(tblCalculo[[#This Row],[STATUS]]="PERDIDO",tblCalculo[[#This Row],[VALOR_TOTAL]],"")</f>
        <v/>
      </c>
      <c r="P135" t="str">
        <f>IF(tblCalculo[[#This Row],[STATUS]]="CONCLUÍDO",tblCalculo[[#This Row],[VALOR_TOTAL]],"")</f>
        <v/>
      </c>
    </row>
    <row r="136" spans="1:16" x14ac:dyDescent="0.25">
      <c r="A136" t="str">
        <f>tblVendas[[#This Row],[NR_SIMULACAO]]</f>
        <v>SIM1126</v>
      </c>
      <c r="B136" s="34" t="str">
        <f>_xlfn.XLOOKUP(A136,tblVendas[[#This Row],[NR_SIMULACAO]],tblVendas[[#This Row],[NR_CNPJ]],"")</f>
        <v>63.603.841/0001-83</v>
      </c>
      <c r="C136" t="str">
        <f>_xlfn.XLOOKUP(A136,tblVendas[[#This Row],[NR_SIMULACAO]],tblVendas[[#This Row],[STATUS]],"")</f>
        <v>ALÇADA</v>
      </c>
      <c r="D136" t="str">
        <f>_xlfn.XLOOKUP(A136,tblVendas[[#This Row],[NR_SIMULACAO]],tblVendas[[#This Row],[MES]],"")</f>
        <v>Maio</v>
      </c>
      <c r="E136">
        <f>SUM(_xlfn.XLOOKUP(tblCalculo[[#This Row],[NR_SIMULACAO]],tblVendas[[#This Row],[NR_SIMULACAO]],tblVendas[[#This Row],[VALOR_MOVEL]],""):_xlfn.XLOOKUP(tblCalculo[[#This Row],[NR_SIMULACAO]],tblVendas[[#This Row],[NR_SIMULACAO]],tblVendas[[#This Row],[VALOR_APARELHO]],""))</f>
        <v>11582.41</v>
      </c>
      <c r="F136">
        <f>IF(tblCalculo[[#This Row],[STATUS]]="CONCLUÍDO",_xlfn.XLOOKUP(tblCalculo[[#This Row],[NR_SIMULACAO]],tblVendas[[#This Row],[NR_SIMULACAO]],tblVendas[[#This Row],[VALOR_MOVEL]],""),0)</f>
        <v>0</v>
      </c>
      <c r="G136">
        <f>IF(tblCalculo[[#This Row],[STATUS]]="CONCLUÍDO",_xlfn.XLOOKUP(tblCalculo[[#This Row],[NR_SIMULACAO]],tblVendas[[#This Row],[NR_SIMULACAO]],tblVendas[[#This Row],[VALOR_AVANCADO]],""),0)</f>
        <v>0</v>
      </c>
      <c r="H136">
        <f>IF(tblCalculo[[#This Row],[STATUS]]="CONCLUÍDO",_xlfn.XLOOKUP(tblCalculo[[#This Row],[NR_SIMULACAO]],tblVendas[[#This Row],[NR_SIMULACAO]],tblVendas[[#This Row],[VALOR_FIXABASICA]],""),0)</f>
        <v>0</v>
      </c>
      <c r="I136">
        <f>IF(tblCalculo[[#This Row],[STATUS]]="CONCLUÍDO",_xlfn.XLOOKUP(tblCalculo[[#This Row],[NR_SIMULACAO]],tblVendas[[#This Row],[NR_SIMULACAO]],tblVendas[[#This Row],[VALOR_TI]],""),0)</f>
        <v>0</v>
      </c>
      <c r="J136">
        <f>IF(tblCalculo[[#This Row],[STATUS]]="CONCLUÍDO",_xlfn.XLOOKUP(tblCalculo[[#This Row],[NR_SIMULACAO]],tblVendas[[#This Row],[NR_SIMULACAO]],tblVendas[[#This Row],[VALOR_APARELHO]],""),0)</f>
        <v>0</v>
      </c>
      <c r="K136" t="str">
        <f>IF(tblCalculo[[#This Row],[STATUS]]="NEGOCIANDO",tblCalculo[[#This Row],[VALOR_TOTAL]],"")</f>
        <v/>
      </c>
      <c r="L136">
        <f>IF(tblCalculo[[#This Row],[STATUS]]="ALÇADA",tblCalculo[[#This Row],[VALOR_TOTAL]],"")</f>
        <v>11582.41</v>
      </c>
      <c r="M136" t="str">
        <f>IF(tblCalculo[[#This Row],[STATUS]]="EM ANÁLISE",tblCalculo[[#This Row],[VALOR_TOTAL]],"")</f>
        <v/>
      </c>
      <c r="N136" t="str">
        <f>IF(tblCalculo[[#This Row],[STATUS]]="TRAMITANDO",tblCalculo[[#This Row],[VALOR_TOTAL]],"")</f>
        <v/>
      </c>
      <c r="O136" t="str">
        <f>IF(tblCalculo[[#This Row],[STATUS]]="PERDIDO",tblCalculo[[#This Row],[VALOR_TOTAL]],"")</f>
        <v/>
      </c>
      <c r="P136" t="str">
        <f>IF(tblCalculo[[#This Row],[STATUS]]="CONCLUÍDO",tblCalculo[[#This Row],[VALOR_TOTAL]],"")</f>
        <v/>
      </c>
    </row>
    <row r="137" spans="1:16" x14ac:dyDescent="0.25">
      <c r="A137" t="str">
        <f>tblVendas[[#This Row],[NR_SIMULACAO]]</f>
        <v>SIM1127</v>
      </c>
      <c r="B137" s="34" t="str">
        <f>_xlfn.XLOOKUP(A137,tblVendas[[#This Row],[NR_SIMULACAO]],tblVendas[[#This Row],[NR_CNPJ]],"")</f>
        <v>29.321.935/0001-48</v>
      </c>
      <c r="C137" t="str">
        <f>_xlfn.XLOOKUP(A137,tblVendas[[#This Row],[NR_SIMULACAO]],tblVendas[[#This Row],[STATUS]],"")</f>
        <v>TRAMITANDO</v>
      </c>
      <c r="D137" t="str">
        <f>_xlfn.XLOOKUP(A137,tblVendas[[#This Row],[NR_SIMULACAO]],tblVendas[[#This Row],[MES]],"")</f>
        <v>Abril</v>
      </c>
      <c r="E137">
        <f>SUM(_xlfn.XLOOKUP(tblCalculo[[#This Row],[NR_SIMULACAO]],tblVendas[[#This Row],[NR_SIMULACAO]],tblVendas[[#This Row],[VALOR_MOVEL]],""):_xlfn.XLOOKUP(tblCalculo[[#This Row],[NR_SIMULACAO]],tblVendas[[#This Row],[NR_SIMULACAO]],tblVendas[[#This Row],[VALOR_APARELHO]],""))</f>
        <v>4541.6400000000003</v>
      </c>
      <c r="F137">
        <f>IF(tblCalculo[[#This Row],[STATUS]]="CONCLUÍDO",_xlfn.XLOOKUP(tblCalculo[[#This Row],[NR_SIMULACAO]],tblVendas[[#This Row],[NR_SIMULACAO]],tblVendas[[#This Row],[VALOR_MOVEL]],""),0)</f>
        <v>0</v>
      </c>
      <c r="G137">
        <f>IF(tblCalculo[[#This Row],[STATUS]]="CONCLUÍDO",_xlfn.XLOOKUP(tblCalculo[[#This Row],[NR_SIMULACAO]],tblVendas[[#This Row],[NR_SIMULACAO]],tblVendas[[#This Row],[VALOR_AVANCADO]],""),0)</f>
        <v>0</v>
      </c>
      <c r="H137">
        <f>IF(tblCalculo[[#This Row],[STATUS]]="CONCLUÍDO",_xlfn.XLOOKUP(tblCalculo[[#This Row],[NR_SIMULACAO]],tblVendas[[#This Row],[NR_SIMULACAO]],tblVendas[[#This Row],[VALOR_FIXABASICA]],""),0)</f>
        <v>0</v>
      </c>
      <c r="I137">
        <f>IF(tblCalculo[[#This Row],[STATUS]]="CONCLUÍDO",_xlfn.XLOOKUP(tblCalculo[[#This Row],[NR_SIMULACAO]],tblVendas[[#This Row],[NR_SIMULACAO]],tblVendas[[#This Row],[VALOR_TI]],""),0)</f>
        <v>0</v>
      </c>
      <c r="J137">
        <f>IF(tblCalculo[[#This Row],[STATUS]]="CONCLUÍDO",_xlfn.XLOOKUP(tblCalculo[[#This Row],[NR_SIMULACAO]],tblVendas[[#This Row],[NR_SIMULACAO]],tblVendas[[#This Row],[VALOR_APARELHO]],""),0)</f>
        <v>0</v>
      </c>
      <c r="K137" t="str">
        <f>IF(tblCalculo[[#This Row],[STATUS]]="NEGOCIANDO",tblCalculo[[#This Row],[VALOR_TOTAL]],"")</f>
        <v/>
      </c>
      <c r="L137" t="str">
        <f>IF(tblCalculo[[#This Row],[STATUS]]="ALÇADA",tblCalculo[[#This Row],[VALOR_TOTAL]],"")</f>
        <v/>
      </c>
      <c r="M137" t="str">
        <f>IF(tblCalculo[[#This Row],[STATUS]]="EM ANÁLISE",tblCalculo[[#This Row],[VALOR_TOTAL]],"")</f>
        <v/>
      </c>
      <c r="N137">
        <f>IF(tblCalculo[[#This Row],[STATUS]]="TRAMITANDO",tblCalculo[[#This Row],[VALOR_TOTAL]],"")</f>
        <v>4541.6400000000003</v>
      </c>
      <c r="O137" t="str">
        <f>IF(tblCalculo[[#This Row],[STATUS]]="PERDIDO",tblCalculo[[#This Row],[VALOR_TOTAL]],"")</f>
        <v/>
      </c>
      <c r="P137" t="str">
        <f>IF(tblCalculo[[#This Row],[STATUS]]="CONCLUÍDO",tblCalculo[[#This Row],[VALOR_TOTAL]],"")</f>
        <v/>
      </c>
    </row>
    <row r="138" spans="1:16" x14ac:dyDescent="0.25">
      <c r="A138" t="str">
        <f>tblVendas[[#This Row],[NR_SIMULACAO]]</f>
        <v>SIM1128</v>
      </c>
      <c r="B138" s="34" t="str">
        <f>_xlfn.XLOOKUP(A138,tblVendas[[#This Row],[NR_SIMULACAO]],tblVendas[[#This Row],[NR_CNPJ]],"")</f>
        <v>64.178.170/0001-91</v>
      </c>
      <c r="C138" t="str">
        <f>_xlfn.XLOOKUP(A138,tblVendas[[#This Row],[NR_SIMULACAO]],tblVendas[[#This Row],[STATUS]],"")</f>
        <v>TRAMITANDO</v>
      </c>
      <c r="D138" t="str">
        <f>_xlfn.XLOOKUP(A138,tblVendas[[#This Row],[NR_SIMULACAO]],tblVendas[[#This Row],[MES]],"")</f>
        <v>Setembro</v>
      </c>
      <c r="E138">
        <f>SUM(_xlfn.XLOOKUP(tblCalculo[[#This Row],[NR_SIMULACAO]],tblVendas[[#This Row],[NR_SIMULACAO]],tblVendas[[#This Row],[VALOR_MOVEL]],""):_xlfn.XLOOKUP(tblCalculo[[#This Row],[NR_SIMULACAO]],tblVendas[[#This Row],[NR_SIMULACAO]],tblVendas[[#This Row],[VALOR_APARELHO]],""))</f>
        <v>2708.19</v>
      </c>
      <c r="F138">
        <f>IF(tblCalculo[[#This Row],[STATUS]]="CONCLUÍDO",_xlfn.XLOOKUP(tblCalculo[[#This Row],[NR_SIMULACAO]],tblVendas[[#This Row],[NR_SIMULACAO]],tblVendas[[#This Row],[VALOR_MOVEL]],""),0)</f>
        <v>0</v>
      </c>
      <c r="G138">
        <f>IF(tblCalculo[[#This Row],[STATUS]]="CONCLUÍDO",_xlfn.XLOOKUP(tblCalculo[[#This Row],[NR_SIMULACAO]],tblVendas[[#This Row],[NR_SIMULACAO]],tblVendas[[#This Row],[VALOR_AVANCADO]],""),0)</f>
        <v>0</v>
      </c>
      <c r="H138">
        <f>IF(tblCalculo[[#This Row],[STATUS]]="CONCLUÍDO",_xlfn.XLOOKUP(tblCalculo[[#This Row],[NR_SIMULACAO]],tblVendas[[#This Row],[NR_SIMULACAO]],tblVendas[[#This Row],[VALOR_FIXABASICA]],""),0)</f>
        <v>0</v>
      </c>
      <c r="I138">
        <f>IF(tblCalculo[[#This Row],[STATUS]]="CONCLUÍDO",_xlfn.XLOOKUP(tblCalculo[[#This Row],[NR_SIMULACAO]],tblVendas[[#This Row],[NR_SIMULACAO]],tblVendas[[#This Row],[VALOR_TI]],""),0)</f>
        <v>0</v>
      </c>
      <c r="J138">
        <f>IF(tblCalculo[[#This Row],[STATUS]]="CONCLUÍDO",_xlfn.XLOOKUP(tblCalculo[[#This Row],[NR_SIMULACAO]],tblVendas[[#This Row],[NR_SIMULACAO]],tblVendas[[#This Row],[VALOR_APARELHO]],""),0)</f>
        <v>0</v>
      </c>
      <c r="K138" t="str">
        <f>IF(tblCalculo[[#This Row],[STATUS]]="NEGOCIANDO",tblCalculo[[#This Row],[VALOR_TOTAL]],"")</f>
        <v/>
      </c>
      <c r="L138" t="str">
        <f>IF(tblCalculo[[#This Row],[STATUS]]="ALÇADA",tblCalculo[[#This Row],[VALOR_TOTAL]],"")</f>
        <v/>
      </c>
      <c r="M138" t="str">
        <f>IF(tblCalculo[[#This Row],[STATUS]]="EM ANÁLISE",tblCalculo[[#This Row],[VALOR_TOTAL]],"")</f>
        <v/>
      </c>
      <c r="N138">
        <f>IF(tblCalculo[[#This Row],[STATUS]]="TRAMITANDO",tblCalculo[[#This Row],[VALOR_TOTAL]],"")</f>
        <v>2708.19</v>
      </c>
      <c r="O138" t="str">
        <f>IF(tblCalculo[[#This Row],[STATUS]]="PERDIDO",tblCalculo[[#This Row],[VALOR_TOTAL]],"")</f>
        <v/>
      </c>
      <c r="P138" t="str">
        <f>IF(tblCalculo[[#This Row],[STATUS]]="CONCLUÍDO",tblCalculo[[#This Row],[VALOR_TOTAL]],"")</f>
        <v/>
      </c>
    </row>
    <row r="139" spans="1:16" x14ac:dyDescent="0.25">
      <c r="A139" t="str">
        <f>tblVendas[[#This Row],[NR_SIMULACAO]]</f>
        <v>SIM1129</v>
      </c>
      <c r="B139" s="34" t="str">
        <f>_xlfn.XLOOKUP(A139,tblVendas[[#This Row],[NR_SIMULACAO]],tblVendas[[#This Row],[NR_CNPJ]],"")</f>
        <v>65.259.157/0001-31</v>
      </c>
      <c r="C139" t="str">
        <f>_xlfn.XLOOKUP(A139,tblVendas[[#This Row],[NR_SIMULACAO]],tblVendas[[#This Row],[STATUS]],"")</f>
        <v>PERDIDO</v>
      </c>
      <c r="D139" t="str">
        <f>_xlfn.XLOOKUP(A139,tblVendas[[#This Row],[NR_SIMULACAO]],tblVendas[[#This Row],[MES]],"")</f>
        <v>Dezembro</v>
      </c>
      <c r="E139">
        <f>SUM(_xlfn.XLOOKUP(tblCalculo[[#This Row],[NR_SIMULACAO]],tblVendas[[#This Row],[NR_SIMULACAO]],tblVendas[[#This Row],[VALOR_MOVEL]],""):_xlfn.XLOOKUP(tblCalculo[[#This Row],[NR_SIMULACAO]],tblVendas[[#This Row],[NR_SIMULACAO]],tblVendas[[#This Row],[VALOR_APARELHO]],""))</f>
        <v>11658.95</v>
      </c>
      <c r="F139">
        <f>IF(tblCalculo[[#This Row],[STATUS]]="CONCLUÍDO",_xlfn.XLOOKUP(tblCalculo[[#This Row],[NR_SIMULACAO]],tblVendas[[#This Row],[NR_SIMULACAO]],tblVendas[[#This Row],[VALOR_MOVEL]],""),0)</f>
        <v>0</v>
      </c>
      <c r="G139">
        <f>IF(tblCalculo[[#This Row],[STATUS]]="CONCLUÍDO",_xlfn.XLOOKUP(tblCalculo[[#This Row],[NR_SIMULACAO]],tblVendas[[#This Row],[NR_SIMULACAO]],tblVendas[[#This Row],[VALOR_AVANCADO]],""),0)</f>
        <v>0</v>
      </c>
      <c r="H139">
        <f>IF(tblCalculo[[#This Row],[STATUS]]="CONCLUÍDO",_xlfn.XLOOKUP(tblCalculo[[#This Row],[NR_SIMULACAO]],tblVendas[[#This Row],[NR_SIMULACAO]],tblVendas[[#This Row],[VALOR_FIXABASICA]],""),0)</f>
        <v>0</v>
      </c>
      <c r="I139">
        <f>IF(tblCalculo[[#This Row],[STATUS]]="CONCLUÍDO",_xlfn.XLOOKUP(tblCalculo[[#This Row],[NR_SIMULACAO]],tblVendas[[#This Row],[NR_SIMULACAO]],tblVendas[[#This Row],[VALOR_TI]],""),0)</f>
        <v>0</v>
      </c>
      <c r="J139">
        <f>IF(tblCalculo[[#This Row],[STATUS]]="CONCLUÍDO",_xlfn.XLOOKUP(tblCalculo[[#This Row],[NR_SIMULACAO]],tblVendas[[#This Row],[NR_SIMULACAO]],tblVendas[[#This Row],[VALOR_APARELHO]],""),0)</f>
        <v>0</v>
      </c>
      <c r="K139" t="str">
        <f>IF(tblCalculo[[#This Row],[STATUS]]="NEGOCIANDO",tblCalculo[[#This Row],[VALOR_TOTAL]],"")</f>
        <v/>
      </c>
      <c r="L139" t="str">
        <f>IF(tblCalculo[[#This Row],[STATUS]]="ALÇADA",tblCalculo[[#This Row],[VALOR_TOTAL]],"")</f>
        <v/>
      </c>
      <c r="M139" t="str">
        <f>IF(tblCalculo[[#This Row],[STATUS]]="EM ANÁLISE",tblCalculo[[#This Row],[VALOR_TOTAL]],"")</f>
        <v/>
      </c>
      <c r="N139" t="str">
        <f>IF(tblCalculo[[#This Row],[STATUS]]="TRAMITANDO",tblCalculo[[#This Row],[VALOR_TOTAL]],"")</f>
        <v/>
      </c>
      <c r="O139">
        <f>IF(tblCalculo[[#This Row],[STATUS]]="PERDIDO",tblCalculo[[#This Row],[VALOR_TOTAL]],"")</f>
        <v>11658.95</v>
      </c>
      <c r="P139" t="str">
        <f>IF(tblCalculo[[#This Row],[STATUS]]="CONCLUÍDO",tblCalculo[[#This Row],[VALOR_TOTAL]],"")</f>
        <v/>
      </c>
    </row>
    <row r="140" spans="1:16" x14ac:dyDescent="0.25">
      <c r="A140" t="str">
        <f>tblVendas[[#This Row],[NR_SIMULACAO]]</f>
        <v>SIM1130</v>
      </c>
      <c r="B140" s="34" t="str">
        <f>_xlfn.XLOOKUP(A140,tblVendas[[#This Row],[NR_SIMULACAO]],tblVendas[[#This Row],[NR_CNPJ]],"")</f>
        <v>93.714.635/0001-74</v>
      </c>
      <c r="C140" t="str">
        <f>_xlfn.XLOOKUP(A140,tblVendas[[#This Row],[NR_SIMULACAO]],tblVendas[[#This Row],[STATUS]],"")</f>
        <v>TRAMITANDO</v>
      </c>
      <c r="D140" t="str">
        <f>_xlfn.XLOOKUP(A140,tblVendas[[#This Row],[NR_SIMULACAO]],tblVendas[[#This Row],[MES]],"")</f>
        <v>Dezembro</v>
      </c>
      <c r="E140">
        <f>SUM(_xlfn.XLOOKUP(tblCalculo[[#This Row],[NR_SIMULACAO]],tblVendas[[#This Row],[NR_SIMULACAO]],tblVendas[[#This Row],[VALOR_MOVEL]],""):_xlfn.XLOOKUP(tblCalculo[[#This Row],[NR_SIMULACAO]],tblVendas[[#This Row],[NR_SIMULACAO]],tblVendas[[#This Row],[VALOR_APARELHO]],""))</f>
        <v>11366.88</v>
      </c>
      <c r="F140">
        <f>IF(tblCalculo[[#This Row],[STATUS]]="CONCLUÍDO",_xlfn.XLOOKUP(tblCalculo[[#This Row],[NR_SIMULACAO]],tblVendas[[#This Row],[NR_SIMULACAO]],tblVendas[[#This Row],[VALOR_MOVEL]],""),0)</f>
        <v>0</v>
      </c>
      <c r="G140">
        <f>IF(tblCalculo[[#This Row],[STATUS]]="CONCLUÍDO",_xlfn.XLOOKUP(tblCalculo[[#This Row],[NR_SIMULACAO]],tblVendas[[#This Row],[NR_SIMULACAO]],tblVendas[[#This Row],[VALOR_AVANCADO]],""),0)</f>
        <v>0</v>
      </c>
      <c r="H140">
        <f>IF(tblCalculo[[#This Row],[STATUS]]="CONCLUÍDO",_xlfn.XLOOKUP(tblCalculo[[#This Row],[NR_SIMULACAO]],tblVendas[[#This Row],[NR_SIMULACAO]],tblVendas[[#This Row],[VALOR_FIXABASICA]],""),0)</f>
        <v>0</v>
      </c>
      <c r="I140">
        <f>IF(tblCalculo[[#This Row],[STATUS]]="CONCLUÍDO",_xlfn.XLOOKUP(tblCalculo[[#This Row],[NR_SIMULACAO]],tblVendas[[#This Row],[NR_SIMULACAO]],tblVendas[[#This Row],[VALOR_TI]],""),0)</f>
        <v>0</v>
      </c>
      <c r="J140">
        <f>IF(tblCalculo[[#This Row],[STATUS]]="CONCLUÍDO",_xlfn.XLOOKUP(tblCalculo[[#This Row],[NR_SIMULACAO]],tblVendas[[#This Row],[NR_SIMULACAO]],tblVendas[[#This Row],[VALOR_APARELHO]],""),0)</f>
        <v>0</v>
      </c>
      <c r="K140" t="str">
        <f>IF(tblCalculo[[#This Row],[STATUS]]="NEGOCIANDO",tblCalculo[[#This Row],[VALOR_TOTAL]],"")</f>
        <v/>
      </c>
      <c r="L140" t="str">
        <f>IF(tblCalculo[[#This Row],[STATUS]]="ALÇADA",tblCalculo[[#This Row],[VALOR_TOTAL]],"")</f>
        <v/>
      </c>
      <c r="M140" t="str">
        <f>IF(tblCalculo[[#This Row],[STATUS]]="EM ANÁLISE",tblCalculo[[#This Row],[VALOR_TOTAL]],"")</f>
        <v/>
      </c>
      <c r="N140">
        <f>IF(tblCalculo[[#This Row],[STATUS]]="TRAMITANDO",tblCalculo[[#This Row],[VALOR_TOTAL]],"")</f>
        <v>11366.88</v>
      </c>
      <c r="O140" t="str">
        <f>IF(tblCalculo[[#This Row],[STATUS]]="PERDIDO",tblCalculo[[#This Row],[VALOR_TOTAL]],"")</f>
        <v/>
      </c>
      <c r="P140" t="str">
        <f>IF(tblCalculo[[#This Row],[STATUS]]="CONCLUÍDO",tblCalculo[[#This Row],[VALOR_TOTAL]],"")</f>
        <v/>
      </c>
    </row>
    <row r="141" spans="1:16" x14ac:dyDescent="0.25">
      <c r="A141" t="str">
        <f>tblVendas[[#This Row],[NR_SIMULACAO]]</f>
        <v>SIM1131</v>
      </c>
      <c r="B141" s="34" t="str">
        <f>_xlfn.XLOOKUP(A141,tblVendas[[#This Row],[NR_SIMULACAO]],tblVendas[[#This Row],[NR_CNPJ]],"")</f>
        <v>38.335.299/0001-79</v>
      </c>
      <c r="C141" t="str">
        <f>_xlfn.XLOOKUP(A141,tblVendas[[#This Row],[NR_SIMULACAO]],tblVendas[[#This Row],[STATUS]],"")</f>
        <v>CONCLUÍDO</v>
      </c>
      <c r="D141" t="str">
        <f>_xlfn.XLOOKUP(A141,tblVendas[[#This Row],[NR_SIMULACAO]],tblVendas[[#This Row],[MES]],"")</f>
        <v>Setembro</v>
      </c>
      <c r="E141">
        <f>SUM(_xlfn.XLOOKUP(tblCalculo[[#This Row],[NR_SIMULACAO]],tblVendas[[#This Row],[NR_SIMULACAO]],tblVendas[[#This Row],[VALOR_MOVEL]],""):_xlfn.XLOOKUP(tblCalculo[[#This Row],[NR_SIMULACAO]],tblVendas[[#This Row],[NR_SIMULACAO]],tblVendas[[#This Row],[VALOR_APARELHO]],""))</f>
        <v>3382.79</v>
      </c>
      <c r="F141">
        <f>IF(tblCalculo[[#This Row],[STATUS]]="CONCLUÍDO",_xlfn.XLOOKUP(tblCalculo[[#This Row],[NR_SIMULACAO]],tblVendas[[#This Row],[NR_SIMULACAO]],tblVendas[[#This Row],[VALOR_MOVEL]],""),0)</f>
        <v>0</v>
      </c>
      <c r="G141">
        <f>IF(tblCalculo[[#This Row],[STATUS]]="CONCLUÍDO",_xlfn.XLOOKUP(tblCalculo[[#This Row],[NR_SIMULACAO]],tblVendas[[#This Row],[NR_SIMULACAO]],tblVendas[[#This Row],[VALOR_AVANCADO]],""),0)</f>
        <v>0</v>
      </c>
      <c r="H141">
        <f>IF(tblCalculo[[#This Row],[STATUS]]="CONCLUÍDO",_xlfn.XLOOKUP(tblCalculo[[#This Row],[NR_SIMULACAO]],tblVendas[[#This Row],[NR_SIMULACAO]],tblVendas[[#This Row],[VALOR_FIXABASICA]],""),0)</f>
        <v>0</v>
      </c>
      <c r="I141">
        <f>IF(tblCalculo[[#This Row],[STATUS]]="CONCLUÍDO",_xlfn.XLOOKUP(tblCalculo[[#This Row],[NR_SIMULACAO]],tblVendas[[#This Row],[NR_SIMULACAO]],tblVendas[[#This Row],[VALOR_TI]],""),0)</f>
        <v>3382.79</v>
      </c>
      <c r="J141">
        <f>IF(tblCalculo[[#This Row],[STATUS]]="CONCLUÍDO",_xlfn.XLOOKUP(tblCalculo[[#This Row],[NR_SIMULACAO]],tblVendas[[#This Row],[NR_SIMULACAO]],tblVendas[[#This Row],[VALOR_APARELHO]],""),0)</f>
        <v>0</v>
      </c>
      <c r="K141" t="str">
        <f>IF(tblCalculo[[#This Row],[STATUS]]="NEGOCIANDO",tblCalculo[[#This Row],[VALOR_TOTAL]],"")</f>
        <v/>
      </c>
      <c r="L141" t="str">
        <f>IF(tblCalculo[[#This Row],[STATUS]]="ALÇADA",tblCalculo[[#This Row],[VALOR_TOTAL]],"")</f>
        <v/>
      </c>
      <c r="M141" t="str">
        <f>IF(tblCalculo[[#This Row],[STATUS]]="EM ANÁLISE",tblCalculo[[#This Row],[VALOR_TOTAL]],"")</f>
        <v/>
      </c>
      <c r="N141" t="str">
        <f>IF(tblCalculo[[#This Row],[STATUS]]="TRAMITANDO",tblCalculo[[#This Row],[VALOR_TOTAL]],"")</f>
        <v/>
      </c>
      <c r="O141" t="str">
        <f>IF(tblCalculo[[#This Row],[STATUS]]="PERDIDO",tblCalculo[[#This Row],[VALOR_TOTAL]],"")</f>
        <v/>
      </c>
      <c r="P141">
        <f>IF(tblCalculo[[#This Row],[STATUS]]="CONCLUÍDO",tblCalculo[[#This Row],[VALOR_TOTAL]],"")</f>
        <v>3382.79</v>
      </c>
    </row>
    <row r="142" spans="1:16" x14ac:dyDescent="0.25">
      <c r="A142" t="str">
        <f>tblVendas[[#This Row],[NR_SIMULACAO]]</f>
        <v>SIM1132</v>
      </c>
      <c r="B142" s="34" t="str">
        <f>_xlfn.XLOOKUP(A142,tblVendas[[#This Row],[NR_SIMULACAO]],tblVendas[[#This Row],[NR_CNPJ]],"")</f>
        <v>41.756.849/0001-53</v>
      </c>
      <c r="C142" t="str">
        <f>_xlfn.XLOOKUP(A142,tblVendas[[#This Row],[NR_SIMULACAO]],tblVendas[[#This Row],[STATUS]],"")</f>
        <v>ALÇADA</v>
      </c>
      <c r="D142" t="str">
        <f>_xlfn.XLOOKUP(A142,tblVendas[[#This Row],[NR_SIMULACAO]],tblVendas[[#This Row],[MES]],"")</f>
        <v>Abril</v>
      </c>
      <c r="E142">
        <f>SUM(_xlfn.XLOOKUP(tblCalculo[[#This Row],[NR_SIMULACAO]],tblVendas[[#This Row],[NR_SIMULACAO]],tblVendas[[#This Row],[VALOR_MOVEL]],""):_xlfn.XLOOKUP(tblCalculo[[#This Row],[NR_SIMULACAO]],tblVendas[[#This Row],[NR_SIMULACAO]],tblVendas[[#This Row],[VALOR_APARELHO]],""))</f>
        <v>6411.18</v>
      </c>
      <c r="F142">
        <f>IF(tblCalculo[[#This Row],[STATUS]]="CONCLUÍDO",_xlfn.XLOOKUP(tblCalculo[[#This Row],[NR_SIMULACAO]],tblVendas[[#This Row],[NR_SIMULACAO]],tblVendas[[#This Row],[VALOR_MOVEL]],""),0)</f>
        <v>0</v>
      </c>
      <c r="G142">
        <f>IF(tblCalculo[[#This Row],[STATUS]]="CONCLUÍDO",_xlfn.XLOOKUP(tblCalculo[[#This Row],[NR_SIMULACAO]],tblVendas[[#This Row],[NR_SIMULACAO]],tblVendas[[#This Row],[VALOR_AVANCADO]],""),0)</f>
        <v>0</v>
      </c>
      <c r="H142">
        <f>IF(tblCalculo[[#This Row],[STATUS]]="CONCLUÍDO",_xlfn.XLOOKUP(tblCalculo[[#This Row],[NR_SIMULACAO]],tblVendas[[#This Row],[NR_SIMULACAO]],tblVendas[[#This Row],[VALOR_FIXABASICA]],""),0)</f>
        <v>0</v>
      </c>
      <c r="I142">
        <f>IF(tblCalculo[[#This Row],[STATUS]]="CONCLUÍDO",_xlfn.XLOOKUP(tblCalculo[[#This Row],[NR_SIMULACAO]],tblVendas[[#This Row],[NR_SIMULACAO]],tblVendas[[#This Row],[VALOR_TI]],""),0)</f>
        <v>0</v>
      </c>
      <c r="J142">
        <f>IF(tblCalculo[[#This Row],[STATUS]]="CONCLUÍDO",_xlfn.XLOOKUP(tblCalculo[[#This Row],[NR_SIMULACAO]],tblVendas[[#This Row],[NR_SIMULACAO]],tblVendas[[#This Row],[VALOR_APARELHO]],""),0)</f>
        <v>0</v>
      </c>
      <c r="K142" t="str">
        <f>IF(tblCalculo[[#This Row],[STATUS]]="NEGOCIANDO",tblCalculo[[#This Row],[VALOR_TOTAL]],"")</f>
        <v/>
      </c>
      <c r="L142">
        <f>IF(tblCalculo[[#This Row],[STATUS]]="ALÇADA",tblCalculo[[#This Row],[VALOR_TOTAL]],"")</f>
        <v>6411.18</v>
      </c>
      <c r="M142" t="str">
        <f>IF(tblCalculo[[#This Row],[STATUS]]="EM ANÁLISE",tblCalculo[[#This Row],[VALOR_TOTAL]],"")</f>
        <v/>
      </c>
      <c r="N142" t="str">
        <f>IF(tblCalculo[[#This Row],[STATUS]]="TRAMITANDO",tblCalculo[[#This Row],[VALOR_TOTAL]],"")</f>
        <v/>
      </c>
      <c r="O142" t="str">
        <f>IF(tblCalculo[[#This Row],[STATUS]]="PERDIDO",tblCalculo[[#This Row],[VALOR_TOTAL]],"")</f>
        <v/>
      </c>
      <c r="P142" t="str">
        <f>IF(tblCalculo[[#This Row],[STATUS]]="CONCLUÍDO",tblCalculo[[#This Row],[VALOR_TOTAL]],"")</f>
        <v/>
      </c>
    </row>
    <row r="143" spans="1:16" x14ac:dyDescent="0.25">
      <c r="A143" t="str">
        <f>tblVendas[[#This Row],[NR_SIMULACAO]]</f>
        <v>SIM1133</v>
      </c>
      <c r="B143" s="34" t="str">
        <f>_xlfn.XLOOKUP(A143,tblVendas[[#This Row],[NR_SIMULACAO]],tblVendas[[#This Row],[NR_CNPJ]],"")</f>
        <v>12.849.959/0001-47</v>
      </c>
      <c r="C143" t="str">
        <f>_xlfn.XLOOKUP(A143,tblVendas[[#This Row],[NR_SIMULACAO]],tblVendas[[#This Row],[STATUS]],"")</f>
        <v>PERDIDO</v>
      </c>
      <c r="D143" t="str">
        <f>_xlfn.XLOOKUP(A143,tblVendas[[#This Row],[NR_SIMULACAO]],tblVendas[[#This Row],[MES]],"")</f>
        <v>Agosto</v>
      </c>
      <c r="E143">
        <f>SUM(_xlfn.XLOOKUP(tblCalculo[[#This Row],[NR_SIMULACAO]],tblVendas[[#This Row],[NR_SIMULACAO]],tblVendas[[#This Row],[VALOR_MOVEL]],""):_xlfn.XLOOKUP(tblCalculo[[#This Row],[NR_SIMULACAO]],tblVendas[[#This Row],[NR_SIMULACAO]],tblVendas[[#This Row],[VALOR_APARELHO]],""))</f>
        <v>339.07</v>
      </c>
      <c r="F143">
        <f>IF(tblCalculo[[#This Row],[STATUS]]="CONCLUÍDO",_xlfn.XLOOKUP(tblCalculo[[#This Row],[NR_SIMULACAO]],tblVendas[[#This Row],[NR_SIMULACAO]],tblVendas[[#This Row],[VALOR_MOVEL]],""),0)</f>
        <v>0</v>
      </c>
      <c r="G143">
        <f>IF(tblCalculo[[#This Row],[STATUS]]="CONCLUÍDO",_xlfn.XLOOKUP(tblCalculo[[#This Row],[NR_SIMULACAO]],tblVendas[[#This Row],[NR_SIMULACAO]],tblVendas[[#This Row],[VALOR_AVANCADO]],""),0)</f>
        <v>0</v>
      </c>
      <c r="H143">
        <f>IF(tblCalculo[[#This Row],[STATUS]]="CONCLUÍDO",_xlfn.XLOOKUP(tblCalculo[[#This Row],[NR_SIMULACAO]],tblVendas[[#This Row],[NR_SIMULACAO]],tblVendas[[#This Row],[VALOR_FIXABASICA]],""),0)</f>
        <v>0</v>
      </c>
      <c r="I143">
        <f>IF(tblCalculo[[#This Row],[STATUS]]="CONCLUÍDO",_xlfn.XLOOKUP(tblCalculo[[#This Row],[NR_SIMULACAO]],tblVendas[[#This Row],[NR_SIMULACAO]],tblVendas[[#This Row],[VALOR_TI]],""),0)</f>
        <v>0</v>
      </c>
      <c r="J143">
        <f>IF(tblCalculo[[#This Row],[STATUS]]="CONCLUÍDO",_xlfn.XLOOKUP(tblCalculo[[#This Row],[NR_SIMULACAO]],tblVendas[[#This Row],[NR_SIMULACAO]],tblVendas[[#This Row],[VALOR_APARELHO]],""),0)</f>
        <v>0</v>
      </c>
      <c r="K143" t="str">
        <f>IF(tblCalculo[[#This Row],[STATUS]]="NEGOCIANDO",tblCalculo[[#This Row],[VALOR_TOTAL]],"")</f>
        <v/>
      </c>
      <c r="L143" t="str">
        <f>IF(tblCalculo[[#This Row],[STATUS]]="ALÇADA",tblCalculo[[#This Row],[VALOR_TOTAL]],"")</f>
        <v/>
      </c>
      <c r="M143" t="str">
        <f>IF(tblCalculo[[#This Row],[STATUS]]="EM ANÁLISE",tblCalculo[[#This Row],[VALOR_TOTAL]],"")</f>
        <v/>
      </c>
      <c r="N143" t="str">
        <f>IF(tblCalculo[[#This Row],[STATUS]]="TRAMITANDO",tblCalculo[[#This Row],[VALOR_TOTAL]],"")</f>
        <v/>
      </c>
      <c r="O143">
        <f>IF(tblCalculo[[#This Row],[STATUS]]="PERDIDO",tblCalculo[[#This Row],[VALOR_TOTAL]],"")</f>
        <v>339.07</v>
      </c>
      <c r="P143" t="str">
        <f>IF(tblCalculo[[#This Row],[STATUS]]="CONCLUÍDO",tblCalculo[[#This Row],[VALOR_TOTAL]],"")</f>
        <v/>
      </c>
    </row>
    <row r="144" spans="1:16" x14ac:dyDescent="0.25">
      <c r="A144" t="str">
        <f>tblVendas[[#This Row],[NR_SIMULACAO]]</f>
        <v>SIM1134</v>
      </c>
      <c r="B144" s="34" t="str">
        <f>_xlfn.XLOOKUP(A144,tblVendas[[#This Row],[NR_SIMULACAO]],tblVendas[[#This Row],[NR_CNPJ]],"")</f>
        <v>66.866.328/0001-10</v>
      </c>
      <c r="C144" t="str">
        <f>_xlfn.XLOOKUP(A144,tblVendas[[#This Row],[NR_SIMULACAO]],tblVendas[[#This Row],[STATUS]],"")</f>
        <v>EM ANÁLISE</v>
      </c>
      <c r="D144" t="str">
        <f>_xlfn.XLOOKUP(A144,tblVendas[[#This Row],[NR_SIMULACAO]],tblVendas[[#This Row],[MES]],"")</f>
        <v>Novembro</v>
      </c>
      <c r="E144">
        <f>SUM(_xlfn.XLOOKUP(tblCalculo[[#This Row],[NR_SIMULACAO]],tblVendas[[#This Row],[NR_SIMULACAO]],tblVendas[[#This Row],[VALOR_MOVEL]],""):_xlfn.XLOOKUP(tblCalculo[[#This Row],[NR_SIMULACAO]],tblVendas[[#This Row],[NR_SIMULACAO]],tblVendas[[#This Row],[VALOR_APARELHO]],""))</f>
        <v>5382.5</v>
      </c>
      <c r="F144">
        <f>IF(tblCalculo[[#This Row],[STATUS]]="CONCLUÍDO",_xlfn.XLOOKUP(tblCalculo[[#This Row],[NR_SIMULACAO]],tblVendas[[#This Row],[NR_SIMULACAO]],tblVendas[[#This Row],[VALOR_MOVEL]],""),0)</f>
        <v>0</v>
      </c>
      <c r="G144">
        <f>IF(tblCalculo[[#This Row],[STATUS]]="CONCLUÍDO",_xlfn.XLOOKUP(tblCalculo[[#This Row],[NR_SIMULACAO]],tblVendas[[#This Row],[NR_SIMULACAO]],tblVendas[[#This Row],[VALOR_AVANCADO]],""),0)</f>
        <v>0</v>
      </c>
      <c r="H144">
        <f>IF(tblCalculo[[#This Row],[STATUS]]="CONCLUÍDO",_xlfn.XLOOKUP(tblCalculo[[#This Row],[NR_SIMULACAO]],tblVendas[[#This Row],[NR_SIMULACAO]],tblVendas[[#This Row],[VALOR_FIXABASICA]],""),0)</f>
        <v>0</v>
      </c>
      <c r="I144">
        <f>IF(tblCalculo[[#This Row],[STATUS]]="CONCLUÍDO",_xlfn.XLOOKUP(tblCalculo[[#This Row],[NR_SIMULACAO]],tblVendas[[#This Row],[NR_SIMULACAO]],tblVendas[[#This Row],[VALOR_TI]],""),0)</f>
        <v>0</v>
      </c>
      <c r="J144">
        <f>IF(tblCalculo[[#This Row],[STATUS]]="CONCLUÍDO",_xlfn.XLOOKUP(tblCalculo[[#This Row],[NR_SIMULACAO]],tblVendas[[#This Row],[NR_SIMULACAO]],tblVendas[[#This Row],[VALOR_APARELHO]],""),0)</f>
        <v>0</v>
      </c>
      <c r="K144" t="str">
        <f>IF(tblCalculo[[#This Row],[STATUS]]="NEGOCIANDO",tblCalculo[[#This Row],[VALOR_TOTAL]],"")</f>
        <v/>
      </c>
      <c r="L144" t="str">
        <f>IF(tblCalculo[[#This Row],[STATUS]]="ALÇADA",tblCalculo[[#This Row],[VALOR_TOTAL]],"")</f>
        <v/>
      </c>
      <c r="M144">
        <f>IF(tblCalculo[[#This Row],[STATUS]]="EM ANÁLISE",tblCalculo[[#This Row],[VALOR_TOTAL]],"")</f>
        <v>5382.5</v>
      </c>
      <c r="N144" t="str">
        <f>IF(tblCalculo[[#This Row],[STATUS]]="TRAMITANDO",tblCalculo[[#This Row],[VALOR_TOTAL]],"")</f>
        <v/>
      </c>
      <c r="O144" t="str">
        <f>IF(tblCalculo[[#This Row],[STATUS]]="PERDIDO",tblCalculo[[#This Row],[VALOR_TOTAL]],"")</f>
        <v/>
      </c>
      <c r="P144" t="str">
        <f>IF(tblCalculo[[#This Row],[STATUS]]="CONCLUÍDO",tblCalculo[[#This Row],[VALOR_TOTAL]],"")</f>
        <v/>
      </c>
    </row>
    <row r="145" spans="1:16" x14ac:dyDescent="0.25">
      <c r="A145" t="str">
        <f>tblVendas[[#This Row],[NR_SIMULACAO]]</f>
        <v>SIM1135</v>
      </c>
      <c r="B145" s="34" t="str">
        <f>_xlfn.XLOOKUP(A145,tblVendas[[#This Row],[NR_SIMULACAO]],tblVendas[[#This Row],[NR_CNPJ]],"")</f>
        <v>81.501.851/0001-91</v>
      </c>
      <c r="C145" t="str">
        <f>_xlfn.XLOOKUP(A145,tblVendas[[#This Row],[NR_SIMULACAO]],tblVendas[[#This Row],[STATUS]],"")</f>
        <v>CONCLUÍDO</v>
      </c>
      <c r="D145" t="str">
        <f>_xlfn.XLOOKUP(A145,tblVendas[[#This Row],[NR_SIMULACAO]],tblVendas[[#This Row],[MES]],"")</f>
        <v>Novembro</v>
      </c>
      <c r="E145">
        <f>SUM(_xlfn.XLOOKUP(tblCalculo[[#This Row],[NR_SIMULACAO]],tblVendas[[#This Row],[NR_SIMULACAO]],tblVendas[[#This Row],[VALOR_MOVEL]],""):_xlfn.XLOOKUP(tblCalculo[[#This Row],[NR_SIMULACAO]],tblVendas[[#This Row],[NR_SIMULACAO]],tblVendas[[#This Row],[VALOR_APARELHO]],""))</f>
        <v>2807.9700000000003</v>
      </c>
      <c r="F145">
        <f>IF(tblCalculo[[#This Row],[STATUS]]="CONCLUÍDO",_xlfn.XLOOKUP(tblCalculo[[#This Row],[NR_SIMULACAO]],tblVendas[[#This Row],[NR_SIMULACAO]],tblVendas[[#This Row],[VALOR_MOVEL]],""),0)</f>
        <v>0</v>
      </c>
      <c r="G145">
        <f>IF(tblCalculo[[#This Row],[STATUS]]="CONCLUÍDO",_xlfn.XLOOKUP(tblCalculo[[#This Row],[NR_SIMULACAO]],tblVendas[[#This Row],[NR_SIMULACAO]],tblVendas[[#This Row],[VALOR_AVANCADO]],""),0)</f>
        <v>1286.26</v>
      </c>
      <c r="H145">
        <f>IF(tblCalculo[[#This Row],[STATUS]]="CONCLUÍDO",_xlfn.XLOOKUP(tblCalculo[[#This Row],[NR_SIMULACAO]],tblVendas[[#This Row],[NR_SIMULACAO]],tblVendas[[#This Row],[VALOR_FIXABASICA]],""),0)</f>
        <v>0</v>
      </c>
      <c r="I145">
        <f>IF(tblCalculo[[#This Row],[STATUS]]="CONCLUÍDO",_xlfn.XLOOKUP(tblCalculo[[#This Row],[NR_SIMULACAO]],tblVendas[[#This Row],[NR_SIMULACAO]],tblVendas[[#This Row],[VALOR_TI]],""),0)</f>
        <v>1521.71</v>
      </c>
      <c r="J145">
        <f>IF(tblCalculo[[#This Row],[STATUS]]="CONCLUÍDO",_xlfn.XLOOKUP(tblCalculo[[#This Row],[NR_SIMULACAO]],tblVendas[[#This Row],[NR_SIMULACAO]],tblVendas[[#This Row],[VALOR_APARELHO]],""),0)</f>
        <v>0</v>
      </c>
      <c r="K145" t="str">
        <f>IF(tblCalculo[[#This Row],[STATUS]]="NEGOCIANDO",tblCalculo[[#This Row],[VALOR_TOTAL]],"")</f>
        <v/>
      </c>
      <c r="L145" t="str">
        <f>IF(tblCalculo[[#This Row],[STATUS]]="ALÇADA",tblCalculo[[#This Row],[VALOR_TOTAL]],"")</f>
        <v/>
      </c>
      <c r="M145" t="str">
        <f>IF(tblCalculo[[#This Row],[STATUS]]="EM ANÁLISE",tblCalculo[[#This Row],[VALOR_TOTAL]],"")</f>
        <v/>
      </c>
      <c r="N145" t="str">
        <f>IF(tblCalculo[[#This Row],[STATUS]]="TRAMITANDO",tblCalculo[[#This Row],[VALOR_TOTAL]],"")</f>
        <v/>
      </c>
      <c r="O145" t="str">
        <f>IF(tblCalculo[[#This Row],[STATUS]]="PERDIDO",tblCalculo[[#This Row],[VALOR_TOTAL]],"")</f>
        <v/>
      </c>
      <c r="P145">
        <f>IF(tblCalculo[[#This Row],[STATUS]]="CONCLUÍDO",tblCalculo[[#This Row],[VALOR_TOTAL]],"")</f>
        <v>2807.9700000000003</v>
      </c>
    </row>
    <row r="146" spans="1:16" x14ac:dyDescent="0.25">
      <c r="A146" t="str">
        <f>tblVendas[[#This Row],[NR_SIMULACAO]]</f>
        <v>SIM1136</v>
      </c>
      <c r="B146" s="34" t="str">
        <f>_xlfn.XLOOKUP(A146,tblVendas[[#This Row],[NR_SIMULACAO]],tblVendas[[#This Row],[NR_CNPJ]],"")</f>
        <v>16.899.654/0001-48</v>
      </c>
      <c r="C146" t="str">
        <f>_xlfn.XLOOKUP(A146,tblVendas[[#This Row],[NR_SIMULACAO]],tblVendas[[#This Row],[STATUS]],"")</f>
        <v>TRAMITANDO</v>
      </c>
      <c r="D146" t="str">
        <f>_xlfn.XLOOKUP(A146,tblVendas[[#This Row],[NR_SIMULACAO]],tblVendas[[#This Row],[MES]],"")</f>
        <v>Janeiro</v>
      </c>
      <c r="E146">
        <f>SUM(_xlfn.XLOOKUP(tblCalculo[[#This Row],[NR_SIMULACAO]],tblVendas[[#This Row],[NR_SIMULACAO]],tblVendas[[#This Row],[VALOR_MOVEL]],""):_xlfn.XLOOKUP(tblCalculo[[#This Row],[NR_SIMULACAO]],tblVendas[[#This Row],[NR_SIMULACAO]],tblVendas[[#This Row],[VALOR_APARELHO]],""))</f>
        <v>10318.5</v>
      </c>
      <c r="F146">
        <f>IF(tblCalculo[[#This Row],[STATUS]]="CONCLUÍDO",_xlfn.XLOOKUP(tblCalculo[[#This Row],[NR_SIMULACAO]],tblVendas[[#This Row],[NR_SIMULACAO]],tblVendas[[#This Row],[VALOR_MOVEL]],""),0)</f>
        <v>0</v>
      </c>
      <c r="G146">
        <f>IF(tblCalculo[[#This Row],[STATUS]]="CONCLUÍDO",_xlfn.XLOOKUP(tblCalculo[[#This Row],[NR_SIMULACAO]],tblVendas[[#This Row],[NR_SIMULACAO]],tblVendas[[#This Row],[VALOR_AVANCADO]],""),0)</f>
        <v>0</v>
      </c>
      <c r="H146">
        <f>IF(tblCalculo[[#This Row],[STATUS]]="CONCLUÍDO",_xlfn.XLOOKUP(tblCalculo[[#This Row],[NR_SIMULACAO]],tblVendas[[#This Row],[NR_SIMULACAO]],tblVendas[[#This Row],[VALOR_FIXABASICA]],""),0)</f>
        <v>0</v>
      </c>
      <c r="I146">
        <f>IF(tblCalculo[[#This Row],[STATUS]]="CONCLUÍDO",_xlfn.XLOOKUP(tblCalculo[[#This Row],[NR_SIMULACAO]],tblVendas[[#This Row],[NR_SIMULACAO]],tblVendas[[#This Row],[VALOR_TI]],""),0)</f>
        <v>0</v>
      </c>
      <c r="J146">
        <f>IF(tblCalculo[[#This Row],[STATUS]]="CONCLUÍDO",_xlfn.XLOOKUP(tblCalculo[[#This Row],[NR_SIMULACAO]],tblVendas[[#This Row],[NR_SIMULACAO]],tblVendas[[#This Row],[VALOR_APARELHO]],""),0)</f>
        <v>0</v>
      </c>
      <c r="K146" t="str">
        <f>IF(tblCalculo[[#This Row],[STATUS]]="NEGOCIANDO",tblCalculo[[#This Row],[VALOR_TOTAL]],"")</f>
        <v/>
      </c>
      <c r="L146" t="str">
        <f>IF(tblCalculo[[#This Row],[STATUS]]="ALÇADA",tblCalculo[[#This Row],[VALOR_TOTAL]],"")</f>
        <v/>
      </c>
      <c r="M146" t="str">
        <f>IF(tblCalculo[[#This Row],[STATUS]]="EM ANÁLISE",tblCalculo[[#This Row],[VALOR_TOTAL]],"")</f>
        <v/>
      </c>
      <c r="N146">
        <f>IF(tblCalculo[[#This Row],[STATUS]]="TRAMITANDO",tblCalculo[[#This Row],[VALOR_TOTAL]],"")</f>
        <v>10318.5</v>
      </c>
      <c r="O146" t="str">
        <f>IF(tblCalculo[[#This Row],[STATUS]]="PERDIDO",tblCalculo[[#This Row],[VALOR_TOTAL]],"")</f>
        <v/>
      </c>
      <c r="P146" t="str">
        <f>IF(tblCalculo[[#This Row],[STATUS]]="CONCLUÍDO",tblCalculo[[#This Row],[VALOR_TOTAL]],"")</f>
        <v/>
      </c>
    </row>
    <row r="147" spans="1:16" x14ac:dyDescent="0.25">
      <c r="A147" t="str">
        <f>tblVendas[[#This Row],[NR_SIMULACAO]]</f>
        <v>SIM1137</v>
      </c>
      <c r="B147" s="34" t="str">
        <f>_xlfn.XLOOKUP(A147,tblVendas[[#This Row],[NR_SIMULACAO]],tblVendas[[#This Row],[NR_CNPJ]],"")</f>
        <v>93.732.745/0001-37</v>
      </c>
      <c r="C147" t="str">
        <f>_xlfn.XLOOKUP(A147,tblVendas[[#This Row],[NR_SIMULACAO]],tblVendas[[#This Row],[STATUS]],"")</f>
        <v>NEGOCIANDO</v>
      </c>
      <c r="D147" t="str">
        <f>_xlfn.XLOOKUP(A147,tblVendas[[#This Row],[NR_SIMULACAO]],tblVendas[[#This Row],[MES]],"")</f>
        <v>Maio</v>
      </c>
      <c r="E147">
        <f>SUM(_xlfn.XLOOKUP(tblCalculo[[#This Row],[NR_SIMULACAO]],tblVendas[[#This Row],[NR_SIMULACAO]],tblVendas[[#This Row],[VALOR_MOVEL]],""):_xlfn.XLOOKUP(tblCalculo[[#This Row],[NR_SIMULACAO]],tblVendas[[#This Row],[NR_SIMULACAO]],tblVendas[[#This Row],[VALOR_APARELHO]],""))</f>
        <v>20686.900000000001</v>
      </c>
      <c r="F147">
        <f>IF(tblCalculo[[#This Row],[STATUS]]="CONCLUÍDO",_xlfn.XLOOKUP(tblCalculo[[#This Row],[NR_SIMULACAO]],tblVendas[[#This Row],[NR_SIMULACAO]],tblVendas[[#This Row],[VALOR_MOVEL]],""),0)</f>
        <v>0</v>
      </c>
      <c r="G147">
        <f>IF(tblCalculo[[#This Row],[STATUS]]="CONCLUÍDO",_xlfn.XLOOKUP(tblCalculo[[#This Row],[NR_SIMULACAO]],tblVendas[[#This Row],[NR_SIMULACAO]],tblVendas[[#This Row],[VALOR_AVANCADO]],""),0)</f>
        <v>0</v>
      </c>
      <c r="H147">
        <f>IF(tblCalculo[[#This Row],[STATUS]]="CONCLUÍDO",_xlfn.XLOOKUP(tblCalculo[[#This Row],[NR_SIMULACAO]],tblVendas[[#This Row],[NR_SIMULACAO]],tblVendas[[#This Row],[VALOR_FIXABASICA]],""),0)</f>
        <v>0</v>
      </c>
      <c r="I147">
        <f>IF(tblCalculo[[#This Row],[STATUS]]="CONCLUÍDO",_xlfn.XLOOKUP(tblCalculo[[#This Row],[NR_SIMULACAO]],tblVendas[[#This Row],[NR_SIMULACAO]],tblVendas[[#This Row],[VALOR_TI]],""),0)</f>
        <v>0</v>
      </c>
      <c r="J147">
        <f>IF(tblCalculo[[#This Row],[STATUS]]="CONCLUÍDO",_xlfn.XLOOKUP(tblCalculo[[#This Row],[NR_SIMULACAO]],tblVendas[[#This Row],[NR_SIMULACAO]],tblVendas[[#This Row],[VALOR_APARELHO]],""),0)</f>
        <v>0</v>
      </c>
      <c r="K147">
        <f>IF(tblCalculo[[#This Row],[STATUS]]="NEGOCIANDO",tblCalculo[[#This Row],[VALOR_TOTAL]],"")</f>
        <v>20686.900000000001</v>
      </c>
      <c r="L147" t="str">
        <f>IF(tblCalculo[[#This Row],[STATUS]]="ALÇADA",tblCalculo[[#This Row],[VALOR_TOTAL]],"")</f>
        <v/>
      </c>
      <c r="M147" t="str">
        <f>IF(tblCalculo[[#This Row],[STATUS]]="EM ANÁLISE",tblCalculo[[#This Row],[VALOR_TOTAL]],"")</f>
        <v/>
      </c>
      <c r="N147" t="str">
        <f>IF(tblCalculo[[#This Row],[STATUS]]="TRAMITANDO",tblCalculo[[#This Row],[VALOR_TOTAL]],"")</f>
        <v/>
      </c>
      <c r="O147" t="str">
        <f>IF(tblCalculo[[#This Row],[STATUS]]="PERDIDO",tblCalculo[[#This Row],[VALOR_TOTAL]],"")</f>
        <v/>
      </c>
      <c r="P147" t="str">
        <f>IF(tblCalculo[[#This Row],[STATUS]]="CONCLUÍDO",tblCalculo[[#This Row],[VALOR_TOTAL]],"")</f>
        <v/>
      </c>
    </row>
    <row r="148" spans="1:16" x14ac:dyDescent="0.25">
      <c r="A148" t="str">
        <f>tblVendas[[#This Row],[NR_SIMULACAO]]</f>
        <v>SIM1138</v>
      </c>
      <c r="B148" s="34" t="str">
        <f>_xlfn.XLOOKUP(A148,tblVendas[[#This Row],[NR_SIMULACAO]],tblVendas[[#This Row],[NR_CNPJ]],"")</f>
        <v>32.785.891/0001-26</v>
      </c>
      <c r="C148" t="str">
        <f>_xlfn.XLOOKUP(A148,tblVendas[[#This Row],[NR_SIMULACAO]],tblVendas[[#This Row],[STATUS]],"")</f>
        <v>NEGOCIANDO</v>
      </c>
      <c r="D148" t="str">
        <f>_xlfn.XLOOKUP(A148,tblVendas[[#This Row],[NR_SIMULACAO]],tblVendas[[#This Row],[MES]],"")</f>
        <v>Janeiro</v>
      </c>
      <c r="E148">
        <f>SUM(_xlfn.XLOOKUP(tblCalculo[[#This Row],[NR_SIMULACAO]],tblVendas[[#This Row],[NR_SIMULACAO]],tblVendas[[#This Row],[VALOR_MOVEL]],""):_xlfn.XLOOKUP(tblCalculo[[#This Row],[NR_SIMULACAO]],tblVendas[[#This Row],[NR_SIMULACAO]],tblVendas[[#This Row],[VALOR_APARELHO]],""))</f>
        <v>10409.239999999998</v>
      </c>
      <c r="F148">
        <f>IF(tblCalculo[[#This Row],[STATUS]]="CONCLUÍDO",_xlfn.XLOOKUP(tblCalculo[[#This Row],[NR_SIMULACAO]],tblVendas[[#This Row],[NR_SIMULACAO]],tblVendas[[#This Row],[VALOR_MOVEL]],""),0)</f>
        <v>0</v>
      </c>
      <c r="G148">
        <f>IF(tblCalculo[[#This Row],[STATUS]]="CONCLUÍDO",_xlfn.XLOOKUP(tblCalculo[[#This Row],[NR_SIMULACAO]],tblVendas[[#This Row],[NR_SIMULACAO]],tblVendas[[#This Row],[VALOR_AVANCADO]],""),0)</f>
        <v>0</v>
      </c>
      <c r="H148">
        <f>IF(tblCalculo[[#This Row],[STATUS]]="CONCLUÍDO",_xlfn.XLOOKUP(tblCalculo[[#This Row],[NR_SIMULACAO]],tblVendas[[#This Row],[NR_SIMULACAO]],tblVendas[[#This Row],[VALOR_FIXABASICA]],""),0)</f>
        <v>0</v>
      </c>
      <c r="I148">
        <f>IF(tblCalculo[[#This Row],[STATUS]]="CONCLUÍDO",_xlfn.XLOOKUP(tblCalculo[[#This Row],[NR_SIMULACAO]],tblVendas[[#This Row],[NR_SIMULACAO]],tblVendas[[#This Row],[VALOR_TI]],""),0)</f>
        <v>0</v>
      </c>
      <c r="J148">
        <f>IF(tblCalculo[[#This Row],[STATUS]]="CONCLUÍDO",_xlfn.XLOOKUP(tblCalculo[[#This Row],[NR_SIMULACAO]],tblVendas[[#This Row],[NR_SIMULACAO]],tblVendas[[#This Row],[VALOR_APARELHO]],""),0)</f>
        <v>0</v>
      </c>
      <c r="K148">
        <f>IF(tblCalculo[[#This Row],[STATUS]]="NEGOCIANDO",tblCalculo[[#This Row],[VALOR_TOTAL]],"")</f>
        <v>10409.239999999998</v>
      </c>
      <c r="L148" t="str">
        <f>IF(tblCalculo[[#This Row],[STATUS]]="ALÇADA",tblCalculo[[#This Row],[VALOR_TOTAL]],"")</f>
        <v/>
      </c>
      <c r="M148" t="str">
        <f>IF(tblCalculo[[#This Row],[STATUS]]="EM ANÁLISE",tblCalculo[[#This Row],[VALOR_TOTAL]],"")</f>
        <v/>
      </c>
      <c r="N148" t="str">
        <f>IF(tblCalculo[[#This Row],[STATUS]]="TRAMITANDO",tblCalculo[[#This Row],[VALOR_TOTAL]],"")</f>
        <v/>
      </c>
      <c r="O148" t="str">
        <f>IF(tblCalculo[[#This Row],[STATUS]]="PERDIDO",tblCalculo[[#This Row],[VALOR_TOTAL]],"")</f>
        <v/>
      </c>
      <c r="P148" t="str">
        <f>IF(tblCalculo[[#This Row],[STATUS]]="CONCLUÍDO",tblCalculo[[#This Row],[VALOR_TOTAL]],"")</f>
        <v/>
      </c>
    </row>
    <row r="149" spans="1:16" x14ac:dyDescent="0.25">
      <c r="A149" t="str">
        <f>tblVendas[[#This Row],[NR_SIMULACAO]]</f>
        <v>SIM1139</v>
      </c>
      <c r="B149" s="34" t="str">
        <f>_xlfn.XLOOKUP(A149,tblVendas[[#This Row],[NR_SIMULACAO]],tblVendas[[#This Row],[NR_CNPJ]],"")</f>
        <v>23.920.909/0001-85</v>
      </c>
      <c r="C149" t="str">
        <f>_xlfn.XLOOKUP(A149,tblVendas[[#This Row],[NR_SIMULACAO]],tblVendas[[#This Row],[STATUS]],"")</f>
        <v>CONCLUÍDO</v>
      </c>
      <c r="D149" t="str">
        <f>_xlfn.XLOOKUP(A149,tblVendas[[#This Row],[NR_SIMULACAO]],tblVendas[[#This Row],[MES]],"")</f>
        <v>Fevereiro</v>
      </c>
      <c r="E149">
        <f>SUM(_xlfn.XLOOKUP(tblCalculo[[#This Row],[NR_SIMULACAO]],tblVendas[[#This Row],[NR_SIMULACAO]],tblVendas[[#This Row],[VALOR_MOVEL]],""):_xlfn.XLOOKUP(tblCalculo[[#This Row],[NR_SIMULACAO]],tblVendas[[#This Row],[NR_SIMULACAO]],tblVendas[[#This Row],[VALOR_APARELHO]],""))</f>
        <v>3604</v>
      </c>
      <c r="F149">
        <f>IF(tblCalculo[[#This Row],[STATUS]]="CONCLUÍDO",_xlfn.XLOOKUP(tblCalculo[[#This Row],[NR_SIMULACAO]],tblVendas[[#This Row],[NR_SIMULACAO]],tblVendas[[#This Row],[VALOR_MOVEL]],""),0)</f>
        <v>0</v>
      </c>
      <c r="G149">
        <f>IF(tblCalculo[[#This Row],[STATUS]]="CONCLUÍDO",_xlfn.XLOOKUP(tblCalculo[[#This Row],[NR_SIMULACAO]],tblVendas[[#This Row],[NR_SIMULACAO]],tblVendas[[#This Row],[VALOR_AVANCADO]],""),0)</f>
        <v>0</v>
      </c>
      <c r="H149">
        <f>IF(tblCalculo[[#This Row],[STATUS]]="CONCLUÍDO",_xlfn.XLOOKUP(tblCalculo[[#This Row],[NR_SIMULACAO]],tblVendas[[#This Row],[NR_SIMULACAO]],tblVendas[[#This Row],[VALOR_FIXABASICA]],""),0)</f>
        <v>3604</v>
      </c>
      <c r="I149">
        <f>IF(tblCalculo[[#This Row],[STATUS]]="CONCLUÍDO",_xlfn.XLOOKUP(tblCalculo[[#This Row],[NR_SIMULACAO]],tblVendas[[#This Row],[NR_SIMULACAO]],tblVendas[[#This Row],[VALOR_TI]],""),0)</f>
        <v>0</v>
      </c>
      <c r="J149">
        <f>IF(tblCalculo[[#This Row],[STATUS]]="CONCLUÍDO",_xlfn.XLOOKUP(tblCalculo[[#This Row],[NR_SIMULACAO]],tblVendas[[#This Row],[NR_SIMULACAO]],tblVendas[[#This Row],[VALOR_APARELHO]],""),0)</f>
        <v>0</v>
      </c>
      <c r="K149" t="str">
        <f>IF(tblCalculo[[#This Row],[STATUS]]="NEGOCIANDO",tblCalculo[[#This Row],[VALOR_TOTAL]],"")</f>
        <v/>
      </c>
      <c r="L149" t="str">
        <f>IF(tblCalculo[[#This Row],[STATUS]]="ALÇADA",tblCalculo[[#This Row],[VALOR_TOTAL]],"")</f>
        <v/>
      </c>
      <c r="M149" t="str">
        <f>IF(tblCalculo[[#This Row],[STATUS]]="EM ANÁLISE",tblCalculo[[#This Row],[VALOR_TOTAL]],"")</f>
        <v/>
      </c>
      <c r="N149" t="str">
        <f>IF(tblCalculo[[#This Row],[STATUS]]="TRAMITANDO",tblCalculo[[#This Row],[VALOR_TOTAL]],"")</f>
        <v/>
      </c>
      <c r="O149" t="str">
        <f>IF(tblCalculo[[#This Row],[STATUS]]="PERDIDO",tblCalculo[[#This Row],[VALOR_TOTAL]],"")</f>
        <v/>
      </c>
      <c r="P149">
        <f>IF(tblCalculo[[#This Row],[STATUS]]="CONCLUÍDO",tblCalculo[[#This Row],[VALOR_TOTAL]],"")</f>
        <v>3604</v>
      </c>
    </row>
    <row r="150" spans="1:16" x14ac:dyDescent="0.25">
      <c r="A150" t="str">
        <f>tblVendas[[#This Row],[NR_SIMULACAO]]</f>
        <v>SIM1140</v>
      </c>
      <c r="B150" s="34" t="str">
        <f>_xlfn.XLOOKUP(A150,tblVendas[[#This Row],[NR_SIMULACAO]],tblVendas[[#This Row],[NR_CNPJ]],"")</f>
        <v>97.926.530/0001-55</v>
      </c>
      <c r="C150" t="str">
        <f>_xlfn.XLOOKUP(A150,tblVendas[[#This Row],[NR_SIMULACAO]],tblVendas[[#This Row],[STATUS]],"")</f>
        <v>PERDIDO</v>
      </c>
      <c r="D150" t="str">
        <f>_xlfn.XLOOKUP(A150,tblVendas[[#This Row],[NR_SIMULACAO]],tblVendas[[#This Row],[MES]],"")</f>
        <v>Fevereiro</v>
      </c>
      <c r="E150">
        <f>SUM(_xlfn.XLOOKUP(tblCalculo[[#This Row],[NR_SIMULACAO]],tblVendas[[#This Row],[NR_SIMULACAO]],tblVendas[[#This Row],[VALOR_MOVEL]],""):_xlfn.XLOOKUP(tblCalculo[[#This Row],[NR_SIMULACAO]],tblVendas[[#This Row],[NR_SIMULACAO]],tblVendas[[#This Row],[VALOR_APARELHO]],""))</f>
        <v>1534.2</v>
      </c>
      <c r="F150">
        <f>IF(tblCalculo[[#This Row],[STATUS]]="CONCLUÍDO",_xlfn.XLOOKUP(tblCalculo[[#This Row],[NR_SIMULACAO]],tblVendas[[#This Row],[NR_SIMULACAO]],tblVendas[[#This Row],[VALOR_MOVEL]],""),0)</f>
        <v>0</v>
      </c>
      <c r="G150">
        <f>IF(tblCalculo[[#This Row],[STATUS]]="CONCLUÍDO",_xlfn.XLOOKUP(tblCalculo[[#This Row],[NR_SIMULACAO]],tblVendas[[#This Row],[NR_SIMULACAO]],tblVendas[[#This Row],[VALOR_AVANCADO]],""),0)</f>
        <v>0</v>
      </c>
      <c r="H150">
        <f>IF(tblCalculo[[#This Row],[STATUS]]="CONCLUÍDO",_xlfn.XLOOKUP(tblCalculo[[#This Row],[NR_SIMULACAO]],tblVendas[[#This Row],[NR_SIMULACAO]],tblVendas[[#This Row],[VALOR_FIXABASICA]],""),0)</f>
        <v>0</v>
      </c>
      <c r="I150">
        <f>IF(tblCalculo[[#This Row],[STATUS]]="CONCLUÍDO",_xlfn.XLOOKUP(tblCalculo[[#This Row],[NR_SIMULACAO]],tblVendas[[#This Row],[NR_SIMULACAO]],tblVendas[[#This Row],[VALOR_TI]],""),0)</f>
        <v>0</v>
      </c>
      <c r="J150">
        <f>IF(tblCalculo[[#This Row],[STATUS]]="CONCLUÍDO",_xlfn.XLOOKUP(tblCalculo[[#This Row],[NR_SIMULACAO]],tblVendas[[#This Row],[NR_SIMULACAO]],tblVendas[[#This Row],[VALOR_APARELHO]],""),0)</f>
        <v>0</v>
      </c>
      <c r="K150" t="str">
        <f>IF(tblCalculo[[#This Row],[STATUS]]="NEGOCIANDO",tblCalculo[[#This Row],[VALOR_TOTAL]],"")</f>
        <v/>
      </c>
      <c r="L150" t="str">
        <f>IF(tblCalculo[[#This Row],[STATUS]]="ALÇADA",tblCalculo[[#This Row],[VALOR_TOTAL]],"")</f>
        <v/>
      </c>
      <c r="M150" t="str">
        <f>IF(tblCalculo[[#This Row],[STATUS]]="EM ANÁLISE",tblCalculo[[#This Row],[VALOR_TOTAL]],"")</f>
        <v/>
      </c>
      <c r="N150" t="str">
        <f>IF(tblCalculo[[#This Row],[STATUS]]="TRAMITANDO",tblCalculo[[#This Row],[VALOR_TOTAL]],"")</f>
        <v/>
      </c>
      <c r="O150">
        <f>IF(tblCalculo[[#This Row],[STATUS]]="PERDIDO",tblCalculo[[#This Row],[VALOR_TOTAL]],"")</f>
        <v>1534.2</v>
      </c>
      <c r="P150" t="str">
        <f>IF(tblCalculo[[#This Row],[STATUS]]="CONCLUÍDO",tblCalculo[[#This Row],[VALOR_TOTAL]],"")</f>
        <v/>
      </c>
    </row>
    <row r="151" spans="1:16" x14ac:dyDescent="0.25">
      <c r="A151" t="str">
        <f>tblVendas[[#This Row],[NR_SIMULACAO]]</f>
        <v>SIM1141</v>
      </c>
      <c r="B151" s="34" t="str">
        <f>_xlfn.XLOOKUP(A151,tblVendas[[#This Row],[NR_SIMULACAO]],tblVendas[[#This Row],[NR_CNPJ]],"")</f>
        <v>61.103.485/0001-13</v>
      </c>
      <c r="C151" t="str">
        <f>_xlfn.XLOOKUP(A151,tblVendas[[#This Row],[NR_SIMULACAO]],tblVendas[[#This Row],[STATUS]],"")</f>
        <v>ALÇADA</v>
      </c>
      <c r="D151" t="str">
        <f>_xlfn.XLOOKUP(A151,tblVendas[[#This Row],[NR_SIMULACAO]],tblVendas[[#This Row],[MES]],"")</f>
        <v>Outubro</v>
      </c>
      <c r="E151">
        <f>SUM(_xlfn.XLOOKUP(tblCalculo[[#This Row],[NR_SIMULACAO]],tblVendas[[#This Row],[NR_SIMULACAO]],tblVendas[[#This Row],[VALOR_MOVEL]],""):_xlfn.XLOOKUP(tblCalculo[[#This Row],[NR_SIMULACAO]],tblVendas[[#This Row],[NR_SIMULACAO]],tblVendas[[#This Row],[VALOR_APARELHO]],""))</f>
        <v>20040.309999999998</v>
      </c>
      <c r="F151">
        <f>IF(tblCalculo[[#This Row],[STATUS]]="CONCLUÍDO",_xlfn.XLOOKUP(tblCalculo[[#This Row],[NR_SIMULACAO]],tblVendas[[#This Row],[NR_SIMULACAO]],tblVendas[[#This Row],[VALOR_MOVEL]],""),0)</f>
        <v>0</v>
      </c>
      <c r="G151">
        <f>IF(tblCalculo[[#This Row],[STATUS]]="CONCLUÍDO",_xlfn.XLOOKUP(tblCalculo[[#This Row],[NR_SIMULACAO]],tblVendas[[#This Row],[NR_SIMULACAO]],tblVendas[[#This Row],[VALOR_AVANCADO]],""),0)</f>
        <v>0</v>
      </c>
      <c r="H151">
        <f>IF(tblCalculo[[#This Row],[STATUS]]="CONCLUÍDO",_xlfn.XLOOKUP(tblCalculo[[#This Row],[NR_SIMULACAO]],tblVendas[[#This Row],[NR_SIMULACAO]],tblVendas[[#This Row],[VALOR_FIXABASICA]],""),0)</f>
        <v>0</v>
      </c>
      <c r="I151">
        <f>IF(tblCalculo[[#This Row],[STATUS]]="CONCLUÍDO",_xlfn.XLOOKUP(tblCalculo[[#This Row],[NR_SIMULACAO]],tblVendas[[#This Row],[NR_SIMULACAO]],tblVendas[[#This Row],[VALOR_TI]],""),0)</f>
        <v>0</v>
      </c>
      <c r="J151">
        <f>IF(tblCalculo[[#This Row],[STATUS]]="CONCLUÍDO",_xlfn.XLOOKUP(tblCalculo[[#This Row],[NR_SIMULACAO]],tblVendas[[#This Row],[NR_SIMULACAO]],tblVendas[[#This Row],[VALOR_APARELHO]],""),0)</f>
        <v>0</v>
      </c>
      <c r="K151" t="str">
        <f>IF(tblCalculo[[#This Row],[STATUS]]="NEGOCIANDO",tblCalculo[[#This Row],[VALOR_TOTAL]],"")</f>
        <v/>
      </c>
      <c r="L151">
        <f>IF(tblCalculo[[#This Row],[STATUS]]="ALÇADA",tblCalculo[[#This Row],[VALOR_TOTAL]],"")</f>
        <v>20040.309999999998</v>
      </c>
      <c r="M151" t="str">
        <f>IF(tblCalculo[[#This Row],[STATUS]]="EM ANÁLISE",tblCalculo[[#This Row],[VALOR_TOTAL]],"")</f>
        <v/>
      </c>
      <c r="N151" t="str">
        <f>IF(tblCalculo[[#This Row],[STATUS]]="TRAMITANDO",tblCalculo[[#This Row],[VALOR_TOTAL]],"")</f>
        <v/>
      </c>
      <c r="O151" t="str">
        <f>IF(tblCalculo[[#This Row],[STATUS]]="PERDIDO",tblCalculo[[#This Row],[VALOR_TOTAL]],"")</f>
        <v/>
      </c>
      <c r="P151" t="str">
        <f>IF(tblCalculo[[#This Row],[STATUS]]="CONCLUÍDO",tblCalculo[[#This Row],[VALOR_TOTAL]],"")</f>
        <v/>
      </c>
    </row>
    <row r="152" spans="1:16" x14ac:dyDescent="0.25">
      <c r="A152" t="str">
        <f>tblVendas[[#This Row],[NR_SIMULACAO]]</f>
        <v>SIM1142</v>
      </c>
      <c r="B152" s="34" t="str">
        <f>_xlfn.XLOOKUP(A152,tblVendas[[#This Row],[NR_SIMULACAO]],tblVendas[[#This Row],[NR_CNPJ]],"")</f>
        <v>93.358.433/0001-39</v>
      </c>
      <c r="C152" t="str">
        <f>_xlfn.XLOOKUP(A152,tblVendas[[#This Row],[NR_SIMULACAO]],tblVendas[[#This Row],[STATUS]],"")</f>
        <v>EM ANÁLISE</v>
      </c>
      <c r="D152" t="str">
        <f>_xlfn.XLOOKUP(A152,tblVendas[[#This Row],[NR_SIMULACAO]],tblVendas[[#This Row],[MES]],"")</f>
        <v>Julho</v>
      </c>
      <c r="E152">
        <f>SUM(_xlfn.XLOOKUP(tblCalculo[[#This Row],[NR_SIMULACAO]],tblVendas[[#This Row],[NR_SIMULACAO]],tblVendas[[#This Row],[VALOR_MOVEL]],""):_xlfn.XLOOKUP(tblCalculo[[#This Row],[NR_SIMULACAO]],tblVendas[[#This Row],[NR_SIMULACAO]],tblVendas[[#This Row],[VALOR_APARELHO]],""))</f>
        <v>12828</v>
      </c>
      <c r="F152">
        <f>IF(tblCalculo[[#This Row],[STATUS]]="CONCLUÍDO",_xlfn.XLOOKUP(tblCalculo[[#This Row],[NR_SIMULACAO]],tblVendas[[#This Row],[NR_SIMULACAO]],tblVendas[[#This Row],[VALOR_MOVEL]],""),0)</f>
        <v>0</v>
      </c>
      <c r="G152">
        <f>IF(tblCalculo[[#This Row],[STATUS]]="CONCLUÍDO",_xlfn.XLOOKUP(tblCalculo[[#This Row],[NR_SIMULACAO]],tblVendas[[#This Row],[NR_SIMULACAO]],tblVendas[[#This Row],[VALOR_AVANCADO]],""),0)</f>
        <v>0</v>
      </c>
      <c r="H152">
        <f>IF(tblCalculo[[#This Row],[STATUS]]="CONCLUÍDO",_xlfn.XLOOKUP(tblCalculo[[#This Row],[NR_SIMULACAO]],tblVendas[[#This Row],[NR_SIMULACAO]],tblVendas[[#This Row],[VALOR_FIXABASICA]],""),0)</f>
        <v>0</v>
      </c>
      <c r="I152">
        <f>IF(tblCalculo[[#This Row],[STATUS]]="CONCLUÍDO",_xlfn.XLOOKUP(tblCalculo[[#This Row],[NR_SIMULACAO]],tblVendas[[#This Row],[NR_SIMULACAO]],tblVendas[[#This Row],[VALOR_TI]],""),0)</f>
        <v>0</v>
      </c>
      <c r="J152">
        <f>IF(tblCalculo[[#This Row],[STATUS]]="CONCLUÍDO",_xlfn.XLOOKUP(tblCalculo[[#This Row],[NR_SIMULACAO]],tblVendas[[#This Row],[NR_SIMULACAO]],tblVendas[[#This Row],[VALOR_APARELHO]],""),0)</f>
        <v>0</v>
      </c>
      <c r="K152" t="str">
        <f>IF(tblCalculo[[#This Row],[STATUS]]="NEGOCIANDO",tblCalculo[[#This Row],[VALOR_TOTAL]],"")</f>
        <v/>
      </c>
      <c r="L152" t="str">
        <f>IF(tblCalculo[[#This Row],[STATUS]]="ALÇADA",tblCalculo[[#This Row],[VALOR_TOTAL]],"")</f>
        <v/>
      </c>
      <c r="M152">
        <f>IF(tblCalculo[[#This Row],[STATUS]]="EM ANÁLISE",tblCalculo[[#This Row],[VALOR_TOTAL]],"")</f>
        <v>12828</v>
      </c>
      <c r="N152" t="str">
        <f>IF(tblCalculo[[#This Row],[STATUS]]="TRAMITANDO",tblCalculo[[#This Row],[VALOR_TOTAL]],"")</f>
        <v/>
      </c>
      <c r="O152" t="str">
        <f>IF(tblCalculo[[#This Row],[STATUS]]="PERDIDO",tblCalculo[[#This Row],[VALOR_TOTAL]],"")</f>
        <v/>
      </c>
      <c r="P152" t="str">
        <f>IF(tblCalculo[[#This Row],[STATUS]]="CONCLUÍDO",tblCalculo[[#This Row],[VALOR_TOTAL]],"")</f>
        <v/>
      </c>
    </row>
    <row r="153" spans="1:16" x14ac:dyDescent="0.25">
      <c r="A153" t="str">
        <f>tblVendas[[#This Row],[NR_SIMULACAO]]</f>
        <v>SIM1143</v>
      </c>
      <c r="B153" s="34" t="str">
        <f>_xlfn.XLOOKUP(A153,tblVendas[[#This Row],[NR_SIMULACAO]],tblVendas[[#This Row],[NR_CNPJ]],"")</f>
        <v>31.212.565/0001-62</v>
      </c>
      <c r="C153" t="str">
        <f>_xlfn.XLOOKUP(A153,tblVendas[[#This Row],[NR_SIMULACAO]],tblVendas[[#This Row],[STATUS]],"")</f>
        <v>NEGOCIANDO</v>
      </c>
      <c r="D153" t="str">
        <f>_xlfn.XLOOKUP(A153,tblVendas[[#This Row],[NR_SIMULACAO]],tblVendas[[#This Row],[MES]],"")</f>
        <v>Janeiro</v>
      </c>
      <c r="E153">
        <f>SUM(_xlfn.XLOOKUP(tblCalculo[[#This Row],[NR_SIMULACAO]],tblVendas[[#This Row],[NR_SIMULACAO]],tblVendas[[#This Row],[VALOR_MOVEL]],""):_xlfn.XLOOKUP(tblCalculo[[#This Row],[NR_SIMULACAO]],tblVendas[[#This Row],[NR_SIMULACAO]],tblVendas[[#This Row],[VALOR_APARELHO]],""))</f>
        <v>12457.48</v>
      </c>
      <c r="F153">
        <f>IF(tblCalculo[[#This Row],[STATUS]]="CONCLUÍDO",_xlfn.XLOOKUP(tblCalculo[[#This Row],[NR_SIMULACAO]],tblVendas[[#This Row],[NR_SIMULACAO]],tblVendas[[#This Row],[VALOR_MOVEL]],""),0)</f>
        <v>0</v>
      </c>
      <c r="G153">
        <f>IF(tblCalculo[[#This Row],[STATUS]]="CONCLUÍDO",_xlfn.XLOOKUP(tblCalculo[[#This Row],[NR_SIMULACAO]],tblVendas[[#This Row],[NR_SIMULACAO]],tblVendas[[#This Row],[VALOR_AVANCADO]],""),0)</f>
        <v>0</v>
      </c>
      <c r="H153">
        <f>IF(tblCalculo[[#This Row],[STATUS]]="CONCLUÍDO",_xlfn.XLOOKUP(tblCalculo[[#This Row],[NR_SIMULACAO]],tblVendas[[#This Row],[NR_SIMULACAO]],tblVendas[[#This Row],[VALOR_FIXABASICA]],""),0)</f>
        <v>0</v>
      </c>
      <c r="I153">
        <f>IF(tblCalculo[[#This Row],[STATUS]]="CONCLUÍDO",_xlfn.XLOOKUP(tblCalculo[[#This Row],[NR_SIMULACAO]],tblVendas[[#This Row],[NR_SIMULACAO]],tblVendas[[#This Row],[VALOR_TI]],""),0)</f>
        <v>0</v>
      </c>
      <c r="J153">
        <f>IF(tblCalculo[[#This Row],[STATUS]]="CONCLUÍDO",_xlfn.XLOOKUP(tblCalculo[[#This Row],[NR_SIMULACAO]],tblVendas[[#This Row],[NR_SIMULACAO]],tblVendas[[#This Row],[VALOR_APARELHO]],""),0)</f>
        <v>0</v>
      </c>
      <c r="K153">
        <f>IF(tblCalculo[[#This Row],[STATUS]]="NEGOCIANDO",tblCalculo[[#This Row],[VALOR_TOTAL]],"")</f>
        <v>12457.48</v>
      </c>
      <c r="L153" t="str">
        <f>IF(tblCalculo[[#This Row],[STATUS]]="ALÇADA",tblCalculo[[#This Row],[VALOR_TOTAL]],"")</f>
        <v/>
      </c>
      <c r="M153" t="str">
        <f>IF(tblCalculo[[#This Row],[STATUS]]="EM ANÁLISE",tblCalculo[[#This Row],[VALOR_TOTAL]],"")</f>
        <v/>
      </c>
      <c r="N153" t="str">
        <f>IF(tblCalculo[[#This Row],[STATUS]]="TRAMITANDO",tblCalculo[[#This Row],[VALOR_TOTAL]],"")</f>
        <v/>
      </c>
      <c r="O153" t="str">
        <f>IF(tblCalculo[[#This Row],[STATUS]]="PERDIDO",tblCalculo[[#This Row],[VALOR_TOTAL]],"")</f>
        <v/>
      </c>
      <c r="P153" t="str">
        <f>IF(tblCalculo[[#This Row],[STATUS]]="CONCLUÍDO",tblCalculo[[#This Row],[VALOR_TOTAL]],"")</f>
        <v/>
      </c>
    </row>
    <row r="154" spans="1:16" x14ac:dyDescent="0.25">
      <c r="A154" t="str">
        <f>tblVendas[[#This Row],[NR_SIMULACAO]]</f>
        <v>SIM1144</v>
      </c>
      <c r="B154" s="34" t="str">
        <f>_xlfn.XLOOKUP(A154,tblVendas[[#This Row],[NR_SIMULACAO]],tblVendas[[#This Row],[NR_CNPJ]],"")</f>
        <v>65.725.203/0001-31</v>
      </c>
      <c r="C154" t="str">
        <f>_xlfn.XLOOKUP(A154,tblVendas[[#This Row],[NR_SIMULACAO]],tblVendas[[#This Row],[STATUS]],"")</f>
        <v>CONCLUÍDO</v>
      </c>
      <c r="D154" t="str">
        <f>_xlfn.XLOOKUP(A154,tblVendas[[#This Row],[NR_SIMULACAO]],tblVendas[[#This Row],[MES]],"")</f>
        <v>Janeiro</v>
      </c>
      <c r="E154">
        <f>SUM(_xlfn.XLOOKUP(tblCalculo[[#This Row],[NR_SIMULACAO]],tblVendas[[#This Row],[NR_SIMULACAO]],tblVendas[[#This Row],[VALOR_MOVEL]],""):_xlfn.XLOOKUP(tblCalculo[[#This Row],[NR_SIMULACAO]],tblVendas[[#This Row],[NR_SIMULACAO]],tblVendas[[#This Row],[VALOR_APARELHO]],""))</f>
        <v>15172.5</v>
      </c>
      <c r="F154">
        <f>IF(tblCalculo[[#This Row],[STATUS]]="CONCLUÍDO",_xlfn.XLOOKUP(tblCalculo[[#This Row],[NR_SIMULACAO]],tblVendas[[#This Row],[NR_SIMULACAO]],tblVendas[[#This Row],[VALOR_MOVEL]],""),0)</f>
        <v>1401.63</v>
      </c>
      <c r="G154">
        <f>IF(tblCalculo[[#This Row],[STATUS]]="CONCLUÍDO",_xlfn.XLOOKUP(tblCalculo[[#This Row],[NR_SIMULACAO]],tblVendas[[#This Row],[NR_SIMULACAO]],tblVendas[[#This Row],[VALOR_AVANCADO]],""),0)</f>
        <v>2875.09</v>
      </c>
      <c r="H154">
        <f>IF(tblCalculo[[#This Row],[STATUS]]="CONCLUÍDO",_xlfn.XLOOKUP(tblCalculo[[#This Row],[NR_SIMULACAO]],tblVendas[[#This Row],[NR_SIMULACAO]],tblVendas[[#This Row],[VALOR_FIXABASICA]],""),0)</f>
        <v>678.59</v>
      </c>
      <c r="I154">
        <f>IF(tblCalculo[[#This Row],[STATUS]]="CONCLUÍDO",_xlfn.XLOOKUP(tblCalculo[[#This Row],[NR_SIMULACAO]],tblVendas[[#This Row],[NR_SIMULACAO]],tblVendas[[#This Row],[VALOR_TI]],""),0)</f>
        <v>10217.19</v>
      </c>
      <c r="J154">
        <f>IF(tblCalculo[[#This Row],[STATUS]]="CONCLUÍDO",_xlfn.XLOOKUP(tblCalculo[[#This Row],[NR_SIMULACAO]],tblVendas[[#This Row],[NR_SIMULACAO]],tblVendas[[#This Row],[VALOR_APARELHO]],""),0)</f>
        <v>0</v>
      </c>
      <c r="K154" t="str">
        <f>IF(tblCalculo[[#This Row],[STATUS]]="NEGOCIANDO",tblCalculo[[#This Row],[VALOR_TOTAL]],"")</f>
        <v/>
      </c>
      <c r="L154" t="str">
        <f>IF(tblCalculo[[#This Row],[STATUS]]="ALÇADA",tblCalculo[[#This Row],[VALOR_TOTAL]],"")</f>
        <v/>
      </c>
      <c r="M154" t="str">
        <f>IF(tblCalculo[[#This Row],[STATUS]]="EM ANÁLISE",tblCalculo[[#This Row],[VALOR_TOTAL]],"")</f>
        <v/>
      </c>
      <c r="N154" t="str">
        <f>IF(tblCalculo[[#This Row],[STATUS]]="TRAMITANDO",tblCalculo[[#This Row],[VALOR_TOTAL]],"")</f>
        <v/>
      </c>
      <c r="O154" t="str">
        <f>IF(tblCalculo[[#This Row],[STATUS]]="PERDIDO",tblCalculo[[#This Row],[VALOR_TOTAL]],"")</f>
        <v/>
      </c>
      <c r="P154">
        <f>IF(tblCalculo[[#This Row],[STATUS]]="CONCLUÍDO",tblCalculo[[#This Row],[VALOR_TOTAL]],"")</f>
        <v>15172.5</v>
      </c>
    </row>
    <row r="155" spans="1:16" x14ac:dyDescent="0.25">
      <c r="A155" t="str">
        <f>tblVendas[[#This Row],[NR_SIMULACAO]]</f>
        <v>SIM1145</v>
      </c>
      <c r="B155" s="34" t="str">
        <f>_xlfn.XLOOKUP(A155,tblVendas[[#This Row],[NR_SIMULACAO]],tblVendas[[#This Row],[NR_CNPJ]],"")</f>
        <v>97.122.606/0001-18</v>
      </c>
      <c r="C155" t="str">
        <f>_xlfn.XLOOKUP(A155,tblVendas[[#This Row],[NR_SIMULACAO]],tblVendas[[#This Row],[STATUS]],"")</f>
        <v>EM ANÁLISE</v>
      </c>
      <c r="D155" t="str">
        <f>_xlfn.XLOOKUP(A155,tblVendas[[#This Row],[NR_SIMULACAO]],tblVendas[[#This Row],[MES]],"")</f>
        <v>Outubro</v>
      </c>
      <c r="E155">
        <f>SUM(_xlfn.XLOOKUP(tblCalculo[[#This Row],[NR_SIMULACAO]],tblVendas[[#This Row],[NR_SIMULACAO]],tblVendas[[#This Row],[VALOR_MOVEL]],""):_xlfn.XLOOKUP(tblCalculo[[#This Row],[NR_SIMULACAO]],tblVendas[[#This Row],[NR_SIMULACAO]],tblVendas[[#This Row],[VALOR_APARELHO]],""))</f>
        <v>14567.77</v>
      </c>
      <c r="F155">
        <f>IF(tblCalculo[[#This Row],[STATUS]]="CONCLUÍDO",_xlfn.XLOOKUP(tblCalculo[[#This Row],[NR_SIMULACAO]],tblVendas[[#This Row],[NR_SIMULACAO]],tblVendas[[#This Row],[VALOR_MOVEL]],""),0)</f>
        <v>0</v>
      </c>
      <c r="G155">
        <f>IF(tblCalculo[[#This Row],[STATUS]]="CONCLUÍDO",_xlfn.XLOOKUP(tblCalculo[[#This Row],[NR_SIMULACAO]],tblVendas[[#This Row],[NR_SIMULACAO]],tblVendas[[#This Row],[VALOR_AVANCADO]],""),0)</f>
        <v>0</v>
      </c>
      <c r="H155">
        <f>IF(tblCalculo[[#This Row],[STATUS]]="CONCLUÍDO",_xlfn.XLOOKUP(tblCalculo[[#This Row],[NR_SIMULACAO]],tblVendas[[#This Row],[NR_SIMULACAO]],tblVendas[[#This Row],[VALOR_FIXABASICA]],""),0)</f>
        <v>0</v>
      </c>
      <c r="I155">
        <f>IF(tblCalculo[[#This Row],[STATUS]]="CONCLUÍDO",_xlfn.XLOOKUP(tblCalculo[[#This Row],[NR_SIMULACAO]],tblVendas[[#This Row],[NR_SIMULACAO]],tblVendas[[#This Row],[VALOR_TI]],""),0)</f>
        <v>0</v>
      </c>
      <c r="J155">
        <f>IF(tblCalculo[[#This Row],[STATUS]]="CONCLUÍDO",_xlfn.XLOOKUP(tblCalculo[[#This Row],[NR_SIMULACAO]],tblVendas[[#This Row],[NR_SIMULACAO]],tblVendas[[#This Row],[VALOR_APARELHO]],""),0)</f>
        <v>0</v>
      </c>
      <c r="K155" t="str">
        <f>IF(tblCalculo[[#This Row],[STATUS]]="NEGOCIANDO",tblCalculo[[#This Row],[VALOR_TOTAL]],"")</f>
        <v/>
      </c>
      <c r="L155" t="str">
        <f>IF(tblCalculo[[#This Row],[STATUS]]="ALÇADA",tblCalculo[[#This Row],[VALOR_TOTAL]],"")</f>
        <v/>
      </c>
      <c r="M155">
        <f>IF(tblCalculo[[#This Row],[STATUS]]="EM ANÁLISE",tblCalculo[[#This Row],[VALOR_TOTAL]],"")</f>
        <v>14567.77</v>
      </c>
      <c r="N155" t="str">
        <f>IF(tblCalculo[[#This Row],[STATUS]]="TRAMITANDO",tblCalculo[[#This Row],[VALOR_TOTAL]],"")</f>
        <v/>
      </c>
      <c r="O155" t="str">
        <f>IF(tblCalculo[[#This Row],[STATUS]]="PERDIDO",tblCalculo[[#This Row],[VALOR_TOTAL]],"")</f>
        <v/>
      </c>
      <c r="P155" t="str">
        <f>IF(tblCalculo[[#This Row],[STATUS]]="CONCLUÍDO",tblCalculo[[#This Row],[VALOR_TOTAL]],"")</f>
        <v/>
      </c>
    </row>
    <row r="156" spans="1:16" x14ac:dyDescent="0.25">
      <c r="A156" t="str">
        <f>tblVendas[[#This Row],[NR_SIMULACAO]]</f>
        <v>SIM1146</v>
      </c>
      <c r="B156" s="34" t="str">
        <f>_xlfn.XLOOKUP(A156,tblVendas[[#This Row],[NR_SIMULACAO]],tblVendas[[#This Row],[NR_CNPJ]],"")</f>
        <v>97.602.378/0001-38</v>
      </c>
      <c r="C156" t="str">
        <f>_xlfn.XLOOKUP(A156,tblVendas[[#This Row],[NR_SIMULACAO]],tblVendas[[#This Row],[STATUS]],"")</f>
        <v>EM ANÁLISE</v>
      </c>
      <c r="D156" t="str">
        <f>_xlfn.XLOOKUP(A156,tblVendas[[#This Row],[NR_SIMULACAO]],tblVendas[[#This Row],[MES]],"")</f>
        <v>Agosto</v>
      </c>
      <c r="E156">
        <f>SUM(_xlfn.XLOOKUP(tblCalculo[[#This Row],[NR_SIMULACAO]],tblVendas[[#This Row],[NR_SIMULACAO]],tblVendas[[#This Row],[VALOR_MOVEL]],""):_xlfn.XLOOKUP(tblCalculo[[#This Row],[NR_SIMULACAO]],tblVendas[[#This Row],[NR_SIMULACAO]],tblVendas[[#This Row],[VALOR_APARELHO]],""))</f>
        <v>6890.1100000000006</v>
      </c>
      <c r="F156">
        <f>IF(tblCalculo[[#This Row],[STATUS]]="CONCLUÍDO",_xlfn.XLOOKUP(tblCalculo[[#This Row],[NR_SIMULACAO]],tblVendas[[#This Row],[NR_SIMULACAO]],tblVendas[[#This Row],[VALOR_MOVEL]],""),0)</f>
        <v>0</v>
      </c>
      <c r="G156">
        <f>IF(tblCalculo[[#This Row],[STATUS]]="CONCLUÍDO",_xlfn.XLOOKUP(tblCalculo[[#This Row],[NR_SIMULACAO]],tblVendas[[#This Row],[NR_SIMULACAO]],tblVendas[[#This Row],[VALOR_AVANCADO]],""),0)</f>
        <v>0</v>
      </c>
      <c r="H156">
        <f>IF(tblCalculo[[#This Row],[STATUS]]="CONCLUÍDO",_xlfn.XLOOKUP(tblCalculo[[#This Row],[NR_SIMULACAO]],tblVendas[[#This Row],[NR_SIMULACAO]],tblVendas[[#This Row],[VALOR_FIXABASICA]],""),0)</f>
        <v>0</v>
      </c>
      <c r="I156">
        <f>IF(tblCalculo[[#This Row],[STATUS]]="CONCLUÍDO",_xlfn.XLOOKUP(tblCalculo[[#This Row],[NR_SIMULACAO]],tblVendas[[#This Row],[NR_SIMULACAO]],tblVendas[[#This Row],[VALOR_TI]],""),0)</f>
        <v>0</v>
      </c>
      <c r="J156">
        <f>IF(tblCalculo[[#This Row],[STATUS]]="CONCLUÍDO",_xlfn.XLOOKUP(tblCalculo[[#This Row],[NR_SIMULACAO]],tblVendas[[#This Row],[NR_SIMULACAO]],tblVendas[[#This Row],[VALOR_APARELHO]],""),0)</f>
        <v>0</v>
      </c>
      <c r="K156" t="str">
        <f>IF(tblCalculo[[#This Row],[STATUS]]="NEGOCIANDO",tblCalculo[[#This Row],[VALOR_TOTAL]],"")</f>
        <v/>
      </c>
      <c r="L156" t="str">
        <f>IF(tblCalculo[[#This Row],[STATUS]]="ALÇADA",tblCalculo[[#This Row],[VALOR_TOTAL]],"")</f>
        <v/>
      </c>
      <c r="M156">
        <f>IF(tblCalculo[[#This Row],[STATUS]]="EM ANÁLISE",tblCalculo[[#This Row],[VALOR_TOTAL]],"")</f>
        <v>6890.1100000000006</v>
      </c>
      <c r="N156" t="str">
        <f>IF(tblCalculo[[#This Row],[STATUS]]="TRAMITANDO",tblCalculo[[#This Row],[VALOR_TOTAL]],"")</f>
        <v/>
      </c>
      <c r="O156" t="str">
        <f>IF(tblCalculo[[#This Row],[STATUS]]="PERDIDO",tblCalculo[[#This Row],[VALOR_TOTAL]],"")</f>
        <v/>
      </c>
      <c r="P156" t="str">
        <f>IF(tblCalculo[[#This Row],[STATUS]]="CONCLUÍDO",tblCalculo[[#This Row],[VALOR_TOTAL]],"")</f>
        <v/>
      </c>
    </row>
    <row r="157" spans="1:16" x14ac:dyDescent="0.25">
      <c r="A157" t="str">
        <f>tblVendas[[#This Row],[NR_SIMULACAO]]</f>
        <v>SIM1147</v>
      </c>
      <c r="B157" s="34" t="str">
        <f>_xlfn.XLOOKUP(A157,tblVendas[[#This Row],[NR_SIMULACAO]],tblVendas[[#This Row],[NR_CNPJ]],"")</f>
        <v>31.368.235/0001-94</v>
      </c>
      <c r="C157" t="str">
        <f>_xlfn.XLOOKUP(A157,tblVendas[[#This Row],[NR_SIMULACAO]],tblVendas[[#This Row],[STATUS]],"")</f>
        <v>TRAMITANDO</v>
      </c>
      <c r="D157" t="str">
        <f>_xlfn.XLOOKUP(A157,tblVendas[[#This Row],[NR_SIMULACAO]],tblVendas[[#This Row],[MES]],"")</f>
        <v>Fevereiro</v>
      </c>
      <c r="E157">
        <f>SUM(_xlfn.XLOOKUP(tblCalculo[[#This Row],[NR_SIMULACAO]],tblVendas[[#This Row],[NR_SIMULACAO]],tblVendas[[#This Row],[VALOR_MOVEL]],""):_xlfn.XLOOKUP(tblCalculo[[#This Row],[NR_SIMULACAO]],tblVendas[[#This Row],[NR_SIMULACAO]],tblVendas[[#This Row],[VALOR_APARELHO]],""))</f>
        <v>12695.320000000002</v>
      </c>
      <c r="F157">
        <f>IF(tblCalculo[[#This Row],[STATUS]]="CONCLUÍDO",_xlfn.XLOOKUP(tblCalculo[[#This Row],[NR_SIMULACAO]],tblVendas[[#This Row],[NR_SIMULACAO]],tblVendas[[#This Row],[VALOR_MOVEL]],""),0)</f>
        <v>0</v>
      </c>
      <c r="G157">
        <f>IF(tblCalculo[[#This Row],[STATUS]]="CONCLUÍDO",_xlfn.XLOOKUP(tblCalculo[[#This Row],[NR_SIMULACAO]],tblVendas[[#This Row],[NR_SIMULACAO]],tblVendas[[#This Row],[VALOR_AVANCADO]],""),0)</f>
        <v>0</v>
      </c>
      <c r="H157">
        <f>IF(tblCalculo[[#This Row],[STATUS]]="CONCLUÍDO",_xlfn.XLOOKUP(tblCalculo[[#This Row],[NR_SIMULACAO]],tblVendas[[#This Row],[NR_SIMULACAO]],tblVendas[[#This Row],[VALOR_FIXABASICA]],""),0)</f>
        <v>0</v>
      </c>
      <c r="I157">
        <f>IF(tblCalculo[[#This Row],[STATUS]]="CONCLUÍDO",_xlfn.XLOOKUP(tblCalculo[[#This Row],[NR_SIMULACAO]],tblVendas[[#This Row],[NR_SIMULACAO]],tblVendas[[#This Row],[VALOR_TI]],""),0)</f>
        <v>0</v>
      </c>
      <c r="J157">
        <f>IF(tblCalculo[[#This Row],[STATUS]]="CONCLUÍDO",_xlfn.XLOOKUP(tblCalculo[[#This Row],[NR_SIMULACAO]],tblVendas[[#This Row],[NR_SIMULACAO]],tblVendas[[#This Row],[VALOR_APARELHO]],""),0)</f>
        <v>0</v>
      </c>
      <c r="K157" t="str">
        <f>IF(tblCalculo[[#This Row],[STATUS]]="NEGOCIANDO",tblCalculo[[#This Row],[VALOR_TOTAL]],"")</f>
        <v/>
      </c>
      <c r="L157" t="str">
        <f>IF(tblCalculo[[#This Row],[STATUS]]="ALÇADA",tblCalculo[[#This Row],[VALOR_TOTAL]],"")</f>
        <v/>
      </c>
      <c r="M157" t="str">
        <f>IF(tblCalculo[[#This Row],[STATUS]]="EM ANÁLISE",tblCalculo[[#This Row],[VALOR_TOTAL]],"")</f>
        <v/>
      </c>
      <c r="N157">
        <f>IF(tblCalculo[[#This Row],[STATUS]]="TRAMITANDO",tblCalculo[[#This Row],[VALOR_TOTAL]],"")</f>
        <v>12695.320000000002</v>
      </c>
      <c r="O157" t="str">
        <f>IF(tblCalculo[[#This Row],[STATUS]]="PERDIDO",tblCalculo[[#This Row],[VALOR_TOTAL]],"")</f>
        <v/>
      </c>
      <c r="P157" t="str">
        <f>IF(tblCalculo[[#This Row],[STATUS]]="CONCLUÍDO",tblCalculo[[#This Row],[VALOR_TOTAL]],"")</f>
        <v/>
      </c>
    </row>
    <row r="158" spans="1:16" x14ac:dyDescent="0.25">
      <c r="A158" t="str">
        <f>tblVendas[[#This Row],[NR_SIMULACAO]]</f>
        <v>SIM1148</v>
      </c>
      <c r="B158" s="34" t="str">
        <f>_xlfn.XLOOKUP(A158,tblVendas[[#This Row],[NR_SIMULACAO]],tblVendas[[#This Row],[NR_CNPJ]],"")</f>
        <v>60.441.271/0001-47</v>
      </c>
      <c r="C158" t="str">
        <f>_xlfn.XLOOKUP(A158,tblVendas[[#This Row],[NR_SIMULACAO]],tblVendas[[#This Row],[STATUS]],"")</f>
        <v>CONCLUÍDO</v>
      </c>
      <c r="D158" t="str">
        <f>_xlfn.XLOOKUP(A158,tblVendas[[#This Row],[NR_SIMULACAO]],tblVendas[[#This Row],[MES]],"")</f>
        <v>Maio</v>
      </c>
      <c r="E158">
        <f>SUM(_xlfn.XLOOKUP(tblCalculo[[#This Row],[NR_SIMULACAO]],tblVendas[[#This Row],[NR_SIMULACAO]],tblVendas[[#This Row],[VALOR_MOVEL]],""):_xlfn.XLOOKUP(tblCalculo[[#This Row],[NR_SIMULACAO]],tblVendas[[#This Row],[NR_SIMULACAO]],tblVendas[[#This Row],[VALOR_APARELHO]],""))</f>
        <v>1393.07</v>
      </c>
      <c r="F158">
        <f>IF(tblCalculo[[#This Row],[STATUS]]="CONCLUÍDO",_xlfn.XLOOKUP(tblCalculo[[#This Row],[NR_SIMULACAO]],tblVendas[[#This Row],[NR_SIMULACAO]],tblVendas[[#This Row],[VALOR_MOVEL]],""),0)</f>
        <v>0</v>
      </c>
      <c r="G158">
        <f>IF(tblCalculo[[#This Row],[STATUS]]="CONCLUÍDO",_xlfn.XLOOKUP(tblCalculo[[#This Row],[NR_SIMULACAO]],tblVendas[[#This Row],[NR_SIMULACAO]],tblVendas[[#This Row],[VALOR_AVANCADO]],""),0)</f>
        <v>0</v>
      </c>
      <c r="H158">
        <f>IF(tblCalculo[[#This Row],[STATUS]]="CONCLUÍDO",_xlfn.XLOOKUP(tblCalculo[[#This Row],[NR_SIMULACAO]],tblVendas[[#This Row],[NR_SIMULACAO]],tblVendas[[#This Row],[VALOR_FIXABASICA]],""),0)</f>
        <v>1393.07</v>
      </c>
      <c r="I158">
        <f>IF(tblCalculo[[#This Row],[STATUS]]="CONCLUÍDO",_xlfn.XLOOKUP(tblCalculo[[#This Row],[NR_SIMULACAO]],tblVendas[[#This Row],[NR_SIMULACAO]],tblVendas[[#This Row],[VALOR_TI]],""),0)</f>
        <v>0</v>
      </c>
      <c r="J158">
        <f>IF(tblCalculo[[#This Row],[STATUS]]="CONCLUÍDO",_xlfn.XLOOKUP(tblCalculo[[#This Row],[NR_SIMULACAO]],tblVendas[[#This Row],[NR_SIMULACAO]],tblVendas[[#This Row],[VALOR_APARELHO]],""),0)</f>
        <v>0</v>
      </c>
      <c r="K158" t="str">
        <f>IF(tblCalculo[[#This Row],[STATUS]]="NEGOCIANDO",tblCalculo[[#This Row],[VALOR_TOTAL]],"")</f>
        <v/>
      </c>
      <c r="L158" t="str">
        <f>IF(tblCalculo[[#This Row],[STATUS]]="ALÇADA",tblCalculo[[#This Row],[VALOR_TOTAL]],"")</f>
        <v/>
      </c>
      <c r="M158" t="str">
        <f>IF(tblCalculo[[#This Row],[STATUS]]="EM ANÁLISE",tblCalculo[[#This Row],[VALOR_TOTAL]],"")</f>
        <v/>
      </c>
      <c r="N158" t="str">
        <f>IF(tblCalculo[[#This Row],[STATUS]]="TRAMITANDO",tblCalculo[[#This Row],[VALOR_TOTAL]],"")</f>
        <v/>
      </c>
      <c r="O158" t="str">
        <f>IF(tblCalculo[[#This Row],[STATUS]]="PERDIDO",tblCalculo[[#This Row],[VALOR_TOTAL]],"")</f>
        <v/>
      </c>
      <c r="P158">
        <f>IF(tblCalculo[[#This Row],[STATUS]]="CONCLUÍDO",tblCalculo[[#This Row],[VALOR_TOTAL]],"")</f>
        <v>1393.07</v>
      </c>
    </row>
    <row r="159" spans="1:16" x14ac:dyDescent="0.25">
      <c r="A159" t="str">
        <f>tblVendas[[#This Row],[NR_SIMULACAO]]</f>
        <v>SIM1149</v>
      </c>
      <c r="B159" s="34" t="str">
        <f>_xlfn.XLOOKUP(A159,tblVendas[[#This Row],[NR_SIMULACAO]],tblVendas[[#This Row],[NR_CNPJ]],"")</f>
        <v>91.878.189/0001-76</v>
      </c>
      <c r="C159" t="str">
        <f>_xlfn.XLOOKUP(A159,tblVendas[[#This Row],[NR_SIMULACAO]],tblVendas[[#This Row],[STATUS]],"")</f>
        <v>CONCLUÍDO</v>
      </c>
      <c r="D159" t="str">
        <f>_xlfn.XLOOKUP(A159,tblVendas[[#This Row],[NR_SIMULACAO]],tblVendas[[#This Row],[MES]],"")</f>
        <v>Setembro</v>
      </c>
      <c r="E159">
        <f>SUM(_xlfn.XLOOKUP(tblCalculo[[#This Row],[NR_SIMULACAO]],tblVendas[[#This Row],[NR_SIMULACAO]],tblVendas[[#This Row],[VALOR_MOVEL]],""):_xlfn.XLOOKUP(tblCalculo[[#This Row],[NR_SIMULACAO]],tblVendas[[#This Row],[NR_SIMULACAO]],tblVendas[[#This Row],[VALOR_APARELHO]],""))</f>
        <v>3307.6600000000003</v>
      </c>
      <c r="F159">
        <f>IF(tblCalculo[[#This Row],[STATUS]]="CONCLUÍDO",_xlfn.XLOOKUP(tblCalculo[[#This Row],[NR_SIMULACAO]],tblVendas[[#This Row],[NR_SIMULACAO]],tblVendas[[#This Row],[VALOR_MOVEL]],""),0)</f>
        <v>2460.0300000000002</v>
      </c>
      <c r="G159">
        <f>IF(tblCalculo[[#This Row],[STATUS]]="CONCLUÍDO",_xlfn.XLOOKUP(tblCalculo[[#This Row],[NR_SIMULACAO]],tblVendas[[#This Row],[NR_SIMULACAO]],tblVendas[[#This Row],[VALOR_AVANCADO]],""),0)</f>
        <v>847.63</v>
      </c>
      <c r="H159">
        <f>IF(tblCalculo[[#This Row],[STATUS]]="CONCLUÍDO",_xlfn.XLOOKUP(tblCalculo[[#This Row],[NR_SIMULACAO]],tblVendas[[#This Row],[NR_SIMULACAO]],tblVendas[[#This Row],[VALOR_FIXABASICA]],""),0)</f>
        <v>0</v>
      </c>
      <c r="I159">
        <f>IF(tblCalculo[[#This Row],[STATUS]]="CONCLUÍDO",_xlfn.XLOOKUP(tblCalculo[[#This Row],[NR_SIMULACAO]],tblVendas[[#This Row],[NR_SIMULACAO]],tblVendas[[#This Row],[VALOR_TI]],""),0)</f>
        <v>0</v>
      </c>
      <c r="J159">
        <f>IF(tblCalculo[[#This Row],[STATUS]]="CONCLUÍDO",_xlfn.XLOOKUP(tblCalculo[[#This Row],[NR_SIMULACAO]],tblVendas[[#This Row],[NR_SIMULACAO]],tblVendas[[#This Row],[VALOR_APARELHO]],""),0)</f>
        <v>0</v>
      </c>
      <c r="K159" t="str">
        <f>IF(tblCalculo[[#This Row],[STATUS]]="NEGOCIANDO",tblCalculo[[#This Row],[VALOR_TOTAL]],"")</f>
        <v/>
      </c>
      <c r="L159" t="str">
        <f>IF(tblCalculo[[#This Row],[STATUS]]="ALÇADA",tblCalculo[[#This Row],[VALOR_TOTAL]],"")</f>
        <v/>
      </c>
      <c r="M159" t="str">
        <f>IF(tblCalculo[[#This Row],[STATUS]]="EM ANÁLISE",tblCalculo[[#This Row],[VALOR_TOTAL]],"")</f>
        <v/>
      </c>
      <c r="N159" t="str">
        <f>IF(tblCalculo[[#This Row],[STATUS]]="TRAMITANDO",tblCalculo[[#This Row],[VALOR_TOTAL]],"")</f>
        <v/>
      </c>
      <c r="O159" t="str">
        <f>IF(tblCalculo[[#This Row],[STATUS]]="PERDIDO",tblCalculo[[#This Row],[VALOR_TOTAL]],"")</f>
        <v/>
      </c>
      <c r="P159">
        <f>IF(tblCalculo[[#This Row],[STATUS]]="CONCLUÍDO",tblCalculo[[#This Row],[VALOR_TOTAL]],"")</f>
        <v>3307.6600000000003</v>
      </c>
    </row>
    <row r="160" spans="1:16" x14ac:dyDescent="0.25">
      <c r="A160" t="str">
        <f>tblVendas[[#This Row],[NR_SIMULACAO]]</f>
        <v>SIM1150</v>
      </c>
      <c r="B160" s="34" t="str">
        <f>_xlfn.XLOOKUP(A160,tblVendas[[#This Row],[NR_SIMULACAO]],tblVendas[[#This Row],[NR_CNPJ]],"")</f>
        <v>72.652.675/0001-56</v>
      </c>
      <c r="C160" t="str">
        <f>_xlfn.XLOOKUP(A160,tblVendas[[#This Row],[NR_SIMULACAO]],tblVendas[[#This Row],[STATUS]],"")</f>
        <v>ALÇADA</v>
      </c>
      <c r="D160" t="str">
        <f>_xlfn.XLOOKUP(A160,tblVendas[[#This Row],[NR_SIMULACAO]],tblVendas[[#This Row],[MES]],"")</f>
        <v>Agosto</v>
      </c>
      <c r="E160">
        <f>SUM(_xlfn.XLOOKUP(tblCalculo[[#This Row],[NR_SIMULACAO]],tblVendas[[#This Row],[NR_SIMULACAO]],tblVendas[[#This Row],[VALOR_MOVEL]],""):_xlfn.XLOOKUP(tblCalculo[[#This Row],[NR_SIMULACAO]],tblVendas[[#This Row],[NR_SIMULACAO]],tblVendas[[#This Row],[VALOR_APARELHO]],""))</f>
        <v>4821.38</v>
      </c>
      <c r="F160">
        <f>IF(tblCalculo[[#This Row],[STATUS]]="CONCLUÍDO",_xlfn.XLOOKUP(tblCalculo[[#This Row],[NR_SIMULACAO]],tblVendas[[#This Row],[NR_SIMULACAO]],tblVendas[[#This Row],[VALOR_MOVEL]],""),0)</f>
        <v>0</v>
      </c>
      <c r="G160">
        <f>IF(tblCalculo[[#This Row],[STATUS]]="CONCLUÍDO",_xlfn.XLOOKUP(tblCalculo[[#This Row],[NR_SIMULACAO]],tblVendas[[#This Row],[NR_SIMULACAO]],tblVendas[[#This Row],[VALOR_AVANCADO]],""),0)</f>
        <v>0</v>
      </c>
      <c r="H160">
        <f>IF(tblCalculo[[#This Row],[STATUS]]="CONCLUÍDO",_xlfn.XLOOKUP(tblCalculo[[#This Row],[NR_SIMULACAO]],tblVendas[[#This Row],[NR_SIMULACAO]],tblVendas[[#This Row],[VALOR_FIXABASICA]],""),0)</f>
        <v>0</v>
      </c>
      <c r="I160">
        <f>IF(tblCalculo[[#This Row],[STATUS]]="CONCLUÍDO",_xlfn.XLOOKUP(tblCalculo[[#This Row],[NR_SIMULACAO]],tblVendas[[#This Row],[NR_SIMULACAO]],tblVendas[[#This Row],[VALOR_TI]],""),0)</f>
        <v>0</v>
      </c>
      <c r="J160">
        <f>IF(tblCalculo[[#This Row],[STATUS]]="CONCLUÍDO",_xlfn.XLOOKUP(tblCalculo[[#This Row],[NR_SIMULACAO]],tblVendas[[#This Row],[NR_SIMULACAO]],tblVendas[[#This Row],[VALOR_APARELHO]],""),0)</f>
        <v>0</v>
      </c>
      <c r="K160" t="str">
        <f>IF(tblCalculo[[#This Row],[STATUS]]="NEGOCIANDO",tblCalculo[[#This Row],[VALOR_TOTAL]],"")</f>
        <v/>
      </c>
      <c r="L160">
        <f>IF(tblCalculo[[#This Row],[STATUS]]="ALÇADA",tblCalculo[[#This Row],[VALOR_TOTAL]],"")</f>
        <v>4821.38</v>
      </c>
      <c r="M160" t="str">
        <f>IF(tblCalculo[[#This Row],[STATUS]]="EM ANÁLISE",tblCalculo[[#This Row],[VALOR_TOTAL]],"")</f>
        <v/>
      </c>
      <c r="N160" t="str">
        <f>IF(tblCalculo[[#This Row],[STATUS]]="TRAMITANDO",tblCalculo[[#This Row],[VALOR_TOTAL]],"")</f>
        <v/>
      </c>
      <c r="O160" t="str">
        <f>IF(tblCalculo[[#This Row],[STATUS]]="PERDIDO",tblCalculo[[#This Row],[VALOR_TOTAL]],"")</f>
        <v/>
      </c>
      <c r="P160" t="str">
        <f>IF(tblCalculo[[#This Row],[STATUS]]="CONCLUÍDO",tblCalculo[[#This Row],[VALOR_TOTAL]],"")</f>
        <v/>
      </c>
    </row>
    <row r="161" spans="1:16" x14ac:dyDescent="0.25">
      <c r="A161" t="str">
        <f>tblVendas[[#This Row],[NR_SIMULACAO]]</f>
        <v>SIM1151</v>
      </c>
      <c r="B161" s="34" t="str">
        <f>_xlfn.XLOOKUP(A161,tblVendas[[#This Row],[NR_SIMULACAO]],tblVendas[[#This Row],[NR_CNPJ]],"")</f>
        <v>96.476.540/0001-24</v>
      </c>
      <c r="C161" t="str">
        <f>_xlfn.XLOOKUP(A161,tblVendas[[#This Row],[NR_SIMULACAO]],tblVendas[[#This Row],[STATUS]],"")</f>
        <v>CONCLUÍDO</v>
      </c>
      <c r="D161" t="str">
        <f>_xlfn.XLOOKUP(A161,tblVendas[[#This Row],[NR_SIMULACAO]],tblVendas[[#This Row],[MES]],"")</f>
        <v>Agosto</v>
      </c>
      <c r="E161">
        <f>SUM(_xlfn.XLOOKUP(tblCalculo[[#This Row],[NR_SIMULACAO]],tblVendas[[#This Row],[NR_SIMULACAO]],tblVendas[[#This Row],[VALOR_MOVEL]],""):_xlfn.XLOOKUP(tblCalculo[[#This Row],[NR_SIMULACAO]],tblVendas[[#This Row],[NR_SIMULACAO]],tblVendas[[#This Row],[VALOR_APARELHO]],""))</f>
        <v>11225.59</v>
      </c>
      <c r="F161">
        <f>IF(tblCalculo[[#This Row],[STATUS]]="CONCLUÍDO",_xlfn.XLOOKUP(tblCalculo[[#This Row],[NR_SIMULACAO]],tblVendas[[#This Row],[NR_SIMULACAO]],tblVendas[[#This Row],[VALOR_MOVEL]],""),0)</f>
        <v>0</v>
      </c>
      <c r="G161">
        <f>IF(tblCalculo[[#This Row],[STATUS]]="CONCLUÍDO",_xlfn.XLOOKUP(tblCalculo[[#This Row],[NR_SIMULACAO]],tblVendas[[#This Row],[NR_SIMULACAO]],tblVendas[[#This Row],[VALOR_AVANCADO]],""),0)</f>
        <v>0</v>
      </c>
      <c r="H161">
        <f>IF(tblCalculo[[#This Row],[STATUS]]="CONCLUÍDO",_xlfn.XLOOKUP(tblCalculo[[#This Row],[NR_SIMULACAO]],tblVendas[[#This Row],[NR_SIMULACAO]],tblVendas[[#This Row],[VALOR_FIXABASICA]],""),0)</f>
        <v>2629.95</v>
      </c>
      <c r="I161">
        <f>IF(tblCalculo[[#This Row],[STATUS]]="CONCLUÍDO",_xlfn.XLOOKUP(tblCalculo[[#This Row],[NR_SIMULACAO]],tblVendas[[#This Row],[NR_SIMULACAO]],tblVendas[[#This Row],[VALOR_TI]],""),0)</f>
        <v>0</v>
      </c>
      <c r="J161">
        <f>IF(tblCalculo[[#This Row],[STATUS]]="CONCLUÍDO",_xlfn.XLOOKUP(tblCalculo[[#This Row],[NR_SIMULACAO]],tblVendas[[#This Row],[NR_SIMULACAO]],tblVendas[[#This Row],[VALOR_APARELHO]],""),0)</f>
        <v>8595.64</v>
      </c>
      <c r="K161" t="str">
        <f>IF(tblCalculo[[#This Row],[STATUS]]="NEGOCIANDO",tblCalculo[[#This Row],[VALOR_TOTAL]],"")</f>
        <v/>
      </c>
      <c r="L161" t="str">
        <f>IF(tblCalculo[[#This Row],[STATUS]]="ALÇADA",tblCalculo[[#This Row],[VALOR_TOTAL]],"")</f>
        <v/>
      </c>
      <c r="M161" t="str">
        <f>IF(tblCalculo[[#This Row],[STATUS]]="EM ANÁLISE",tblCalculo[[#This Row],[VALOR_TOTAL]],"")</f>
        <v/>
      </c>
      <c r="N161" t="str">
        <f>IF(tblCalculo[[#This Row],[STATUS]]="TRAMITANDO",tblCalculo[[#This Row],[VALOR_TOTAL]],"")</f>
        <v/>
      </c>
      <c r="O161" t="str">
        <f>IF(tblCalculo[[#This Row],[STATUS]]="PERDIDO",tblCalculo[[#This Row],[VALOR_TOTAL]],"")</f>
        <v/>
      </c>
      <c r="P161">
        <f>IF(tblCalculo[[#This Row],[STATUS]]="CONCLUÍDO",tblCalculo[[#This Row],[VALOR_TOTAL]],"")</f>
        <v>11225.59</v>
      </c>
    </row>
    <row r="162" spans="1:16" x14ac:dyDescent="0.25">
      <c r="A162" t="str">
        <f>tblVendas[[#This Row],[NR_SIMULACAO]]</f>
        <v>SIM1152</v>
      </c>
      <c r="B162" s="34" t="str">
        <f>_xlfn.XLOOKUP(A162,tblVendas[[#This Row],[NR_SIMULACAO]],tblVendas[[#This Row],[NR_CNPJ]],"")</f>
        <v>43.638.606/0001-20</v>
      </c>
      <c r="C162" t="str">
        <f>_xlfn.XLOOKUP(A162,tblVendas[[#This Row],[NR_SIMULACAO]],tblVendas[[#This Row],[STATUS]],"")</f>
        <v>CONCLUÍDO</v>
      </c>
      <c r="D162" t="str">
        <f>_xlfn.XLOOKUP(A162,tblVendas[[#This Row],[NR_SIMULACAO]],tblVendas[[#This Row],[MES]],"")</f>
        <v>Dezembro</v>
      </c>
      <c r="E162">
        <f>SUM(_xlfn.XLOOKUP(tblCalculo[[#This Row],[NR_SIMULACAO]],tblVendas[[#This Row],[NR_SIMULACAO]],tblVendas[[#This Row],[VALOR_MOVEL]],""):_xlfn.XLOOKUP(tblCalculo[[#This Row],[NR_SIMULACAO]],tblVendas[[#This Row],[NR_SIMULACAO]],tblVendas[[#This Row],[VALOR_APARELHO]],""))</f>
        <v>11831.8</v>
      </c>
      <c r="F162">
        <f>IF(tblCalculo[[#This Row],[STATUS]]="CONCLUÍDO",_xlfn.XLOOKUP(tblCalculo[[#This Row],[NR_SIMULACAO]],tblVendas[[#This Row],[NR_SIMULACAO]],tblVendas[[#This Row],[VALOR_MOVEL]],""),0)</f>
        <v>0</v>
      </c>
      <c r="G162">
        <f>IF(tblCalculo[[#This Row],[STATUS]]="CONCLUÍDO",_xlfn.XLOOKUP(tblCalculo[[#This Row],[NR_SIMULACAO]],tblVendas[[#This Row],[NR_SIMULACAO]],tblVendas[[#This Row],[VALOR_AVANCADO]],""),0)</f>
        <v>0</v>
      </c>
      <c r="H162">
        <f>IF(tblCalculo[[#This Row],[STATUS]]="CONCLUÍDO",_xlfn.XLOOKUP(tblCalculo[[#This Row],[NR_SIMULACAO]],tblVendas[[#This Row],[NR_SIMULACAO]],tblVendas[[#This Row],[VALOR_FIXABASICA]],""),0)</f>
        <v>707.07</v>
      </c>
      <c r="I162">
        <f>IF(tblCalculo[[#This Row],[STATUS]]="CONCLUÍDO",_xlfn.XLOOKUP(tblCalculo[[#This Row],[NR_SIMULACAO]],tblVendas[[#This Row],[NR_SIMULACAO]],tblVendas[[#This Row],[VALOR_TI]],""),0)</f>
        <v>3253.53</v>
      </c>
      <c r="J162">
        <f>IF(tblCalculo[[#This Row],[STATUS]]="CONCLUÍDO",_xlfn.XLOOKUP(tblCalculo[[#This Row],[NR_SIMULACAO]],tblVendas[[#This Row],[NR_SIMULACAO]],tblVendas[[#This Row],[VALOR_APARELHO]],""),0)</f>
        <v>7871.2</v>
      </c>
      <c r="K162" t="str">
        <f>IF(tblCalculo[[#This Row],[STATUS]]="NEGOCIANDO",tblCalculo[[#This Row],[VALOR_TOTAL]],"")</f>
        <v/>
      </c>
      <c r="L162" t="str">
        <f>IF(tblCalculo[[#This Row],[STATUS]]="ALÇADA",tblCalculo[[#This Row],[VALOR_TOTAL]],"")</f>
        <v/>
      </c>
      <c r="M162" t="str">
        <f>IF(tblCalculo[[#This Row],[STATUS]]="EM ANÁLISE",tblCalculo[[#This Row],[VALOR_TOTAL]],"")</f>
        <v/>
      </c>
      <c r="N162" t="str">
        <f>IF(tblCalculo[[#This Row],[STATUS]]="TRAMITANDO",tblCalculo[[#This Row],[VALOR_TOTAL]],"")</f>
        <v/>
      </c>
      <c r="O162" t="str">
        <f>IF(tblCalculo[[#This Row],[STATUS]]="PERDIDO",tblCalculo[[#This Row],[VALOR_TOTAL]],"")</f>
        <v/>
      </c>
      <c r="P162">
        <f>IF(tblCalculo[[#This Row],[STATUS]]="CONCLUÍDO",tblCalculo[[#This Row],[VALOR_TOTAL]],"")</f>
        <v>11831.8</v>
      </c>
    </row>
    <row r="163" spans="1:16" x14ac:dyDescent="0.25">
      <c r="A163" t="str">
        <f>tblVendas[[#This Row],[NR_SIMULACAO]]</f>
        <v>SIM1153</v>
      </c>
      <c r="B163" s="34" t="str">
        <f>_xlfn.XLOOKUP(A163,tblVendas[[#This Row],[NR_SIMULACAO]],tblVendas[[#This Row],[NR_CNPJ]],"")</f>
        <v>67.649.204/0001-41</v>
      </c>
      <c r="C163" t="str">
        <f>_xlfn.XLOOKUP(A163,tblVendas[[#This Row],[NR_SIMULACAO]],tblVendas[[#This Row],[STATUS]],"")</f>
        <v>TRAMITANDO</v>
      </c>
      <c r="D163" t="str">
        <f>_xlfn.XLOOKUP(A163,tblVendas[[#This Row],[NR_SIMULACAO]],tblVendas[[#This Row],[MES]],"")</f>
        <v>Março</v>
      </c>
      <c r="E163">
        <f>SUM(_xlfn.XLOOKUP(tblCalculo[[#This Row],[NR_SIMULACAO]],tblVendas[[#This Row],[NR_SIMULACAO]],tblVendas[[#This Row],[VALOR_MOVEL]],""):_xlfn.XLOOKUP(tblCalculo[[#This Row],[NR_SIMULACAO]],tblVendas[[#This Row],[NR_SIMULACAO]],tblVendas[[#This Row],[VALOR_APARELHO]],""))</f>
        <v>11339.15</v>
      </c>
      <c r="F163">
        <f>IF(tblCalculo[[#This Row],[STATUS]]="CONCLUÍDO",_xlfn.XLOOKUP(tblCalculo[[#This Row],[NR_SIMULACAO]],tblVendas[[#This Row],[NR_SIMULACAO]],tblVendas[[#This Row],[VALOR_MOVEL]],""),0)</f>
        <v>0</v>
      </c>
      <c r="G163">
        <f>IF(tblCalculo[[#This Row],[STATUS]]="CONCLUÍDO",_xlfn.XLOOKUP(tblCalculo[[#This Row],[NR_SIMULACAO]],tblVendas[[#This Row],[NR_SIMULACAO]],tblVendas[[#This Row],[VALOR_AVANCADO]],""),0)</f>
        <v>0</v>
      </c>
      <c r="H163">
        <f>IF(tblCalculo[[#This Row],[STATUS]]="CONCLUÍDO",_xlfn.XLOOKUP(tblCalculo[[#This Row],[NR_SIMULACAO]],tblVendas[[#This Row],[NR_SIMULACAO]],tblVendas[[#This Row],[VALOR_FIXABASICA]],""),0)</f>
        <v>0</v>
      </c>
      <c r="I163">
        <f>IF(tblCalculo[[#This Row],[STATUS]]="CONCLUÍDO",_xlfn.XLOOKUP(tblCalculo[[#This Row],[NR_SIMULACAO]],tblVendas[[#This Row],[NR_SIMULACAO]],tblVendas[[#This Row],[VALOR_TI]],""),0)</f>
        <v>0</v>
      </c>
      <c r="J163">
        <f>IF(tblCalculo[[#This Row],[STATUS]]="CONCLUÍDO",_xlfn.XLOOKUP(tblCalculo[[#This Row],[NR_SIMULACAO]],tblVendas[[#This Row],[NR_SIMULACAO]],tblVendas[[#This Row],[VALOR_APARELHO]],""),0)</f>
        <v>0</v>
      </c>
      <c r="K163" t="str">
        <f>IF(tblCalculo[[#This Row],[STATUS]]="NEGOCIANDO",tblCalculo[[#This Row],[VALOR_TOTAL]],"")</f>
        <v/>
      </c>
      <c r="L163" t="str">
        <f>IF(tblCalculo[[#This Row],[STATUS]]="ALÇADA",tblCalculo[[#This Row],[VALOR_TOTAL]],"")</f>
        <v/>
      </c>
      <c r="M163" t="str">
        <f>IF(tblCalculo[[#This Row],[STATUS]]="EM ANÁLISE",tblCalculo[[#This Row],[VALOR_TOTAL]],"")</f>
        <v/>
      </c>
      <c r="N163">
        <f>IF(tblCalculo[[#This Row],[STATUS]]="TRAMITANDO",tblCalculo[[#This Row],[VALOR_TOTAL]],"")</f>
        <v>11339.15</v>
      </c>
      <c r="O163" t="str">
        <f>IF(tblCalculo[[#This Row],[STATUS]]="PERDIDO",tblCalculo[[#This Row],[VALOR_TOTAL]],"")</f>
        <v/>
      </c>
      <c r="P163" t="str">
        <f>IF(tblCalculo[[#This Row],[STATUS]]="CONCLUÍDO",tblCalculo[[#This Row],[VALOR_TOTAL]],"")</f>
        <v/>
      </c>
    </row>
    <row r="164" spans="1:16" x14ac:dyDescent="0.25">
      <c r="A164" t="str">
        <f>tblVendas[[#This Row],[NR_SIMULACAO]]</f>
        <v>SIM1154</v>
      </c>
      <c r="B164" s="34" t="str">
        <f>_xlfn.XLOOKUP(A164,tblVendas[[#This Row],[NR_SIMULACAO]],tblVendas[[#This Row],[NR_CNPJ]],"")</f>
        <v>11.172.856/0001-25</v>
      </c>
      <c r="C164" t="str">
        <f>_xlfn.XLOOKUP(A164,tblVendas[[#This Row],[NR_SIMULACAO]],tblVendas[[#This Row],[STATUS]],"")</f>
        <v>EM ANÁLISE</v>
      </c>
      <c r="D164" t="str">
        <f>_xlfn.XLOOKUP(A164,tblVendas[[#This Row],[NR_SIMULACAO]],tblVendas[[#This Row],[MES]],"")</f>
        <v>Dezembro</v>
      </c>
      <c r="E164">
        <f>SUM(_xlfn.XLOOKUP(tblCalculo[[#This Row],[NR_SIMULACAO]],tblVendas[[#This Row],[NR_SIMULACAO]],tblVendas[[#This Row],[VALOR_MOVEL]],""):_xlfn.XLOOKUP(tblCalculo[[#This Row],[NR_SIMULACAO]],tblVendas[[#This Row],[NR_SIMULACAO]],tblVendas[[#This Row],[VALOR_APARELHO]],""))</f>
        <v>15007.57</v>
      </c>
      <c r="F164">
        <f>IF(tblCalculo[[#This Row],[STATUS]]="CONCLUÍDO",_xlfn.XLOOKUP(tblCalculo[[#This Row],[NR_SIMULACAO]],tblVendas[[#This Row],[NR_SIMULACAO]],tblVendas[[#This Row],[VALOR_MOVEL]],""),0)</f>
        <v>0</v>
      </c>
      <c r="G164">
        <f>IF(tblCalculo[[#This Row],[STATUS]]="CONCLUÍDO",_xlfn.XLOOKUP(tblCalculo[[#This Row],[NR_SIMULACAO]],tblVendas[[#This Row],[NR_SIMULACAO]],tblVendas[[#This Row],[VALOR_AVANCADO]],""),0)</f>
        <v>0</v>
      </c>
      <c r="H164">
        <f>IF(tblCalculo[[#This Row],[STATUS]]="CONCLUÍDO",_xlfn.XLOOKUP(tblCalculo[[#This Row],[NR_SIMULACAO]],tblVendas[[#This Row],[NR_SIMULACAO]],tblVendas[[#This Row],[VALOR_FIXABASICA]],""),0)</f>
        <v>0</v>
      </c>
      <c r="I164">
        <f>IF(tblCalculo[[#This Row],[STATUS]]="CONCLUÍDO",_xlfn.XLOOKUP(tblCalculo[[#This Row],[NR_SIMULACAO]],tblVendas[[#This Row],[NR_SIMULACAO]],tblVendas[[#This Row],[VALOR_TI]],""),0)</f>
        <v>0</v>
      </c>
      <c r="J164">
        <f>IF(tblCalculo[[#This Row],[STATUS]]="CONCLUÍDO",_xlfn.XLOOKUP(tblCalculo[[#This Row],[NR_SIMULACAO]],tblVendas[[#This Row],[NR_SIMULACAO]],tblVendas[[#This Row],[VALOR_APARELHO]],""),0)</f>
        <v>0</v>
      </c>
      <c r="K164" t="str">
        <f>IF(tblCalculo[[#This Row],[STATUS]]="NEGOCIANDO",tblCalculo[[#This Row],[VALOR_TOTAL]],"")</f>
        <v/>
      </c>
      <c r="L164" t="str">
        <f>IF(tblCalculo[[#This Row],[STATUS]]="ALÇADA",tblCalculo[[#This Row],[VALOR_TOTAL]],"")</f>
        <v/>
      </c>
      <c r="M164">
        <f>IF(tblCalculo[[#This Row],[STATUS]]="EM ANÁLISE",tblCalculo[[#This Row],[VALOR_TOTAL]],"")</f>
        <v>15007.57</v>
      </c>
      <c r="N164" t="str">
        <f>IF(tblCalculo[[#This Row],[STATUS]]="TRAMITANDO",tblCalculo[[#This Row],[VALOR_TOTAL]],"")</f>
        <v/>
      </c>
      <c r="O164" t="str">
        <f>IF(tblCalculo[[#This Row],[STATUS]]="PERDIDO",tblCalculo[[#This Row],[VALOR_TOTAL]],"")</f>
        <v/>
      </c>
      <c r="P164" t="str">
        <f>IF(tblCalculo[[#This Row],[STATUS]]="CONCLUÍDO",tblCalculo[[#This Row],[VALOR_TOTAL]],"")</f>
        <v/>
      </c>
    </row>
    <row r="165" spans="1:16" x14ac:dyDescent="0.25">
      <c r="A165" t="str">
        <f>tblVendas[[#This Row],[NR_SIMULACAO]]</f>
        <v>SIM1155</v>
      </c>
      <c r="B165" s="34" t="str">
        <f>_xlfn.XLOOKUP(A165,tblVendas[[#This Row],[NR_SIMULACAO]],tblVendas[[#This Row],[NR_CNPJ]],"")</f>
        <v>98.790.341/0001-61</v>
      </c>
      <c r="C165" t="str">
        <f>_xlfn.XLOOKUP(A165,tblVendas[[#This Row],[NR_SIMULACAO]],tblVendas[[#This Row],[STATUS]],"")</f>
        <v>CONCLUÍDO</v>
      </c>
      <c r="D165" t="str">
        <f>_xlfn.XLOOKUP(A165,tblVendas[[#This Row],[NR_SIMULACAO]],tblVendas[[#This Row],[MES]],"")</f>
        <v>Dezembro</v>
      </c>
      <c r="E165">
        <f>SUM(_xlfn.XLOOKUP(tblCalculo[[#This Row],[NR_SIMULACAO]],tblVendas[[#This Row],[NR_SIMULACAO]],tblVendas[[#This Row],[VALOR_MOVEL]],""):_xlfn.XLOOKUP(tblCalculo[[#This Row],[NR_SIMULACAO]],tblVendas[[#This Row],[NR_SIMULACAO]],tblVendas[[#This Row],[VALOR_APARELHO]],""))</f>
        <v>20732.839999999997</v>
      </c>
      <c r="F165">
        <f>IF(tblCalculo[[#This Row],[STATUS]]="CONCLUÍDO",_xlfn.XLOOKUP(tblCalculo[[#This Row],[NR_SIMULACAO]],tblVendas[[#This Row],[NR_SIMULACAO]],tblVendas[[#This Row],[VALOR_MOVEL]],""),0)</f>
        <v>0</v>
      </c>
      <c r="G165">
        <f>IF(tblCalculo[[#This Row],[STATUS]]="CONCLUÍDO",_xlfn.XLOOKUP(tblCalculo[[#This Row],[NR_SIMULACAO]],tblVendas[[#This Row],[NR_SIMULACAO]],tblVendas[[#This Row],[VALOR_AVANCADO]],""),0)</f>
        <v>0</v>
      </c>
      <c r="H165">
        <f>IF(tblCalculo[[#This Row],[STATUS]]="CONCLUÍDO",_xlfn.XLOOKUP(tblCalculo[[#This Row],[NR_SIMULACAO]],tblVendas[[#This Row],[NR_SIMULACAO]],tblVendas[[#This Row],[VALOR_FIXABASICA]],""),0)</f>
        <v>1213.55</v>
      </c>
      <c r="I165">
        <f>IF(tblCalculo[[#This Row],[STATUS]]="CONCLUÍDO",_xlfn.XLOOKUP(tblCalculo[[#This Row],[NR_SIMULACAO]],tblVendas[[#This Row],[NR_SIMULACAO]],tblVendas[[#This Row],[VALOR_TI]],""),0)</f>
        <v>7067.4</v>
      </c>
      <c r="J165">
        <f>IF(tblCalculo[[#This Row],[STATUS]]="CONCLUÍDO",_xlfn.XLOOKUP(tblCalculo[[#This Row],[NR_SIMULACAO]],tblVendas[[#This Row],[NR_SIMULACAO]],tblVendas[[#This Row],[VALOR_APARELHO]],""),0)</f>
        <v>12451.89</v>
      </c>
      <c r="K165" t="str">
        <f>IF(tblCalculo[[#This Row],[STATUS]]="NEGOCIANDO",tblCalculo[[#This Row],[VALOR_TOTAL]],"")</f>
        <v/>
      </c>
      <c r="L165" t="str">
        <f>IF(tblCalculo[[#This Row],[STATUS]]="ALÇADA",tblCalculo[[#This Row],[VALOR_TOTAL]],"")</f>
        <v/>
      </c>
      <c r="M165" t="str">
        <f>IF(tblCalculo[[#This Row],[STATUS]]="EM ANÁLISE",tblCalculo[[#This Row],[VALOR_TOTAL]],"")</f>
        <v/>
      </c>
      <c r="N165" t="str">
        <f>IF(tblCalculo[[#This Row],[STATUS]]="TRAMITANDO",tblCalculo[[#This Row],[VALOR_TOTAL]],"")</f>
        <v/>
      </c>
      <c r="O165" t="str">
        <f>IF(tblCalculo[[#This Row],[STATUS]]="PERDIDO",tblCalculo[[#This Row],[VALOR_TOTAL]],"")</f>
        <v/>
      </c>
      <c r="P165">
        <f>IF(tblCalculo[[#This Row],[STATUS]]="CONCLUÍDO",tblCalculo[[#This Row],[VALOR_TOTAL]],"")</f>
        <v>20732.839999999997</v>
      </c>
    </row>
    <row r="166" spans="1:16" x14ac:dyDescent="0.25">
      <c r="A166" t="str">
        <f>tblVendas[[#This Row],[NR_SIMULACAO]]</f>
        <v>SIM1156</v>
      </c>
      <c r="B166" s="34" t="str">
        <f>_xlfn.XLOOKUP(A166,tblVendas[[#This Row],[NR_SIMULACAO]],tblVendas[[#This Row],[NR_CNPJ]],"")</f>
        <v>24.586.753/0001-20</v>
      </c>
      <c r="C166" t="str">
        <f>_xlfn.XLOOKUP(A166,tblVendas[[#This Row],[NR_SIMULACAO]],tblVendas[[#This Row],[STATUS]],"")</f>
        <v>CONCLUÍDO</v>
      </c>
      <c r="D166" t="str">
        <f>_xlfn.XLOOKUP(A166,tblVendas[[#This Row],[NR_SIMULACAO]],tblVendas[[#This Row],[MES]],"")</f>
        <v>Agosto</v>
      </c>
      <c r="E166">
        <f>SUM(_xlfn.XLOOKUP(tblCalculo[[#This Row],[NR_SIMULACAO]],tblVendas[[#This Row],[NR_SIMULACAO]],tblVendas[[#This Row],[VALOR_MOVEL]],""):_xlfn.XLOOKUP(tblCalculo[[#This Row],[NR_SIMULACAO]],tblVendas[[#This Row],[NR_SIMULACAO]],tblVendas[[#This Row],[VALOR_APARELHO]],""))</f>
        <v>11711.240000000002</v>
      </c>
      <c r="F166">
        <f>IF(tblCalculo[[#This Row],[STATUS]]="CONCLUÍDO",_xlfn.XLOOKUP(tblCalculo[[#This Row],[NR_SIMULACAO]],tblVendas[[#This Row],[NR_SIMULACAO]],tblVendas[[#This Row],[VALOR_MOVEL]],""),0)</f>
        <v>0</v>
      </c>
      <c r="G166">
        <f>IF(tblCalculo[[#This Row],[STATUS]]="CONCLUÍDO",_xlfn.XLOOKUP(tblCalculo[[#This Row],[NR_SIMULACAO]],tblVendas[[#This Row],[NR_SIMULACAO]],tblVendas[[#This Row],[VALOR_AVANCADO]],""),0)</f>
        <v>567.12</v>
      </c>
      <c r="H166">
        <f>IF(tblCalculo[[#This Row],[STATUS]]="CONCLUÍDO",_xlfn.XLOOKUP(tblCalculo[[#This Row],[NR_SIMULACAO]],tblVendas[[#This Row],[NR_SIMULACAO]],tblVendas[[#This Row],[VALOR_FIXABASICA]],""),0)</f>
        <v>0</v>
      </c>
      <c r="I166">
        <f>IF(tblCalculo[[#This Row],[STATUS]]="CONCLUÍDO",_xlfn.XLOOKUP(tblCalculo[[#This Row],[NR_SIMULACAO]],tblVendas[[#This Row],[NR_SIMULACAO]],tblVendas[[#This Row],[VALOR_TI]],""),0)</f>
        <v>11144.12</v>
      </c>
      <c r="J166">
        <f>IF(tblCalculo[[#This Row],[STATUS]]="CONCLUÍDO",_xlfn.XLOOKUP(tblCalculo[[#This Row],[NR_SIMULACAO]],tblVendas[[#This Row],[NR_SIMULACAO]],tblVendas[[#This Row],[VALOR_APARELHO]],""),0)</f>
        <v>0</v>
      </c>
      <c r="K166" t="str">
        <f>IF(tblCalculo[[#This Row],[STATUS]]="NEGOCIANDO",tblCalculo[[#This Row],[VALOR_TOTAL]],"")</f>
        <v/>
      </c>
      <c r="L166" t="str">
        <f>IF(tblCalculo[[#This Row],[STATUS]]="ALÇADA",tblCalculo[[#This Row],[VALOR_TOTAL]],"")</f>
        <v/>
      </c>
      <c r="M166" t="str">
        <f>IF(tblCalculo[[#This Row],[STATUS]]="EM ANÁLISE",tblCalculo[[#This Row],[VALOR_TOTAL]],"")</f>
        <v/>
      </c>
      <c r="N166" t="str">
        <f>IF(tblCalculo[[#This Row],[STATUS]]="TRAMITANDO",tblCalculo[[#This Row],[VALOR_TOTAL]],"")</f>
        <v/>
      </c>
      <c r="O166" t="str">
        <f>IF(tblCalculo[[#This Row],[STATUS]]="PERDIDO",tblCalculo[[#This Row],[VALOR_TOTAL]],"")</f>
        <v/>
      </c>
      <c r="P166">
        <f>IF(tblCalculo[[#This Row],[STATUS]]="CONCLUÍDO",tblCalculo[[#This Row],[VALOR_TOTAL]],"")</f>
        <v>11711.240000000002</v>
      </c>
    </row>
    <row r="167" spans="1:16" x14ac:dyDescent="0.25">
      <c r="A167" t="str">
        <f>tblVendas[[#This Row],[NR_SIMULACAO]]</f>
        <v>SIM1157</v>
      </c>
      <c r="B167" s="34" t="str">
        <f>_xlfn.XLOOKUP(A167,tblVendas[[#This Row],[NR_SIMULACAO]],tblVendas[[#This Row],[NR_CNPJ]],"")</f>
        <v>40.559.258/0001-44</v>
      </c>
      <c r="C167" t="str">
        <f>_xlfn.XLOOKUP(A167,tblVendas[[#This Row],[NR_SIMULACAO]],tblVendas[[#This Row],[STATUS]],"")</f>
        <v>ALÇADA</v>
      </c>
      <c r="D167" t="str">
        <f>_xlfn.XLOOKUP(A167,tblVendas[[#This Row],[NR_SIMULACAO]],tblVendas[[#This Row],[MES]],"")</f>
        <v>Maio</v>
      </c>
      <c r="E167">
        <f>SUM(_xlfn.XLOOKUP(tblCalculo[[#This Row],[NR_SIMULACAO]],tblVendas[[#This Row],[NR_SIMULACAO]],tblVendas[[#This Row],[VALOR_MOVEL]],""):_xlfn.XLOOKUP(tblCalculo[[#This Row],[NR_SIMULACAO]],tblVendas[[#This Row],[NR_SIMULACAO]],tblVendas[[#This Row],[VALOR_APARELHO]],""))</f>
        <v>13065.970000000001</v>
      </c>
      <c r="F167">
        <f>IF(tblCalculo[[#This Row],[STATUS]]="CONCLUÍDO",_xlfn.XLOOKUP(tblCalculo[[#This Row],[NR_SIMULACAO]],tblVendas[[#This Row],[NR_SIMULACAO]],tblVendas[[#This Row],[VALOR_MOVEL]],""),0)</f>
        <v>0</v>
      </c>
      <c r="G167">
        <f>IF(tblCalculo[[#This Row],[STATUS]]="CONCLUÍDO",_xlfn.XLOOKUP(tblCalculo[[#This Row],[NR_SIMULACAO]],tblVendas[[#This Row],[NR_SIMULACAO]],tblVendas[[#This Row],[VALOR_AVANCADO]],""),0)</f>
        <v>0</v>
      </c>
      <c r="H167">
        <f>IF(tblCalculo[[#This Row],[STATUS]]="CONCLUÍDO",_xlfn.XLOOKUP(tblCalculo[[#This Row],[NR_SIMULACAO]],tblVendas[[#This Row],[NR_SIMULACAO]],tblVendas[[#This Row],[VALOR_FIXABASICA]],""),0)</f>
        <v>0</v>
      </c>
      <c r="I167">
        <f>IF(tblCalculo[[#This Row],[STATUS]]="CONCLUÍDO",_xlfn.XLOOKUP(tblCalculo[[#This Row],[NR_SIMULACAO]],tblVendas[[#This Row],[NR_SIMULACAO]],tblVendas[[#This Row],[VALOR_TI]],""),0)</f>
        <v>0</v>
      </c>
      <c r="J167">
        <f>IF(tblCalculo[[#This Row],[STATUS]]="CONCLUÍDO",_xlfn.XLOOKUP(tblCalculo[[#This Row],[NR_SIMULACAO]],tblVendas[[#This Row],[NR_SIMULACAO]],tblVendas[[#This Row],[VALOR_APARELHO]],""),0)</f>
        <v>0</v>
      </c>
      <c r="K167" t="str">
        <f>IF(tblCalculo[[#This Row],[STATUS]]="NEGOCIANDO",tblCalculo[[#This Row],[VALOR_TOTAL]],"")</f>
        <v/>
      </c>
      <c r="L167">
        <f>IF(tblCalculo[[#This Row],[STATUS]]="ALÇADA",tblCalculo[[#This Row],[VALOR_TOTAL]],"")</f>
        <v>13065.970000000001</v>
      </c>
      <c r="M167" t="str">
        <f>IF(tblCalculo[[#This Row],[STATUS]]="EM ANÁLISE",tblCalculo[[#This Row],[VALOR_TOTAL]],"")</f>
        <v/>
      </c>
      <c r="N167" t="str">
        <f>IF(tblCalculo[[#This Row],[STATUS]]="TRAMITANDO",tblCalculo[[#This Row],[VALOR_TOTAL]],"")</f>
        <v/>
      </c>
      <c r="O167" t="str">
        <f>IF(tblCalculo[[#This Row],[STATUS]]="PERDIDO",tblCalculo[[#This Row],[VALOR_TOTAL]],"")</f>
        <v/>
      </c>
      <c r="P167" t="str">
        <f>IF(tblCalculo[[#This Row],[STATUS]]="CONCLUÍDO",tblCalculo[[#This Row],[VALOR_TOTAL]],"")</f>
        <v/>
      </c>
    </row>
    <row r="168" spans="1:16" x14ac:dyDescent="0.25">
      <c r="A168" t="str">
        <f>tblVendas[[#This Row],[NR_SIMULACAO]]</f>
        <v>SIM1158</v>
      </c>
      <c r="B168" s="34" t="str">
        <f>_xlfn.XLOOKUP(A168,tblVendas[[#This Row],[NR_SIMULACAO]],tblVendas[[#This Row],[NR_CNPJ]],"")</f>
        <v>89.512.781/0001-86</v>
      </c>
      <c r="C168" t="str">
        <f>_xlfn.XLOOKUP(A168,tblVendas[[#This Row],[NR_SIMULACAO]],tblVendas[[#This Row],[STATUS]],"")</f>
        <v>EM ANÁLISE</v>
      </c>
      <c r="D168" t="str">
        <f>_xlfn.XLOOKUP(A168,tblVendas[[#This Row],[NR_SIMULACAO]],tblVendas[[#This Row],[MES]],"")</f>
        <v>Setembro</v>
      </c>
      <c r="E168">
        <f>SUM(_xlfn.XLOOKUP(tblCalculo[[#This Row],[NR_SIMULACAO]],tblVendas[[#This Row],[NR_SIMULACAO]],tblVendas[[#This Row],[VALOR_MOVEL]],""):_xlfn.XLOOKUP(tblCalculo[[#This Row],[NR_SIMULACAO]],tblVendas[[#This Row],[NR_SIMULACAO]],tblVendas[[#This Row],[VALOR_APARELHO]],""))</f>
        <v>20573.489999999998</v>
      </c>
      <c r="F168">
        <f>IF(tblCalculo[[#This Row],[STATUS]]="CONCLUÍDO",_xlfn.XLOOKUP(tblCalculo[[#This Row],[NR_SIMULACAO]],tblVendas[[#This Row],[NR_SIMULACAO]],tblVendas[[#This Row],[VALOR_MOVEL]],""),0)</f>
        <v>0</v>
      </c>
      <c r="G168">
        <f>IF(tblCalculo[[#This Row],[STATUS]]="CONCLUÍDO",_xlfn.XLOOKUP(tblCalculo[[#This Row],[NR_SIMULACAO]],tblVendas[[#This Row],[NR_SIMULACAO]],tblVendas[[#This Row],[VALOR_AVANCADO]],""),0)</f>
        <v>0</v>
      </c>
      <c r="H168">
        <f>IF(tblCalculo[[#This Row],[STATUS]]="CONCLUÍDO",_xlfn.XLOOKUP(tblCalculo[[#This Row],[NR_SIMULACAO]],tblVendas[[#This Row],[NR_SIMULACAO]],tblVendas[[#This Row],[VALOR_FIXABASICA]],""),0)</f>
        <v>0</v>
      </c>
      <c r="I168">
        <f>IF(tblCalculo[[#This Row],[STATUS]]="CONCLUÍDO",_xlfn.XLOOKUP(tblCalculo[[#This Row],[NR_SIMULACAO]],tblVendas[[#This Row],[NR_SIMULACAO]],tblVendas[[#This Row],[VALOR_TI]],""),0)</f>
        <v>0</v>
      </c>
      <c r="J168">
        <f>IF(tblCalculo[[#This Row],[STATUS]]="CONCLUÍDO",_xlfn.XLOOKUP(tblCalculo[[#This Row],[NR_SIMULACAO]],tblVendas[[#This Row],[NR_SIMULACAO]],tblVendas[[#This Row],[VALOR_APARELHO]],""),0)</f>
        <v>0</v>
      </c>
      <c r="K168" t="str">
        <f>IF(tblCalculo[[#This Row],[STATUS]]="NEGOCIANDO",tblCalculo[[#This Row],[VALOR_TOTAL]],"")</f>
        <v/>
      </c>
      <c r="L168" t="str">
        <f>IF(tblCalculo[[#This Row],[STATUS]]="ALÇADA",tblCalculo[[#This Row],[VALOR_TOTAL]],"")</f>
        <v/>
      </c>
      <c r="M168">
        <f>IF(tblCalculo[[#This Row],[STATUS]]="EM ANÁLISE",tblCalculo[[#This Row],[VALOR_TOTAL]],"")</f>
        <v>20573.489999999998</v>
      </c>
      <c r="N168" t="str">
        <f>IF(tblCalculo[[#This Row],[STATUS]]="TRAMITANDO",tblCalculo[[#This Row],[VALOR_TOTAL]],"")</f>
        <v/>
      </c>
      <c r="O168" t="str">
        <f>IF(tblCalculo[[#This Row],[STATUS]]="PERDIDO",tblCalculo[[#This Row],[VALOR_TOTAL]],"")</f>
        <v/>
      </c>
      <c r="P168" t="str">
        <f>IF(tblCalculo[[#This Row],[STATUS]]="CONCLUÍDO",tblCalculo[[#This Row],[VALOR_TOTAL]],"")</f>
        <v/>
      </c>
    </row>
    <row r="169" spans="1:16" x14ac:dyDescent="0.25">
      <c r="A169" t="str">
        <f>tblVendas[[#This Row],[NR_SIMULACAO]]</f>
        <v>SIM1159</v>
      </c>
      <c r="B169" s="34" t="str">
        <f>_xlfn.XLOOKUP(A169,tblVendas[[#This Row],[NR_SIMULACAO]],tblVendas[[#This Row],[NR_CNPJ]],"")</f>
        <v>26.770.986/0001-23</v>
      </c>
      <c r="C169" t="str">
        <f>_xlfn.XLOOKUP(A169,tblVendas[[#This Row],[NR_SIMULACAO]],tblVendas[[#This Row],[STATUS]],"")</f>
        <v>NEGOCIANDO</v>
      </c>
      <c r="D169" t="str">
        <f>_xlfn.XLOOKUP(A169,tblVendas[[#This Row],[NR_SIMULACAO]],tblVendas[[#This Row],[MES]],"")</f>
        <v>Março</v>
      </c>
      <c r="E169">
        <f>SUM(_xlfn.XLOOKUP(tblCalculo[[#This Row],[NR_SIMULACAO]],tblVendas[[#This Row],[NR_SIMULACAO]],tblVendas[[#This Row],[VALOR_MOVEL]],""):_xlfn.XLOOKUP(tblCalculo[[#This Row],[NR_SIMULACAO]],tblVendas[[#This Row],[NR_SIMULACAO]],tblVendas[[#This Row],[VALOR_APARELHO]],""))</f>
        <v>11737.199999999999</v>
      </c>
      <c r="F169">
        <f>IF(tblCalculo[[#This Row],[STATUS]]="CONCLUÍDO",_xlfn.XLOOKUP(tblCalculo[[#This Row],[NR_SIMULACAO]],tblVendas[[#This Row],[NR_SIMULACAO]],tblVendas[[#This Row],[VALOR_MOVEL]],""),0)</f>
        <v>0</v>
      </c>
      <c r="G169">
        <f>IF(tblCalculo[[#This Row],[STATUS]]="CONCLUÍDO",_xlfn.XLOOKUP(tblCalculo[[#This Row],[NR_SIMULACAO]],tblVendas[[#This Row],[NR_SIMULACAO]],tblVendas[[#This Row],[VALOR_AVANCADO]],""),0)</f>
        <v>0</v>
      </c>
      <c r="H169">
        <f>IF(tblCalculo[[#This Row],[STATUS]]="CONCLUÍDO",_xlfn.XLOOKUP(tblCalculo[[#This Row],[NR_SIMULACAO]],tblVendas[[#This Row],[NR_SIMULACAO]],tblVendas[[#This Row],[VALOR_FIXABASICA]],""),0)</f>
        <v>0</v>
      </c>
      <c r="I169">
        <f>IF(tblCalculo[[#This Row],[STATUS]]="CONCLUÍDO",_xlfn.XLOOKUP(tblCalculo[[#This Row],[NR_SIMULACAO]],tblVendas[[#This Row],[NR_SIMULACAO]],tblVendas[[#This Row],[VALOR_TI]],""),0)</f>
        <v>0</v>
      </c>
      <c r="J169">
        <f>IF(tblCalculo[[#This Row],[STATUS]]="CONCLUÍDO",_xlfn.XLOOKUP(tblCalculo[[#This Row],[NR_SIMULACAO]],tblVendas[[#This Row],[NR_SIMULACAO]],tblVendas[[#This Row],[VALOR_APARELHO]],""),0)</f>
        <v>0</v>
      </c>
      <c r="K169">
        <f>IF(tblCalculo[[#This Row],[STATUS]]="NEGOCIANDO",tblCalculo[[#This Row],[VALOR_TOTAL]],"")</f>
        <v>11737.199999999999</v>
      </c>
      <c r="L169" t="str">
        <f>IF(tblCalculo[[#This Row],[STATUS]]="ALÇADA",tblCalculo[[#This Row],[VALOR_TOTAL]],"")</f>
        <v/>
      </c>
      <c r="M169" t="str">
        <f>IF(tblCalculo[[#This Row],[STATUS]]="EM ANÁLISE",tblCalculo[[#This Row],[VALOR_TOTAL]],"")</f>
        <v/>
      </c>
      <c r="N169" t="str">
        <f>IF(tblCalculo[[#This Row],[STATUS]]="TRAMITANDO",tblCalculo[[#This Row],[VALOR_TOTAL]],"")</f>
        <v/>
      </c>
      <c r="O169" t="str">
        <f>IF(tblCalculo[[#This Row],[STATUS]]="PERDIDO",tblCalculo[[#This Row],[VALOR_TOTAL]],"")</f>
        <v/>
      </c>
      <c r="P169" t="str">
        <f>IF(tblCalculo[[#This Row],[STATUS]]="CONCLUÍDO",tblCalculo[[#This Row],[VALOR_TOTAL]],"")</f>
        <v/>
      </c>
    </row>
    <row r="170" spans="1:16" x14ac:dyDescent="0.25">
      <c r="A170" t="str">
        <f>tblVendas[[#This Row],[NR_SIMULACAO]]</f>
        <v>SIM1160</v>
      </c>
      <c r="B170" s="34" t="str">
        <f>_xlfn.XLOOKUP(A170,tblVendas[[#This Row],[NR_SIMULACAO]],tblVendas[[#This Row],[NR_CNPJ]],"")</f>
        <v>95.709.954/0001-34</v>
      </c>
      <c r="C170" t="str">
        <f>_xlfn.XLOOKUP(A170,tblVendas[[#This Row],[NR_SIMULACAO]],tblVendas[[#This Row],[STATUS]],"")</f>
        <v>PERDIDO</v>
      </c>
      <c r="D170" t="str">
        <f>_xlfn.XLOOKUP(A170,tblVendas[[#This Row],[NR_SIMULACAO]],tblVendas[[#This Row],[MES]],"")</f>
        <v>Março</v>
      </c>
      <c r="E170">
        <f>SUM(_xlfn.XLOOKUP(tblCalculo[[#This Row],[NR_SIMULACAO]],tblVendas[[#This Row],[NR_SIMULACAO]],tblVendas[[#This Row],[VALOR_MOVEL]],""):_xlfn.XLOOKUP(tblCalculo[[#This Row],[NR_SIMULACAO]],tblVendas[[#This Row],[NR_SIMULACAO]],tblVendas[[#This Row],[VALOR_APARELHO]],""))</f>
        <v>7725.57</v>
      </c>
      <c r="F170">
        <f>IF(tblCalculo[[#This Row],[STATUS]]="CONCLUÍDO",_xlfn.XLOOKUP(tblCalculo[[#This Row],[NR_SIMULACAO]],tblVendas[[#This Row],[NR_SIMULACAO]],tblVendas[[#This Row],[VALOR_MOVEL]],""),0)</f>
        <v>0</v>
      </c>
      <c r="G170">
        <f>IF(tblCalculo[[#This Row],[STATUS]]="CONCLUÍDO",_xlfn.XLOOKUP(tblCalculo[[#This Row],[NR_SIMULACAO]],tblVendas[[#This Row],[NR_SIMULACAO]],tblVendas[[#This Row],[VALOR_AVANCADO]],""),0)</f>
        <v>0</v>
      </c>
      <c r="H170">
        <f>IF(tblCalculo[[#This Row],[STATUS]]="CONCLUÍDO",_xlfn.XLOOKUP(tblCalculo[[#This Row],[NR_SIMULACAO]],tblVendas[[#This Row],[NR_SIMULACAO]],tblVendas[[#This Row],[VALOR_FIXABASICA]],""),0)</f>
        <v>0</v>
      </c>
      <c r="I170">
        <f>IF(tblCalculo[[#This Row],[STATUS]]="CONCLUÍDO",_xlfn.XLOOKUP(tblCalculo[[#This Row],[NR_SIMULACAO]],tblVendas[[#This Row],[NR_SIMULACAO]],tblVendas[[#This Row],[VALOR_TI]],""),0)</f>
        <v>0</v>
      </c>
      <c r="J170">
        <f>IF(tblCalculo[[#This Row],[STATUS]]="CONCLUÍDO",_xlfn.XLOOKUP(tblCalculo[[#This Row],[NR_SIMULACAO]],tblVendas[[#This Row],[NR_SIMULACAO]],tblVendas[[#This Row],[VALOR_APARELHO]],""),0)</f>
        <v>0</v>
      </c>
      <c r="K170" t="str">
        <f>IF(tblCalculo[[#This Row],[STATUS]]="NEGOCIANDO",tblCalculo[[#This Row],[VALOR_TOTAL]],"")</f>
        <v/>
      </c>
      <c r="L170" t="str">
        <f>IF(tblCalculo[[#This Row],[STATUS]]="ALÇADA",tblCalculo[[#This Row],[VALOR_TOTAL]],"")</f>
        <v/>
      </c>
      <c r="M170" t="str">
        <f>IF(tblCalculo[[#This Row],[STATUS]]="EM ANÁLISE",tblCalculo[[#This Row],[VALOR_TOTAL]],"")</f>
        <v/>
      </c>
      <c r="N170" t="str">
        <f>IF(tblCalculo[[#This Row],[STATUS]]="TRAMITANDO",tblCalculo[[#This Row],[VALOR_TOTAL]],"")</f>
        <v/>
      </c>
      <c r="O170">
        <f>IF(tblCalculo[[#This Row],[STATUS]]="PERDIDO",tblCalculo[[#This Row],[VALOR_TOTAL]],"")</f>
        <v>7725.57</v>
      </c>
      <c r="P170" t="str">
        <f>IF(tblCalculo[[#This Row],[STATUS]]="CONCLUÍDO",tblCalculo[[#This Row],[VALOR_TOTAL]],"")</f>
        <v/>
      </c>
    </row>
    <row r="171" spans="1:16" x14ac:dyDescent="0.25">
      <c r="A171" t="str">
        <f>tblVendas[[#This Row],[NR_SIMULACAO]]</f>
        <v>SIM1161</v>
      </c>
      <c r="B171" s="34" t="str">
        <f>_xlfn.XLOOKUP(A171,tblVendas[[#This Row],[NR_SIMULACAO]],tblVendas[[#This Row],[NR_CNPJ]],"")</f>
        <v>37.955.553/0001-98</v>
      </c>
      <c r="C171" t="str">
        <f>_xlfn.XLOOKUP(A171,tblVendas[[#This Row],[NR_SIMULACAO]],tblVendas[[#This Row],[STATUS]],"")</f>
        <v>NEGOCIANDO</v>
      </c>
      <c r="D171" t="str">
        <f>_xlfn.XLOOKUP(A171,tblVendas[[#This Row],[NR_SIMULACAO]],tblVendas[[#This Row],[MES]],"")</f>
        <v>Dezembro</v>
      </c>
      <c r="E171">
        <f>SUM(_xlfn.XLOOKUP(tblCalculo[[#This Row],[NR_SIMULACAO]],tblVendas[[#This Row],[NR_SIMULACAO]],tblVendas[[#This Row],[VALOR_MOVEL]],""):_xlfn.XLOOKUP(tblCalculo[[#This Row],[NR_SIMULACAO]],tblVendas[[#This Row],[NR_SIMULACAO]],tblVendas[[#This Row],[VALOR_APARELHO]],""))</f>
        <v>20968.91</v>
      </c>
      <c r="F171">
        <f>IF(tblCalculo[[#This Row],[STATUS]]="CONCLUÍDO",_xlfn.XLOOKUP(tblCalculo[[#This Row],[NR_SIMULACAO]],tblVendas[[#This Row],[NR_SIMULACAO]],tblVendas[[#This Row],[VALOR_MOVEL]],""),0)</f>
        <v>0</v>
      </c>
      <c r="G171">
        <f>IF(tblCalculo[[#This Row],[STATUS]]="CONCLUÍDO",_xlfn.XLOOKUP(tblCalculo[[#This Row],[NR_SIMULACAO]],tblVendas[[#This Row],[NR_SIMULACAO]],tblVendas[[#This Row],[VALOR_AVANCADO]],""),0)</f>
        <v>0</v>
      </c>
      <c r="H171">
        <f>IF(tblCalculo[[#This Row],[STATUS]]="CONCLUÍDO",_xlfn.XLOOKUP(tblCalculo[[#This Row],[NR_SIMULACAO]],tblVendas[[#This Row],[NR_SIMULACAO]],tblVendas[[#This Row],[VALOR_FIXABASICA]],""),0)</f>
        <v>0</v>
      </c>
      <c r="I171">
        <f>IF(tblCalculo[[#This Row],[STATUS]]="CONCLUÍDO",_xlfn.XLOOKUP(tblCalculo[[#This Row],[NR_SIMULACAO]],tblVendas[[#This Row],[NR_SIMULACAO]],tblVendas[[#This Row],[VALOR_TI]],""),0)</f>
        <v>0</v>
      </c>
      <c r="J171">
        <f>IF(tblCalculo[[#This Row],[STATUS]]="CONCLUÍDO",_xlfn.XLOOKUP(tblCalculo[[#This Row],[NR_SIMULACAO]],tblVendas[[#This Row],[NR_SIMULACAO]],tblVendas[[#This Row],[VALOR_APARELHO]],""),0)</f>
        <v>0</v>
      </c>
      <c r="K171">
        <f>IF(tblCalculo[[#This Row],[STATUS]]="NEGOCIANDO",tblCalculo[[#This Row],[VALOR_TOTAL]],"")</f>
        <v>20968.91</v>
      </c>
      <c r="L171" t="str">
        <f>IF(tblCalculo[[#This Row],[STATUS]]="ALÇADA",tblCalculo[[#This Row],[VALOR_TOTAL]],"")</f>
        <v/>
      </c>
      <c r="M171" t="str">
        <f>IF(tblCalculo[[#This Row],[STATUS]]="EM ANÁLISE",tblCalculo[[#This Row],[VALOR_TOTAL]],"")</f>
        <v/>
      </c>
      <c r="N171" t="str">
        <f>IF(tblCalculo[[#This Row],[STATUS]]="TRAMITANDO",tblCalculo[[#This Row],[VALOR_TOTAL]],"")</f>
        <v/>
      </c>
      <c r="O171" t="str">
        <f>IF(tblCalculo[[#This Row],[STATUS]]="PERDIDO",tblCalculo[[#This Row],[VALOR_TOTAL]],"")</f>
        <v/>
      </c>
      <c r="P171" t="str">
        <f>IF(tblCalculo[[#This Row],[STATUS]]="CONCLUÍDO",tblCalculo[[#This Row],[VALOR_TOTAL]],"")</f>
        <v/>
      </c>
    </row>
    <row r="172" spans="1:16" x14ac:dyDescent="0.25">
      <c r="A172" t="str">
        <f>tblVendas[[#This Row],[NR_SIMULACAO]]</f>
        <v>SIM1162</v>
      </c>
      <c r="B172" s="34" t="str">
        <f>_xlfn.XLOOKUP(A172,tblVendas[[#This Row],[NR_SIMULACAO]],tblVendas[[#This Row],[NR_CNPJ]],"")</f>
        <v>96.148.951/0001-68</v>
      </c>
      <c r="C172" t="str">
        <f>_xlfn.XLOOKUP(A172,tblVendas[[#This Row],[NR_SIMULACAO]],tblVendas[[#This Row],[STATUS]],"")</f>
        <v>NEGOCIANDO</v>
      </c>
      <c r="D172" t="str">
        <f>_xlfn.XLOOKUP(A172,tblVendas[[#This Row],[NR_SIMULACAO]],tblVendas[[#This Row],[MES]],"")</f>
        <v>Outubro</v>
      </c>
      <c r="E172">
        <f>SUM(_xlfn.XLOOKUP(tblCalculo[[#This Row],[NR_SIMULACAO]],tblVendas[[#This Row],[NR_SIMULACAO]],tblVendas[[#This Row],[VALOR_MOVEL]],""):_xlfn.XLOOKUP(tblCalculo[[#This Row],[NR_SIMULACAO]],tblVendas[[#This Row],[NR_SIMULACAO]],tblVendas[[#This Row],[VALOR_APARELHO]],""))</f>
        <v>5641.96</v>
      </c>
      <c r="F172">
        <f>IF(tblCalculo[[#This Row],[STATUS]]="CONCLUÍDO",_xlfn.XLOOKUP(tblCalculo[[#This Row],[NR_SIMULACAO]],tblVendas[[#This Row],[NR_SIMULACAO]],tblVendas[[#This Row],[VALOR_MOVEL]],""),0)</f>
        <v>0</v>
      </c>
      <c r="G172">
        <f>IF(tblCalculo[[#This Row],[STATUS]]="CONCLUÍDO",_xlfn.XLOOKUP(tblCalculo[[#This Row],[NR_SIMULACAO]],tblVendas[[#This Row],[NR_SIMULACAO]],tblVendas[[#This Row],[VALOR_AVANCADO]],""),0)</f>
        <v>0</v>
      </c>
      <c r="H172">
        <f>IF(tblCalculo[[#This Row],[STATUS]]="CONCLUÍDO",_xlfn.XLOOKUP(tblCalculo[[#This Row],[NR_SIMULACAO]],tblVendas[[#This Row],[NR_SIMULACAO]],tblVendas[[#This Row],[VALOR_FIXABASICA]],""),0)</f>
        <v>0</v>
      </c>
      <c r="I172">
        <f>IF(tblCalculo[[#This Row],[STATUS]]="CONCLUÍDO",_xlfn.XLOOKUP(tblCalculo[[#This Row],[NR_SIMULACAO]],tblVendas[[#This Row],[NR_SIMULACAO]],tblVendas[[#This Row],[VALOR_TI]],""),0)</f>
        <v>0</v>
      </c>
      <c r="J172">
        <f>IF(tblCalculo[[#This Row],[STATUS]]="CONCLUÍDO",_xlfn.XLOOKUP(tblCalculo[[#This Row],[NR_SIMULACAO]],tblVendas[[#This Row],[NR_SIMULACAO]],tblVendas[[#This Row],[VALOR_APARELHO]],""),0)</f>
        <v>0</v>
      </c>
      <c r="K172">
        <f>IF(tblCalculo[[#This Row],[STATUS]]="NEGOCIANDO",tblCalculo[[#This Row],[VALOR_TOTAL]],"")</f>
        <v>5641.96</v>
      </c>
      <c r="L172" t="str">
        <f>IF(tblCalculo[[#This Row],[STATUS]]="ALÇADA",tblCalculo[[#This Row],[VALOR_TOTAL]],"")</f>
        <v/>
      </c>
      <c r="M172" t="str">
        <f>IF(tblCalculo[[#This Row],[STATUS]]="EM ANÁLISE",tblCalculo[[#This Row],[VALOR_TOTAL]],"")</f>
        <v/>
      </c>
      <c r="N172" t="str">
        <f>IF(tblCalculo[[#This Row],[STATUS]]="TRAMITANDO",tblCalculo[[#This Row],[VALOR_TOTAL]],"")</f>
        <v/>
      </c>
      <c r="O172" t="str">
        <f>IF(tblCalculo[[#This Row],[STATUS]]="PERDIDO",tblCalculo[[#This Row],[VALOR_TOTAL]],"")</f>
        <v/>
      </c>
      <c r="P172" t="str">
        <f>IF(tblCalculo[[#This Row],[STATUS]]="CONCLUÍDO",tblCalculo[[#This Row],[VALOR_TOTAL]],"")</f>
        <v/>
      </c>
    </row>
    <row r="173" spans="1:16" x14ac:dyDescent="0.25">
      <c r="A173" t="str">
        <f>tblVendas[[#This Row],[NR_SIMULACAO]]</f>
        <v>SIM1163</v>
      </c>
      <c r="B173" s="34" t="str">
        <f>_xlfn.XLOOKUP(A173,tblVendas[[#This Row],[NR_SIMULACAO]],tblVendas[[#This Row],[NR_CNPJ]],"")</f>
        <v>97.256.824/0001-44</v>
      </c>
      <c r="C173" t="str">
        <f>_xlfn.XLOOKUP(A173,tblVendas[[#This Row],[NR_SIMULACAO]],tblVendas[[#This Row],[STATUS]],"")</f>
        <v>ALÇADA</v>
      </c>
      <c r="D173" t="str">
        <f>_xlfn.XLOOKUP(A173,tblVendas[[#This Row],[NR_SIMULACAO]],tblVendas[[#This Row],[MES]],"")</f>
        <v>Novembro</v>
      </c>
      <c r="E173">
        <f>SUM(_xlfn.XLOOKUP(tblCalculo[[#This Row],[NR_SIMULACAO]],tblVendas[[#This Row],[NR_SIMULACAO]],tblVendas[[#This Row],[VALOR_MOVEL]],""):_xlfn.XLOOKUP(tblCalculo[[#This Row],[NR_SIMULACAO]],tblVendas[[#This Row],[NR_SIMULACAO]],tblVendas[[#This Row],[VALOR_APARELHO]],""))</f>
        <v>18876.93</v>
      </c>
      <c r="F173">
        <f>IF(tblCalculo[[#This Row],[STATUS]]="CONCLUÍDO",_xlfn.XLOOKUP(tblCalculo[[#This Row],[NR_SIMULACAO]],tblVendas[[#This Row],[NR_SIMULACAO]],tblVendas[[#This Row],[VALOR_MOVEL]],""),0)</f>
        <v>0</v>
      </c>
      <c r="G173">
        <f>IF(tblCalculo[[#This Row],[STATUS]]="CONCLUÍDO",_xlfn.XLOOKUP(tblCalculo[[#This Row],[NR_SIMULACAO]],tblVendas[[#This Row],[NR_SIMULACAO]],tblVendas[[#This Row],[VALOR_AVANCADO]],""),0)</f>
        <v>0</v>
      </c>
      <c r="H173">
        <f>IF(tblCalculo[[#This Row],[STATUS]]="CONCLUÍDO",_xlfn.XLOOKUP(tblCalculo[[#This Row],[NR_SIMULACAO]],tblVendas[[#This Row],[NR_SIMULACAO]],tblVendas[[#This Row],[VALOR_FIXABASICA]],""),0)</f>
        <v>0</v>
      </c>
      <c r="I173">
        <f>IF(tblCalculo[[#This Row],[STATUS]]="CONCLUÍDO",_xlfn.XLOOKUP(tblCalculo[[#This Row],[NR_SIMULACAO]],tblVendas[[#This Row],[NR_SIMULACAO]],tblVendas[[#This Row],[VALOR_TI]],""),0)</f>
        <v>0</v>
      </c>
      <c r="J173">
        <f>IF(tblCalculo[[#This Row],[STATUS]]="CONCLUÍDO",_xlfn.XLOOKUP(tblCalculo[[#This Row],[NR_SIMULACAO]],tblVendas[[#This Row],[NR_SIMULACAO]],tblVendas[[#This Row],[VALOR_APARELHO]],""),0)</f>
        <v>0</v>
      </c>
      <c r="K173" t="str">
        <f>IF(tblCalculo[[#This Row],[STATUS]]="NEGOCIANDO",tblCalculo[[#This Row],[VALOR_TOTAL]],"")</f>
        <v/>
      </c>
      <c r="L173">
        <f>IF(tblCalculo[[#This Row],[STATUS]]="ALÇADA",tblCalculo[[#This Row],[VALOR_TOTAL]],"")</f>
        <v>18876.93</v>
      </c>
      <c r="M173" t="str">
        <f>IF(tblCalculo[[#This Row],[STATUS]]="EM ANÁLISE",tblCalculo[[#This Row],[VALOR_TOTAL]],"")</f>
        <v/>
      </c>
      <c r="N173" t="str">
        <f>IF(tblCalculo[[#This Row],[STATUS]]="TRAMITANDO",tblCalculo[[#This Row],[VALOR_TOTAL]],"")</f>
        <v/>
      </c>
      <c r="O173" t="str">
        <f>IF(tblCalculo[[#This Row],[STATUS]]="PERDIDO",tblCalculo[[#This Row],[VALOR_TOTAL]],"")</f>
        <v/>
      </c>
      <c r="P173" t="str">
        <f>IF(tblCalculo[[#This Row],[STATUS]]="CONCLUÍDO",tblCalculo[[#This Row],[VALOR_TOTAL]],"")</f>
        <v/>
      </c>
    </row>
    <row r="174" spans="1:16" x14ac:dyDescent="0.25">
      <c r="A174" t="str">
        <f>tblVendas[[#This Row],[NR_SIMULACAO]]</f>
        <v>SIM1164</v>
      </c>
      <c r="B174" s="34" t="str">
        <f>_xlfn.XLOOKUP(A174,tblVendas[[#This Row],[NR_SIMULACAO]],tblVendas[[#This Row],[NR_CNPJ]],"")</f>
        <v>29.332.735/0001-76</v>
      </c>
      <c r="C174" t="str">
        <f>_xlfn.XLOOKUP(A174,tblVendas[[#This Row],[NR_SIMULACAO]],tblVendas[[#This Row],[STATUS]],"")</f>
        <v>EM ANÁLISE</v>
      </c>
      <c r="D174" t="str">
        <f>_xlfn.XLOOKUP(A174,tblVendas[[#This Row],[NR_SIMULACAO]],tblVendas[[#This Row],[MES]],"")</f>
        <v>Maio</v>
      </c>
      <c r="E174">
        <f>SUM(_xlfn.XLOOKUP(tblCalculo[[#This Row],[NR_SIMULACAO]],tblVendas[[#This Row],[NR_SIMULACAO]],tblVendas[[#This Row],[VALOR_MOVEL]],""):_xlfn.XLOOKUP(tblCalculo[[#This Row],[NR_SIMULACAO]],tblVendas[[#This Row],[NR_SIMULACAO]],tblVendas[[#This Row],[VALOR_APARELHO]],""))</f>
        <v>2792.82</v>
      </c>
      <c r="F174">
        <f>IF(tblCalculo[[#This Row],[STATUS]]="CONCLUÍDO",_xlfn.XLOOKUP(tblCalculo[[#This Row],[NR_SIMULACAO]],tblVendas[[#This Row],[NR_SIMULACAO]],tblVendas[[#This Row],[VALOR_MOVEL]],""),0)</f>
        <v>0</v>
      </c>
      <c r="G174">
        <f>IF(tblCalculo[[#This Row],[STATUS]]="CONCLUÍDO",_xlfn.XLOOKUP(tblCalculo[[#This Row],[NR_SIMULACAO]],tblVendas[[#This Row],[NR_SIMULACAO]],tblVendas[[#This Row],[VALOR_AVANCADO]],""),0)</f>
        <v>0</v>
      </c>
      <c r="H174">
        <f>IF(tblCalculo[[#This Row],[STATUS]]="CONCLUÍDO",_xlfn.XLOOKUP(tblCalculo[[#This Row],[NR_SIMULACAO]],tblVendas[[#This Row],[NR_SIMULACAO]],tblVendas[[#This Row],[VALOR_FIXABASICA]],""),0)</f>
        <v>0</v>
      </c>
      <c r="I174">
        <f>IF(tblCalculo[[#This Row],[STATUS]]="CONCLUÍDO",_xlfn.XLOOKUP(tblCalculo[[#This Row],[NR_SIMULACAO]],tblVendas[[#This Row],[NR_SIMULACAO]],tblVendas[[#This Row],[VALOR_TI]],""),0)</f>
        <v>0</v>
      </c>
      <c r="J174">
        <f>IF(tblCalculo[[#This Row],[STATUS]]="CONCLUÍDO",_xlfn.XLOOKUP(tblCalculo[[#This Row],[NR_SIMULACAO]],tblVendas[[#This Row],[NR_SIMULACAO]],tblVendas[[#This Row],[VALOR_APARELHO]],""),0)</f>
        <v>0</v>
      </c>
      <c r="K174" t="str">
        <f>IF(tblCalculo[[#This Row],[STATUS]]="NEGOCIANDO",tblCalculo[[#This Row],[VALOR_TOTAL]],"")</f>
        <v/>
      </c>
      <c r="L174" t="str">
        <f>IF(tblCalculo[[#This Row],[STATUS]]="ALÇADA",tblCalculo[[#This Row],[VALOR_TOTAL]],"")</f>
        <v/>
      </c>
      <c r="M174">
        <f>IF(tblCalculo[[#This Row],[STATUS]]="EM ANÁLISE",tblCalculo[[#This Row],[VALOR_TOTAL]],"")</f>
        <v>2792.82</v>
      </c>
      <c r="N174" t="str">
        <f>IF(tblCalculo[[#This Row],[STATUS]]="TRAMITANDO",tblCalculo[[#This Row],[VALOR_TOTAL]],"")</f>
        <v/>
      </c>
      <c r="O174" t="str">
        <f>IF(tblCalculo[[#This Row],[STATUS]]="PERDIDO",tblCalculo[[#This Row],[VALOR_TOTAL]],"")</f>
        <v/>
      </c>
      <c r="P174" t="str">
        <f>IF(tblCalculo[[#This Row],[STATUS]]="CONCLUÍDO",tblCalculo[[#This Row],[VALOR_TOTAL]],"")</f>
        <v/>
      </c>
    </row>
    <row r="175" spans="1:16" x14ac:dyDescent="0.25">
      <c r="A175" t="str">
        <f>tblVendas[[#This Row],[NR_SIMULACAO]]</f>
        <v>SIM1165</v>
      </c>
      <c r="B175" s="34" t="str">
        <f>_xlfn.XLOOKUP(A175,tblVendas[[#This Row],[NR_SIMULACAO]],tblVendas[[#This Row],[NR_CNPJ]],"")</f>
        <v>99.108.301/0001-88</v>
      </c>
      <c r="C175" t="str">
        <f>_xlfn.XLOOKUP(A175,tblVendas[[#This Row],[NR_SIMULACAO]],tblVendas[[#This Row],[STATUS]],"")</f>
        <v>TRAMITANDO</v>
      </c>
      <c r="D175" t="str">
        <f>_xlfn.XLOOKUP(A175,tblVendas[[#This Row],[NR_SIMULACAO]],tblVendas[[#This Row],[MES]],"")</f>
        <v>Novembro</v>
      </c>
      <c r="E175">
        <f>SUM(_xlfn.XLOOKUP(tblCalculo[[#This Row],[NR_SIMULACAO]],tblVendas[[#This Row],[NR_SIMULACAO]],tblVendas[[#This Row],[VALOR_MOVEL]],""):_xlfn.XLOOKUP(tblCalculo[[#This Row],[NR_SIMULACAO]],tblVendas[[#This Row],[NR_SIMULACAO]],tblVendas[[#This Row],[VALOR_APARELHO]],""))</f>
        <v>8613.61</v>
      </c>
      <c r="F175">
        <f>IF(tblCalculo[[#This Row],[STATUS]]="CONCLUÍDO",_xlfn.XLOOKUP(tblCalculo[[#This Row],[NR_SIMULACAO]],tblVendas[[#This Row],[NR_SIMULACAO]],tblVendas[[#This Row],[VALOR_MOVEL]],""),0)</f>
        <v>0</v>
      </c>
      <c r="G175">
        <f>IF(tblCalculo[[#This Row],[STATUS]]="CONCLUÍDO",_xlfn.XLOOKUP(tblCalculo[[#This Row],[NR_SIMULACAO]],tblVendas[[#This Row],[NR_SIMULACAO]],tblVendas[[#This Row],[VALOR_AVANCADO]],""),0)</f>
        <v>0</v>
      </c>
      <c r="H175">
        <f>IF(tblCalculo[[#This Row],[STATUS]]="CONCLUÍDO",_xlfn.XLOOKUP(tblCalculo[[#This Row],[NR_SIMULACAO]],tblVendas[[#This Row],[NR_SIMULACAO]],tblVendas[[#This Row],[VALOR_FIXABASICA]],""),0)</f>
        <v>0</v>
      </c>
      <c r="I175">
        <f>IF(tblCalculo[[#This Row],[STATUS]]="CONCLUÍDO",_xlfn.XLOOKUP(tblCalculo[[#This Row],[NR_SIMULACAO]],tblVendas[[#This Row],[NR_SIMULACAO]],tblVendas[[#This Row],[VALOR_TI]],""),0)</f>
        <v>0</v>
      </c>
      <c r="J175">
        <f>IF(tblCalculo[[#This Row],[STATUS]]="CONCLUÍDO",_xlfn.XLOOKUP(tblCalculo[[#This Row],[NR_SIMULACAO]],tblVendas[[#This Row],[NR_SIMULACAO]],tblVendas[[#This Row],[VALOR_APARELHO]],""),0)</f>
        <v>0</v>
      </c>
      <c r="K175" t="str">
        <f>IF(tblCalculo[[#This Row],[STATUS]]="NEGOCIANDO",tblCalculo[[#This Row],[VALOR_TOTAL]],"")</f>
        <v/>
      </c>
      <c r="L175" t="str">
        <f>IF(tblCalculo[[#This Row],[STATUS]]="ALÇADA",tblCalculo[[#This Row],[VALOR_TOTAL]],"")</f>
        <v/>
      </c>
      <c r="M175" t="str">
        <f>IF(tblCalculo[[#This Row],[STATUS]]="EM ANÁLISE",tblCalculo[[#This Row],[VALOR_TOTAL]],"")</f>
        <v/>
      </c>
      <c r="N175">
        <f>IF(tblCalculo[[#This Row],[STATUS]]="TRAMITANDO",tblCalculo[[#This Row],[VALOR_TOTAL]],"")</f>
        <v>8613.61</v>
      </c>
      <c r="O175" t="str">
        <f>IF(tblCalculo[[#This Row],[STATUS]]="PERDIDO",tblCalculo[[#This Row],[VALOR_TOTAL]],"")</f>
        <v/>
      </c>
      <c r="P175" t="str">
        <f>IF(tblCalculo[[#This Row],[STATUS]]="CONCLUÍDO",tblCalculo[[#This Row],[VALOR_TOTAL]],"")</f>
        <v/>
      </c>
    </row>
    <row r="176" spans="1:16" x14ac:dyDescent="0.25">
      <c r="A176" t="str">
        <f>tblVendas[[#This Row],[NR_SIMULACAO]]</f>
        <v>SIM1166</v>
      </c>
      <c r="B176" s="34" t="str">
        <f>_xlfn.XLOOKUP(A176,tblVendas[[#This Row],[NR_SIMULACAO]],tblVendas[[#This Row],[NR_CNPJ]],"")</f>
        <v>74.442.190/0001-81</v>
      </c>
      <c r="C176" t="str">
        <f>_xlfn.XLOOKUP(A176,tblVendas[[#This Row],[NR_SIMULACAO]],tblVendas[[#This Row],[STATUS]],"")</f>
        <v>NEGOCIANDO</v>
      </c>
      <c r="D176" t="str">
        <f>_xlfn.XLOOKUP(A176,tblVendas[[#This Row],[NR_SIMULACAO]],tblVendas[[#This Row],[MES]],"")</f>
        <v>Abril</v>
      </c>
      <c r="E176">
        <f>SUM(_xlfn.XLOOKUP(tblCalculo[[#This Row],[NR_SIMULACAO]],tblVendas[[#This Row],[NR_SIMULACAO]],tblVendas[[#This Row],[VALOR_MOVEL]],""):_xlfn.XLOOKUP(tblCalculo[[#This Row],[NR_SIMULACAO]],tblVendas[[#This Row],[NR_SIMULACAO]],tblVendas[[#This Row],[VALOR_APARELHO]],""))</f>
        <v>10042.59</v>
      </c>
      <c r="F176">
        <f>IF(tblCalculo[[#This Row],[STATUS]]="CONCLUÍDO",_xlfn.XLOOKUP(tblCalculo[[#This Row],[NR_SIMULACAO]],tblVendas[[#This Row],[NR_SIMULACAO]],tblVendas[[#This Row],[VALOR_MOVEL]],""),0)</f>
        <v>0</v>
      </c>
      <c r="G176">
        <f>IF(tblCalculo[[#This Row],[STATUS]]="CONCLUÍDO",_xlfn.XLOOKUP(tblCalculo[[#This Row],[NR_SIMULACAO]],tblVendas[[#This Row],[NR_SIMULACAO]],tblVendas[[#This Row],[VALOR_AVANCADO]],""),0)</f>
        <v>0</v>
      </c>
      <c r="H176">
        <f>IF(tblCalculo[[#This Row],[STATUS]]="CONCLUÍDO",_xlfn.XLOOKUP(tblCalculo[[#This Row],[NR_SIMULACAO]],tblVendas[[#This Row],[NR_SIMULACAO]],tblVendas[[#This Row],[VALOR_FIXABASICA]],""),0)</f>
        <v>0</v>
      </c>
      <c r="I176">
        <f>IF(tblCalculo[[#This Row],[STATUS]]="CONCLUÍDO",_xlfn.XLOOKUP(tblCalculo[[#This Row],[NR_SIMULACAO]],tblVendas[[#This Row],[NR_SIMULACAO]],tblVendas[[#This Row],[VALOR_TI]],""),0)</f>
        <v>0</v>
      </c>
      <c r="J176">
        <f>IF(tblCalculo[[#This Row],[STATUS]]="CONCLUÍDO",_xlfn.XLOOKUP(tblCalculo[[#This Row],[NR_SIMULACAO]],tblVendas[[#This Row],[NR_SIMULACAO]],tblVendas[[#This Row],[VALOR_APARELHO]],""),0)</f>
        <v>0</v>
      </c>
      <c r="K176">
        <f>IF(tblCalculo[[#This Row],[STATUS]]="NEGOCIANDO",tblCalculo[[#This Row],[VALOR_TOTAL]],"")</f>
        <v>10042.59</v>
      </c>
      <c r="L176" t="str">
        <f>IF(tblCalculo[[#This Row],[STATUS]]="ALÇADA",tblCalculo[[#This Row],[VALOR_TOTAL]],"")</f>
        <v/>
      </c>
      <c r="M176" t="str">
        <f>IF(tblCalculo[[#This Row],[STATUS]]="EM ANÁLISE",tblCalculo[[#This Row],[VALOR_TOTAL]],"")</f>
        <v/>
      </c>
      <c r="N176" t="str">
        <f>IF(tblCalculo[[#This Row],[STATUS]]="TRAMITANDO",tblCalculo[[#This Row],[VALOR_TOTAL]],"")</f>
        <v/>
      </c>
      <c r="O176" t="str">
        <f>IF(tblCalculo[[#This Row],[STATUS]]="PERDIDO",tblCalculo[[#This Row],[VALOR_TOTAL]],"")</f>
        <v/>
      </c>
      <c r="P176" t="str">
        <f>IF(tblCalculo[[#This Row],[STATUS]]="CONCLUÍDO",tblCalculo[[#This Row],[VALOR_TOTAL]],"")</f>
        <v/>
      </c>
    </row>
    <row r="177" spans="1:16" x14ac:dyDescent="0.25">
      <c r="A177" t="str">
        <f>tblVendas[[#This Row],[NR_SIMULACAO]]</f>
        <v>SIM1167</v>
      </c>
      <c r="B177" s="34" t="str">
        <f>_xlfn.XLOOKUP(A177,tblVendas[[#This Row],[NR_SIMULACAO]],tblVendas[[#This Row],[NR_CNPJ]],"")</f>
        <v>60.121.793/0001-14</v>
      </c>
      <c r="C177" t="str">
        <f>_xlfn.XLOOKUP(A177,tblVendas[[#This Row],[NR_SIMULACAO]],tblVendas[[#This Row],[STATUS]],"")</f>
        <v>NEGOCIANDO</v>
      </c>
      <c r="D177" t="str">
        <f>_xlfn.XLOOKUP(A177,tblVendas[[#This Row],[NR_SIMULACAO]],tblVendas[[#This Row],[MES]],"")</f>
        <v>Maio</v>
      </c>
      <c r="E177">
        <f>SUM(_xlfn.XLOOKUP(tblCalculo[[#This Row],[NR_SIMULACAO]],tblVendas[[#This Row],[NR_SIMULACAO]],tblVendas[[#This Row],[VALOR_MOVEL]],""):_xlfn.XLOOKUP(tblCalculo[[#This Row],[NR_SIMULACAO]],tblVendas[[#This Row],[NR_SIMULACAO]],tblVendas[[#This Row],[VALOR_APARELHO]],""))</f>
        <v>8099.93</v>
      </c>
      <c r="F177">
        <f>IF(tblCalculo[[#This Row],[STATUS]]="CONCLUÍDO",_xlfn.XLOOKUP(tblCalculo[[#This Row],[NR_SIMULACAO]],tblVendas[[#This Row],[NR_SIMULACAO]],tblVendas[[#This Row],[VALOR_MOVEL]],""),0)</f>
        <v>0</v>
      </c>
      <c r="G177">
        <f>IF(tblCalculo[[#This Row],[STATUS]]="CONCLUÍDO",_xlfn.XLOOKUP(tblCalculo[[#This Row],[NR_SIMULACAO]],tblVendas[[#This Row],[NR_SIMULACAO]],tblVendas[[#This Row],[VALOR_AVANCADO]],""),0)</f>
        <v>0</v>
      </c>
      <c r="H177">
        <f>IF(tblCalculo[[#This Row],[STATUS]]="CONCLUÍDO",_xlfn.XLOOKUP(tblCalculo[[#This Row],[NR_SIMULACAO]],tblVendas[[#This Row],[NR_SIMULACAO]],tblVendas[[#This Row],[VALOR_FIXABASICA]],""),0)</f>
        <v>0</v>
      </c>
      <c r="I177">
        <f>IF(tblCalculo[[#This Row],[STATUS]]="CONCLUÍDO",_xlfn.XLOOKUP(tblCalculo[[#This Row],[NR_SIMULACAO]],tblVendas[[#This Row],[NR_SIMULACAO]],tblVendas[[#This Row],[VALOR_TI]],""),0)</f>
        <v>0</v>
      </c>
      <c r="J177">
        <f>IF(tblCalculo[[#This Row],[STATUS]]="CONCLUÍDO",_xlfn.XLOOKUP(tblCalculo[[#This Row],[NR_SIMULACAO]],tblVendas[[#This Row],[NR_SIMULACAO]],tblVendas[[#This Row],[VALOR_APARELHO]],""),0)</f>
        <v>0</v>
      </c>
      <c r="K177">
        <f>IF(tblCalculo[[#This Row],[STATUS]]="NEGOCIANDO",tblCalculo[[#This Row],[VALOR_TOTAL]],"")</f>
        <v>8099.93</v>
      </c>
      <c r="L177" t="str">
        <f>IF(tblCalculo[[#This Row],[STATUS]]="ALÇADA",tblCalculo[[#This Row],[VALOR_TOTAL]],"")</f>
        <v/>
      </c>
      <c r="M177" t="str">
        <f>IF(tblCalculo[[#This Row],[STATUS]]="EM ANÁLISE",tblCalculo[[#This Row],[VALOR_TOTAL]],"")</f>
        <v/>
      </c>
      <c r="N177" t="str">
        <f>IF(tblCalculo[[#This Row],[STATUS]]="TRAMITANDO",tblCalculo[[#This Row],[VALOR_TOTAL]],"")</f>
        <v/>
      </c>
      <c r="O177" t="str">
        <f>IF(tblCalculo[[#This Row],[STATUS]]="PERDIDO",tblCalculo[[#This Row],[VALOR_TOTAL]],"")</f>
        <v/>
      </c>
      <c r="P177" t="str">
        <f>IF(tblCalculo[[#This Row],[STATUS]]="CONCLUÍDO",tblCalculo[[#This Row],[VALOR_TOTAL]],"")</f>
        <v/>
      </c>
    </row>
    <row r="178" spans="1:16" x14ac:dyDescent="0.25">
      <c r="A178" t="str">
        <f>tblVendas[[#This Row],[NR_SIMULACAO]]</f>
        <v>SIM1168</v>
      </c>
      <c r="B178" s="34" t="str">
        <f>_xlfn.XLOOKUP(A178,tblVendas[[#This Row],[NR_SIMULACAO]],tblVendas[[#This Row],[NR_CNPJ]],"")</f>
        <v>87.944.694/0001-87</v>
      </c>
      <c r="C178" t="str">
        <f>_xlfn.XLOOKUP(A178,tblVendas[[#This Row],[NR_SIMULACAO]],tblVendas[[#This Row],[STATUS]],"")</f>
        <v>PERDIDO</v>
      </c>
      <c r="D178" t="str">
        <f>_xlfn.XLOOKUP(A178,tblVendas[[#This Row],[NR_SIMULACAO]],tblVendas[[#This Row],[MES]],"")</f>
        <v>Junho</v>
      </c>
      <c r="E178">
        <f>SUM(_xlfn.XLOOKUP(tblCalculo[[#This Row],[NR_SIMULACAO]],tblVendas[[#This Row],[NR_SIMULACAO]],tblVendas[[#This Row],[VALOR_MOVEL]],""):_xlfn.XLOOKUP(tblCalculo[[#This Row],[NR_SIMULACAO]],tblVendas[[#This Row],[NR_SIMULACAO]],tblVendas[[#This Row],[VALOR_APARELHO]],""))</f>
        <v>10669.619999999999</v>
      </c>
      <c r="F178">
        <f>IF(tblCalculo[[#This Row],[STATUS]]="CONCLUÍDO",_xlfn.XLOOKUP(tblCalculo[[#This Row],[NR_SIMULACAO]],tblVendas[[#This Row],[NR_SIMULACAO]],tblVendas[[#This Row],[VALOR_MOVEL]],""),0)</f>
        <v>0</v>
      </c>
      <c r="G178">
        <f>IF(tblCalculo[[#This Row],[STATUS]]="CONCLUÍDO",_xlfn.XLOOKUP(tblCalculo[[#This Row],[NR_SIMULACAO]],tblVendas[[#This Row],[NR_SIMULACAO]],tblVendas[[#This Row],[VALOR_AVANCADO]],""),0)</f>
        <v>0</v>
      </c>
      <c r="H178">
        <f>IF(tblCalculo[[#This Row],[STATUS]]="CONCLUÍDO",_xlfn.XLOOKUP(tblCalculo[[#This Row],[NR_SIMULACAO]],tblVendas[[#This Row],[NR_SIMULACAO]],tblVendas[[#This Row],[VALOR_FIXABASICA]],""),0)</f>
        <v>0</v>
      </c>
      <c r="I178">
        <f>IF(tblCalculo[[#This Row],[STATUS]]="CONCLUÍDO",_xlfn.XLOOKUP(tblCalculo[[#This Row],[NR_SIMULACAO]],tblVendas[[#This Row],[NR_SIMULACAO]],tblVendas[[#This Row],[VALOR_TI]],""),0)</f>
        <v>0</v>
      </c>
      <c r="J178">
        <f>IF(tblCalculo[[#This Row],[STATUS]]="CONCLUÍDO",_xlfn.XLOOKUP(tblCalculo[[#This Row],[NR_SIMULACAO]],tblVendas[[#This Row],[NR_SIMULACAO]],tblVendas[[#This Row],[VALOR_APARELHO]],""),0)</f>
        <v>0</v>
      </c>
      <c r="K178" t="str">
        <f>IF(tblCalculo[[#This Row],[STATUS]]="NEGOCIANDO",tblCalculo[[#This Row],[VALOR_TOTAL]],"")</f>
        <v/>
      </c>
      <c r="L178" t="str">
        <f>IF(tblCalculo[[#This Row],[STATUS]]="ALÇADA",tblCalculo[[#This Row],[VALOR_TOTAL]],"")</f>
        <v/>
      </c>
      <c r="M178" t="str">
        <f>IF(tblCalculo[[#This Row],[STATUS]]="EM ANÁLISE",tblCalculo[[#This Row],[VALOR_TOTAL]],"")</f>
        <v/>
      </c>
      <c r="N178" t="str">
        <f>IF(tblCalculo[[#This Row],[STATUS]]="TRAMITANDO",tblCalculo[[#This Row],[VALOR_TOTAL]],"")</f>
        <v/>
      </c>
      <c r="O178">
        <f>IF(tblCalculo[[#This Row],[STATUS]]="PERDIDO",tblCalculo[[#This Row],[VALOR_TOTAL]],"")</f>
        <v>10669.619999999999</v>
      </c>
      <c r="P178" t="str">
        <f>IF(tblCalculo[[#This Row],[STATUS]]="CONCLUÍDO",tblCalculo[[#This Row],[VALOR_TOTAL]],"")</f>
        <v/>
      </c>
    </row>
    <row r="179" spans="1:16" x14ac:dyDescent="0.25">
      <c r="A179" t="str">
        <f>tblVendas[[#This Row],[NR_SIMULACAO]]</f>
        <v>SIM1169</v>
      </c>
      <c r="B179" s="34" t="str">
        <f>_xlfn.XLOOKUP(A179,tblVendas[[#This Row],[NR_SIMULACAO]],tblVendas[[#This Row],[NR_CNPJ]],"")</f>
        <v>29.872.599/0001-59</v>
      </c>
      <c r="C179" t="str">
        <f>_xlfn.XLOOKUP(A179,tblVendas[[#This Row],[NR_SIMULACAO]],tblVendas[[#This Row],[STATUS]],"")</f>
        <v>EM ANÁLISE</v>
      </c>
      <c r="D179" t="str">
        <f>_xlfn.XLOOKUP(A179,tblVendas[[#This Row],[NR_SIMULACAO]],tblVendas[[#This Row],[MES]],"")</f>
        <v>Abril</v>
      </c>
      <c r="E179">
        <f>SUM(_xlfn.XLOOKUP(tblCalculo[[#This Row],[NR_SIMULACAO]],tblVendas[[#This Row],[NR_SIMULACAO]],tblVendas[[#This Row],[VALOR_MOVEL]],""):_xlfn.XLOOKUP(tblCalculo[[#This Row],[NR_SIMULACAO]],tblVendas[[#This Row],[NR_SIMULACAO]],tblVendas[[#This Row],[VALOR_APARELHO]],""))</f>
        <v>12295.970000000001</v>
      </c>
      <c r="F179">
        <f>IF(tblCalculo[[#This Row],[STATUS]]="CONCLUÍDO",_xlfn.XLOOKUP(tblCalculo[[#This Row],[NR_SIMULACAO]],tblVendas[[#This Row],[NR_SIMULACAO]],tblVendas[[#This Row],[VALOR_MOVEL]],""),0)</f>
        <v>0</v>
      </c>
      <c r="G179">
        <f>IF(tblCalculo[[#This Row],[STATUS]]="CONCLUÍDO",_xlfn.XLOOKUP(tblCalculo[[#This Row],[NR_SIMULACAO]],tblVendas[[#This Row],[NR_SIMULACAO]],tblVendas[[#This Row],[VALOR_AVANCADO]],""),0)</f>
        <v>0</v>
      </c>
      <c r="H179">
        <f>IF(tblCalculo[[#This Row],[STATUS]]="CONCLUÍDO",_xlfn.XLOOKUP(tblCalculo[[#This Row],[NR_SIMULACAO]],tblVendas[[#This Row],[NR_SIMULACAO]],tblVendas[[#This Row],[VALOR_FIXABASICA]],""),0)</f>
        <v>0</v>
      </c>
      <c r="I179">
        <f>IF(tblCalculo[[#This Row],[STATUS]]="CONCLUÍDO",_xlfn.XLOOKUP(tblCalculo[[#This Row],[NR_SIMULACAO]],tblVendas[[#This Row],[NR_SIMULACAO]],tblVendas[[#This Row],[VALOR_TI]],""),0)</f>
        <v>0</v>
      </c>
      <c r="J179">
        <f>IF(tblCalculo[[#This Row],[STATUS]]="CONCLUÍDO",_xlfn.XLOOKUP(tblCalculo[[#This Row],[NR_SIMULACAO]],tblVendas[[#This Row],[NR_SIMULACAO]],tblVendas[[#This Row],[VALOR_APARELHO]],""),0)</f>
        <v>0</v>
      </c>
      <c r="K179" t="str">
        <f>IF(tblCalculo[[#This Row],[STATUS]]="NEGOCIANDO",tblCalculo[[#This Row],[VALOR_TOTAL]],"")</f>
        <v/>
      </c>
      <c r="L179" t="str">
        <f>IF(tblCalculo[[#This Row],[STATUS]]="ALÇADA",tblCalculo[[#This Row],[VALOR_TOTAL]],"")</f>
        <v/>
      </c>
      <c r="M179">
        <f>IF(tblCalculo[[#This Row],[STATUS]]="EM ANÁLISE",tblCalculo[[#This Row],[VALOR_TOTAL]],"")</f>
        <v>12295.970000000001</v>
      </c>
      <c r="N179" t="str">
        <f>IF(tblCalculo[[#This Row],[STATUS]]="TRAMITANDO",tblCalculo[[#This Row],[VALOR_TOTAL]],"")</f>
        <v/>
      </c>
      <c r="O179" t="str">
        <f>IF(tblCalculo[[#This Row],[STATUS]]="PERDIDO",tblCalculo[[#This Row],[VALOR_TOTAL]],"")</f>
        <v/>
      </c>
      <c r="P179" t="str">
        <f>IF(tblCalculo[[#This Row],[STATUS]]="CONCLUÍDO",tblCalculo[[#This Row],[VALOR_TOTAL]],"")</f>
        <v/>
      </c>
    </row>
    <row r="180" spans="1:16" x14ac:dyDescent="0.25">
      <c r="A180" t="str">
        <f>tblVendas[[#This Row],[NR_SIMULACAO]]</f>
        <v>SIM1170</v>
      </c>
      <c r="B180" s="34" t="str">
        <f>_xlfn.XLOOKUP(A180,tblVendas[[#This Row],[NR_SIMULACAO]],tblVendas[[#This Row],[NR_CNPJ]],"")</f>
        <v>81.517.620/0001-79</v>
      </c>
      <c r="C180" t="str">
        <f>_xlfn.XLOOKUP(A180,tblVendas[[#This Row],[NR_SIMULACAO]],tblVendas[[#This Row],[STATUS]],"")</f>
        <v>PERDIDO</v>
      </c>
      <c r="D180" t="str">
        <f>_xlfn.XLOOKUP(A180,tblVendas[[#This Row],[NR_SIMULACAO]],tblVendas[[#This Row],[MES]],"")</f>
        <v>Novembro</v>
      </c>
      <c r="E180">
        <f>SUM(_xlfn.XLOOKUP(tblCalculo[[#This Row],[NR_SIMULACAO]],tblVendas[[#This Row],[NR_SIMULACAO]],tblVendas[[#This Row],[VALOR_MOVEL]],""):_xlfn.XLOOKUP(tblCalculo[[#This Row],[NR_SIMULACAO]],tblVendas[[#This Row],[NR_SIMULACAO]],tblVendas[[#This Row],[VALOR_APARELHO]],""))</f>
        <v>1372.43</v>
      </c>
      <c r="F180">
        <f>IF(tblCalculo[[#This Row],[STATUS]]="CONCLUÍDO",_xlfn.XLOOKUP(tblCalculo[[#This Row],[NR_SIMULACAO]],tblVendas[[#This Row],[NR_SIMULACAO]],tblVendas[[#This Row],[VALOR_MOVEL]],""),0)</f>
        <v>0</v>
      </c>
      <c r="G180">
        <f>IF(tblCalculo[[#This Row],[STATUS]]="CONCLUÍDO",_xlfn.XLOOKUP(tblCalculo[[#This Row],[NR_SIMULACAO]],tblVendas[[#This Row],[NR_SIMULACAO]],tblVendas[[#This Row],[VALOR_AVANCADO]],""),0)</f>
        <v>0</v>
      </c>
      <c r="H180">
        <f>IF(tblCalculo[[#This Row],[STATUS]]="CONCLUÍDO",_xlfn.XLOOKUP(tblCalculo[[#This Row],[NR_SIMULACAO]],tblVendas[[#This Row],[NR_SIMULACAO]],tblVendas[[#This Row],[VALOR_FIXABASICA]],""),0)</f>
        <v>0</v>
      </c>
      <c r="I180">
        <f>IF(tblCalculo[[#This Row],[STATUS]]="CONCLUÍDO",_xlfn.XLOOKUP(tblCalculo[[#This Row],[NR_SIMULACAO]],tblVendas[[#This Row],[NR_SIMULACAO]],tblVendas[[#This Row],[VALOR_TI]],""),0)</f>
        <v>0</v>
      </c>
      <c r="J180">
        <f>IF(tblCalculo[[#This Row],[STATUS]]="CONCLUÍDO",_xlfn.XLOOKUP(tblCalculo[[#This Row],[NR_SIMULACAO]],tblVendas[[#This Row],[NR_SIMULACAO]],tblVendas[[#This Row],[VALOR_APARELHO]],""),0)</f>
        <v>0</v>
      </c>
      <c r="K180" t="str">
        <f>IF(tblCalculo[[#This Row],[STATUS]]="NEGOCIANDO",tblCalculo[[#This Row],[VALOR_TOTAL]],"")</f>
        <v/>
      </c>
      <c r="L180" t="str">
        <f>IF(tblCalculo[[#This Row],[STATUS]]="ALÇADA",tblCalculo[[#This Row],[VALOR_TOTAL]],"")</f>
        <v/>
      </c>
      <c r="M180" t="str">
        <f>IF(tblCalculo[[#This Row],[STATUS]]="EM ANÁLISE",tblCalculo[[#This Row],[VALOR_TOTAL]],"")</f>
        <v/>
      </c>
      <c r="N180" t="str">
        <f>IF(tblCalculo[[#This Row],[STATUS]]="TRAMITANDO",tblCalculo[[#This Row],[VALOR_TOTAL]],"")</f>
        <v/>
      </c>
      <c r="O180">
        <f>IF(tblCalculo[[#This Row],[STATUS]]="PERDIDO",tblCalculo[[#This Row],[VALOR_TOTAL]],"")</f>
        <v>1372.43</v>
      </c>
      <c r="P180" t="str">
        <f>IF(tblCalculo[[#This Row],[STATUS]]="CONCLUÍDO",tblCalculo[[#This Row],[VALOR_TOTAL]],"")</f>
        <v/>
      </c>
    </row>
    <row r="181" spans="1:16" x14ac:dyDescent="0.25">
      <c r="A181" t="str">
        <f>tblVendas[[#This Row],[NR_SIMULACAO]]</f>
        <v>SIM1171</v>
      </c>
      <c r="B181" s="34" t="str">
        <f>_xlfn.XLOOKUP(A181,tblVendas[[#This Row],[NR_SIMULACAO]],tblVendas[[#This Row],[NR_CNPJ]],"")</f>
        <v>30.366.796/0001-42</v>
      </c>
      <c r="C181" t="str">
        <f>_xlfn.XLOOKUP(A181,tblVendas[[#This Row],[NR_SIMULACAO]],tblVendas[[#This Row],[STATUS]],"")</f>
        <v>CONCLUÍDO</v>
      </c>
      <c r="D181" t="str">
        <f>_xlfn.XLOOKUP(A181,tblVendas[[#This Row],[NR_SIMULACAO]],tblVendas[[#This Row],[MES]],"")</f>
        <v>Fevereiro</v>
      </c>
      <c r="E181">
        <f>SUM(_xlfn.XLOOKUP(tblCalculo[[#This Row],[NR_SIMULACAO]],tblVendas[[#This Row],[NR_SIMULACAO]],tblVendas[[#This Row],[VALOR_MOVEL]],""):_xlfn.XLOOKUP(tblCalculo[[#This Row],[NR_SIMULACAO]],tblVendas[[#This Row],[NR_SIMULACAO]],tblVendas[[#This Row],[VALOR_APARELHO]],""))</f>
        <v>22012.22</v>
      </c>
      <c r="F181">
        <f>IF(tblCalculo[[#This Row],[STATUS]]="CONCLUÍDO",_xlfn.XLOOKUP(tblCalculo[[#This Row],[NR_SIMULACAO]],tblVendas[[#This Row],[NR_SIMULACAO]],tblVendas[[#This Row],[VALOR_MOVEL]],""),0)</f>
        <v>7340.12</v>
      </c>
      <c r="G181">
        <f>IF(tblCalculo[[#This Row],[STATUS]]="CONCLUÍDO",_xlfn.XLOOKUP(tblCalculo[[#This Row],[NR_SIMULACAO]],tblVendas[[#This Row],[NR_SIMULACAO]],tblVendas[[#This Row],[VALOR_AVANCADO]],""),0)</f>
        <v>2156.34</v>
      </c>
      <c r="H181">
        <f>IF(tblCalculo[[#This Row],[STATUS]]="CONCLUÍDO",_xlfn.XLOOKUP(tblCalculo[[#This Row],[NR_SIMULACAO]],tblVendas[[#This Row],[NR_SIMULACAO]],tblVendas[[#This Row],[VALOR_FIXABASICA]],""),0)</f>
        <v>1963.78</v>
      </c>
      <c r="I181">
        <f>IF(tblCalculo[[#This Row],[STATUS]]="CONCLUÍDO",_xlfn.XLOOKUP(tblCalculo[[#This Row],[NR_SIMULACAO]],tblVendas[[#This Row],[NR_SIMULACAO]],tblVendas[[#This Row],[VALOR_TI]],""),0)</f>
        <v>0</v>
      </c>
      <c r="J181">
        <f>IF(tblCalculo[[#This Row],[STATUS]]="CONCLUÍDO",_xlfn.XLOOKUP(tblCalculo[[#This Row],[NR_SIMULACAO]],tblVendas[[#This Row],[NR_SIMULACAO]],tblVendas[[#This Row],[VALOR_APARELHO]],""),0)</f>
        <v>10551.98</v>
      </c>
      <c r="K181" t="str">
        <f>IF(tblCalculo[[#This Row],[STATUS]]="NEGOCIANDO",tblCalculo[[#This Row],[VALOR_TOTAL]],"")</f>
        <v/>
      </c>
      <c r="L181" t="str">
        <f>IF(tblCalculo[[#This Row],[STATUS]]="ALÇADA",tblCalculo[[#This Row],[VALOR_TOTAL]],"")</f>
        <v/>
      </c>
      <c r="M181" t="str">
        <f>IF(tblCalculo[[#This Row],[STATUS]]="EM ANÁLISE",tblCalculo[[#This Row],[VALOR_TOTAL]],"")</f>
        <v/>
      </c>
      <c r="N181" t="str">
        <f>IF(tblCalculo[[#This Row],[STATUS]]="TRAMITANDO",tblCalculo[[#This Row],[VALOR_TOTAL]],"")</f>
        <v/>
      </c>
      <c r="O181" t="str">
        <f>IF(tblCalculo[[#This Row],[STATUS]]="PERDIDO",tblCalculo[[#This Row],[VALOR_TOTAL]],"")</f>
        <v/>
      </c>
      <c r="P181">
        <f>IF(tblCalculo[[#This Row],[STATUS]]="CONCLUÍDO",tblCalculo[[#This Row],[VALOR_TOTAL]],"")</f>
        <v>22012.22</v>
      </c>
    </row>
    <row r="182" spans="1:16" x14ac:dyDescent="0.25">
      <c r="A182" t="str">
        <f>tblVendas[[#This Row],[NR_SIMULACAO]]</f>
        <v>SIM1172</v>
      </c>
      <c r="B182" s="34" t="str">
        <f>_xlfn.XLOOKUP(A182,tblVendas[[#This Row],[NR_SIMULACAO]],tblVendas[[#This Row],[NR_CNPJ]],"")</f>
        <v>43.502.879/0001-52</v>
      </c>
      <c r="C182" t="str">
        <f>_xlfn.XLOOKUP(A182,tblVendas[[#This Row],[NR_SIMULACAO]],tblVendas[[#This Row],[STATUS]],"")</f>
        <v>CONCLUÍDO</v>
      </c>
      <c r="D182" t="str">
        <f>_xlfn.XLOOKUP(A182,tblVendas[[#This Row],[NR_SIMULACAO]],tblVendas[[#This Row],[MES]],"")</f>
        <v>Outubro</v>
      </c>
      <c r="E182">
        <f>SUM(_xlfn.XLOOKUP(tblCalculo[[#This Row],[NR_SIMULACAO]],tblVendas[[#This Row],[NR_SIMULACAO]],tblVendas[[#This Row],[VALOR_MOVEL]],""):_xlfn.XLOOKUP(tblCalculo[[#This Row],[NR_SIMULACAO]],tblVendas[[#This Row],[NR_SIMULACAO]],tblVendas[[#This Row],[VALOR_APARELHO]],""))</f>
        <v>3668.3499999999995</v>
      </c>
      <c r="F182">
        <f>IF(tblCalculo[[#This Row],[STATUS]]="CONCLUÍDO",_xlfn.XLOOKUP(tblCalculo[[#This Row],[NR_SIMULACAO]],tblVendas[[#This Row],[NR_SIMULACAO]],tblVendas[[#This Row],[VALOR_MOVEL]],""),0)</f>
        <v>1385.36</v>
      </c>
      <c r="G182">
        <f>IF(tblCalculo[[#This Row],[STATUS]]="CONCLUÍDO",_xlfn.XLOOKUP(tblCalculo[[#This Row],[NR_SIMULACAO]],tblVendas[[#This Row],[NR_SIMULACAO]],tblVendas[[#This Row],[VALOR_AVANCADO]],""),0)</f>
        <v>2282.9899999999998</v>
      </c>
      <c r="H182">
        <f>IF(tblCalculo[[#This Row],[STATUS]]="CONCLUÍDO",_xlfn.XLOOKUP(tblCalculo[[#This Row],[NR_SIMULACAO]],tblVendas[[#This Row],[NR_SIMULACAO]],tblVendas[[#This Row],[VALOR_FIXABASICA]],""),0)</f>
        <v>0</v>
      </c>
      <c r="I182">
        <f>IF(tblCalculo[[#This Row],[STATUS]]="CONCLUÍDO",_xlfn.XLOOKUP(tblCalculo[[#This Row],[NR_SIMULACAO]],tblVendas[[#This Row],[NR_SIMULACAO]],tblVendas[[#This Row],[VALOR_TI]],""),0)</f>
        <v>0</v>
      </c>
      <c r="J182">
        <f>IF(tblCalculo[[#This Row],[STATUS]]="CONCLUÍDO",_xlfn.XLOOKUP(tblCalculo[[#This Row],[NR_SIMULACAO]],tblVendas[[#This Row],[NR_SIMULACAO]],tblVendas[[#This Row],[VALOR_APARELHO]],""),0)</f>
        <v>0</v>
      </c>
      <c r="K182" t="str">
        <f>IF(tblCalculo[[#This Row],[STATUS]]="NEGOCIANDO",tblCalculo[[#This Row],[VALOR_TOTAL]],"")</f>
        <v/>
      </c>
      <c r="L182" t="str">
        <f>IF(tblCalculo[[#This Row],[STATUS]]="ALÇADA",tblCalculo[[#This Row],[VALOR_TOTAL]],"")</f>
        <v/>
      </c>
      <c r="M182" t="str">
        <f>IF(tblCalculo[[#This Row],[STATUS]]="EM ANÁLISE",tblCalculo[[#This Row],[VALOR_TOTAL]],"")</f>
        <v/>
      </c>
      <c r="N182" t="str">
        <f>IF(tblCalculo[[#This Row],[STATUS]]="TRAMITANDO",tblCalculo[[#This Row],[VALOR_TOTAL]],"")</f>
        <v/>
      </c>
      <c r="O182" t="str">
        <f>IF(tblCalculo[[#This Row],[STATUS]]="PERDIDO",tblCalculo[[#This Row],[VALOR_TOTAL]],"")</f>
        <v/>
      </c>
      <c r="P182">
        <f>IF(tblCalculo[[#This Row],[STATUS]]="CONCLUÍDO",tblCalculo[[#This Row],[VALOR_TOTAL]],"")</f>
        <v>3668.3499999999995</v>
      </c>
    </row>
    <row r="183" spans="1:16" x14ac:dyDescent="0.25">
      <c r="A183" t="str">
        <f>tblVendas[[#This Row],[NR_SIMULACAO]]</f>
        <v>SIM1173</v>
      </c>
      <c r="B183" s="34" t="str">
        <f>_xlfn.XLOOKUP(A183,tblVendas[[#This Row],[NR_SIMULACAO]],tblVendas[[#This Row],[NR_CNPJ]],"")</f>
        <v>79.602.490/0001-61</v>
      </c>
      <c r="C183" t="str">
        <f>_xlfn.XLOOKUP(A183,tblVendas[[#This Row],[NR_SIMULACAO]],tblVendas[[#This Row],[STATUS]],"")</f>
        <v>TRAMITANDO</v>
      </c>
      <c r="D183" t="str">
        <f>_xlfn.XLOOKUP(A183,tblVendas[[#This Row],[NR_SIMULACAO]],tblVendas[[#This Row],[MES]],"")</f>
        <v>Dezembro</v>
      </c>
      <c r="E183">
        <f>SUM(_xlfn.XLOOKUP(tblCalculo[[#This Row],[NR_SIMULACAO]],tblVendas[[#This Row],[NR_SIMULACAO]],tblVendas[[#This Row],[VALOR_MOVEL]],""):_xlfn.XLOOKUP(tblCalculo[[#This Row],[NR_SIMULACAO]],tblVendas[[#This Row],[NR_SIMULACAO]],tblVendas[[#This Row],[VALOR_APARELHO]],""))</f>
        <v>2529.19</v>
      </c>
      <c r="F183">
        <f>IF(tblCalculo[[#This Row],[STATUS]]="CONCLUÍDO",_xlfn.XLOOKUP(tblCalculo[[#This Row],[NR_SIMULACAO]],tblVendas[[#This Row],[NR_SIMULACAO]],tblVendas[[#This Row],[VALOR_MOVEL]],""),0)</f>
        <v>0</v>
      </c>
      <c r="G183">
        <f>IF(tblCalculo[[#This Row],[STATUS]]="CONCLUÍDO",_xlfn.XLOOKUP(tblCalculo[[#This Row],[NR_SIMULACAO]],tblVendas[[#This Row],[NR_SIMULACAO]],tblVendas[[#This Row],[VALOR_AVANCADO]],""),0)</f>
        <v>0</v>
      </c>
      <c r="H183">
        <f>IF(tblCalculo[[#This Row],[STATUS]]="CONCLUÍDO",_xlfn.XLOOKUP(tblCalculo[[#This Row],[NR_SIMULACAO]],tblVendas[[#This Row],[NR_SIMULACAO]],tblVendas[[#This Row],[VALOR_FIXABASICA]],""),0)</f>
        <v>0</v>
      </c>
      <c r="I183">
        <f>IF(tblCalculo[[#This Row],[STATUS]]="CONCLUÍDO",_xlfn.XLOOKUP(tblCalculo[[#This Row],[NR_SIMULACAO]],tblVendas[[#This Row],[NR_SIMULACAO]],tblVendas[[#This Row],[VALOR_TI]],""),0)</f>
        <v>0</v>
      </c>
      <c r="J183">
        <f>IF(tblCalculo[[#This Row],[STATUS]]="CONCLUÍDO",_xlfn.XLOOKUP(tblCalculo[[#This Row],[NR_SIMULACAO]],tblVendas[[#This Row],[NR_SIMULACAO]],tblVendas[[#This Row],[VALOR_APARELHO]],""),0)</f>
        <v>0</v>
      </c>
      <c r="K183" t="str">
        <f>IF(tblCalculo[[#This Row],[STATUS]]="NEGOCIANDO",tblCalculo[[#This Row],[VALOR_TOTAL]],"")</f>
        <v/>
      </c>
      <c r="L183" t="str">
        <f>IF(tblCalculo[[#This Row],[STATUS]]="ALÇADA",tblCalculo[[#This Row],[VALOR_TOTAL]],"")</f>
        <v/>
      </c>
      <c r="M183" t="str">
        <f>IF(tblCalculo[[#This Row],[STATUS]]="EM ANÁLISE",tblCalculo[[#This Row],[VALOR_TOTAL]],"")</f>
        <v/>
      </c>
      <c r="N183">
        <f>IF(tblCalculo[[#This Row],[STATUS]]="TRAMITANDO",tblCalculo[[#This Row],[VALOR_TOTAL]],"")</f>
        <v>2529.19</v>
      </c>
      <c r="O183" t="str">
        <f>IF(tblCalculo[[#This Row],[STATUS]]="PERDIDO",tblCalculo[[#This Row],[VALOR_TOTAL]],"")</f>
        <v/>
      </c>
      <c r="P183" t="str">
        <f>IF(tblCalculo[[#This Row],[STATUS]]="CONCLUÍDO",tblCalculo[[#This Row],[VALOR_TOTAL]],"")</f>
        <v/>
      </c>
    </row>
    <row r="184" spans="1:16" x14ac:dyDescent="0.25">
      <c r="A184" t="str">
        <f>tblVendas[[#This Row],[NR_SIMULACAO]]</f>
        <v>SIM1174</v>
      </c>
      <c r="B184" s="34" t="str">
        <f>_xlfn.XLOOKUP(A184,tblVendas[[#This Row],[NR_SIMULACAO]],tblVendas[[#This Row],[NR_CNPJ]],"")</f>
        <v>10.310.440/0001-27</v>
      </c>
      <c r="C184" t="str">
        <f>_xlfn.XLOOKUP(A184,tblVendas[[#This Row],[NR_SIMULACAO]],tblVendas[[#This Row],[STATUS]],"")</f>
        <v>PERDIDO</v>
      </c>
      <c r="D184" t="str">
        <f>_xlfn.XLOOKUP(A184,tblVendas[[#This Row],[NR_SIMULACAO]],tblVendas[[#This Row],[MES]],"")</f>
        <v>Janeiro</v>
      </c>
      <c r="E184">
        <f>SUM(_xlfn.XLOOKUP(tblCalculo[[#This Row],[NR_SIMULACAO]],tblVendas[[#This Row],[NR_SIMULACAO]],tblVendas[[#This Row],[VALOR_MOVEL]],""):_xlfn.XLOOKUP(tblCalculo[[#This Row],[NR_SIMULACAO]],tblVendas[[#This Row],[NR_SIMULACAO]],tblVendas[[#This Row],[VALOR_APARELHO]],""))</f>
        <v>4425.76</v>
      </c>
      <c r="F184">
        <f>IF(tblCalculo[[#This Row],[STATUS]]="CONCLUÍDO",_xlfn.XLOOKUP(tblCalculo[[#This Row],[NR_SIMULACAO]],tblVendas[[#This Row],[NR_SIMULACAO]],tblVendas[[#This Row],[VALOR_MOVEL]],""),0)</f>
        <v>0</v>
      </c>
      <c r="G184">
        <f>IF(tblCalculo[[#This Row],[STATUS]]="CONCLUÍDO",_xlfn.XLOOKUP(tblCalculo[[#This Row],[NR_SIMULACAO]],tblVendas[[#This Row],[NR_SIMULACAO]],tblVendas[[#This Row],[VALOR_AVANCADO]],""),0)</f>
        <v>0</v>
      </c>
      <c r="H184">
        <f>IF(tblCalculo[[#This Row],[STATUS]]="CONCLUÍDO",_xlfn.XLOOKUP(tblCalculo[[#This Row],[NR_SIMULACAO]],tblVendas[[#This Row],[NR_SIMULACAO]],tblVendas[[#This Row],[VALOR_FIXABASICA]],""),0)</f>
        <v>0</v>
      </c>
      <c r="I184">
        <f>IF(tblCalculo[[#This Row],[STATUS]]="CONCLUÍDO",_xlfn.XLOOKUP(tblCalculo[[#This Row],[NR_SIMULACAO]],tblVendas[[#This Row],[NR_SIMULACAO]],tblVendas[[#This Row],[VALOR_TI]],""),0)</f>
        <v>0</v>
      </c>
      <c r="J184">
        <f>IF(tblCalculo[[#This Row],[STATUS]]="CONCLUÍDO",_xlfn.XLOOKUP(tblCalculo[[#This Row],[NR_SIMULACAO]],tblVendas[[#This Row],[NR_SIMULACAO]],tblVendas[[#This Row],[VALOR_APARELHO]],""),0)</f>
        <v>0</v>
      </c>
      <c r="K184" t="str">
        <f>IF(tblCalculo[[#This Row],[STATUS]]="NEGOCIANDO",tblCalculo[[#This Row],[VALOR_TOTAL]],"")</f>
        <v/>
      </c>
      <c r="L184" t="str">
        <f>IF(tblCalculo[[#This Row],[STATUS]]="ALÇADA",tblCalculo[[#This Row],[VALOR_TOTAL]],"")</f>
        <v/>
      </c>
      <c r="M184" t="str">
        <f>IF(tblCalculo[[#This Row],[STATUS]]="EM ANÁLISE",tblCalculo[[#This Row],[VALOR_TOTAL]],"")</f>
        <v/>
      </c>
      <c r="N184" t="str">
        <f>IF(tblCalculo[[#This Row],[STATUS]]="TRAMITANDO",tblCalculo[[#This Row],[VALOR_TOTAL]],"")</f>
        <v/>
      </c>
      <c r="O184">
        <f>IF(tblCalculo[[#This Row],[STATUS]]="PERDIDO",tblCalculo[[#This Row],[VALOR_TOTAL]],"")</f>
        <v>4425.76</v>
      </c>
      <c r="P184" t="str">
        <f>IF(tblCalculo[[#This Row],[STATUS]]="CONCLUÍDO",tblCalculo[[#This Row],[VALOR_TOTAL]],"")</f>
        <v/>
      </c>
    </row>
    <row r="185" spans="1:16" x14ac:dyDescent="0.25">
      <c r="A185" t="str">
        <f>tblVendas[[#This Row],[NR_SIMULACAO]]</f>
        <v>SIM1175</v>
      </c>
      <c r="B185" s="34" t="str">
        <f>_xlfn.XLOOKUP(A185,tblVendas[[#This Row],[NR_SIMULACAO]],tblVendas[[#This Row],[NR_CNPJ]],"")</f>
        <v>50.782.644/0001-65</v>
      </c>
      <c r="C185" t="str">
        <f>_xlfn.XLOOKUP(A185,tblVendas[[#This Row],[NR_SIMULACAO]],tblVendas[[#This Row],[STATUS]],"")</f>
        <v>NEGOCIANDO</v>
      </c>
      <c r="D185" t="str">
        <f>_xlfn.XLOOKUP(A185,tblVendas[[#This Row],[NR_SIMULACAO]],tblVendas[[#This Row],[MES]],"")</f>
        <v>Junho</v>
      </c>
      <c r="E185">
        <f>SUM(_xlfn.XLOOKUP(tblCalculo[[#This Row],[NR_SIMULACAO]],tblVendas[[#This Row],[NR_SIMULACAO]],tblVendas[[#This Row],[VALOR_MOVEL]],""):_xlfn.XLOOKUP(tblCalculo[[#This Row],[NR_SIMULACAO]],tblVendas[[#This Row],[NR_SIMULACAO]],tblVendas[[#This Row],[VALOR_APARELHO]],""))</f>
        <v>6883.1100000000006</v>
      </c>
      <c r="F185">
        <f>IF(tblCalculo[[#This Row],[STATUS]]="CONCLUÍDO",_xlfn.XLOOKUP(tblCalculo[[#This Row],[NR_SIMULACAO]],tblVendas[[#This Row],[NR_SIMULACAO]],tblVendas[[#This Row],[VALOR_MOVEL]],""),0)</f>
        <v>0</v>
      </c>
      <c r="G185">
        <f>IF(tblCalculo[[#This Row],[STATUS]]="CONCLUÍDO",_xlfn.XLOOKUP(tblCalculo[[#This Row],[NR_SIMULACAO]],tblVendas[[#This Row],[NR_SIMULACAO]],tblVendas[[#This Row],[VALOR_AVANCADO]],""),0)</f>
        <v>0</v>
      </c>
      <c r="H185">
        <f>IF(tblCalculo[[#This Row],[STATUS]]="CONCLUÍDO",_xlfn.XLOOKUP(tblCalculo[[#This Row],[NR_SIMULACAO]],tblVendas[[#This Row],[NR_SIMULACAO]],tblVendas[[#This Row],[VALOR_FIXABASICA]],""),0)</f>
        <v>0</v>
      </c>
      <c r="I185">
        <f>IF(tblCalculo[[#This Row],[STATUS]]="CONCLUÍDO",_xlfn.XLOOKUP(tblCalculo[[#This Row],[NR_SIMULACAO]],tblVendas[[#This Row],[NR_SIMULACAO]],tblVendas[[#This Row],[VALOR_TI]],""),0)</f>
        <v>0</v>
      </c>
      <c r="J185">
        <f>IF(tblCalculo[[#This Row],[STATUS]]="CONCLUÍDO",_xlfn.XLOOKUP(tblCalculo[[#This Row],[NR_SIMULACAO]],tblVendas[[#This Row],[NR_SIMULACAO]],tblVendas[[#This Row],[VALOR_APARELHO]],""),0)</f>
        <v>0</v>
      </c>
      <c r="K185">
        <f>IF(tblCalculo[[#This Row],[STATUS]]="NEGOCIANDO",tblCalculo[[#This Row],[VALOR_TOTAL]],"")</f>
        <v>6883.1100000000006</v>
      </c>
      <c r="L185" t="str">
        <f>IF(tblCalculo[[#This Row],[STATUS]]="ALÇADA",tblCalculo[[#This Row],[VALOR_TOTAL]],"")</f>
        <v/>
      </c>
      <c r="M185" t="str">
        <f>IF(tblCalculo[[#This Row],[STATUS]]="EM ANÁLISE",tblCalculo[[#This Row],[VALOR_TOTAL]],"")</f>
        <v/>
      </c>
      <c r="N185" t="str">
        <f>IF(tblCalculo[[#This Row],[STATUS]]="TRAMITANDO",tblCalculo[[#This Row],[VALOR_TOTAL]],"")</f>
        <v/>
      </c>
      <c r="O185" t="str">
        <f>IF(tblCalculo[[#This Row],[STATUS]]="PERDIDO",tblCalculo[[#This Row],[VALOR_TOTAL]],"")</f>
        <v/>
      </c>
      <c r="P185" t="str">
        <f>IF(tblCalculo[[#This Row],[STATUS]]="CONCLUÍDO",tblCalculo[[#This Row],[VALOR_TOTAL]],"")</f>
        <v/>
      </c>
    </row>
    <row r="186" spans="1:16" x14ac:dyDescent="0.25">
      <c r="A186" t="str">
        <f>tblVendas[[#This Row],[NR_SIMULACAO]]</f>
        <v>SIM1176</v>
      </c>
      <c r="B186" s="34" t="str">
        <f>_xlfn.XLOOKUP(A186,tblVendas[[#This Row],[NR_SIMULACAO]],tblVendas[[#This Row],[NR_CNPJ]],"")</f>
        <v>15.788.853/0001-22</v>
      </c>
      <c r="C186" t="str">
        <f>_xlfn.XLOOKUP(A186,tblVendas[[#This Row],[NR_SIMULACAO]],tblVendas[[#This Row],[STATUS]],"")</f>
        <v>NEGOCIANDO</v>
      </c>
      <c r="D186" t="str">
        <f>_xlfn.XLOOKUP(A186,tblVendas[[#This Row],[NR_SIMULACAO]],tblVendas[[#This Row],[MES]],"")</f>
        <v>Setembro</v>
      </c>
      <c r="E186">
        <f>SUM(_xlfn.XLOOKUP(tblCalculo[[#This Row],[NR_SIMULACAO]],tblVendas[[#This Row],[NR_SIMULACAO]],tblVendas[[#This Row],[VALOR_MOVEL]],""):_xlfn.XLOOKUP(tblCalculo[[#This Row],[NR_SIMULACAO]],tblVendas[[#This Row],[NR_SIMULACAO]],tblVendas[[#This Row],[VALOR_APARELHO]],""))</f>
        <v>16402.68</v>
      </c>
      <c r="F186">
        <f>IF(tblCalculo[[#This Row],[STATUS]]="CONCLUÍDO",_xlfn.XLOOKUP(tblCalculo[[#This Row],[NR_SIMULACAO]],tblVendas[[#This Row],[NR_SIMULACAO]],tblVendas[[#This Row],[VALOR_MOVEL]],""),0)</f>
        <v>0</v>
      </c>
      <c r="G186">
        <f>IF(tblCalculo[[#This Row],[STATUS]]="CONCLUÍDO",_xlfn.XLOOKUP(tblCalculo[[#This Row],[NR_SIMULACAO]],tblVendas[[#This Row],[NR_SIMULACAO]],tblVendas[[#This Row],[VALOR_AVANCADO]],""),0)</f>
        <v>0</v>
      </c>
      <c r="H186">
        <f>IF(tblCalculo[[#This Row],[STATUS]]="CONCLUÍDO",_xlfn.XLOOKUP(tblCalculo[[#This Row],[NR_SIMULACAO]],tblVendas[[#This Row],[NR_SIMULACAO]],tblVendas[[#This Row],[VALOR_FIXABASICA]],""),0)</f>
        <v>0</v>
      </c>
      <c r="I186">
        <f>IF(tblCalculo[[#This Row],[STATUS]]="CONCLUÍDO",_xlfn.XLOOKUP(tblCalculo[[#This Row],[NR_SIMULACAO]],tblVendas[[#This Row],[NR_SIMULACAO]],tblVendas[[#This Row],[VALOR_TI]],""),0)</f>
        <v>0</v>
      </c>
      <c r="J186">
        <f>IF(tblCalculo[[#This Row],[STATUS]]="CONCLUÍDO",_xlfn.XLOOKUP(tblCalculo[[#This Row],[NR_SIMULACAO]],tblVendas[[#This Row],[NR_SIMULACAO]],tblVendas[[#This Row],[VALOR_APARELHO]],""),0)</f>
        <v>0</v>
      </c>
      <c r="K186">
        <f>IF(tblCalculo[[#This Row],[STATUS]]="NEGOCIANDO",tblCalculo[[#This Row],[VALOR_TOTAL]],"")</f>
        <v>16402.68</v>
      </c>
      <c r="L186" t="str">
        <f>IF(tblCalculo[[#This Row],[STATUS]]="ALÇADA",tblCalculo[[#This Row],[VALOR_TOTAL]],"")</f>
        <v/>
      </c>
      <c r="M186" t="str">
        <f>IF(tblCalculo[[#This Row],[STATUS]]="EM ANÁLISE",tblCalculo[[#This Row],[VALOR_TOTAL]],"")</f>
        <v/>
      </c>
      <c r="N186" t="str">
        <f>IF(tblCalculo[[#This Row],[STATUS]]="TRAMITANDO",tblCalculo[[#This Row],[VALOR_TOTAL]],"")</f>
        <v/>
      </c>
      <c r="O186" t="str">
        <f>IF(tblCalculo[[#This Row],[STATUS]]="PERDIDO",tblCalculo[[#This Row],[VALOR_TOTAL]],"")</f>
        <v/>
      </c>
      <c r="P186" t="str">
        <f>IF(tblCalculo[[#This Row],[STATUS]]="CONCLUÍDO",tblCalculo[[#This Row],[VALOR_TOTAL]],"")</f>
        <v/>
      </c>
    </row>
    <row r="187" spans="1:16" x14ac:dyDescent="0.25">
      <c r="A187" t="str">
        <f>tblVendas[[#This Row],[NR_SIMULACAO]]</f>
        <v>SIM1177</v>
      </c>
      <c r="B187" s="34" t="str">
        <f>_xlfn.XLOOKUP(A187,tblVendas[[#This Row],[NR_SIMULACAO]],tblVendas[[#This Row],[NR_CNPJ]],"")</f>
        <v>30.343.194/0001-67</v>
      </c>
      <c r="C187" t="str">
        <f>_xlfn.XLOOKUP(A187,tblVendas[[#This Row],[NR_SIMULACAO]],tblVendas[[#This Row],[STATUS]],"")</f>
        <v>CONCLUÍDO</v>
      </c>
      <c r="D187" t="str">
        <f>_xlfn.XLOOKUP(A187,tblVendas[[#This Row],[NR_SIMULACAO]],tblVendas[[#This Row],[MES]],"")</f>
        <v>Janeiro</v>
      </c>
      <c r="E187">
        <f>SUM(_xlfn.XLOOKUP(tblCalculo[[#This Row],[NR_SIMULACAO]],tblVendas[[#This Row],[NR_SIMULACAO]],tblVendas[[#This Row],[VALOR_MOVEL]],""):_xlfn.XLOOKUP(tblCalculo[[#This Row],[NR_SIMULACAO]],tblVendas[[#This Row],[NR_SIMULACAO]],tblVendas[[#This Row],[VALOR_APARELHO]],""))</f>
        <v>8345.1299999999992</v>
      </c>
      <c r="F187">
        <f>IF(tblCalculo[[#This Row],[STATUS]]="CONCLUÍDO",_xlfn.XLOOKUP(tblCalculo[[#This Row],[NR_SIMULACAO]],tblVendas[[#This Row],[NR_SIMULACAO]],tblVendas[[#This Row],[VALOR_MOVEL]],""),0)</f>
        <v>2301.15</v>
      </c>
      <c r="G187">
        <f>IF(tblCalculo[[#This Row],[STATUS]]="CONCLUÍDO",_xlfn.XLOOKUP(tblCalculo[[#This Row],[NR_SIMULACAO]],tblVendas[[#This Row],[NR_SIMULACAO]],tblVendas[[#This Row],[VALOR_AVANCADO]],""),0)</f>
        <v>568.19000000000005</v>
      </c>
      <c r="H187">
        <f>IF(tblCalculo[[#This Row],[STATUS]]="CONCLUÍDO",_xlfn.XLOOKUP(tblCalculo[[#This Row],[NR_SIMULACAO]],tblVendas[[#This Row],[NR_SIMULACAO]],tblVendas[[#This Row],[VALOR_FIXABASICA]],""),0)</f>
        <v>428.18</v>
      </c>
      <c r="I187">
        <f>IF(tblCalculo[[#This Row],[STATUS]]="CONCLUÍDO",_xlfn.XLOOKUP(tblCalculo[[#This Row],[NR_SIMULACAO]],tblVendas[[#This Row],[NR_SIMULACAO]],tblVendas[[#This Row],[VALOR_TI]],""),0)</f>
        <v>0</v>
      </c>
      <c r="J187">
        <f>IF(tblCalculo[[#This Row],[STATUS]]="CONCLUÍDO",_xlfn.XLOOKUP(tblCalculo[[#This Row],[NR_SIMULACAO]],tblVendas[[#This Row],[NR_SIMULACAO]],tblVendas[[#This Row],[VALOR_APARELHO]],""),0)</f>
        <v>5047.6099999999997</v>
      </c>
      <c r="K187" t="str">
        <f>IF(tblCalculo[[#This Row],[STATUS]]="NEGOCIANDO",tblCalculo[[#This Row],[VALOR_TOTAL]],"")</f>
        <v/>
      </c>
      <c r="L187" t="str">
        <f>IF(tblCalculo[[#This Row],[STATUS]]="ALÇADA",tblCalculo[[#This Row],[VALOR_TOTAL]],"")</f>
        <v/>
      </c>
      <c r="M187" t="str">
        <f>IF(tblCalculo[[#This Row],[STATUS]]="EM ANÁLISE",tblCalculo[[#This Row],[VALOR_TOTAL]],"")</f>
        <v/>
      </c>
      <c r="N187" t="str">
        <f>IF(tblCalculo[[#This Row],[STATUS]]="TRAMITANDO",tblCalculo[[#This Row],[VALOR_TOTAL]],"")</f>
        <v/>
      </c>
      <c r="O187" t="str">
        <f>IF(tblCalculo[[#This Row],[STATUS]]="PERDIDO",tblCalculo[[#This Row],[VALOR_TOTAL]],"")</f>
        <v/>
      </c>
      <c r="P187">
        <f>IF(tblCalculo[[#This Row],[STATUS]]="CONCLUÍDO",tblCalculo[[#This Row],[VALOR_TOTAL]],"")</f>
        <v>8345.1299999999992</v>
      </c>
    </row>
    <row r="188" spans="1:16" x14ac:dyDescent="0.25">
      <c r="A188" t="str">
        <f>tblVendas[[#This Row],[NR_SIMULACAO]]</f>
        <v>SIM1178</v>
      </c>
      <c r="B188" s="34" t="str">
        <f>_xlfn.XLOOKUP(A188,tblVendas[[#This Row],[NR_SIMULACAO]],tblVendas[[#This Row],[NR_CNPJ]],"")</f>
        <v>68.352.843/0001-99</v>
      </c>
      <c r="C188" t="str">
        <f>_xlfn.XLOOKUP(A188,tblVendas[[#This Row],[NR_SIMULACAO]],tblVendas[[#This Row],[STATUS]],"")</f>
        <v>NEGOCIANDO</v>
      </c>
      <c r="D188" t="str">
        <f>_xlfn.XLOOKUP(A188,tblVendas[[#This Row],[NR_SIMULACAO]],tblVendas[[#This Row],[MES]],"")</f>
        <v>Março</v>
      </c>
      <c r="E188">
        <f>SUM(_xlfn.XLOOKUP(tblCalculo[[#This Row],[NR_SIMULACAO]],tblVendas[[#This Row],[NR_SIMULACAO]],tblVendas[[#This Row],[VALOR_MOVEL]],""):_xlfn.XLOOKUP(tblCalculo[[#This Row],[NR_SIMULACAO]],tblVendas[[#This Row],[NR_SIMULACAO]],tblVendas[[#This Row],[VALOR_APARELHO]],""))</f>
        <v>7527.08</v>
      </c>
      <c r="F188">
        <f>IF(tblCalculo[[#This Row],[STATUS]]="CONCLUÍDO",_xlfn.XLOOKUP(tblCalculo[[#This Row],[NR_SIMULACAO]],tblVendas[[#This Row],[NR_SIMULACAO]],tblVendas[[#This Row],[VALOR_MOVEL]],""),0)</f>
        <v>0</v>
      </c>
      <c r="G188">
        <f>IF(tblCalculo[[#This Row],[STATUS]]="CONCLUÍDO",_xlfn.XLOOKUP(tblCalculo[[#This Row],[NR_SIMULACAO]],tblVendas[[#This Row],[NR_SIMULACAO]],tblVendas[[#This Row],[VALOR_AVANCADO]],""),0)</f>
        <v>0</v>
      </c>
      <c r="H188">
        <f>IF(tblCalculo[[#This Row],[STATUS]]="CONCLUÍDO",_xlfn.XLOOKUP(tblCalculo[[#This Row],[NR_SIMULACAO]],tblVendas[[#This Row],[NR_SIMULACAO]],tblVendas[[#This Row],[VALOR_FIXABASICA]],""),0)</f>
        <v>0</v>
      </c>
      <c r="I188">
        <f>IF(tblCalculo[[#This Row],[STATUS]]="CONCLUÍDO",_xlfn.XLOOKUP(tblCalculo[[#This Row],[NR_SIMULACAO]],tblVendas[[#This Row],[NR_SIMULACAO]],tblVendas[[#This Row],[VALOR_TI]],""),0)</f>
        <v>0</v>
      </c>
      <c r="J188">
        <f>IF(tblCalculo[[#This Row],[STATUS]]="CONCLUÍDO",_xlfn.XLOOKUP(tblCalculo[[#This Row],[NR_SIMULACAO]],tblVendas[[#This Row],[NR_SIMULACAO]],tblVendas[[#This Row],[VALOR_APARELHO]],""),0)</f>
        <v>0</v>
      </c>
      <c r="K188">
        <f>IF(tblCalculo[[#This Row],[STATUS]]="NEGOCIANDO",tblCalculo[[#This Row],[VALOR_TOTAL]],"")</f>
        <v>7527.08</v>
      </c>
      <c r="L188" t="str">
        <f>IF(tblCalculo[[#This Row],[STATUS]]="ALÇADA",tblCalculo[[#This Row],[VALOR_TOTAL]],"")</f>
        <v/>
      </c>
      <c r="M188" t="str">
        <f>IF(tblCalculo[[#This Row],[STATUS]]="EM ANÁLISE",tblCalculo[[#This Row],[VALOR_TOTAL]],"")</f>
        <v/>
      </c>
      <c r="N188" t="str">
        <f>IF(tblCalculo[[#This Row],[STATUS]]="TRAMITANDO",tblCalculo[[#This Row],[VALOR_TOTAL]],"")</f>
        <v/>
      </c>
      <c r="O188" t="str">
        <f>IF(tblCalculo[[#This Row],[STATUS]]="PERDIDO",tblCalculo[[#This Row],[VALOR_TOTAL]],"")</f>
        <v/>
      </c>
      <c r="P188" t="str">
        <f>IF(tblCalculo[[#This Row],[STATUS]]="CONCLUÍDO",tblCalculo[[#This Row],[VALOR_TOTAL]],"")</f>
        <v/>
      </c>
    </row>
    <row r="189" spans="1:16" x14ac:dyDescent="0.25">
      <c r="A189" t="str">
        <f>tblVendas[[#This Row],[NR_SIMULACAO]]</f>
        <v>SIM1179</v>
      </c>
      <c r="B189" s="34" t="str">
        <f>_xlfn.XLOOKUP(A189,tblVendas[[#This Row],[NR_SIMULACAO]],tblVendas[[#This Row],[NR_CNPJ]],"")</f>
        <v>79.323.421/0001-42</v>
      </c>
      <c r="C189" t="str">
        <f>_xlfn.XLOOKUP(A189,tblVendas[[#This Row],[NR_SIMULACAO]],tblVendas[[#This Row],[STATUS]],"")</f>
        <v>PERDIDO</v>
      </c>
      <c r="D189" t="str">
        <f>_xlfn.XLOOKUP(A189,tblVendas[[#This Row],[NR_SIMULACAO]],tblVendas[[#This Row],[MES]],"")</f>
        <v>Agosto</v>
      </c>
      <c r="E189">
        <f>SUM(_xlfn.XLOOKUP(tblCalculo[[#This Row],[NR_SIMULACAO]],tblVendas[[#This Row],[NR_SIMULACAO]],tblVendas[[#This Row],[VALOR_MOVEL]],""):_xlfn.XLOOKUP(tblCalculo[[#This Row],[NR_SIMULACAO]],tblVendas[[#This Row],[NR_SIMULACAO]],tblVendas[[#This Row],[VALOR_APARELHO]],""))</f>
        <v>7026</v>
      </c>
      <c r="F189">
        <f>IF(tblCalculo[[#This Row],[STATUS]]="CONCLUÍDO",_xlfn.XLOOKUP(tblCalculo[[#This Row],[NR_SIMULACAO]],tblVendas[[#This Row],[NR_SIMULACAO]],tblVendas[[#This Row],[VALOR_MOVEL]],""),0)</f>
        <v>0</v>
      </c>
      <c r="G189">
        <f>IF(tblCalculo[[#This Row],[STATUS]]="CONCLUÍDO",_xlfn.XLOOKUP(tblCalculo[[#This Row],[NR_SIMULACAO]],tblVendas[[#This Row],[NR_SIMULACAO]],tblVendas[[#This Row],[VALOR_AVANCADO]],""),0)</f>
        <v>0</v>
      </c>
      <c r="H189">
        <f>IF(tblCalculo[[#This Row],[STATUS]]="CONCLUÍDO",_xlfn.XLOOKUP(tblCalculo[[#This Row],[NR_SIMULACAO]],tblVendas[[#This Row],[NR_SIMULACAO]],tblVendas[[#This Row],[VALOR_FIXABASICA]],""),0)</f>
        <v>0</v>
      </c>
      <c r="I189">
        <f>IF(tblCalculo[[#This Row],[STATUS]]="CONCLUÍDO",_xlfn.XLOOKUP(tblCalculo[[#This Row],[NR_SIMULACAO]],tblVendas[[#This Row],[NR_SIMULACAO]],tblVendas[[#This Row],[VALOR_TI]],""),0)</f>
        <v>0</v>
      </c>
      <c r="J189">
        <f>IF(tblCalculo[[#This Row],[STATUS]]="CONCLUÍDO",_xlfn.XLOOKUP(tblCalculo[[#This Row],[NR_SIMULACAO]],tblVendas[[#This Row],[NR_SIMULACAO]],tblVendas[[#This Row],[VALOR_APARELHO]],""),0)</f>
        <v>0</v>
      </c>
      <c r="K189" t="str">
        <f>IF(tblCalculo[[#This Row],[STATUS]]="NEGOCIANDO",tblCalculo[[#This Row],[VALOR_TOTAL]],"")</f>
        <v/>
      </c>
      <c r="L189" t="str">
        <f>IF(tblCalculo[[#This Row],[STATUS]]="ALÇADA",tblCalculo[[#This Row],[VALOR_TOTAL]],"")</f>
        <v/>
      </c>
      <c r="M189" t="str">
        <f>IF(tblCalculo[[#This Row],[STATUS]]="EM ANÁLISE",tblCalculo[[#This Row],[VALOR_TOTAL]],"")</f>
        <v/>
      </c>
      <c r="N189" t="str">
        <f>IF(tblCalculo[[#This Row],[STATUS]]="TRAMITANDO",tblCalculo[[#This Row],[VALOR_TOTAL]],"")</f>
        <v/>
      </c>
      <c r="O189">
        <f>IF(tblCalculo[[#This Row],[STATUS]]="PERDIDO",tblCalculo[[#This Row],[VALOR_TOTAL]],"")</f>
        <v>7026</v>
      </c>
      <c r="P189" t="str">
        <f>IF(tblCalculo[[#This Row],[STATUS]]="CONCLUÍDO",tblCalculo[[#This Row],[VALOR_TOTAL]],"")</f>
        <v/>
      </c>
    </row>
    <row r="190" spans="1:16" x14ac:dyDescent="0.25">
      <c r="A190" t="str">
        <f>tblVendas[[#This Row],[NR_SIMULACAO]]</f>
        <v>SIM1180</v>
      </c>
      <c r="B190" s="34" t="str">
        <f>_xlfn.XLOOKUP(A190,tblVendas[[#This Row],[NR_SIMULACAO]],tblVendas[[#This Row],[NR_CNPJ]],"")</f>
        <v>78.855.844/0001-23</v>
      </c>
      <c r="C190" t="str">
        <f>_xlfn.XLOOKUP(A190,tblVendas[[#This Row],[NR_SIMULACAO]],tblVendas[[#This Row],[STATUS]],"")</f>
        <v>TRAMITANDO</v>
      </c>
      <c r="D190" t="str">
        <f>_xlfn.XLOOKUP(A190,tblVendas[[#This Row],[NR_SIMULACAO]],tblVendas[[#This Row],[MES]],"")</f>
        <v>Novembro</v>
      </c>
      <c r="E190">
        <f>SUM(_xlfn.XLOOKUP(tblCalculo[[#This Row],[NR_SIMULACAO]],tblVendas[[#This Row],[NR_SIMULACAO]],tblVendas[[#This Row],[VALOR_MOVEL]],""):_xlfn.XLOOKUP(tblCalculo[[#This Row],[NR_SIMULACAO]],tblVendas[[#This Row],[NR_SIMULACAO]],tblVendas[[#This Row],[VALOR_APARELHO]],""))</f>
        <v>7240.9400000000005</v>
      </c>
      <c r="F190">
        <f>IF(tblCalculo[[#This Row],[STATUS]]="CONCLUÍDO",_xlfn.XLOOKUP(tblCalculo[[#This Row],[NR_SIMULACAO]],tblVendas[[#This Row],[NR_SIMULACAO]],tblVendas[[#This Row],[VALOR_MOVEL]],""),0)</f>
        <v>0</v>
      </c>
      <c r="G190">
        <f>IF(tblCalculo[[#This Row],[STATUS]]="CONCLUÍDO",_xlfn.XLOOKUP(tblCalculo[[#This Row],[NR_SIMULACAO]],tblVendas[[#This Row],[NR_SIMULACAO]],tblVendas[[#This Row],[VALOR_AVANCADO]],""),0)</f>
        <v>0</v>
      </c>
      <c r="H190">
        <f>IF(tblCalculo[[#This Row],[STATUS]]="CONCLUÍDO",_xlfn.XLOOKUP(tblCalculo[[#This Row],[NR_SIMULACAO]],tblVendas[[#This Row],[NR_SIMULACAO]],tblVendas[[#This Row],[VALOR_FIXABASICA]],""),0)</f>
        <v>0</v>
      </c>
      <c r="I190">
        <f>IF(tblCalculo[[#This Row],[STATUS]]="CONCLUÍDO",_xlfn.XLOOKUP(tblCalculo[[#This Row],[NR_SIMULACAO]],tblVendas[[#This Row],[NR_SIMULACAO]],tblVendas[[#This Row],[VALOR_TI]],""),0)</f>
        <v>0</v>
      </c>
      <c r="J190">
        <f>IF(tblCalculo[[#This Row],[STATUS]]="CONCLUÍDO",_xlfn.XLOOKUP(tblCalculo[[#This Row],[NR_SIMULACAO]],tblVendas[[#This Row],[NR_SIMULACAO]],tblVendas[[#This Row],[VALOR_APARELHO]],""),0)</f>
        <v>0</v>
      </c>
      <c r="K190" t="str">
        <f>IF(tblCalculo[[#This Row],[STATUS]]="NEGOCIANDO",tblCalculo[[#This Row],[VALOR_TOTAL]],"")</f>
        <v/>
      </c>
      <c r="L190" t="str">
        <f>IF(tblCalculo[[#This Row],[STATUS]]="ALÇADA",tblCalculo[[#This Row],[VALOR_TOTAL]],"")</f>
        <v/>
      </c>
      <c r="M190" t="str">
        <f>IF(tblCalculo[[#This Row],[STATUS]]="EM ANÁLISE",tblCalculo[[#This Row],[VALOR_TOTAL]],"")</f>
        <v/>
      </c>
      <c r="N190">
        <f>IF(tblCalculo[[#This Row],[STATUS]]="TRAMITANDO",tblCalculo[[#This Row],[VALOR_TOTAL]],"")</f>
        <v>7240.9400000000005</v>
      </c>
      <c r="O190" t="str">
        <f>IF(tblCalculo[[#This Row],[STATUS]]="PERDIDO",tblCalculo[[#This Row],[VALOR_TOTAL]],"")</f>
        <v/>
      </c>
      <c r="P190" t="str">
        <f>IF(tblCalculo[[#This Row],[STATUS]]="CONCLUÍDO",tblCalculo[[#This Row],[VALOR_TOTAL]],"")</f>
        <v/>
      </c>
    </row>
    <row r="191" spans="1:16" x14ac:dyDescent="0.25">
      <c r="A191" t="str">
        <f>tblVendas[[#This Row],[NR_SIMULACAO]]</f>
        <v>SIM1181</v>
      </c>
      <c r="B191" s="34" t="str">
        <f>_xlfn.XLOOKUP(A191,tblVendas[[#This Row],[NR_SIMULACAO]],tblVendas[[#This Row],[NR_CNPJ]],"")</f>
        <v>91.330.395/0001-87</v>
      </c>
      <c r="C191" t="str">
        <f>_xlfn.XLOOKUP(A191,tblVendas[[#This Row],[NR_SIMULACAO]],tblVendas[[#This Row],[STATUS]],"")</f>
        <v>PERDIDO</v>
      </c>
      <c r="D191" t="str">
        <f>_xlfn.XLOOKUP(A191,tblVendas[[#This Row],[NR_SIMULACAO]],tblVendas[[#This Row],[MES]],"")</f>
        <v>Março</v>
      </c>
      <c r="E191">
        <f>SUM(_xlfn.XLOOKUP(tblCalculo[[#This Row],[NR_SIMULACAO]],tblVendas[[#This Row],[NR_SIMULACAO]],tblVendas[[#This Row],[VALOR_MOVEL]],""):_xlfn.XLOOKUP(tblCalculo[[#This Row],[NR_SIMULACAO]],tblVendas[[#This Row],[NR_SIMULACAO]],tblVendas[[#This Row],[VALOR_APARELHO]],""))</f>
        <v>11297.900000000001</v>
      </c>
      <c r="F191">
        <f>IF(tblCalculo[[#This Row],[STATUS]]="CONCLUÍDO",_xlfn.XLOOKUP(tblCalculo[[#This Row],[NR_SIMULACAO]],tblVendas[[#This Row],[NR_SIMULACAO]],tblVendas[[#This Row],[VALOR_MOVEL]],""),0)</f>
        <v>0</v>
      </c>
      <c r="G191">
        <f>IF(tblCalculo[[#This Row],[STATUS]]="CONCLUÍDO",_xlfn.XLOOKUP(tblCalculo[[#This Row],[NR_SIMULACAO]],tblVendas[[#This Row],[NR_SIMULACAO]],tblVendas[[#This Row],[VALOR_AVANCADO]],""),0)</f>
        <v>0</v>
      </c>
      <c r="H191">
        <f>IF(tblCalculo[[#This Row],[STATUS]]="CONCLUÍDO",_xlfn.XLOOKUP(tblCalculo[[#This Row],[NR_SIMULACAO]],tblVendas[[#This Row],[NR_SIMULACAO]],tblVendas[[#This Row],[VALOR_FIXABASICA]],""),0)</f>
        <v>0</v>
      </c>
      <c r="I191">
        <f>IF(tblCalculo[[#This Row],[STATUS]]="CONCLUÍDO",_xlfn.XLOOKUP(tblCalculo[[#This Row],[NR_SIMULACAO]],tblVendas[[#This Row],[NR_SIMULACAO]],tblVendas[[#This Row],[VALOR_TI]],""),0)</f>
        <v>0</v>
      </c>
      <c r="J191">
        <f>IF(tblCalculo[[#This Row],[STATUS]]="CONCLUÍDO",_xlfn.XLOOKUP(tblCalculo[[#This Row],[NR_SIMULACAO]],tblVendas[[#This Row],[NR_SIMULACAO]],tblVendas[[#This Row],[VALOR_APARELHO]],""),0)</f>
        <v>0</v>
      </c>
      <c r="K191" t="str">
        <f>IF(tblCalculo[[#This Row],[STATUS]]="NEGOCIANDO",tblCalculo[[#This Row],[VALOR_TOTAL]],"")</f>
        <v/>
      </c>
      <c r="L191" t="str">
        <f>IF(tblCalculo[[#This Row],[STATUS]]="ALÇADA",tblCalculo[[#This Row],[VALOR_TOTAL]],"")</f>
        <v/>
      </c>
      <c r="M191" t="str">
        <f>IF(tblCalculo[[#This Row],[STATUS]]="EM ANÁLISE",tblCalculo[[#This Row],[VALOR_TOTAL]],"")</f>
        <v/>
      </c>
      <c r="N191" t="str">
        <f>IF(tblCalculo[[#This Row],[STATUS]]="TRAMITANDO",tblCalculo[[#This Row],[VALOR_TOTAL]],"")</f>
        <v/>
      </c>
      <c r="O191">
        <f>IF(tblCalculo[[#This Row],[STATUS]]="PERDIDO",tblCalculo[[#This Row],[VALOR_TOTAL]],"")</f>
        <v>11297.900000000001</v>
      </c>
      <c r="P191" t="str">
        <f>IF(tblCalculo[[#This Row],[STATUS]]="CONCLUÍDO",tblCalculo[[#This Row],[VALOR_TOTAL]],"")</f>
        <v/>
      </c>
    </row>
    <row r="192" spans="1:16" x14ac:dyDescent="0.25">
      <c r="A192" t="str">
        <f>tblVendas[[#This Row],[NR_SIMULACAO]]</f>
        <v>SIM1182</v>
      </c>
      <c r="B192" s="34" t="str">
        <f>_xlfn.XLOOKUP(A192,tblVendas[[#This Row],[NR_SIMULACAO]],tblVendas[[#This Row],[NR_CNPJ]],"")</f>
        <v>32.641.898/0001-73</v>
      </c>
      <c r="C192" t="str">
        <f>_xlfn.XLOOKUP(A192,tblVendas[[#This Row],[NR_SIMULACAO]],tblVendas[[#This Row],[STATUS]],"")</f>
        <v>ALÇADA</v>
      </c>
      <c r="D192" t="str">
        <f>_xlfn.XLOOKUP(A192,tblVendas[[#This Row],[NR_SIMULACAO]],tblVendas[[#This Row],[MES]],"")</f>
        <v>Setembro</v>
      </c>
      <c r="E192">
        <f>SUM(_xlfn.XLOOKUP(tblCalculo[[#This Row],[NR_SIMULACAO]],tblVendas[[#This Row],[NR_SIMULACAO]],tblVendas[[#This Row],[VALOR_MOVEL]],""):_xlfn.XLOOKUP(tblCalculo[[#This Row],[NR_SIMULACAO]],tblVendas[[#This Row],[NR_SIMULACAO]],tblVendas[[#This Row],[VALOR_APARELHO]],""))</f>
        <v>1858.55</v>
      </c>
      <c r="F192">
        <f>IF(tblCalculo[[#This Row],[STATUS]]="CONCLUÍDO",_xlfn.XLOOKUP(tblCalculo[[#This Row],[NR_SIMULACAO]],tblVendas[[#This Row],[NR_SIMULACAO]],tblVendas[[#This Row],[VALOR_MOVEL]],""),0)</f>
        <v>0</v>
      </c>
      <c r="G192">
        <f>IF(tblCalculo[[#This Row],[STATUS]]="CONCLUÍDO",_xlfn.XLOOKUP(tblCalculo[[#This Row],[NR_SIMULACAO]],tblVendas[[#This Row],[NR_SIMULACAO]],tblVendas[[#This Row],[VALOR_AVANCADO]],""),0)</f>
        <v>0</v>
      </c>
      <c r="H192">
        <f>IF(tblCalculo[[#This Row],[STATUS]]="CONCLUÍDO",_xlfn.XLOOKUP(tblCalculo[[#This Row],[NR_SIMULACAO]],tblVendas[[#This Row],[NR_SIMULACAO]],tblVendas[[#This Row],[VALOR_FIXABASICA]],""),0)</f>
        <v>0</v>
      </c>
      <c r="I192">
        <f>IF(tblCalculo[[#This Row],[STATUS]]="CONCLUÍDO",_xlfn.XLOOKUP(tblCalculo[[#This Row],[NR_SIMULACAO]],tblVendas[[#This Row],[NR_SIMULACAO]],tblVendas[[#This Row],[VALOR_TI]],""),0)</f>
        <v>0</v>
      </c>
      <c r="J192">
        <f>IF(tblCalculo[[#This Row],[STATUS]]="CONCLUÍDO",_xlfn.XLOOKUP(tblCalculo[[#This Row],[NR_SIMULACAO]],tblVendas[[#This Row],[NR_SIMULACAO]],tblVendas[[#This Row],[VALOR_APARELHO]],""),0)</f>
        <v>0</v>
      </c>
      <c r="K192" t="str">
        <f>IF(tblCalculo[[#This Row],[STATUS]]="NEGOCIANDO",tblCalculo[[#This Row],[VALOR_TOTAL]],"")</f>
        <v/>
      </c>
      <c r="L192">
        <f>IF(tblCalculo[[#This Row],[STATUS]]="ALÇADA",tblCalculo[[#This Row],[VALOR_TOTAL]],"")</f>
        <v>1858.55</v>
      </c>
      <c r="M192" t="str">
        <f>IF(tblCalculo[[#This Row],[STATUS]]="EM ANÁLISE",tblCalculo[[#This Row],[VALOR_TOTAL]],"")</f>
        <v/>
      </c>
      <c r="N192" t="str">
        <f>IF(tblCalculo[[#This Row],[STATUS]]="TRAMITANDO",tblCalculo[[#This Row],[VALOR_TOTAL]],"")</f>
        <v/>
      </c>
      <c r="O192" t="str">
        <f>IF(tblCalculo[[#This Row],[STATUS]]="PERDIDO",tblCalculo[[#This Row],[VALOR_TOTAL]],"")</f>
        <v/>
      </c>
      <c r="P192" t="str">
        <f>IF(tblCalculo[[#This Row],[STATUS]]="CONCLUÍDO",tblCalculo[[#This Row],[VALOR_TOTAL]],"")</f>
        <v/>
      </c>
    </row>
    <row r="193" spans="1:16" x14ac:dyDescent="0.25">
      <c r="A193" t="str">
        <f>tblVendas[[#This Row],[NR_SIMULACAO]]</f>
        <v>SIM1183</v>
      </c>
      <c r="B193" s="34" t="str">
        <f>_xlfn.XLOOKUP(A193,tblVendas[[#This Row],[NR_SIMULACAO]],tblVendas[[#This Row],[NR_CNPJ]],"")</f>
        <v>62.554.566/0001-43</v>
      </c>
      <c r="C193" t="str">
        <f>_xlfn.XLOOKUP(A193,tblVendas[[#This Row],[NR_SIMULACAO]],tblVendas[[#This Row],[STATUS]],"")</f>
        <v>PERDIDO</v>
      </c>
      <c r="D193" t="str">
        <f>_xlfn.XLOOKUP(A193,tblVendas[[#This Row],[NR_SIMULACAO]],tblVendas[[#This Row],[MES]],"")</f>
        <v>Maio</v>
      </c>
      <c r="E193">
        <f>SUM(_xlfn.XLOOKUP(tblCalculo[[#This Row],[NR_SIMULACAO]],tblVendas[[#This Row],[NR_SIMULACAO]],tblVendas[[#This Row],[VALOR_MOVEL]],""):_xlfn.XLOOKUP(tblCalculo[[#This Row],[NR_SIMULACAO]],tblVendas[[#This Row],[NR_SIMULACAO]],tblVendas[[#This Row],[VALOR_APARELHO]],""))</f>
        <v>5937.6500000000005</v>
      </c>
      <c r="F193">
        <f>IF(tblCalculo[[#This Row],[STATUS]]="CONCLUÍDO",_xlfn.XLOOKUP(tblCalculo[[#This Row],[NR_SIMULACAO]],tblVendas[[#This Row],[NR_SIMULACAO]],tblVendas[[#This Row],[VALOR_MOVEL]],""),0)</f>
        <v>0</v>
      </c>
      <c r="G193">
        <f>IF(tblCalculo[[#This Row],[STATUS]]="CONCLUÍDO",_xlfn.XLOOKUP(tblCalculo[[#This Row],[NR_SIMULACAO]],tblVendas[[#This Row],[NR_SIMULACAO]],tblVendas[[#This Row],[VALOR_AVANCADO]],""),0)</f>
        <v>0</v>
      </c>
      <c r="H193">
        <f>IF(tblCalculo[[#This Row],[STATUS]]="CONCLUÍDO",_xlfn.XLOOKUP(tblCalculo[[#This Row],[NR_SIMULACAO]],tblVendas[[#This Row],[NR_SIMULACAO]],tblVendas[[#This Row],[VALOR_FIXABASICA]],""),0)</f>
        <v>0</v>
      </c>
      <c r="I193">
        <f>IF(tblCalculo[[#This Row],[STATUS]]="CONCLUÍDO",_xlfn.XLOOKUP(tblCalculo[[#This Row],[NR_SIMULACAO]],tblVendas[[#This Row],[NR_SIMULACAO]],tblVendas[[#This Row],[VALOR_TI]],""),0)</f>
        <v>0</v>
      </c>
      <c r="J193">
        <f>IF(tblCalculo[[#This Row],[STATUS]]="CONCLUÍDO",_xlfn.XLOOKUP(tblCalculo[[#This Row],[NR_SIMULACAO]],tblVendas[[#This Row],[NR_SIMULACAO]],tblVendas[[#This Row],[VALOR_APARELHO]],""),0)</f>
        <v>0</v>
      </c>
      <c r="K193" t="str">
        <f>IF(tblCalculo[[#This Row],[STATUS]]="NEGOCIANDO",tblCalculo[[#This Row],[VALOR_TOTAL]],"")</f>
        <v/>
      </c>
      <c r="L193" t="str">
        <f>IF(tblCalculo[[#This Row],[STATUS]]="ALÇADA",tblCalculo[[#This Row],[VALOR_TOTAL]],"")</f>
        <v/>
      </c>
      <c r="M193" t="str">
        <f>IF(tblCalculo[[#This Row],[STATUS]]="EM ANÁLISE",tblCalculo[[#This Row],[VALOR_TOTAL]],"")</f>
        <v/>
      </c>
      <c r="N193" t="str">
        <f>IF(tblCalculo[[#This Row],[STATUS]]="TRAMITANDO",tblCalculo[[#This Row],[VALOR_TOTAL]],"")</f>
        <v/>
      </c>
      <c r="O193">
        <f>IF(tblCalculo[[#This Row],[STATUS]]="PERDIDO",tblCalculo[[#This Row],[VALOR_TOTAL]],"")</f>
        <v>5937.6500000000005</v>
      </c>
      <c r="P193" t="str">
        <f>IF(tblCalculo[[#This Row],[STATUS]]="CONCLUÍDO",tblCalculo[[#This Row],[VALOR_TOTAL]],"")</f>
        <v/>
      </c>
    </row>
    <row r="194" spans="1:16" x14ac:dyDescent="0.25">
      <c r="A194" t="str">
        <f>tblVendas[[#This Row],[NR_SIMULACAO]]</f>
        <v>SIM1184</v>
      </c>
      <c r="B194" s="34" t="str">
        <f>_xlfn.XLOOKUP(A194,tblVendas[[#This Row],[NR_SIMULACAO]],tblVendas[[#This Row],[NR_CNPJ]],"")</f>
        <v>57.360.248/0001-39</v>
      </c>
      <c r="C194" t="str">
        <f>_xlfn.XLOOKUP(A194,tblVendas[[#This Row],[NR_SIMULACAO]],tblVendas[[#This Row],[STATUS]],"")</f>
        <v>ALÇADA</v>
      </c>
      <c r="D194" t="str">
        <f>_xlfn.XLOOKUP(A194,tblVendas[[#This Row],[NR_SIMULACAO]],tblVendas[[#This Row],[MES]],"")</f>
        <v>Maio</v>
      </c>
      <c r="E194">
        <f>SUM(_xlfn.XLOOKUP(tblCalculo[[#This Row],[NR_SIMULACAO]],tblVendas[[#This Row],[NR_SIMULACAO]],tblVendas[[#This Row],[VALOR_MOVEL]],""):_xlfn.XLOOKUP(tblCalculo[[#This Row],[NR_SIMULACAO]],tblVendas[[#This Row],[NR_SIMULACAO]],tblVendas[[#This Row],[VALOR_APARELHO]],""))</f>
        <v>3253.76</v>
      </c>
      <c r="F194">
        <f>IF(tblCalculo[[#This Row],[STATUS]]="CONCLUÍDO",_xlfn.XLOOKUP(tblCalculo[[#This Row],[NR_SIMULACAO]],tblVendas[[#This Row],[NR_SIMULACAO]],tblVendas[[#This Row],[VALOR_MOVEL]],""),0)</f>
        <v>0</v>
      </c>
      <c r="G194">
        <f>IF(tblCalculo[[#This Row],[STATUS]]="CONCLUÍDO",_xlfn.XLOOKUP(tblCalculo[[#This Row],[NR_SIMULACAO]],tblVendas[[#This Row],[NR_SIMULACAO]],tblVendas[[#This Row],[VALOR_AVANCADO]],""),0)</f>
        <v>0</v>
      </c>
      <c r="H194">
        <f>IF(tblCalculo[[#This Row],[STATUS]]="CONCLUÍDO",_xlfn.XLOOKUP(tblCalculo[[#This Row],[NR_SIMULACAO]],tblVendas[[#This Row],[NR_SIMULACAO]],tblVendas[[#This Row],[VALOR_FIXABASICA]],""),0)</f>
        <v>0</v>
      </c>
      <c r="I194">
        <f>IF(tblCalculo[[#This Row],[STATUS]]="CONCLUÍDO",_xlfn.XLOOKUP(tblCalculo[[#This Row],[NR_SIMULACAO]],tblVendas[[#This Row],[NR_SIMULACAO]],tblVendas[[#This Row],[VALOR_TI]],""),0)</f>
        <v>0</v>
      </c>
      <c r="J194">
        <f>IF(tblCalculo[[#This Row],[STATUS]]="CONCLUÍDO",_xlfn.XLOOKUP(tblCalculo[[#This Row],[NR_SIMULACAO]],tblVendas[[#This Row],[NR_SIMULACAO]],tblVendas[[#This Row],[VALOR_APARELHO]],""),0)</f>
        <v>0</v>
      </c>
      <c r="K194" t="str">
        <f>IF(tblCalculo[[#This Row],[STATUS]]="NEGOCIANDO",tblCalculo[[#This Row],[VALOR_TOTAL]],"")</f>
        <v/>
      </c>
      <c r="L194">
        <f>IF(tblCalculo[[#This Row],[STATUS]]="ALÇADA",tblCalculo[[#This Row],[VALOR_TOTAL]],"")</f>
        <v>3253.76</v>
      </c>
      <c r="M194" t="str">
        <f>IF(tblCalculo[[#This Row],[STATUS]]="EM ANÁLISE",tblCalculo[[#This Row],[VALOR_TOTAL]],"")</f>
        <v/>
      </c>
      <c r="N194" t="str">
        <f>IF(tblCalculo[[#This Row],[STATUS]]="TRAMITANDO",tblCalculo[[#This Row],[VALOR_TOTAL]],"")</f>
        <v/>
      </c>
      <c r="O194" t="str">
        <f>IF(tblCalculo[[#This Row],[STATUS]]="PERDIDO",tblCalculo[[#This Row],[VALOR_TOTAL]],"")</f>
        <v/>
      </c>
      <c r="P194" t="str">
        <f>IF(tblCalculo[[#This Row],[STATUS]]="CONCLUÍDO",tblCalculo[[#This Row],[VALOR_TOTAL]],"")</f>
        <v/>
      </c>
    </row>
    <row r="195" spans="1:16" x14ac:dyDescent="0.25">
      <c r="A195" t="str">
        <f>tblVendas[[#This Row],[NR_SIMULACAO]]</f>
        <v>SIM1185</v>
      </c>
      <c r="B195" s="34" t="str">
        <f>_xlfn.XLOOKUP(A195,tblVendas[[#This Row],[NR_SIMULACAO]],tblVendas[[#This Row],[NR_CNPJ]],"")</f>
        <v>71.194.122/0001-35</v>
      </c>
      <c r="C195" t="str">
        <f>_xlfn.XLOOKUP(A195,tblVendas[[#This Row],[NR_SIMULACAO]],tblVendas[[#This Row],[STATUS]],"")</f>
        <v>CONCLUÍDO</v>
      </c>
      <c r="D195" t="str">
        <f>_xlfn.XLOOKUP(A195,tblVendas[[#This Row],[NR_SIMULACAO]],tblVendas[[#This Row],[MES]],"")</f>
        <v>Dezembro</v>
      </c>
      <c r="E195">
        <f>SUM(_xlfn.XLOOKUP(tblCalculo[[#This Row],[NR_SIMULACAO]],tblVendas[[#This Row],[NR_SIMULACAO]],tblVendas[[#This Row],[VALOR_MOVEL]],""):_xlfn.XLOOKUP(tblCalculo[[#This Row],[NR_SIMULACAO]],tblVendas[[#This Row],[NR_SIMULACAO]],tblVendas[[#This Row],[VALOR_APARELHO]],""))</f>
        <v>10920.58</v>
      </c>
      <c r="F195">
        <f>IF(tblCalculo[[#This Row],[STATUS]]="CONCLUÍDO",_xlfn.XLOOKUP(tblCalculo[[#This Row],[NR_SIMULACAO]],tblVendas[[#This Row],[NR_SIMULACAO]],tblVendas[[#This Row],[VALOR_MOVEL]],""),0)</f>
        <v>0</v>
      </c>
      <c r="G195">
        <f>IF(tblCalculo[[#This Row],[STATUS]]="CONCLUÍDO",_xlfn.XLOOKUP(tblCalculo[[#This Row],[NR_SIMULACAO]],tblVendas[[#This Row],[NR_SIMULACAO]],tblVendas[[#This Row],[VALOR_AVANCADO]],""),0)</f>
        <v>3743.88</v>
      </c>
      <c r="H195">
        <f>IF(tblCalculo[[#This Row],[STATUS]]="CONCLUÍDO",_xlfn.XLOOKUP(tblCalculo[[#This Row],[NR_SIMULACAO]],tblVendas[[#This Row],[NR_SIMULACAO]],tblVendas[[#This Row],[VALOR_FIXABASICA]],""),0)</f>
        <v>970.16</v>
      </c>
      <c r="I195">
        <f>IF(tblCalculo[[#This Row],[STATUS]]="CONCLUÍDO",_xlfn.XLOOKUP(tblCalculo[[#This Row],[NR_SIMULACAO]],tblVendas[[#This Row],[NR_SIMULACAO]],tblVendas[[#This Row],[VALOR_TI]],""),0)</f>
        <v>0</v>
      </c>
      <c r="J195">
        <f>IF(tblCalculo[[#This Row],[STATUS]]="CONCLUÍDO",_xlfn.XLOOKUP(tblCalculo[[#This Row],[NR_SIMULACAO]],tblVendas[[#This Row],[NR_SIMULACAO]],tblVendas[[#This Row],[VALOR_APARELHO]],""),0)</f>
        <v>6206.54</v>
      </c>
      <c r="K195" t="str">
        <f>IF(tblCalculo[[#This Row],[STATUS]]="NEGOCIANDO",tblCalculo[[#This Row],[VALOR_TOTAL]],"")</f>
        <v/>
      </c>
      <c r="L195" t="str">
        <f>IF(tblCalculo[[#This Row],[STATUS]]="ALÇADA",tblCalculo[[#This Row],[VALOR_TOTAL]],"")</f>
        <v/>
      </c>
      <c r="M195" t="str">
        <f>IF(tblCalculo[[#This Row],[STATUS]]="EM ANÁLISE",tblCalculo[[#This Row],[VALOR_TOTAL]],"")</f>
        <v/>
      </c>
      <c r="N195" t="str">
        <f>IF(tblCalculo[[#This Row],[STATUS]]="TRAMITANDO",tblCalculo[[#This Row],[VALOR_TOTAL]],"")</f>
        <v/>
      </c>
      <c r="O195" t="str">
        <f>IF(tblCalculo[[#This Row],[STATUS]]="PERDIDO",tblCalculo[[#This Row],[VALOR_TOTAL]],"")</f>
        <v/>
      </c>
      <c r="P195">
        <f>IF(tblCalculo[[#This Row],[STATUS]]="CONCLUÍDO",tblCalculo[[#This Row],[VALOR_TOTAL]],"")</f>
        <v>10920.58</v>
      </c>
    </row>
    <row r="196" spans="1:16" x14ac:dyDescent="0.25">
      <c r="A196" t="str">
        <f>tblVendas[[#This Row],[NR_SIMULACAO]]</f>
        <v>SIM1186</v>
      </c>
      <c r="B196" s="34" t="str">
        <f>_xlfn.XLOOKUP(A196,tblVendas[[#This Row],[NR_SIMULACAO]],tblVendas[[#This Row],[NR_CNPJ]],"")</f>
        <v>11.904.611/0001-68</v>
      </c>
      <c r="C196" t="str">
        <f>_xlfn.XLOOKUP(A196,tblVendas[[#This Row],[NR_SIMULACAO]],tblVendas[[#This Row],[STATUS]],"")</f>
        <v>PERDIDO</v>
      </c>
      <c r="D196" t="str">
        <f>_xlfn.XLOOKUP(A196,tblVendas[[#This Row],[NR_SIMULACAO]],tblVendas[[#This Row],[MES]],"")</f>
        <v>Maio</v>
      </c>
      <c r="E196">
        <f>SUM(_xlfn.XLOOKUP(tblCalculo[[#This Row],[NR_SIMULACAO]],tblVendas[[#This Row],[NR_SIMULACAO]],tblVendas[[#This Row],[VALOR_MOVEL]],""):_xlfn.XLOOKUP(tblCalculo[[#This Row],[NR_SIMULACAO]],tblVendas[[#This Row],[NR_SIMULACAO]],tblVendas[[#This Row],[VALOR_APARELHO]],""))</f>
        <v>13784.46</v>
      </c>
      <c r="F196">
        <f>IF(tblCalculo[[#This Row],[STATUS]]="CONCLUÍDO",_xlfn.XLOOKUP(tblCalculo[[#This Row],[NR_SIMULACAO]],tblVendas[[#This Row],[NR_SIMULACAO]],tblVendas[[#This Row],[VALOR_MOVEL]],""),0)</f>
        <v>0</v>
      </c>
      <c r="G196">
        <f>IF(tblCalculo[[#This Row],[STATUS]]="CONCLUÍDO",_xlfn.XLOOKUP(tblCalculo[[#This Row],[NR_SIMULACAO]],tblVendas[[#This Row],[NR_SIMULACAO]],tblVendas[[#This Row],[VALOR_AVANCADO]],""),0)</f>
        <v>0</v>
      </c>
      <c r="H196">
        <f>IF(tblCalculo[[#This Row],[STATUS]]="CONCLUÍDO",_xlfn.XLOOKUP(tblCalculo[[#This Row],[NR_SIMULACAO]],tblVendas[[#This Row],[NR_SIMULACAO]],tblVendas[[#This Row],[VALOR_FIXABASICA]],""),0)</f>
        <v>0</v>
      </c>
      <c r="I196">
        <f>IF(tblCalculo[[#This Row],[STATUS]]="CONCLUÍDO",_xlfn.XLOOKUP(tblCalculo[[#This Row],[NR_SIMULACAO]],tblVendas[[#This Row],[NR_SIMULACAO]],tblVendas[[#This Row],[VALOR_TI]],""),0)</f>
        <v>0</v>
      </c>
      <c r="J196">
        <f>IF(tblCalculo[[#This Row],[STATUS]]="CONCLUÍDO",_xlfn.XLOOKUP(tblCalculo[[#This Row],[NR_SIMULACAO]],tblVendas[[#This Row],[NR_SIMULACAO]],tblVendas[[#This Row],[VALOR_APARELHO]],""),0)</f>
        <v>0</v>
      </c>
      <c r="K196" t="str">
        <f>IF(tblCalculo[[#This Row],[STATUS]]="NEGOCIANDO",tblCalculo[[#This Row],[VALOR_TOTAL]],"")</f>
        <v/>
      </c>
      <c r="L196" t="str">
        <f>IF(tblCalculo[[#This Row],[STATUS]]="ALÇADA",tblCalculo[[#This Row],[VALOR_TOTAL]],"")</f>
        <v/>
      </c>
      <c r="M196" t="str">
        <f>IF(tblCalculo[[#This Row],[STATUS]]="EM ANÁLISE",tblCalculo[[#This Row],[VALOR_TOTAL]],"")</f>
        <v/>
      </c>
      <c r="N196" t="str">
        <f>IF(tblCalculo[[#This Row],[STATUS]]="TRAMITANDO",tblCalculo[[#This Row],[VALOR_TOTAL]],"")</f>
        <v/>
      </c>
      <c r="O196">
        <f>IF(tblCalculo[[#This Row],[STATUS]]="PERDIDO",tblCalculo[[#This Row],[VALOR_TOTAL]],"")</f>
        <v>13784.46</v>
      </c>
      <c r="P196" t="str">
        <f>IF(tblCalculo[[#This Row],[STATUS]]="CONCLUÍDO",tblCalculo[[#This Row],[VALOR_TOTAL]],"")</f>
        <v/>
      </c>
    </row>
    <row r="197" spans="1:16" x14ac:dyDescent="0.25">
      <c r="A197" t="str">
        <f>tblVendas[[#This Row],[NR_SIMULACAO]]</f>
        <v>SIM1187</v>
      </c>
      <c r="B197" s="34" t="str">
        <f>_xlfn.XLOOKUP(A197,tblVendas[[#This Row],[NR_SIMULACAO]],tblVendas[[#This Row],[NR_CNPJ]],"")</f>
        <v>20.686.562/0001-90</v>
      </c>
      <c r="C197" t="str">
        <f>_xlfn.XLOOKUP(A197,tblVendas[[#This Row],[NR_SIMULACAO]],tblVendas[[#This Row],[STATUS]],"")</f>
        <v>ALÇADA</v>
      </c>
      <c r="D197" t="str">
        <f>_xlfn.XLOOKUP(A197,tblVendas[[#This Row],[NR_SIMULACAO]],tblVendas[[#This Row],[MES]],"")</f>
        <v>Janeiro</v>
      </c>
      <c r="E197">
        <f>SUM(_xlfn.XLOOKUP(tblCalculo[[#This Row],[NR_SIMULACAO]],tblVendas[[#This Row],[NR_SIMULACAO]],tblVendas[[#This Row],[VALOR_MOVEL]],""):_xlfn.XLOOKUP(tblCalculo[[#This Row],[NR_SIMULACAO]],tblVendas[[#This Row],[NR_SIMULACAO]],tblVendas[[#This Row],[VALOR_APARELHO]],""))</f>
        <v>22035.79</v>
      </c>
      <c r="F197">
        <f>IF(tblCalculo[[#This Row],[STATUS]]="CONCLUÍDO",_xlfn.XLOOKUP(tblCalculo[[#This Row],[NR_SIMULACAO]],tblVendas[[#This Row],[NR_SIMULACAO]],tblVendas[[#This Row],[VALOR_MOVEL]],""),0)</f>
        <v>0</v>
      </c>
      <c r="G197">
        <f>IF(tblCalculo[[#This Row],[STATUS]]="CONCLUÍDO",_xlfn.XLOOKUP(tblCalculo[[#This Row],[NR_SIMULACAO]],tblVendas[[#This Row],[NR_SIMULACAO]],tblVendas[[#This Row],[VALOR_AVANCADO]],""),0)</f>
        <v>0</v>
      </c>
      <c r="H197">
        <f>IF(tblCalculo[[#This Row],[STATUS]]="CONCLUÍDO",_xlfn.XLOOKUP(tblCalculo[[#This Row],[NR_SIMULACAO]],tblVendas[[#This Row],[NR_SIMULACAO]],tblVendas[[#This Row],[VALOR_FIXABASICA]],""),0)</f>
        <v>0</v>
      </c>
      <c r="I197">
        <f>IF(tblCalculo[[#This Row],[STATUS]]="CONCLUÍDO",_xlfn.XLOOKUP(tblCalculo[[#This Row],[NR_SIMULACAO]],tblVendas[[#This Row],[NR_SIMULACAO]],tblVendas[[#This Row],[VALOR_TI]],""),0)</f>
        <v>0</v>
      </c>
      <c r="J197">
        <f>IF(tblCalculo[[#This Row],[STATUS]]="CONCLUÍDO",_xlfn.XLOOKUP(tblCalculo[[#This Row],[NR_SIMULACAO]],tblVendas[[#This Row],[NR_SIMULACAO]],tblVendas[[#This Row],[VALOR_APARELHO]],""),0)</f>
        <v>0</v>
      </c>
      <c r="K197" t="str">
        <f>IF(tblCalculo[[#This Row],[STATUS]]="NEGOCIANDO",tblCalculo[[#This Row],[VALOR_TOTAL]],"")</f>
        <v/>
      </c>
      <c r="L197">
        <f>IF(tblCalculo[[#This Row],[STATUS]]="ALÇADA",tblCalculo[[#This Row],[VALOR_TOTAL]],"")</f>
        <v>22035.79</v>
      </c>
      <c r="M197" t="str">
        <f>IF(tblCalculo[[#This Row],[STATUS]]="EM ANÁLISE",tblCalculo[[#This Row],[VALOR_TOTAL]],"")</f>
        <v/>
      </c>
      <c r="N197" t="str">
        <f>IF(tblCalculo[[#This Row],[STATUS]]="TRAMITANDO",tblCalculo[[#This Row],[VALOR_TOTAL]],"")</f>
        <v/>
      </c>
      <c r="O197" t="str">
        <f>IF(tblCalculo[[#This Row],[STATUS]]="PERDIDO",tblCalculo[[#This Row],[VALOR_TOTAL]],"")</f>
        <v/>
      </c>
      <c r="P197" t="str">
        <f>IF(tblCalculo[[#This Row],[STATUS]]="CONCLUÍDO",tblCalculo[[#This Row],[VALOR_TOTAL]],"")</f>
        <v/>
      </c>
    </row>
    <row r="198" spans="1:16" x14ac:dyDescent="0.25">
      <c r="A198" t="str">
        <f>tblVendas[[#This Row],[NR_SIMULACAO]]</f>
        <v>SIM1188</v>
      </c>
      <c r="B198" s="34" t="str">
        <f>_xlfn.XLOOKUP(A198,tblVendas[[#This Row],[NR_SIMULACAO]],tblVendas[[#This Row],[NR_CNPJ]],"")</f>
        <v>31.620.871/0001-11</v>
      </c>
      <c r="C198" t="str">
        <f>_xlfn.XLOOKUP(A198,tblVendas[[#This Row],[NR_SIMULACAO]],tblVendas[[#This Row],[STATUS]],"")</f>
        <v>PERDIDO</v>
      </c>
      <c r="D198" t="str">
        <f>_xlfn.XLOOKUP(A198,tblVendas[[#This Row],[NR_SIMULACAO]],tblVendas[[#This Row],[MES]],"")</f>
        <v>Janeiro</v>
      </c>
      <c r="E198">
        <f>SUM(_xlfn.XLOOKUP(tblCalculo[[#This Row],[NR_SIMULACAO]],tblVendas[[#This Row],[NR_SIMULACAO]],tblVendas[[#This Row],[VALOR_MOVEL]],""):_xlfn.XLOOKUP(tblCalculo[[#This Row],[NR_SIMULACAO]],tblVendas[[#This Row],[NR_SIMULACAO]],tblVendas[[#This Row],[VALOR_APARELHO]],""))</f>
        <v>16945.46</v>
      </c>
      <c r="F198">
        <f>IF(tblCalculo[[#This Row],[STATUS]]="CONCLUÍDO",_xlfn.XLOOKUP(tblCalculo[[#This Row],[NR_SIMULACAO]],tblVendas[[#This Row],[NR_SIMULACAO]],tblVendas[[#This Row],[VALOR_MOVEL]],""),0)</f>
        <v>0</v>
      </c>
      <c r="G198">
        <f>IF(tblCalculo[[#This Row],[STATUS]]="CONCLUÍDO",_xlfn.XLOOKUP(tblCalculo[[#This Row],[NR_SIMULACAO]],tblVendas[[#This Row],[NR_SIMULACAO]],tblVendas[[#This Row],[VALOR_AVANCADO]],""),0)</f>
        <v>0</v>
      </c>
      <c r="H198">
        <f>IF(tblCalculo[[#This Row],[STATUS]]="CONCLUÍDO",_xlfn.XLOOKUP(tblCalculo[[#This Row],[NR_SIMULACAO]],tblVendas[[#This Row],[NR_SIMULACAO]],tblVendas[[#This Row],[VALOR_FIXABASICA]],""),0)</f>
        <v>0</v>
      </c>
      <c r="I198">
        <f>IF(tblCalculo[[#This Row],[STATUS]]="CONCLUÍDO",_xlfn.XLOOKUP(tblCalculo[[#This Row],[NR_SIMULACAO]],tblVendas[[#This Row],[NR_SIMULACAO]],tblVendas[[#This Row],[VALOR_TI]],""),0)</f>
        <v>0</v>
      </c>
      <c r="J198">
        <f>IF(tblCalculo[[#This Row],[STATUS]]="CONCLUÍDO",_xlfn.XLOOKUP(tblCalculo[[#This Row],[NR_SIMULACAO]],tblVendas[[#This Row],[NR_SIMULACAO]],tblVendas[[#This Row],[VALOR_APARELHO]],""),0)</f>
        <v>0</v>
      </c>
      <c r="K198" t="str">
        <f>IF(tblCalculo[[#This Row],[STATUS]]="NEGOCIANDO",tblCalculo[[#This Row],[VALOR_TOTAL]],"")</f>
        <v/>
      </c>
      <c r="L198" t="str">
        <f>IF(tblCalculo[[#This Row],[STATUS]]="ALÇADA",tblCalculo[[#This Row],[VALOR_TOTAL]],"")</f>
        <v/>
      </c>
      <c r="M198" t="str">
        <f>IF(tblCalculo[[#This Row],[STATUS]]="EM ANÁLISE",tblCalculo[[#This Row],[VALOR_TOTAL]],"")</f>
        <v/>
      </c>
      <c r="N198" t="str">
        <f>IF(tblCalculo[[#This Row],[STATUS]]="TRAMITANDO",tblCalculo[[#This Row],[VALOR_TOTAL]],"")</f>
        <v/>
      </c>
      <c r="O198">
        <f>IF(tblCalculo[[#This Row],[STATUS]]="PERDIDO",tblCalculo[[#This Row],[VALOR_TOTAL]],"")</f>
        <v>16945.46</v>
      </c>
      <c r="P198" t="str">
        <f>IF(tblCalculo[[#This Row],[STATUS]]="CONCLUÍDO",tblCalculo[[#This Row],[VALOR_TOTAL]],"")</f>
        <v/>
      </c>
    </row>
    <row r="199" spans="1:16" x14ac:dyDescent="0.25">
      <c r="A199" t="str">
        <f>tblVendas[[#This Row],[NR_SIMULACAO]]</f>
        <v>SIM1189</v>
      </c>
      <c r="B199" s="34" t="str">
        <f>_xlfn.XLOOKUP(A199,tblVendas[[#This Row],[NR_SIMULACAO]],tblVendas[[#This Row],[NR_CNPJ]],"")</f>
        <v>12.680.482/0001-52</v>
      </c>
      <c r="C199" t="str">
        <f>_xlfn.XLOOKUP(A199,tblVendas[[#This Row],[NR_SIMULACAO]],tblVendas[[#This Row],[STATUS]],"")</f>
        <v>CONCLUÍDO</v>
      </c>
      <c r="D199" t="str">
        <f>_xlfn.XLOOKUP(A199,tblVendas[[#This Row],[NR_SIMULACAO]],tblVendas[[#This Row],[MES]],"")</f>
        <v>Novembro</v>
      </c>
      <c r="E199">
        <f>SUM(_xlfn.XLOOKUP(tblCalculo[[#This Row],[NR_SIMULACAO]],tblVendas[[#This Row],[NR_SIMULACAO]],tblVendas[[#This Row],[VALOR_MOVEL]],""):_xlfn.XLOOKUP(tblCalculo[[#This Row],[NR_SIMULACAO]],tblVendas[[#This Row],[NR_SIMULACAO]],tblVendas[[#This Row],[VALOR_APARELHO]],""))</f>
        <v>9018.9500000000007</v>
      </c>
      <c r="F199">
        <f>IF(tblCalculo[[#This Row],[STATUS]]="CONCLUÍDO",_xlfn.XLOOKUP(tblCalculo[[#This Row],[NR_SIMULACAO]],tblVendas[[#This Row],[NR_SIMULACAO]],tblVendas[[#This Row],[VALOR_MOVEL]],""),0)</f>
        <v>1162.75</v>
      </c>
      <c r="G199">
        <f>IF(tblCalculo[[#This Row],[STATUS]]="CONCLUÍDO",_xlfn.XLOOKUP(tblCalculo[[#This Row],[NR_SIMULACAO]],tblVendas[[#This Row],[NR_SIMULACAO]],tblVendas[[#This Row],[VALOR_AVANCADO]],""),0)</f>
        <v>0</v>
      </c>
      <c r="H199">
        <f>IF(tblCalculo[[#This Row],[STATUS]]="CONCLUÍDO",_xlfn.XLOOKUP(tblCalculo[[#This Row],[NR_SIMULACAO]],tblVendas[[#This Row],[NR_SIMULACAO]],tblVendas[[#This Row],[VALOR_FIXABASICA]],""),0)</f>
        <v>1916.56</v>
      </c>
      <c r="I199">
        <f>IF(tblCalculo[[#This Row],[STATUS]]="CONCLUÍDO",_xlfn.XLOOKUP(tblCalculo[[#This Row],[NR_SIMULACAO]],tblVendas[[#This Row],[NR_SIMULACAO]],tblVendas[[#This Row],[VALOR_TI]],""),0)</f>
        <v>512.83000000000004</v>
      </c>
      <c r="J199">
        <f>IF(tblCalculo[[#This Row],[STATUS]]="CONCLUÍDO",_xlfn.XLOOKUP(tblCalculo[[#This Row],[NR_SIMULACAO]],tblVendas[[#This Row],[NR_SIMULACAO]],tblVendas[[#This Row],[VALOR_APARELHO]],""),0)</f>
        <v>5426.81</v>
      </c>
      <c r="K199" t="str">
        <f>IF(tblCalculo[[#This Row],[STATUS]]="NEGOCIANDO",tblCalculo[[#This Row],[VALOR_TOTAL]],"")</f>
        <v/>
      </c>
      <c r="L199" t="str">
        <f>IF(tblCalculo[[#This Row],[STATUS]]="ALÇADA",tblCalculo[[#This Row],[VALOR_TOTAL]],"")</f>
        <v/>
      </c>
      <c r="M199" t="str">
        <f>IF(tblCalculo[[#This Row],[STATUS]]="EM ANÁLISE",tblCalculo[[#This Row],[VALOR_TOTAL]],"")</f>
        <v/>
      </c>
      <c r="N199" t="str">
        <f>IF(tblCalculo[[#This Row],[STATUS]]="TRAMITANDO",tblCalculo[[#This Row],[VALOR_TOTAL]],"")</f>
        <v/>
      </c>
      <c r="O199" t="str">
        <f>IF(tblCalculo[[#This Row],[STATUS]]="PERDIDO",tblCalculo[[#This Row],[VALOR_TOTAL]],"")</f>
        <v/>
      </c>
      <c r="P199">
        <f>IF(tblCalculo[[#This Row],[STATUS]]="CONCLUÍDO",tblCalculo[[#This Row],[VALOR_TOTAL]],"")</f>
        <v>9018.9500000000007</v>
      </c>
    </row>
    <row r="200" spans="1:16" x14ac:dyDescent="0.25">
      <c r="A200" t="str">
        <f>tblVendas[[#This Row],[NR_SIMULACAO]]</f>
        <v>SIM1190</v>
      </c>
      <c r="B200" s="34" t="str">
        <f>_xlfn.XLOOKUP(A200,tblVendas[[#This Row],[NR_SIMULACAO]],tblVendas[[#This Row],[NR_CNPJ]],"")</f>
        <v>54.237.363/0001-39</v>
      </c>
      <c r="C200" t="str">
        <f>_xlfn.XLOOKUP(A200,tblVendas[[#This Row],[NR_SIMULACAO]],tblVendas[[#This Row],[STATUS]],"")</f>
        <v>EM ANÁLISE</v>
      </c>
      <c r="D200" t="str">
        <f>_xlfn.XLOOKUP(A200,tblVendas[[#This Row],[NR_SIMULACAO]],tblVendas[[#This Row],[MES]],"")</f>
        <v>Março</v>
      </c>
      <c r="E200">
        <f>SUM(_xlfn.XLOOKUP(tblCalculo[[#This Row],[NR_SIMULACAO]],tblVendas[[#This Row],[NR_SIMULACAO]],tblVendas[[#This Row],[VALOR_MOVEL]],""):_xlfn.XLOOKUP(tblCalculo[[#This Row],[NR_SIMULACAO]],tblVendas[[#This Row],[NR_SIMULACAO]],tblVendas[[#This Row],[VALOR_APARELHO]],""))</f>
        <v>17830.420000000002</v>
      </c>
      <c r="F200">
        <f>IF(tblCalculo[[#This Row],[STATUS]]="CONCLUÍDO",_xlfn.XLOOKUP(tblCalculo[[#This Row],[NR_SIMULACAO]],tblVendas[[#This Row],[NR_SIMULACAO]],tblVendas[[#This Row],[VALOR_MOVEL]],""),0)</f>
        <v>0</v>
      </c>
      <c r="G200">
        <f>IF(tblCalculo[[#This Row],[STATUS]]="CONCLUÍDO",_xlfn.XLOOKUP(tblCalculo[[#This Row],[NR_SIMULACAO]],tblVendas[[#This Row],[NR_SIMULACAO]],tblVendas[[#This Row],[VALOR_AVANCADO]],""),0)</f>
        <v>0</v>
      </c>
      <c r="H200">
        <f>IF(tblCalculo[[#This Row],[STATUS]]="CONCLUÍDO",_xlfn.XLOOKUP(tblCalculo[[#This Row],[NR_SIMULACAO]],tblVendas[[#This Row],[NR_SIMULACAO]],tblVendas[[#This Row],[VALOR_FIXABASICA]],""),0)</f>
        <v>0</v>
      </c>
      <c r="I200">
        <f>IF(tblCalculo[[#This Row],[STATUS]]="CONCLUÍDO",_xlfn.XLOOKUP(tblCalculo[[#This Row],[NR_SIMULACAO]],tblVendas[[#This Row],[NR_SIMULACAO]],tblVendas[[#This Row],[VALOR_TI]],""),0)</f>
        <v>0</v>
      </c>
      <c r="J200">
        <f>IF(tblCalculo[[#This Row],[STATUS]]="CONCLUÍDO",_xlfn.XLOOKUP(tblCalculo[[#This Row],[NR_SIMULACAO]],tblVendas[[#This Row],[NR_SIMULACAO]],tblVendas[[#This Row],[VALOR_APARELHO]],""),0)</f>
        <v>0</v>
      </c>
      <c r="K200" t="str">
        <f>IF(tblCalculo[[#This Row],[STATUS]]="NEGOCIANDO",tblCalculo[[#This Row],[VALOR_TOTAL]],"")</f>
        <v/>
      </c>
      <c r="L200" t="str">
        <f>IF(tblCalculo[[#This Row],[STATUS]]="ALÇADA",tblCalculo[[#This Row],[VALOR_TOTAL]],"")</f>
        <v/>
      </c>
      <c r="M200">
        <f>IF(tblCalculo[[#This Row],[STATUS]]="EM ANÁLISE",tblCalculo[[#This Row],[VALOR_TOTAL]],"")</f>
        <v>17830.420000000002</v>
      </c>
      <c r="N200" t="str">
        <f>IF(tblCalculo[[#This Row],[STATUS]]="TRAMITANDO",tblCalculo[[#This Row],[VALOR_TOTAL]],"")</f>
        <v/>
      </c>
      <c r="O200" t="str">
        <f>IF(tblCalculo[[#This Row],[STATUS]]="PERDIDO",tblCalculo[[#This Row],[VALOR_TOTAL]],"")</f>
        <v/>
      </c>
      <c r="P200" t="str">
        <f>IF(tblCalculo[[#This Row],[STATUS]]="CONCLUÍDO",tblCalculo[[#This Row],[VALOR_TOTAL]],"")</f>
        <v/>
      </c>
    </row>
    <row r="201" spans="1:16" x14ac:dyDescent="0.25">
      <c r="A201" t="str">
        <f>tblVendas[[#This Row],[NR_SIMULACAO]]</f>
        <v>SIM1191</v>
      </c>
      <c r="B201" s="34" t="str">
        <f>_xlfn.XLOOKUP(A201,tblVendas[[#This Row],[NR_SIMULACAO]],tblVendas[[#This Row],[NR_CNPJ]],"")</f>
        <v>82.647.451/0001-28</v>
      </c>
      <c r="C201" t="str">
        <f>_xlfn.XLOOKUP(A201,tblVendas[[#This Row],[NR_SIMULACAO]],tblVendas[[#This Row],[STATUS]],"")</f>
        <v>CONCLUÍDO</v>
      </c>
      <c r="D201" t="str">
        <f>_xlfn.XLOOKUP(A201,tblVendas[[#This Row],[NR_SIMULACAO]],tblVendas[[#This Row],[MES]],"")</f>
        <v>Junho</v>
      </c>
      <c r="E201">
        <f>SUM(_xlfn.XLOOKUP(tblCalculo[[#This Row],[NR_SIMULACAO]],tblVendas[[#This Row],[NR_SIMULACAO]],tblVendas[[#This Row],[VALOR_MOVEL]],""):_xlfn.XLOOKUP(tblCalculo[[#This Row],[NR_SIMULACAO]],tblVendas[[#This Row],[NR_SIMULACAO]],tblVendas[[#This Row],[VALOR_APARELHO]],""))</f>
        <v>13579.489999999998</v>
      </c>
      <c r="F201">
        <f>IF(tblCalculo[[#This Row],[STATUS]]="CONCLUÍDO",_xlfn.XLOOKUP(tblCalculo[[#This Row],[NR_SIMULACAO]],tblVendas[[#This Row],[NR_SIMULACAO]],tblVendas[[#This Row],[VALOR_MOVEL]],""),0)</f>
        <v>7335.48</v>
      </c>
      <c r="G201">
        <f>IF(tblCalculo[[#This Row],[STATUS]]="CONCLUÍDO",_xlfn.XLOOKUP(tblCalculo[[#This Row],[NR_SIMULACAO]],tblVendas[[#This Row],[NR_SIMULACAO]],tblVendas[[#This Row],[VALOR_AVANCADO]],""),0)</f>
        <v>3548.39</v>
      </c>
      <c r="H201">
        <f>IF(tblCalculo[[#This Row],[STATUS]]="CONCLUÍDO",_xlfn.XLOOKUP(tblCalculo[[#This Row],[NR_SIMULACAO]],tblVendas[[#This Row],[NR_SIMULACAO]],tblVendas[[#This Row],[VALOR_FIXABASICA]],""),0)</f>
        <v>0</v>
      </c>
      <c r="I201">
        <f>IF(tblCalculo[[#This Row],[STATUS]]="CONCLUÍDO",_xlfn.XLOOKUP(tblCalculo[[#This Row],[NR_SIMULACAO]],tblVendas[[#This Row],[NR_SIMULACAO]],tblVendas[[#This Row],[VALOR_TI]],""),0)</f>
        <v>0</v>
      </c>
      <c r="J201">
        <f>IF(tblCalculo[[#This Row],[STATUS]]="CONCLUÍDO",_xlfn.XLOOKUP(tblCalculo[[#This Row],[NR_SIMULACAO]],tblVendas[[#This Row],[NR_SIMULACAO]],tblVendas[[#This Row],[VALOR_APARELHO]],""),0)</f>
        <v>2695.62</v>
      </c>
      <c r="K201" t="str">
        <f>IF(tblCalculo[[#This Row],[STATUS]]="NEGOCIANDO",tblCalculo[[#This Row],[VALOR_TOTAL]],"")</f>
        <v/>
      </c>
      <c r="L201" t="str">
        <f>IF(tblCalculo[[#This Row],[STATUS]]="ALÇADA",tblCalculo[[#This Row],[VALOR_TOTAL]],"")</f>
        <v/>
      </c>
      <c r="M201" t="str">
        <f>IF(tblCalculo[[#This Row],[STATUS]]="EM ANÁLISE",tblCalculo[[#This Row],[VALOR_TOTAL]],"")</f>
        <v/>
      </c>
      <c r="N201" t="str">
        <f>IF(tblCalculo[[#This Row],[STATUS]]="TRAMITANDO",tblCalculo[[#This Row],[VALOR_TOTAL]],"")</f>
        <v/>
      </c>
      <c r="O201" t="str">
        <f>IF(tblCalculo[[#This Row],[STATUS]]="PERDIDO",tblCalculo[[#This Row],[VALOR_TOTAL]],"")</f>
        <v/>
      </c>
      <c r="P201">
        <f>IF(tblCalculo[[#This Row],[STATUS]]="CONCLUÍDO",tblCalculo[[#This Row],[VALOR_TOTAL]],"")</f>
        <v>13579.489999999998</v>
      </c>
    </row>
    <row r="202" spans="1:16" x14ac:dyDescent="0.25">
      <c r="A202" t="str">
        <f>tblVendas[[#This Row],[NR_SIMULACAO]]</f>
        <v>SIM1192</v>
      </c>
      <c r="B202" s="34" t="str">
        <f>_xlfn.XLOOKUP(A202,tblVendas[[#This Row],[NR_SIMULACAO]],tblVendas[[#This Row],[NR_CNPJ]],"")</f>
        <v>95.289.714/0001-98</v>
      </c>
      <c r="C202" t="str">
        <f>_xlfn.XLOOKUP(A202,tblVendas[[#This Row],[NR_SIMULACAO]],tblVendas[[#This Row],[STATUS]],"")</f>
        <v>CONCLUÍDO</v>
      </c>
      <c r="D202" t="str">
        <f>_xlfn.XLOOKUP(A202,tblVendas[[#This Row],[NR_SIMULACAO]],tblVendas[[#This Row],[MES]],"")</f>
        <v>Janeiro</v>
      </c>
      <c r="E202">
        <f>SUM(_xlfn.XLOOKUP(tblCalculo[[#This Row],[NR_SIMULACAO]],tblVendas[[#This Row],[NR_SIMULACAO]],tblVendas[[#This Row],[VALOR_MOVEL]],""):_xlfn.XLOOKUP(tblCalculo[[#This Row],[NR_SIMULACAO]],tblVendas[[#This Row],[NR_SIMULACAO]],tblVendas[[#This Row],[VALOR_APARELHO]],""))</f>
        <v>25936.590000000004</v>
      </c>
      <c r="F202">
        <f>IF(tblCalculo[[#This Row],[STATUS]]="CONCLUÍDO",_xlfn.XLOOKUP(tblCalculo[[#This Row],[NR_SIMULACAO]],tblVendas[[#This Row],[NR_SIMULACAO]],tblVendas[[#This Row],[VALOR_MOVEL]],""),0)</f>
        <v>6705.72</v>
      </c>
      <c r="G202">
        <f>IF(tblCalculo[[#This Row],[STATUS]]="CONCLUÍDO",_xlfn.XLOOKUP(tblCalculo[[#This Row],[NR_SIMULACAO]],tblVendas[[#This Row],[NR_SIMULACAO]],tblVendas[[#This Row],[VALOR_AVANCADO]],""),0)</f>
        <v>0</v>
      </c>
      <c r="H202">
        <f>IF(tblCalculo[[#This Row],[STATUS]]="CONCLUÍDO",_xlfn.XLOOKUP(tblCalculo[[#This Row],[NR_SIMULACAO]],tblVendas[[#This Row],[NR_SIMULACAO]],tblVendas[[#This Row],[VALOR_FIXABASICA]],""),0)</f>
        <v>2384.21</v>
      </c>
      <c r="I202">
        <f>IF(tblCalculo[[#This Row],[STATUS]]="CONCLUÍDO",_xlfn.XLOOKUP(tblCalculo[[#This Row],[NR_SIMULACAO]],tblVendas[[#This Row],[NR_SIMULACAO]],tblVendas[[#This Row],[VALOR_TI]],""),0)</f>
        <v>9327.3700000000008</v>
      </c>
      <c r="J202">
        <f>IF(tblCalculo[[#This Row],[STATUS]]="CONCLUÍDO",_xlfn.XLOOKUP(tblCalculo[[#This Row],[NR_SIMULACAO]],tblVendas[[#This Row],[NR_SIMULACAO]],tblVendas[[#This Row],[VALOR_APARELHO]],""),0)</f>
        <v>7519.29</v>
      </c>
      <c r="K202" t="str">
        <f>IF(tblCalculo[[#This Row],[STATUS]]="NEGOCIANDO",tblCalculo[[#This Row],[VALOR_TOTAL]],"")</f>
        <v/>
      </c>
      <c r="L202" t="str">
        <f>IF(tblCalculo[[#This Row],[STATUS]]="ALÇADA",tblCalculo[[#This Row],[VALOR_TOTAL]],"")</f>
        <v/>
      </c>
      <c r="M202" t="str">
        <f>IF(tblCalculo[[#This Row],[STATUS]]="EM ANÁLISE",tblCalculo[[#This Row],[VALOR_TOTAL]],"")</f>
        <v/>
      </c>
      <c r="N202" t="str">
        <f>IF(tblCalculo[[#This Row],[STATUS]]="TRAMITANDO",tblCalculo[[#This Row],[VALOR_TOTAL]],"")</f>
        <v/>
      </c>
      <c r="O202" t="str">
        <f>IF(tblCalculo[[#This Row],[STATUS]]="PERDIDO",tblCalculo[[#This Row],[VALOR_TOTAL]],"")</f>
        <v/>
      </c>
      <c r="P202">
        <f>IF(tblCalculo[[#This Row],[STATUS]]="CONCLUÍDO",tblCalculo[[#This Row],[VALOR_TOTAL]],"")</f>
        <v>25936.590000000004</v>
      </c>
    </row>
    <row r="203" spans="1:16" x14ac:dyDescent="0.25">
      <c r="A203" t="str">
        <f>tblVendas[[#This Row],[NR_SIMULACAO]]</f>
        <v>SIM1193</v>
      </c>
      <c r="B203" s="34" t="str">
        <f>_xlfn.XLOOKUP(A203,tblVendas[[#This Row],[NR_SIMULACAO]],tblVendas[[#This Row],[NR_CNPJ]],"")</f>
        <v>28.448.231/0001-44</v>
      </c>
      <c r="C203" t="str">
        <f>_xlfn.XLOOKUP(A203,tblVendas[[#This Row],[NR_SIMULACAO]],tblVendas[[#This Row],[STATUS]],"")</f>
        <v>EM ANÁLISE</v>
      </c>
      <c r="D203" t="str">
        <f>_xlfn.XLOOKUP(A203,tblVendas[[#This Row],[NR_SIMULACAO]],tblVendas[[#This Row],[MES]],"")</f>
        <v>Setembro</v>
      </c>
      <c r="E203">
        <f>SUM(_xlfn.XLOOKUP(tblCalculo[[#This Row],[NR_SIMULACAO]],tblVendas[[#This Row],[NR_SIMULACAO]],tblVendas[[#This Row],[VALOR_MOVEL]],""):_xlfn.XLOOKUP(tblCalculo[[#This Row],[NR_SIMULACAO]],tblVendas[[#This Row],[NR_SIMULACAO]],tblVendas[[#This Row],[VALOR_APARELHO]],""))</f>
        <v>2038.18</v>
      </c>
      <c r="F203">
        <f>IF(tblCalculo[[#This Row],[STATUS]]="CONCLUÍDO",_xlfn.XLOOKUP(tblCalculo[[#This Row],[NR_SIMULACAO]],tblVendas[[#This Row],[NR_SIMULACAO]],tblVendas[[#This Row],[VALOR_MOVEL]],""),0)</f>
        <v>0</v>
      </c>
      <c r="G203">
        <f>IF(tblCalculo[[#This Row],[STATUS]]="CONCLUÍDO",_xlfn.XLOOKUP(tblCalculo[[#This Row],[NR_SIMULACAO]],tblVendas[[#This Row],[NR_SIMULACAO]],tblVendas[[#This Row],[VALOR_AVANCADO]],""),0)</f>
        <v>0</v>
      </c>
      <c r="H203">
        <f>IF(tblCalculo[[#This Row],[STATUS]]="CONCLUÍDO",_xlfn.XLOOKUP(tblCalculo[[#This Row],[NR_SIMULACAO]],tblVendas[[#This Row],[NR_SIMULACAO]],tblVendas[[#This Row],[VALOR_FIXABASICA]],""),0)</f>
        <v>0</v>
      </c>
      <c r="I203">
        <f>IF(tblCalculo[[#This Row],[STATUS]]="CONCLUÍDO",_xlfn.XLOOKUP(tblCalculo[[#This Row],[NR_SIMULACAO]],tblVendas[[#This Row],[NR_SIMULACAO]],tblVendas[[#This Row],[VALOR_TI]],""),0)</f>
        <v>0</v>
      </c>
      <c r="J203">
        <f>IF(tblCalculo[[#This Row],[STATUS]]="CONCLUÍDO",_xlfn.XLOOKUP(tblCalculo[[#This Row],[NR_SIMULACAO]],tblVendas[[#This Row],[NR_SIMULACAO]],tblVendas[[#This Row],[VALOR_APARELHO]],""),0)</f>
        <v>0</v>
      </c>
      <c r="K203" t="str">
        <f>IF(tblCalculo[[#This Row],[STATUS]]="NEGOCIANDO",tblCalculo[[#This Row],[VALOR_TOTAL]],"")</f>
        <v/>
      </c>
      <c r="L203" t="str">
        <f>IF(tblCalculo[[#This Row],[STATUS]]="ALÇADA",tblCalculo[[#This Row],[VALOR_TOTAL]],"")</f>
        <v/>
      </c>
      <c r="M203">
        <f>IF(tblCalculo[[#This Row],[STATUS]]="EM ANÁLISE",tblCalculo[[#This Row],[VALOR_TOTAL]],"")</f>
        <v>2038.18</v>
      </c>
      <c r="N203" t="str">
        <f>IF(tblCalculo[[#This Row],[STATUS]]="TRAMITANDO",tblCalculo[[#This Row],[VALOR_TOTAL]],"")</f>
        <v/>
      </c>
      <c r="O203" t="str">
        <f>IF(tblCalculo[[#This Row],[STATUS]]="PERDIDO",tblCalculo[[#This Row],[VALOR_TOTAL]],"")</f>
        <v/>
      </c>
      <c r="P203" t="str">
        <f>IF(tblCalculo[[#This Row],[STATUS]]="CONCLUÍDO",tblCalculo[[#This Row],[VALOR_TOTAL]],"")</f>
        <v/>
      </c>
    </row>
    <row r="204" spans="1:16" x14ac:dyDescent="0.25">
      <c r="A204" t="str">
        <f>tblVendas[[#This Row],[NR_SIMULACAO]]</f>
        <v>SIM1194</v>
      </c>
      <c r="B204" s="34" t="str">
        <f>_xlfn.XLOOKUP(A204,tblVendas[[#This Row],[NR_SIMULACAO]],tblVendas[[#This Row],[NR_CNPJ]],"")</f>
        <v>34.290.981/0001-17</v>
      </c>
      <c r="C204" t="str">
        <f>_xlfn.XLOOKUP(A204,tblVendas[[#This Row],[NR_SIMULACAO]],tblVendas[[#This Row],[STATUS]],"")</f>
        <v>NEGOCIANDO</v>
      </c>
      <c r="D204" t="str">
        <f>_xlfn.XLOOKUP(A204,tblVendas[[#This Row],[NR_SIMULACAO]],tblVendas[[#This Row],[MES]],"")</f>
        <v>Agosto</v>
      </c>
      <c r="E204">
        <f>SUM(_xlfn.XLOOKUP(tblCalculo[[#This Row],[NR_SIMULACAO]],tblVendas[[#This Row],[NR_SIMULACAO]],tblVendas[[#This Row],[VALOR_MOVEL]],""):_xlfn.XLOOKUP(tblCalculo[[#This Row],[NR_SIMULACAO]],tblVendas[[#This Row],[NR_SIMULACAO]],tblVendas[[#This Row],[VALOR_APARELHO]],""))</f>
        <v>11111.37</v>
      </c>
      <c r="F204">
        <f>IF(tblCalculo[[#This Row],[STATUS]]="CONCLUÍDO",_xlfn.XLOOKUP(tblCalculo[[#This Row],[NR_SIMULACAO]],tblVendas[[#This Row],[NR_SIMULACAO]],tblVendas[[#This Row],[VALOR_MOVEL]],""),0)</f>
        <v>0</v>
      </c>
      <c r="G204">
        <f>IF(tblCalculo[[#This Row],[STATUS]]="CONCLUÍDO",_xlfn.XLOOKUP(tblCalculo[[#This Row],[NR_SIMULACAO]],tblVendas[[#This Row],[NR_SIMULACAO]],tblVendas[[#This Row],[VALOR_AVANCADO]],""),0)</f>
        <v>0</v>
      </c>
      <c r="H204">
        <f>IF(tblCalculo[[#This Row],[STATUS]]="CONCLUÍDO",_xlfn.XLOOKUP(tblCalculo[[#This Row],[NR_SIMULACAO]],tblVendas[[#This Row],[NR_SIMULACAO]],tblVendas[[#This Row],[VALOR_FIXABASICA]],""),0)</f>
        <v>0</v>
      </c>
      <c r="I204">
        <f>IF(tblCalculo[[#This Row],[STATUS]]="CONCLUÍDO",_xlfn.XLOOKUP(tblCalculo[[#This Row],[NR_SIMULACAO]],tblVendas[[#This Row],[NR_SIMULACAO]],tblVendas[[#This Row],[VALOR_TI]],""),0)</f>
        <v>0</v>
      </c>
      <c r="J204">
        <f>IF(tblCalculo[[#This Row],[STATUS]]="CONCLUÍDO",_xlfn.XLOOKUP(tblCalculo[[#This Row],[NR_SIMULACAO]],tblVendas[[#This Row],[NR_SIMULACAO]],tblVendas[[#This Row],[VALOR_APARELHO]],""),0)</f>
        <v>0</v>
      </c>
      <c r="K204">
        <f>IF(tblCalculo[[#This Row],[STATUS]]="NEGOCIANDO",tblCalculo[[#This Row],[VALOR_TOTAL]],"")</f>
        <v>11111.37</v>
      </c>
      <c r="L204" t="str">
        <f>IF(tblCalculo[[#This Row],[STATUS]]="ALÇADA",tblCalculo[[#This Row],[VALOR_TOTAL]],"")</f>
        <v/>
      </c>
      <c r="M204" t="str">
        <f>IF(tblCalculo[[#This Row],[STATUS]]="EM ANÁLISE",tblCalculo[[#This Row],[VALOR_TOTAL]],"")</f>
        <v/>
      </c>
      <c r="N204" t="str">
        <f>IF(tblCalculo[[#This Row],[STATUS]]="TRAMITANDO",tblCalculo[[#This Row],[VALOR_TOTAL]],"")</f>
        <v/>
      </c>
      <c r="O204" t="str">
        <f>IF(tblCalculo[[#This Row],[STATUS]]="PERDIDO",tblCalculo[[#This Row],[VALOR_TOTAL]],"")</f>
        <v/>
      </c>
      <c r="P204" t="str">
        <f>IF(tblCalculo[[#This Row],[STATUS]]="CONCLUÍDO",tblCalculo[[#This Row],[VALOR_TOTAL]],"")</f>
        <v/>
      </c>
    </row>
    <row r="205" spans="1:16" x14ac:dyDescent="0.25">
      <c r="A205" t="str">
        <f>tblVendas[[#This Row],[NR_SIMULACAO]]</f>
        <v>SIM1195</v>
      </c>
      <c r="B205" s="34" t="str">
        <f>_xlfn.XLOOKUP(A205,tblVendas[[#This Row],[NR_SIMULACAO]],tblVendas[[#This Row],[NR_CNPJ]],"")</f>
        <v>94.316.897/0001-40</v>
      </c>
      <c r="C205" t="str">
        <f>_xlfn.XLOOKUP(A205,tblVendas[[#This Row],[NR_SIMULACAO]],tblVendas[[#This Row],[STATUS]],"")</f>
        <v>CONCLUÍDO</v>
      </c>
      <c r="D205" t="str">
        <f>_xlfn.XLOOKUP(A205,tblVendas[[#This Row],[NR_SIMULACAO]],tblVendas[[#This Row],[MES]],"")</f>
        <v>Março</v>
      </c>
      <c r="E205">
        <f>SUM(_xlfn.XLOOKUP(tblCalculo[[#This Row],[NR_SIMULACAO]],tblVendas[[#This Row],[NR_SIMULACAO]],tblVendas[[#This Row],[VALOR_MOVEL]],""):_xlfn.XLOOKUP(tblCalculo[[#This Row],[NR_SIMULACAO]],tblVendas[[#This Row],[NR_SIMULACAO]],tblVendas[[#This Row],[VALOR_APARELHO]],""))</f>
        <v>1868.66</v>
      </c>
      <c r="F205">
        <f>IF(tblCalculo[[#This Row],[STATUS]]="CONCLUÍDO",_xlfn.XLOOKUP(tblCalculo[[#This Row],[NR_SIMULACAO]],tblVendas[[#This Row],[NR_SIMULACAO]],tblVendas[[#This Row],[VALOR_MOVEL]],""),0)</f>
        <v>0</v>
      </c>
      <c r="G205">
        <f>IF(tblCalculo[[#This Row],[STATUS]]="CONCLUÍDO",_xlfn.XLOOKUP(tblCalculo[[#This Row],[NR_SIMULACAO]],tblVendas[[#This Row],[NR_SIMULACAO]],tblVendas[[#This Row],[VALOR_AVANCADO]],""),0)</f>
        <v>0</v>
      </c>
      <c r="H205">
        <f>IF(tblCalculo[[#This Row],[STATUS]]="CONCLUÍDO",_xlfn.XLOOKUP(tblCalculo[[#This Row],[NR_SIMULACAO]],tblVendas[[#This Row],[NR_SIMULACAO]],tblVendas[[#This Row],[VALOR_FIXABASICA]],""),0)</f>
        <v>1868.66</v>
      </c>
      <c r="I205">
        <f>IF(tblCalculo[[#This Row],[STATUS]]="CONCLUÍDO",_xlfn.XLOOKUP(tblCalculo[[#This Row],[NR_SIMULACAO]],tblVendas[[#This Row],[NR_SIMULACAO]],tblVendas[[#This Row],[VALOR_TI]],""),0)</f>
        <v>0</v>
      </c>
      <c r="J205">
        <f>IF(tblCalculo[[#This Row],[STATUS]]="CONCLUÍDO",_xlfn.XLOOKUP(tblCalculo[[#This Row],[NR_SIMULACAO]],tblVendas[[#This Row],[NR_SIMULACAO]],tblVendas[[#This Row],[VALOR_APARELHO]],""),0)</f>
        <v>0</v>
      </c>
      <c r="K205" t="str">
        <f>IF(tblCalculo[[#This Row],[STATUS]]="NEGOCIANDO",tblCalculo[[#This Row],[VALOR_TOTAL]],"")</f>
        <v/>
      </c>
      <c r="L205" t="str">
        <f>IF(tblCalculo[[#This Row],[STATUS]]="ALÇADA",tblCalculo[[#This Row],[VALOR_TOTAL]],"")</f>
        <v/>
      </c>
      <c r="M205" t="str">
        <f>IF(tblCalculo[[#This Row],[STATUS]]="EM ANÁLISE",tblCalculo[[#This Row],[VALOR_TOTAL]],"")</f>
        <v/>
      </c>
      <c r="N205" t="str">
        <f>IF(tblCalculo[[#This Row],[STATUS]]="TRAMITANDO",tblCalculo[[#This Row],[VALOR_TOTAL]],"")</f>
        <v/>
      </c>
      <c r="O205" t="str">
        <f>IF(tblCalculo[[#This Row],[STATUS]]="PERDIDO",tblCalculo[[#This Row],[VALOR_TOTAL]],"")</f>
        <v/>
      </c>
      <c r="P205">
        <f>IF(tblCalculo[[#This Row],[STATUS]]="CONCLUÍDO",tblCalculo[[#This Row],[VALOR_TOTAL]],"")</f>
        <v>1868.66</v>
      </c>
    </row>
    <row r="206" spans="1:16" x14ac:dyDescent="0.25">
      <c r="A206" t="str">
        <f>tblVendas[[#This Row],[NR_SIMULACAO]]</f>
        <v>SIM1196</v>
      </c>
      <c r="B206" s="34" t="str">
        <f>_xlfn.XLOOKUP(A206,tblVendas[[#This Row],[NR_SIMULACAO]],tblVendas[[#This Row],[NR_CNPJ]],"")</f>
        <v>67.445.422/0001-38</v>
      </c>
      <c r="C206" t="str">
        <f>_xlfn.XLOOKUP(A206,tblVendas[[#This Row],[NR_SIMULACAO]],tblVendas[[#This Row],[STATUS]],"")</f>
        <v>EM ANÁLISE</v>
      </c>
      <c r="D206" t="str">
        <f>_xlfn.XLOOKUP(A206,tblVendas[[#This Row],[NR_SIMULACAO]],tblVendas[[#This Row],[MES]],"")</f>
        <v>Novembro</v>
      </c>
      <c r="E206">
        <f>SUM(_xlfn.XLOOKUP(tblCalculo[[#This Row],[NR_SIMULACAO]],tblVendas[[#This Row],[NR_SIMULACAO]],tblVendas[[#This Row],[VALOR_MOVEL]],""):_xlfn.XLOOKUP(tblCalculo[[#This Row],[NR_SIMULACAO]],tblVendas[[#This Row],[NR_SIMULACAO]],tblVendas[[#This Row],[VALOR_APARELHO]],""))</f>
        <v>8568.18</v>
      </c>
      <c r="F206">
        <f>IF(tblCalculo[[#This Row],[STATUS]]="CONCLUÍDO",_xlfn.XLOOKUP(tblCalculo[[#This Row],[NR_SIMULACAO]],tblVendas[[#This Row],[NR_SIMULACAO]],tblVendas[[#This Row],[VALOR_MOVEL]],""),0)</f>
        <v>0</v>
      </c>
      <c r="G206">
        <f>IF(tblCalculo[[#This Row],[STATUS]]="CONCLUÍDO",_xlfn.XLOOKUP(tblCalculo[[#This Row],[NR_SIMULACAO]],tblVendas[[#This Row],[NR_SIMULACAO]],tblVendas[[#This Row],[VALOR_AVANCADO]],""),0)</f>
        <v>0</v>
      </c>
      <c r="H206">
        <f>IF(tblCalculo[[#This Row],[STATUS]]="CONCLUÍDO",_xlfn.XLOOKUP(tblCalculo[[#This Row],[NR_SIMULACAO]],tblVendas[[#This Row],[NR_SIMULACAO]],tblVendas[[#This Row],[VALOR_FIXABASICA]],""),0)</f>
        <v>0</v>
      </c>
      <c r="I206">
        <f>IF(tblCalculo[[#This Row],[STATUS]]="CONCLUÍDO",_xlfn.XLOOKUP(tblCalculo[[#This Row],[NR_SIMULACAO]],tblVendas[[#This Row],[NR_SIMULACAO]],tblVendas[[#This Row],[VALOR_TI]],""),0)</f>
        <v>0</v>
      </c>
      <c r="J206">
        <f>IF(tblCalculo[[#This Row],[STATUS]]="CONCLUÍDO",_xlfn.XLOOKUP(tblCalculo[[#This Row],[NR_SIMULACAO]],tblVendas[[#This Row],[NR_SIMULACAO]],tblVendas[[#This Row],[VALOR_APARELHO]],""),0)</f>
        <v>0</v>
      </c>
      <c r="K206" t="str">
        <f>IF(tblCalculo[[#This Row],[STATUS]]="NEGOCIANDO",tblCalculo[[#This Row],[VALOR_TOTAL]],"")</f>
        <v/>
      </c>
      <c r="L206" t="str">
        <f>IF(tblCalculo[[#This Row],[STATUS]]="ALÇADA",tblCalculo[[#This Row],[VALOR_TOTAL]],"")</f>
        <v/>
      </c>
      <c r="M206">
        <f>IF(tblCalculo[[#This Row],[STATUS]]="EM ANÁLISE",tblCalculo[[#This Row],[VALOR_TOTAL]],"")</f>
        <v>8568.18</v>
      </c>
      <c r="N206" t="str">
        <f>IF(tblCalculo[[#This Row],[STATUS]]="TRAMITANDO",tblCalculo[[#This Row],[VALOR_TOTAL]],"")</f>
        <v/>
      </c>
      <c r="O206" t="str">
        <f>IF(tblCalculo[[#This Row],[STATUS]]="PERDIDO",tblCalculo[[#This Row],[VALOR_TOTAL]],"")</f>
        <v/>
      </c>
      <c r="P206" t="str">
        <f>IF(tblCalculo[[#This Row],[STATUS]]="CONCLUÍDO",tblCalculo[[#This Row],[VALOR_TOTAL]],"")</f>
        <v/>
      </c>
    </row>
    <row r="207" spans="1:16" x14ac:dyDescent="0.25">
      <c r="A207" t="str">
        <f>tblVendas[[#This Row],[NR_SIMULACAO]]</f>
        <v>SIM1197</v>
      </c>
      <c r="B207" s="34" t="str">
        <f>_xlfn.XLOOKUP(A207,tblVendas[[#This Row],[NR_SIMULACAO]],tblVendas[[#This Row],[NR_CNPJ]],"")</f>
        <v>38.347.560/0001-82</v>
      </c>
      <c r="C207" t="str">
        <f>_xlfn.XLOOKUP(A207,tblVendas[[#This Row],[NR_SIMULACAO]],tblVendas[[#This Row],[STATUS]],"")</f>
        <v>NEGOCIANDO</v>
      </c>
      <c r="D207" t="str">
        <f>_xlfn.XLOOKUP(A207,tblVendas[[#This Row],[NR_SIMULACAO]],tblVendas[[#This Row],[MES]],"")</f>
        <v>Junho</v>
      </c>
      <c r="E207">
        <f>SUM(_xlfn.XLOOKUP(tblCalculo[[#This Row],[NR_SIMULACAO]],tblVendas[[#This Row],[NR_SIMULACAO]],tblVendas[[#This Row],[VALOR_MOVEL]],""):_xlfn.XLOOKUP(tblCalculo[[#This Row],[NR_SIMULACAO]],tblVendas[[#This Row],[NR_SIMULACAO]],tblVendas[[#This Row],[VALOR_APARELHO]],""))</f>
        <v>2205.56</v>
      </c>
      <c r="F207">
        <f>IF(tblCalculo[[#This Row],[STATUS]]="CONCLUÍDO",_xlfn.XLOOKUP(tblCalculo[[#This Row],[NR_SIMULACAO]],tblVendas[[#This Row],[NR_SIMULACAO]],tblVendas[[#This Row],[VALOR_MOVEL]],""),0)</f>
        <v>0</v>
      </c>
      <c r="G207">
        <f>IF(tblCalculo[[#This Row],[STATUS]]="CONCLUÍDO",_xlfn.XLOOKUP(tblCalculo[[#This Row],[NR_SIMULACAO]],tblVendas[[#This Row],[NR_SIMULACAO]],tblVendas[[#This Row],[VALOR_AVANCADO]],""),0)</f>
        <v>0</v>
      </c>
      <c r="H207">
        <f>IF(tblCalculo[[#This Row],[STATUS]]="CONCLUÍDO",_xlfn.XLOOKUP(tblCalculo[[#This Row],[NR_SIMULACAO]],tblVendas[[#This Row],[NR_SIMULACAO]],tblVendas[[#This Row],[VALOR_FIXABASICA]],""),0)</f>
        <v>0</v>
      </c>
      <c r="I207">
        <f>IF(tblCalculo[[#This Row],[STATUS]]="CONCLUÍDO",_xlfn.XLOOKUP(tblCalculo[[#This Row],[NR_SIMULACAO]],tblVendas[[#This Row],[NR_SIMULACAO]],tblVendas[[#This Row],[VALOR_TI]],""),0)</f>
        <v>0</v>
      </c>
      <c r="J207">
        <f>IF(tblCalculo[[#This Row],[STATUS]]="CONCLUÍDO",_xlfn.XLOOKUP(tblCalculo[[#This Row],[NR_SIMULACAO]],tblVendas[[#This Row],[NR_SIMULACAO]],tblVendas[[#This Row],[VALOR_APARELHO]],""),0)</f>
        <v>0</v>
      </c>
      <c r="K207">
        <f>IF(tblCalculo[[#This Row],[STATUS]]="NEGOCIANDO",tblCalculo[[#This Row],[VALOR_TOTAL]],"")</f>
        <v>2205.56</v>
      </c>
      <c r="L207" t="str">
        <f>IF(tblCalculo[[#This Row],[STATUS]]="ALÇADA",tblCalculo[[#This Row],[VALOR_TOTAL]],"")</f>
        <v/>
      </c>
      <c r="M207" t="str">
        <f>IF(tblCalculo[[#This Row],[STATUS]]="EM ANÁLISE",tblCalculo[[#This Row],[VALOR_TOTAL]],"")</f>
        <v/>
      </c>
      <c r="N207" t="str">
        <f>IF(tblCalculo[[#This Row],[STATUS]]="TRAMITANDO",tblCalculo[[#This Row],[VALOR_TOTAL]],"")</f>
        <v/>
      </c>
      <c r="O207" t="str">
        <f>IF(tblCalculo[[#This Row],[STATUS]]="PERDIDO",tblCalculo[[#This Row],[VALOR_TOTAL]],"")</f>
        <v/>
      </c>
      <c r="P207" t="str">
        <f>IF(tblCalculo[[#This Row],[STATUS]]="CONCLUÍDO",tblCalculo[[#This Row],[VALOR_TOTAL]],"")</f>
        <v/>
      </c>
    </row>
    <row r="208" spans="1:16" x14ac:dyDescent="0.25">
      <c r="A208" t="str">
        <f>tblVendas[[#This Row],[NR_SIMULACAO]]</f>
        <v>SIM1198</v>
      </c>
      <c r="B208" s="34" t="str">
        <f>_xlfn.XLOOKUP(A208,tblVendas[[#This Row],[NR_SIMULACAO]],tblVendas[[#This Row],[NR_CNPJ]],"")</f>
        <v>97.805.202/0001-25</v>
      </c>
      <c r="C208" t="str">
        <f>_xlfn.XLOOKUP(A208,tblVendas[[#This Row],[NR_SIMULACAO]],tblVendas[[#This Row],[STATUS]],"")</f>
        <v>ALÇADA</v>
      </c>
      <c r="D208" t="str">
        <f>_xlfn.XLOOKUP(A208,tblVendas[[#This Row],[NR_SIMULACAO]],tblVendas[[#This Row],[MES]],"")</f>
        <v>Janeiro</v>
      </c>
      <c r="E208">
        <f>SUM(_xlfn.XLOOKUP(tblCalculo[[#This Row],[NR_SIMULACAO]],tblVendas[[#This Row],[NR_SIMULACAO]],tblVendas[[#This Row],[VALOR_MOVEL]],""):_xlfn.XLOOKUP(tblCalculo[[#This Row],[NR_SIMULACAO]],tblVendas[[#This Row],[NR_SIMULACAO]],tblVendas[[#This Row],[VALOR_APARELHO]],""))</f>
        <v>9788.2900000000009</v>
      </c>
      <c r="F208">
        <f>IF(tblCalculo[[#This Row],[STATUS]]="CONCLUÍDO",_xlfn.XLOOKUP(tblCalculo[[#This Row],[NR_SIMULACAO]],tblVendas[[#This Row],[NR_SIMULACAO]],tblVendas[[#This Row],[VALOR_MOVEL]],""),0)</f>
        <v>0</v>
      </c>
      <c r="G208">
        <f>IF(tblCalculo[[#This Row],[STATUS]]="CONCLUÍDO",_xlfn.XLOOKUP(tblCalculo[[#This Row],[NR_SIMULACAO]],tblVendas[[#This Row],[NR_SIMULACAO]],tblVendas[[#This Row],[VALOR_AVANCADO]],""),0)</f>
        <v>0</v>
      </c>
      <c r="H208">
        <f>IF(tblCalculo[[#This Row],[STATUS]]="CONCLUÍDO",_xlfn.XLOOKUP(tblCalculo[[#This Row],[NR_SIMULACAO]],tblVendas[[#This Row],[NR_SIMULACAO]],tblVendas[[#This Row],[VALOR_FIXABASICA]],""),0)</f>
        <v>0</v>
      </c>
      <c r="I208">
        <f>IF(tblCalculo[[#This Row],[STATUS]]="CONCLUÍDO",_xlfn.XLOOKUP(tblCalculo[[#This Row],[NR_SIMULACAO]],tblVendas[[#This Row],[NR_SIMULACAO]],tblVendas[[#This Row],[VALOR_TI]],""),0)</f>
        <v>0</v>
      </c>
      <c r="J208">
        <f>IF(tblCalculo[[#This Row],[STATUS]]="CONCLUÍDO",_xlfn.XLOOKUP(tblCalculo[[#This Row],[NR_SIMULACAO]],tblVendas[[#This Row],[NR_SIMULACAO]],tblVendas[[#This Row],[VALOR_APARELHO]],""),0)</f>
        <v>0</v>
      </c>
      <c r="K208" t="str">
        <f>IF(tblCalculo[[#This Row],[STATUS]]="NEGOCIANDO",tblCalculo[[#This Row],[VALOR_TOTAL]],"")</f>
        <v/>
      </c>
      <c r="L208">
        <f>IF(tblCalculo[[#This Row],[STATUS]]="ALÇADA",tblCalculo[[#This Row],[VALOR_TOTAL]],"")</f>
        <v>9788.2900000000009</v>
      </c>
      <c r="M208" t="str">
        <f>IF(tblCalculo[[#This Row],[STATUS]]="EM ANÁLISE",tblCalculo[[#This Row],[VALOR_TOTAL]],"")</f>
        <v/>
      </c>
      <c r="N208" t="str">
        <f>IF(tblCalculo[[#This Row],[STATUS]]="TRAMITANDO",tblCalculo[[#This Row],[VALOR_TOTAL]],"")</f>
        <v/>
      </c>
      <c r="O208" t="str">
        <f>IF(tblCalculo[[#This Row],[STATUS]]="PERDIDO",tblCalculo[[#This Row],[VALOR_TOTAL]],"")</f>
        <v/>
      </c>
      <c r="P208" t="str">
        <f>IF(tblCalculo[[#This Row],[STATUS]]="CONCLUÍDO",tblCalculo[[#This Row],[VALOR_TOTAL]],"")</f>
        <v/>
      </c>
    </row>
    <row r="209" spans="1:16" x14ac:dyDescent="0.25">
      <c r="A209" t="str">
        <f>tblVendas[[#This Row],[NR_SIMULACAO]]</f>
        <v>SIM1199</v>
      </c>
      <c r="B209" s="34" t="str">
        <f>_xlfn.XLOOKUP(A209,tblVendas[[#This Row],[NR_SIMULACAO]],tblVendas[[#This Row],[NR_CNPJ]],"")</f>
        <v>32.496.682/0001-18</v>
      </c>
      <c r="C209" t="str">
        <f>_xlfn.XLOOKUP(A209,tblVendas[[#This Row],[NR_SIMULACAO]],tblVendas[[#This Row],[STATUS]],"")</f>
        <v>CONCLUÍDO</v>
      </c>
      <c r="D209" t="str">
        <f>_xlfn.XLOOKUP(A209,tblVendas[[#This Row],[NR_SIMULACAO]],tblVendas[[#This Row],[MES]],"")</f>
        <v>Novembro</v>
      </c>
      <c r="E209">
        <f>SUM(_xlfn.XLOOKUP(tblCalculo[[#This Row],[NR_SIMULACAO]],tblVendas[[#This Row],[NR_SIMULACAO]],tblVendas[[#This Row],[VALOR_MOVEL]],""):_xlfn.XLOOKUP(tblCalculo[[#This Row],[NR_SIMULACAO]],tblVendas[[#This Row],[NR_SIMULACAO]],tblVendas[[#This Row],[VALOR_APARELHO]],""))</f>
        <v>20629.13</v>
      </c>
      <c r="F209">
        <f>IF(tblCalculo[[#This Row],[STATUS]]="CONCLUÍDO",_xlfn.XLOOKUP(tblCalculo[[#This Row],[NR_SIMULACAO]],tblVendas[[#This Row],[NR_SIMULACAO]],tblVendas[[#This Row],[VALOR_MOVEL]],""),0)</f>
        <v>5975.42</v>
      </c>
      <c r="G209">
        <f>IF(tblCalculo[[#This Row],[STATUS]]="CONCLUÍDO",_xlfn.XLOOKUP(tblCalculo[[#This Row],[NR_SIMULACAO]],tblVendas[[#This Row],[NR_SIMULACAO]],tblVendas[[#This Row],[VALOR_AVANCADO]],""),0)</f>
        <v>675.59</v>
      </c>
      <c r="H209">
        <f>IF(tblCalculo[[#This Row],[STATUS]]="CONCLUÍDO",_xlfn.XLOOKUP(tblCalculo[[#This Row],[NR_SIMULACAO]],tblVendas[[#This Row],[NR_SIMULACAO]],tblVendas[[#This Row],[VALOR_FIXABASICA]],""),0)</f>
        <v>2449.44</v>
      </c>
      <c r="I209">
        <f>IF(tblCalculo[[#This Row],[STATUS]]="CONCLUÍDO",_xlfn.XLOOKUP(tblCalculo[[#This Row],[NR_SIMULACAO]],tblVendas[[#This Row],[NR_SIMULACAO]],tblVendas[[#This Row],[VALOR_TI]],""),0)</f>
        <v>11528.68</v>
      </c>
      <c r="J209">
        <f>IF(tblCalculo[[#This Row],[STATUS]]="CONCLUÍDO",_xlfn.XLOOKUP(tblCalculo[[#This Row],[NR_SIMULACAO]],tblVendas[[#This Row],[NR_SIMULACAO]],tblVendas[[#This Row],[VALOR_APARELHO]],""),0)</f>
        <v>0</v>
      </c>
      <c r="K209" t="str">
        <f>IF(tblCalculo[[#This Row],[STATUS]]="NEGOCIANDO",tblCalculo[[#This Row],[VALOR_TOTAL]],"")</f>
        <v/>
      </c>
      <c r="L209" t="str">
        <f>IF(tblCalculo[[#This Row],[STATUS]]="ALÇADA",tblCalculo[[#This Row],[VALOR_TOTAL]],"")</f>
        <v/>
      </c>
      <c r="M209" t="str">
        <f>IF(tblCalculo[[#This Row],[STATUS]]="EM ANÁLISE",tblCalculo[[#This Row],[VALOR_TOTAL]],"")</f>
        <v/>
      </c>
      <c r="N209" t="str">
        <f>IF(tblCalculo[[#This Row],[STATUS]]="TRAMITANDO",tblCalculo[[#This Row],[VALOR_TOTAL]],"")</f>
        <v/>
      </c>
      <c r="O209" t="str">
        <f>IF(tblCalculo[[#This Row],[STATUS]]="PERDIDO",tblCalculo[[#This Row],[VALOR_TOTAL]],"")</f>
        <v/>
      </c>
      <c r="P209">
        <f>IF(tblCalculo[[#This Row],[STATUS]]="CONCLUÍDO",tblCalculo[[#This Row],[VALOR_TOTAL]],"")</f>
        <v>20629.13</v>
      </c>
    </row>
    <row r="210" spans="1:16" x14ac:dyDescent="0.25">
      <c r="A210" t="str">
        <f>tblVendas[[#This Row],[NR_SIMULACAO]]</f>
        <v>SIM1200</v>
      </c>
      <c r="B210" s="34" t="str">
        <f>_xlfn.XLOOKUP(A210,tblVendas[[#This Row],[NR_SIMULACAO]],tblVendas[[#This Row],[NR_CNPJ]],"")</f>
        <v>51.233.373/0001-12</v>
      </c>
      <c r="C210" t="str">
        <f>_xlfn.XLOOKUP(A210,tblVendas[[#This Row],[NR_SIMULACAO]],tblVendas[[#This Row],[STATUS]],"")</f>
        <v>EM ANÁLISE</v>
      </c>
      <c r="D210" t="str">
        <f>_xlfn.XLOOKUP(A210,tblVendas[[#This Row],[NR_SIMULACAO]],tblVendas[[#This Row],[MES]],"")</f>
        <v>Agosto</v>
      </c>
      <c r="E210">
        <f>SUM(_xlfn.XLOOKUP(tblCalculo[[#This Row],[NR_SIMULACAO]],tblVendas[[#This Row],[NR_SIMULACAO]],tblVendas[[#This Row],[VALOR_MOVEL]],""):_xlfn.XLOOKUP(tblCalculo[[#This Row],[NR_SIMULACAO]],tblVendas[[#This Row],[NR_SIMULACAO]],tblVendas[[#This Row],[VALOR_APARELHO]],""))</f>
        <v>18250.86</v>
      </c>
      <c r="F210">
        <f>IF(tblCalculo[[#This Row],[STATUS]]="CONCLUÍDO",_xlfn.XLOOKUP(tblCalculo[[#This Row],[NR_SIMULACAO]],tblVendas[[#This Row],[NR_SIMULACAO]],tblVendas[[#This Row],[VALOR_MOVEL]],""),0)</f>
        <v>0</v>
      </c>
      <c r="G210">
        <f>IF(tblCalculo[[#This Row],[STATUS]]="CONCLUÍDO",_xlfn.XLOOKUP(tblCalculo[[#This Row],[NR_SIMULACAO]],tblVendas[[#This Row],[NR_SIMULACAO]],tblVendas[[#This Row],[VALOR_AVANCADO]],""),0)</f>
        <v>0</v>
      </c>
      <c r="H210">
        <f>IF(tblCalculo[[#This Row],[STATUS]]="CONCLUÍDO",_xlfn.XLOOKUP(tblCalculo[[#This Row],[NR_SIMULACAO]],tblVendas[[#This Row],[NR_SIMULACAO]],tblVendas[[#This Row],[VALOR_FIXABASICA]],""),0)</f>
        <v>0</v>
      </c>
      <c r="I210">
        <f>IF(tblCalculo[[#This Row],[STATUS]]="CONCLUÍDO",_xlfn.XLOOKUP(tblCalculo[[#This Row],[NR_SIMULACAO]],tblVendas[[#This Row],[NR_SIMULACAO]],tblVendas[[#This Row],[VALOR_TI]],""),0)</f>
        <v>0</v>
      </c>
      <c r="J210">
        <f>IF(tblCalculo[[#This Row],[STATUS]]="CONCLUÍDO",_xlfn.XLOOKUP(tblCalculo[[#This Row],[NR_SIMULACAO]],tblVendas[[#This Row],[NR_SIMULACAO]],tblVendas[[#This Row],[VALOR_APARELHO]],""),0)</f>
        <v>0</v>
      </c>
      <c r="K210" t="str">
        <f>IF(tblCalculo[[#This Row],[STATUS]]="NEGOCIANDO",tblCalculo[[#This Row],[VALOR_TOTAL]],"")</f>
        <v/>
      </c>
      <c r="L210" t="str">
        <f>IF(tblCalculo[[#This Row],[STATUS]]="ALÇADA",tblCalculo[[#This Row],[VALOR_TOTAL]],"")</f>
        <v/>
      </c>
      <c r="M210">
        <f>IF(tblCalculo[[#This Row],[STATUS]]="EM ANÁLISE",tblCalculo[[#This Row],[VALOR_TOTAL]],"")</f>
        <v>18250.86</v>
      </c>
      <c r="N210" t="str">
        <f>IF(tblCalculo[[#This Row],[STATUS]]="TRAMITANDO",tblCalculo[[#This Row],[VALOR_TOTAL]],"")</f>
        <v/>
      </c>
      <c r="O210" t="str">
        <f>IF(tblCalculo[[#This Row],[STATUS]]="PERDIDO",tblCalculo[[#This Row],[VALOR_TOTAL]],"")</f>
        <v/>
      </c>
      <c r="P210" t="str">
        <f>IF(tblCalculo[[#This Row],[STATUS]]="CONCLUÍDO",tblCalculo[[#This Row],[VALOR_TOTAL]],"")</f>
        <v/>
      </c>
    </row>
    <row r="211" spans="1:16" x14ac:dyDescent="0.25">
      <c r="A211" t="str">
        <f>tblVendas[[#This Row],[NR_SIMULACAO]]</f>
        <v>SIM1201</v>
      </c>
      <c r="B211" s="34" t="str">
        <f>_xlfn.XLOOKUP(A211,tblVendas[[#This Row],[NR_SIMULACAO]],tblVendas[[#This Row],[NR_CNPJ]],"")</f>
        <v>20.448.638/0001-92</v>
      </c>
      <c r="C211" t="str">
        <f>_xlfn.XLOOKUP(A211,tblVendas[[#This Row],[NR_SIMULACAO]],tblVendas[[#This Row],[STATUS]],"")</f>
        <v>CONCLUÍDO</v>
      </c>
      <c r="D211" t="str">
        <f>_xlfn.XLOOKUP(A211,tblVendas[[#This Row],[NR_SIMULACAO]],tblVendas[[#This Row],[MES]],"")</f>
        <v>Julho</v>
      </c>
      <c r="E211">
        <f>SUM(_xlfn.XLOOKUP(tblCalculo[[#This Row],[NR_SIMULACAO]],tblVendas[[#This Row],[NR_SIMULACAO]],tblVendas[[#This Row],[VALOR_MOVEL]],""):_xlfn.XLOOKUP(tblCalculo[[#This Row],[NR_SIMULACAO]],tblVendas[[#This Row],[NR_SIMULACAO]],tblVendas[[#This Row],[VALOR_APARELHO]],""))</f>
        <v>2245.3200000000002</v>
      </c>
      <c r="F211">
        <f>IF(tblCalculo[[#This Row],[STATUS]]="CONCLUÍDO",_xlfn.XLOOKUP(tblCalculo[[#This Row],[NR_SIMULACAO]],tblVendas[[#This Row],[NR_SIMULACAO]],tblVendas[[#This Row],[VALOR_MOVEL]],""),0)</f>
        <v>2245.3200000000002</v>
      </c>
      <c r="G211">
        <f>IF(tblCalculo[[#This Row],[STATUS]]="CONCLUÍDO",_xlfn.XLOOKUP(tblCalculo[[#This Row],[NR_SIMULACAO]],tblVendas[[#This Row],[NR_SIMULACAO]],tblVendas[[#This Row],[VALOR_AVANCADO]],""),0)</f>
        <v>0</v>
      </c>
      <c r="H211">
        <f>IF(tblCalculo[[#This Row],[STATUS]]="CONCLUÍDO",_xlfn.XLOOKUP(tblCalculo[[#This Row],[NR_SIMULACAO]],tblVendas[[#This Row],[NR_SIMULACAO]],tblVendas[[#This Row],[VALOR_FIXABASICA]],""),0)</f>
        <v>0</v>
      </c>
      <c r="I211">
        <f>IF(tblCalculo[[#This Row],[STATUS]]="CONCLUÍDO",_xlfn.XLOOKUP(tblCalculo[[#This Row],[NR_SIMULACAO]],tblVendas[[#This Row],[NR_SIMULACAO]],tblVendas[[#This Row],[VALOR_TI]],""),0)</f>
        <v>0</v>
      </c>
      <c r="J211">
        <f>IF(tblCalculo[[#This Row],[STATUS]]="CONCLUÍDO",_xlfn.XLOOKUP(tblCalculo[[#This Row],[NR_SIMULACAO]],tblVendas[[#This Row],[NR_SIMULACAO]],tblVendas[[#This Row],[VALOR_APARELHO]],""),0)</f>
        <v>0</v>
      </c>
      <c r="K211" t="str">
        <f>IF(tblCalculo[[#This Row],[STATUS]]="NEGOCIANDO",tblCalculo[[#This Row],[VALOR_TOTAL]],"")</f>
        <v/>
      </c>
      <c r="L211" t="str">
        <f>IF(tblCalculo[[#This Row],[STATUS]]="ALÇADA",tblCalculo[[#This Row],[VALOR_TOTAL]],"")</f>
        <v/>
      </c>
      <c r="M211" t="str">
        <f>IF(tblCalculo[[#This Row],[STATUS]]="EM ANÁLISE",tblCalculo[[#This Row],[VALOR_TOTAL]],"")</f>
        <v/>
      </c>
      <c r="N211" t="str">
        <f>IF(tblCalculo[[#This Row],[STATUS]]="TRAMITANDO",tblCalculo[[#This Row],[VALOR_TOTAL]],"")</f>
        <v/>
      </c>
      <c r="O211" t="str">
        <f>IF(tblCalculo[[#This Row],[STATUS]]="PERDIDO",tblCalculo[[#This Row],[VALOR_TOTAL]],"")</f>
        <v/>
      </c>
      <c r="P211">
        <f>IF(tblCalculo[[#This Row],[STATUS]]="CONCLUÍDO",tblCalculo[[#This Row],[VALOR_TOTAL]],"")</f>
        <v>2245.3200000000002</v>
      </c>
    </row>
    <row r="212" spans="1:16" x14ac:dyDescent="0.25">
      <c r="A212" t="str">
        <f>tblVendas[[#This Row],[NR_SIMULACAO]]</f>
        <v>SIM1202</v>
      </c>
      <c r="B212" s="34" t="str">
        <f>_xlfn.XLOOKUP(A212,tblVendas[[#This Row],[NR_SIMULACAO]],tblVendas[[#This Row],[NR_CNPJ]],"")</f>
        <v>89.558.892/0001-32</v>
      </c>
      <c r="C212" t="str">
        <f>_xlfn.XLOOKUP(A212,tblVendas[[#This Row],[NR_SIMULACAO]],tblVendas[[#This Row],[STATUS]],"")</f>
        <v>EM ANÁLISE</v>
      </c>
      <c r="D212" t="str">
        <f>_xlfn.XLOOKUP(A212,tblVendas[[#This Row],[NR_SIMULACAO]],tblVendas[[#This Row],[MES]],"")</f>
        <v>Julho</v>
      </c>
      <c r="E212">
        <f>SUM(_xlfn.XLOOKUP(tblCalculo[[#This Row],[NR_SIMULACAO]],tblVendas[[#This Row],[NR_SIMULACAO]],tblVendas[[#This Row],[VALOR_MOVEL]],""):_xlfn.XLOOKUP(tblCalculo[[#This Row],[NR_SIMULACAO]],tblVendas[[#This Row],[NR_SIMULACAO]],tblVendas[[#This Row],[VALOR_APARELHO]],""))</f>
        <v>1140.21</v>
      </c>
      <c r="F212">
        <f>IF(tblCalculo[[#This Row],[STATUS]]="CONCLUÍDO",_xlfn.XLOOKUP(tblCalculo[[#This Row],[NR_SIMULACAO]],tblVendas[[#This Row],[NR_SIMULACAO]],tblVendas[[#This Row],[VALOR_MOVEL]],""),0)</f>
        <v>0</v>
      </c>
      <c r="G212">
        <f>IF(tblCalculo[[#This Row],[STATUS]]="CONCLUÍDO",_xlfn.XLOOKUP(tblCalculo[[#This Row],[NR_SIMULACAO]],tblVendas[[#This Row],[NR_SIMULACAO]],tblVendas[[#This Row],[VALOR_AVANCADO]],""),0)</f>
        <v>0</v>
      </c>
      <c r="H212">
        <f>IF(tblCalculo[[#This Row],[STATUS]]="CONCLUÍDO",_xlfn.XLOOKUP(tblCalculo[[#This Row],[NR_SIMULACAO]],tblVendas[[#This Row],[NR_SIMULACAO]],tblVendas[[#This Row],[VALOR_FIXABASICA]],""),0)</f>
        <v>0</v>
      </c>
      <c r="I212">
        <f>IF(tblCalculo[[#This Row],[STATUS]]="CONCLUÍDO",_xlfn.XLOOKUP(tblCalculo[[#This Row],[NR_SIMULACAO]],tblVendas[[#This Row],[NR_SIMULACAO]],tblVendas[[#This Row],[VALOR_TI]],""),0)</f>
        <v>0</v>
      </c>
      <c r="J212">
        <f>IF(tblCalculo[[#This Row],[STATUS]]="CONCLUÍDO",_xlfn.XLOOKUP(tblCalculo[[#This Row],[NR_SIMULACAO]],tblVendas[[#This Row],[NR_SIMULACAO]],tblVendas[[#This Row],[VALOR_APARELHO]],""),0)</f>
        <v>0</v>
      </c>
      <c r="K212" t="str">
        <f>IF(tblCalculo[[#This Row],[STATUS]]="NEGOCIANDO",tblCalculo[[#This Row],[VALOR_TOTAL]],"")</f>
        <v/>
      </c>
      <c r="L212" t="str">
        <f>IF(tblCalculo[[#This Row],[STATUS]]="ALÇADA",tblCalculo[[#This Row],[VALOR_TOTAL]],"")</f>
        <v/>
      </c>
      <c r="M212">
        <f>IF(tblCalculo[[#This Row],[STATUS]]="EM ANÁLISE",tblCalculo[[#This Row],[VALOR_TOTAL]],"")</f>
        <v>1140.21</v>
      </c>
      <c r="N212" t="str">
        <f>IF(tblCalculo[[#This Row],[STATUS]]="TRAMITANDO",tblCalculo[[#This Row],[VALOR_TOTAL]],"")</f>
        <v/>
      </c>
      <c r="O212" t="str">
        <f>IF(tblCalculo[[#This Row],[STATUS]]="PERDIDO",tblCalculo[[#This Row],[VALOR_TOTAL]],"")</f>
        <v/>
      </c>
      <c r="P212" t="str">
        <f>IF(tblCalculo[[#This Row],[STATUS]]="CONCLUÍDO",tblCalculo[[#This Row],[VALOR_TOTAL]],"")</f>
        <v/>
      </c>
    </row>
    <row r="213" spans="1:16" x14ac:dyDescent="0.25">
      <c r="A213" t="str">
        <f>tblVendas[[#This Row],[NR_SIMULACAO]]</f>
        <v>SIM1203</v>
      </c>
      <c r="B213" s="34" t="str">
        <f>_xlfn.XLOOKUP(A213,tblVendas[[#This Row],[NR_SIMULACAO]],tblVendas[[#This Row],[NR_CNPJ]],"")</f>
        <v>22.417.628/0001-55</v>
      </c>
      <c r="C213" t="str">
        <f>_xlfn.XLOOKUP(A213,tblVendas[[#This Row],[NR_SIMULACAO]],tblVendas[[#This Row],[STATUS]],"")</f>
        <v>PERDIDO</v>
      </c>
      <c r="D213" t="str">
        <f>_xlfn.XLOOKUP(A213,tblVendas[[#This Row],[NR_SIMULACAO]],tblVendas[[#This Row],[MES]],"")</f>
        <v>Fevereiro</v>
      </c>
      <c r="E213">
        <f>SUM(_xlfn.XLOOKUP(tblCalculo[[#This Row],[NR_SIMULACAO]],tblVendas[[#This Row],[NR_SIMULACAO]],tblVendas[[#This Row],[VALOR_MOVEL]],""):_xlfn.XLOOKUP(tblCalculo[[#This Row],[NR_SIMULACAO]],tblVendas[[#This Row],[NR_SIMULACAO]],tblVendas[[#This Row],[VALOR_APARELHO]],""))</f>
        <v>15545.640000000001</v>
      </c>
      <c r="F213">
        <f>IF(tblCalculo[[#This Row],[STATUS]]="CONCLUÍDO",_xlfn.XLOOKUP(tblCalculo[[#This Row],[NR_SIMULACAO]],tblVendas[[#This Row],[NR_SIMULACAO]],tblVendas[[#This Row],[VALOR_MOVEL]],""),0)</f>
        <v>0</v>
      </c>
      <c r="G213">
        <f>IF(tblCalculo[[#This Row],[STATUS]]="CONCLUÍDO",_xlfn.XLOOKUP(tblCalculo[[#This Row],[NR_SIMULACAO]],tblVendas[[#This Row],[NR_SIMULACAO]],tblVendas[[#This Row],[VALOR_AVANCADO]],""),0)</f>
        <v>0</v>
      </c>
      <c r="H213">
        <f>IF(tblCalculo[[#This Row],[STATUS]]="CONCLUÍDO",_xlfn.XLOOKUP(tblCalculo[[#This Row],[NR_SIMULACAO]],tblVendas[[#This Row],[NR_SIMULACAO]],tblVendas[[#This Row],[VALOR_FIXABASICA]],""),0)</f>
        <v>0</v>
      </c>
      <c r="I213">
        <f>IF(tblCalculo[[#This Row],[STATUS]]="CONCLUÍDO",_xlfn.XLOOKUP(tblCalculo[[#This Row],[NR_SIMULACAO]],tblVendas[[#This Row],[NR_SIMULACAO]],tblVendas[[#This Row],[VALOR_TI]],""),0)</f>
        <v>0</v>
      </c>
      <c r="J213">
        <f>IF(tblCalculo[[#This Row],[STATUS]]="CONCLUÍDO",_xlfn.XLOOKUP(tblCalculo[[#This Row],[NR_SIMULACAO]],tblVendas[[#This Row],[NR_SIMULACAO]],tblVendas[[#This Row],[VALOR_APARELHO]],""),0)</f>
        <v>0</v>
      </c>
      <c r="K213" t="str">
        <f>IF(tblCalculo[[#This Row],[STATUS]]="NEGOCIANDO",tblCalculo[[#This Row],[VALOR_TOTAL]],"")</f>
        <v/>
      </c>
      <c r="L213" t="str">
        <f>IF(tblCalculo[[#This Row],[STATUS]]="ALÇADA",tblCalculo[[#This Row],[VALOR_TOTAL]],"")</f>
        <v/>
      </c>
      <c r="M213" t="str">
        <f>IF(tblCalculo[[#This Row],[STATUS]]="EM ANÁLISE",tblCalculo[[#This Row],[VALOR_TOTAL]],"")</f>
        <v/>
      </c>
      <c r="N213" t="str">
        <f>IF(tblCalculo[[#This Row],[STATUS]]="TRAMITANDO",tblCalculo[[#This Row],[VALOR_TOTAL]],"")</f>
        <v/>
      </c>
      <c r="O213">
        <f>IF(tblCalculo[[#This Row],[STATUS]]="PERDIDO",tblCalculo[[#This Row],[VALOR_TOTAL]],"")</f>
        <v>15545.640000000001</v>
      </c>
      <c r="P213" t="str">
        <f>IF(tblCalculo[[#This Row],[STATUS]]="CONCLUÍDO",tblCalculo[[#This Row],[VALOR_TOTAL]],"")</f>
        <v/>
      </c>
    </row>
    <row r="214" spans="1:16" x14ac:dyDescent="0.25">
      <c r="A214" t="str">
        <f>tblVendas[[#This Row],[NR_SIMULACAO]]</f>
        <v>SIM1204</v>
      </c>
      <c r="B214" s="34" t="str">
        <f>_xlfn.XLOOKUP(A214,tblVendas[[#This Row],[NR_SIMULACAO]],tblVendas[[#This Row],[NR_CNPJ]],"")</f>
        <v>47.489.462/0001-30</v>
      </c>
      <c r="C214" t="str">
        <f>_xlfn.XLOOKUP(A214,tblVendas[[#This Row],[NR_SIMULACAO]],tblVendas[[#This Row],[STATUS]],"")</f>
        <v>ALÇADA</v>
      </c>
      <c r="D214" t="str">
        <f>_xlfn.XLOOKUP(A214,tblVendas[[#This Row],[NR_SIMULACAO]],tblVendas[[#This Row],[MES]],"")</f>
        <v>Outubro</v>
      </c>
      <c r="E214">
        <f>SUM(_xlfn.XLOOKUP(tblCalculo[[#This Row],[NR_SIMULACAO]],tblVendas[[#This Row],[NR_SIMULACAO]],tblVendas[[#This Row],[VALOR_MOVEL]],""):_xlfn.XLOOKUP(tblCalculo[[#This Row],[NR_SIMULACAO]],tblVendas[[#This Row],[NR_SIMULACAO]],tblVendas[[#This Row],[VALOR_APARELHO]],""))</f>
        <v>9326.4500000000007</v>
      </c>
      <c r="F214">
        <f>IF(tblCalculo[[#This Row],[STATUS]]="CONCLUÍDO",_xlfn.XLOOKUP(tblCalculo[[#This Row],[NR_SIMULACAO]],tblVendas[[#This Row],[NR_SIMULACAO]],tblVendas[[#This Row],[VALOR_MOVEL]],""),0)</f>
        <v>0</v>
      </c>
      <c r="G214">
        <f>IF(tblCalculo[[#This Row],[STATUS]]="CONCLUÍDO",_xlfn.XLOOKUP(tblCalculo[[#This Row],[NR_SIMULACAO]],tblVendas[[#This Row],[NR_SIMULACAO]],tblVendas[[#This Row],[VALOR_AVANCADO]],""),0)</f>
        <v>0</v>
      </c>
      <c r="H214">
        <f>IF(tblCalculo[[#This Row],[STATUS]]="CONCLUÍDO",_xlfn.XLOOKUP(tblCalculo[[#This Row],[NR_SIMULACAO]],tblVendas[[#This Row],[NR_SIMULACAO]],tblVendas[[#This Row],[VALOR_FIXABASICA]],""),0)</f>
        <v>0</v>
      </c>
      <c r="I214">
        <f>IF(tblCalculo[[#This Row],[STATUS]]="CONCLUÍDO",_xlfn.XLOOKUP(tblCalculo[[#This Row],[NR_SIMULACAO]],tblVendas[[#This Row],[NR_SIMULACAO]],tblVendas[[#This Row],[VALOR_TI]],""),0)</f>
        <v>0</v>
      </c>
      <c r="J214">
        <f>IF(tblCalculo[[#This Row],[STATUS]]="CONCLUÍDO",_xlfn.XLOOKUP(tblCalculo[[#This Row],[NR_SIMULACAO]],tblVendas[[#This Row],[NR_SIMULACAO]],tblVendas[[#This Row],[VALOR_APARELHO]],""),0)</f>
        <v>0</v>
      </c>
      <c r="K214" t="str">
        <f>IF(tblCalculo[[#This Row],[STATUS]]="NEGOCIANDO",tblCalculo[[#This Row],[VALOR_TOTAL]],"")</f>
        <v/>
      </c>
      <c r="L214">
        <f>IF(tblCalculo[[#This Row],[STATUS]]="ALÇADA",tblCalculo[[#This Row],[VALOR_TOTAL]],"")</f>
        <v>9326.4500000000007</v>
      </c>
      <c r="M214" t="str">
        <f>IF(tblCalculo[[#This Row],[STATUS]]="EM ANÁLISE",tblCalculo[[#This Row],[VALOR_TOTAL]],"")</f>
        <v/>
      </c>
      <c r="N214" t="str">
        <f>IF(tblCalculo[[#This Row],[STATUS]]="TRAMITANDO",tblCalculo[[#This Row],[VALOR_TOTAL]],"")</f>
        <v/>
      </c>
      <c r="O214" t="str">
        <f>IF(tblCalculo[[#This Row],[STATUS]]="PERDIDO",tblCalculo[[#This Row],[VALOR_TOTAL]],"")</f>
        <v/>
      </c>
      <c r="P214" t="str">
        <f>IF(tblCalculo[[#This Row],[STATUS]]="CONCLUÍDO",tblCalculo[[#This Row],[VALOR_TOTAL]],"")</f>
        <v/>
      </c>
    </row>
    <row r="215" spans="1:16" x14ac:dyDescent="0.25">
      <c r="A215" t="str">
        <f>tblVendas[[#This Row],[NR_SIMULACAO]]</f>
        <v>SIM1205</v>
      </c>
      <c r="B215" s="34" t="str">
        <f>_xlfn.XLOOKUP(A215,tblVendas[[#This Row],[NR_SIMULACAO]],tblVendas[[#This Row],[NR_CNPJ]],"")</f>
        <v>61.844.583/0001-37</v>
      </c>
      <c r="C215" t="str">
        <f>_xlfn.XLOOKUP(A215,tblVendas[[#This Row],[NR_SIMULACAO]],tblVendas[[#This Row],[STATUS]],"")</f>
        <v>PERDIDO</v>
      </c>
      <c r="D215" t="str">
        <f>_xlfn.XLOOKUP(A215,tblVendas[[#This Row],[NR_SIMULACAO]],tblVendas[[#This Row],[MES]],"")</f>
        <v>Setembro</v>
      </c>
      <c r="E215">
        <f>SUM(_xlfn.XLOOKUP(tblCalculo[[#This Row],[NR_SIMULACAO]],tblVendas[[#This Row],[NR_SIMULACAO]],tblVendas[[#This Row],[VALOR_MOVEL]],""):_xlfn.XLOOKUP(tblCalculo[[#This Row],[NR_SIMULACAO]],tblVendas[[#This Row],[NR_SIMULACAO]],tblVendas[[#This Row],[VALOR_APARELHO]],""))</f>
        <v>5833.22</v>
      </c>
      <c r="F215">
        <f>IF(tblCalculo[[#This Row],[STATUS]]="CONCLUÍDO",_xlfn.XLOOKUP(tblCalculo[[#This Row],[NR_SIMULACAO]],tblVendas[[#This Row],[NR_SIMULACAO]],tblVendas[[#This Row],[VALOR_MOVEL]],""),0)</f>
        <v>0</v>
      </c>
      <c r="G215">
        <f>IF(tblCalculo[[#This Row],[STATUS]]="CONCLUÍDO",_xlfn.XLOOKUP(tblCalculo[[#This Row],[NR_SIMULACAO]],tblVendas[[#This Row],[NR_SIMULACAO]],tblVendas[[#This Row],[VALOR_AVANCADO]],""),0)</f>
        <v>0</v>
      </c>
      <c r="H215">
        <f>IF(tblCalculo[[#This Row],[STATUS]]="CONCLUÍDO",_xlfn.XLOOKUP(tblCalculo[[#This Row],[NR_SIMULACAO]],tblVendas[[#This Row],[NR_SIMULACAO]],tblVendas[[#This Row],[VALOR_FIXABASICA]],""),0)</f>
        <v>0</v>
      </c>
      <c r="I215">
        <f>IF(tblCalculo[[#This Row],[STATUS]]="CONCLUÍDO",_xlfn.XLOOKUP(tblCalculo[[#This Row],[NR_SIMULACAO]],tblVendas[[#This Row],[NR_SIMULACAO]],tblVendas[[#This Row],[VALOR_TI]],""),0)</f>
        <v>0</v>
      </c>
      <c r="J215">
        <f>IF(tblCalculo[[#This Row],[STATUS]]="CONCLUÍDO",_xlfn.XLOOKUP(tblCalculo[[#This Row],[NR_SIMULACAO]],tblVendas[[#This Row],[NR_SIMULACAO]],tblVendas[[#This Row],[VALOR_APARELHO]],""),0)</f>
        <v>0</v>
      </c>
      <c r="K215" t="str">
        <f>IF(tblCalculo[[#This Row],[STATUS]]="NEGOCIANDO",tblCalculo[[#This Row],[VALOR_TOTAL]],"")</f>
        <v/>
      </c>
      <c r="L215" t="str">
        <f>IF(tblCalculo[[#This Row],[STATUS]]="ALÇADA",tblCalculo[[#This Row],[VALOR_TOTAL]],"")</f>
        <v/>
      </c>
      <c r="M215" t="str">
        <f>IF(tblCalculo[[#This Row],[STATUS]]="EM ANÁLISE",tblCalculo[[#This Row],[VALOR_TOTAL]],"")</f>
        <v/>
      </c>
      <c r="N215" t="str">
        <f>IF(tblCalculo[[#This Row],[STATUS]]="TRAMITANDO",tblCalculo[[#This Row],[VALOR_TOTAL]],"")</f>
        <v/>
      </c>
      <c r="O215">
        <f>IF(tblCalculo[[#This Row],[STATUS]]="PERDIDO",tblCalculo[[#This Row],[VALOR_TOTAL]],"")</f>
        <v>5833.22</v>
      </c>
      <c r="P215" t="str">
        <f>IF(tblCalculo[[#This Row],[STATUS]]="CONCLUÍDO",tblCalculo[[#This Row],[VALOR_TOTAL]],"")</f>
        <v/>
      </c>
    </row>
    <row r="216" spans="1:16" x14ac:dyDescent="0.25">
      <c r="A216" t="str">
        <f>tblVendas[[#This Row],[NR_SIMULACAO]]</f>
        <v>SIM1206</v>
      </c>
      <c r="B216" s="34" t="str">
        <f>_xlfn.XLOOKUP(A216,tblVendas[[#This Row],[NR_SIMULACAO]],tblVendas[[#This Row],[NR_CNPJ]],"")</f>
        <v>21.463.523/0001-27</v>
      </c>
      <c r="C216" t="str">
        <f>_xlfn.XLOOKUP(A216,tblVendas[[#This Row],[NR_SIMULACAO]],tblVendas[[#This Row],[STATUS]],"")</f>
        <v>TRAMITANDO</v>
      </c>
      <c r="D216" t="str">
        <f>_xlfn.XLOOKUP(A216,tblVendas[[#This Row],[NR_SIMULACAO]],tblVendas[[#This Row],[MES]],"")</f>
        <v>Maio</v>
      </c>
      <c r="E216">
        <f>SUM(_xlfn.XLOOKUP(tblCalculo[[#This Row],[NR_SIMULACAO]],tblVendas[[#This Row],[NR_SIMULACAO]],tblVendas[[#This Row],[VALOR_MOVEL]],""):_xlfn.XLOOKUP(tblCalculo[[#This Row],[NR_SIMULACAO]],tblVendas[[#This Row],[NR_SIMULACAO]],tblVendas[[#This Row],[VALOR_APARELHO]],""))</f>
        <v>17201.13</v>
      </c>
      <c r="F216">
        <f>IF(tblCalculo[[#This Row],[STATUS]]="CONCLUÍDO",_xlfn.XLOOKUP(tblCalculo[[#This Row],[NR_SIMULACAO]],tblVendas[[#This Row],[NR_SIMULACAO]],tblVendas[[#This Row],[VALOR_MOVEL]],""),0)</f>
        <v>0</v>
      </c>
      <c r="G216">
        <f>IF(tblCalculo[[#This Row],[STATUS]]="CONCLUÍDO",_xlfn.XLOOKUP(tblCalculo[[#This Row],[NR_SIMULACAO]],tblVendas[[#This Row],[NR_SIMULACAO]],tblVendas[[#This Row],[VALOR_AVANCADO]],""),0)</f>
        <v>0</v>
      </c>
      <c r="H216">
        <f>IF(tblCalculo[[#This Row],[STATUS]]="CONCLUÍDO",_xlfn.XLOOKUP(tblCalculo[[#This Row],[NR_SIMULACAO]],tblVendas[[#This Row],[NR_SIMULACAO]],tblVendas[[#This Row],[VALOR_FIXABASICA]],""),0)</f>
        <v>0</v>
      </c>
      <c r="I216">
        <f>IF(tblCalculo[[#This Row],[STATUS]]="CONCLUÍDO",_xlfn.XLOOKUP(tblCalculo[[#This Row],[NR_SIMULACAO]],tblVendas[[#This Row],[NR_SIMULACAO]],tblVendas[[#This Row],[VALOR_TI]],""),0)</f>
        <v>0</v>
      </c>
      <c r="J216">
        <f>IF(tblCalculo[[#This Row],[STATUS]]="CONCLUÍDO",_xlfn.XLOOKUP(tblCalculo[[#This Row],[NR_SIMULACAO]],tblVendas[[#This Row],[NR_SIMULACAO]],tblVendas[[#This Row],[VALOR_APARELHO]],""),0)</f>
        <v>0</v>
      </c>
      <c r="K216" t="str">
        <f>IF(tblCalculo[[#This Row],[STATUS]]="NEGOCIANDO",tblCalculo[[#This Row],[VALOR_TOTAL]],"")</f>
        <v/>
      </c>
      <c r="L216" t="str">
        <f>IF(tblCalculo[[#This Row],[STATUS]]="ALÇADA",tblCalculo[[#This Row],[VALOR_TOTAL]],"")</f>
        <v/>
      </c>
      <c r="M216" t="str">
        <f>IF(tblCalculo[[#This Row],[STATUS]]="EM ANÁLISE",tblCalculo[[#This Row],[VALOR_TOTAL]],"")</f>
        <v/>
      </c>
      <c r="N216">
        <f>IF(tblCalculo[[#This Row],[STATUS]]="TRAMITANDO",tblCalculo[[#This Row],[VALOR_TOTAL]],"")</f>
        <v>17201.13</v>
      </c>
      <c r="O216" t="str">
        <f>IF(tblCalculo[[#This Row],[STATUS]]="PERDIDO",tblCalculo[[#This Row],[VALOR_TOTAL]],"")</f>
        <v/>
      </c>
      <c r="P216" t="str">
        <f>IF(tblCalculo[[#This Row],[STATUS]]="CONCLUÍDO",tblCalculo[[#This Row],[VALOR_TOTAL]],"")</f>
        <v/>
      </c>
    </row>
    <row r="217" spans="1:16" x14ac:dyDescent="0.25">
      <c r="A217" t="str">
        <f>tblVendas[[#This Row],[NR_SIMULACAO]]</f>
        <v>SIM1207</v>
      </c>
      <c r="B217" s="34" t="str">
        <f>_xlfn.XLOOKUP(A217,tblVendas[[#This Row],[NR_SIMULACAO]],tblVendas[[#This Row],[NR_CNPJ]],"")</f>
        <v>23.232.120/0001-89</v>
      </c>
      <c r="C217" t="str">
        <f>_xlfn.XLOOKUP(A217,tblVendas[[#This Row],[NR_SIMULACAO]],tblVendas[[#This Row],[STATUS]],"")</f>
        <v>PERDIDO</v>
      </c>
      <c r="D217" t="str">
        <f>_xlfn.XLOOKUP(A217,tblVendas[[#This Row],[NR_SIMULACAO]],tblVendas[[#This Row],[MES]],"")</f>
        <v>Abril</v>
      </c>
      <c r="E217">
        <f>SUM(_xlfn.XLOOKUP(tblCalculo[[#This Row],[NR_SIMULACAO]],tblVendas[[#This Row],[NR_SIMULACAO]],tblVendas[[#This Row],[VALOR_MOVEL]],""):_xlfn.XLOOKUP(tblCalculo[[#This Row],[NR_SIMULACAO]],tblVendas[[#This Row],[NR_SIMULACAO]],tblVendas[[#This Row],[VALOR_APARELHO]],""))</f>
        <v>11298.03</v>
      </c>
      <c r="F217">
        <f>IF(tblCalculo[[#This Row],[STATUS]]="CONCLUÍDO",_xlfn.XLOOKUP(tblCalculo[[#This Row],[NR_SIMULACAO]],tblVendas[[#This Row],[NR_SIMULACAO]],tblVendas[[#This Row],[VALOR_MOVEL]],""),0)</f>
        <v>0</v>
      </c>
      <c r="G217">
        <f>IF(tblCalculo[[#This Row],[STATUS]]="CONCLUÍDO",_xlfn.XLOOKUP(tblCalculo[[#This Row],[NR_SIMULACAO]],tblVendas[[#This Row],[NR_SIMULACAO]],tblVendas[[#This Row],[VALOR_AVANCADO]],""),0)</f>
        <v>0</v>
      </c>
      <c r="H217">
        <f>IF(tblCalculo[[#This Row],[STATUS]]="CONCLUÍDO",_xlfn.XLOOKUP(tblCalculo[[#This Row],[NR_SIMULACAO]],tblVendas[[#This Row],[NR_SIMULACAO]],tblVendas[[#This Row],[VALOR_FIXABASICA]],""),0)</f>
        <v>0</v>
      </c>
      <c r="I217">
        <f>IF(tblCalculo[[#This Row],[STATUS]]="CONCLUÍDO",_xlfn.XLOOKUP(tblCalculo[[#This Row],[NR_SIMULACAO]],tblVendas[[#This Row],[NR_SIMULACAO]],tblVendas[[#This Row],[VALOR_TI]],""),0)</f>
        <v>0</v>
      </c>
      <c r="J217">
        <f>IF(tblCalculo[[#This Row],[STATUS]]="CONCLUÍDO",_xlfn.XLOOKUP(tblCalculo[[#This Row],[NR_SIMULACAO]],tblVendas[[#This Row],[NR_SIMULACAO]],tblVendas[[#This Row],[VALOR_APARELHO]],""),0)</f>
        <v>0</v>
      </c>
      <c r="K217" t="str">
        <f>IF(tblCalculo[[#This Row],[STATUS]]="NEGOCIANDO",tblCalculo[[#This Row],[VALOR_TOTAL]],"")</f>
        <v/>
      </c>
      <c r="L217" t="str">
        <f>IF(tblCalculo[[#This Row],[STATUS]]="ALÇADA",tblCalculo[[#This Row],[VALOR_TOTAL]],"")</f>
        <v/>
      </c>
      <c r="M217" t="str">
        <f>IF(tblCalculo[[#This Row],[STATUS]]="EM ANÁLISE",tblCalculo[[#This Row],[VALOR_TOTAL]],"")</f>
        <v/>
      </c>
      <c r="N217" t="str">
        <f>IF(tblCalculo[[#This Row],[STATUS]]="TRAMITANDO",tblCalculo[[#This Row],[VALOR_TOTAL]],"")</f>
        <v/>
      </c>
      <c r="O217">
        <f>IF(tblCalculo[[#This Row],[STATUS]]="PERDIDO",tblCalculo[[#This Row],[VALOR_TOTAL]],"")</f>
        <v>11298.03</v>
      </c>
      <c r="P217" t="str">
        <f>IF(tblCalculo[[#This Row],[STATUS]]="CONCLUÍDO",tblCalculo[[#This Row],[VALOR_TOTAL]],"")</f>
        <v/>
      </c>
    </row>
    <row r="218" spans="1:16" x14ac:dyDescent="0.25">
      <c r="A218" t="str">
        <f>tblVendas[[#This Row],[NR_SIMULACAO]]</f>
        <v>SIM1208</v>
      </c>
      <c r="B218" s="34" t="str">
        <f>_xlfn.XLOOKUP(A218,tblVendas[[#This Row],[NR_SIMULACAO]],tblVendas[[#This Row],[NR_CNPJ]],"")</f>
        <v>43.670.588/0001-64</v>
      </c>
      <c r="C218" t="str">
        <f>_xlfn.XLOOKUP(A218,tblVendas[[#This Row],[NR_SIMULACAO]],tblVendas[[#This Row],[STATUS]],"")</f>
        <v>NEGOCIANDO</v>
      </c>
      <c r="D218" t="str">
        <f>_xlfn.XLOOKUP(A218,tblVendas[[#This Row],[NR_SIMULACAO]],tblVendas[[#This Row],[MES]],"")</f>
        <v>Março</v>
      </c>
      <c r="E218">
        <f>SUM(_xlfn.XLOOKUP(tblCalculo[[#This Row],[NR_SIMULACAO]],tblVendas[[#This Row],[NR_SIMULACAO]],tblVendas[[#This Row],[VALOR_MOVEL]],""):_xlfn.XLOOKUP(tblCalculo[[#This Row],[NR_SIMULACAO]],tblVendas[[#This Row],[NR_SIMULACAO]],tblVendas[[#This Row],[VALOR_APARELHO]],""))</f>
        <v>7059.3099999999995</v>
      </c>
      <c r="F218">
        <f>IF(tblCalculo[[#This Row],[STATUS]]="CONCLUÍDO",_xlfn.XLOOKUP(tblCalculo[[#This Row],[NR_SIMULACAO]],tblVendas[[#This Row],[NR_SIMULACAO]],tblVendas[[#This Row],[VALOR_MOVEL]],""),0)</f>
        <v>0</v>
      </c>
      <c r="G218">
        <f>IF(tblCalculo[[#This Row],[STATUS]]="CONCLUÍDO",_xlfn.XLOOKUP(tblCalculo[[#This Row],[NR_SIMULACAO]],tblVendas[[#This Row],[NR_SIMULACAO]],tblVendas[[#This Row],[VALOR_AVANCADO]],""),0)</f>
        <v>0</v>
      </c>
      <c r="H218">
        <f>IF(tblCalculo[[#This Row],[STATUS]]="CONCLUÍDO",_xlfn.XLOOKUP(tblCalculo[[#This Row],[NR_SIMULACAO]],tblVendas[[#This Row],[NR_SIMULACAO]],tblVendas[[#This Row],[VALOR_FIXABASICA]],""),0)</f>
        <v>0</v>
      </c>
      <c r="I218">
        <f>IF(tblCalculo[[#This Row],[STATUS]]="CONCLUÍDO",_xlfn.XLOOKUP(tblCalculo[[#This Row],[NR_SIMULACAO]],tblVendas[[#This Row],[NR_SIMULACAO]],tblVendas[[#This Row],[VALOR_TI]],""),0)</f>
        <v>0</v>
      </c>
      <c r="J218">
        <f>IF(tblCalculo[[#This Row],[STATUS]]="CONCLUÍDO",_xlfn.XLOOKUP(tblCalculo[[#This Row],[NR_SIMULACAO]],tblVendas[[#This Row],[NR_SIMULACAO]],tblVendas[[#This Row],[VALOR_APARELHO]],""),0)</f>
        <v>0</v>
      </c>
      <c r="K218">
        <f>IF(tblCalculo[[#This Row],[STATUS]]="NEGOCIANDO",tblCalculo[[#This Row],[VALOR_TOTAL]],"")</f>
        <v>7059.3099999999995</v>
      </c>
      <c r="L218" t="str">
        <f>IF(tblCalculo[[#This Row],[STATUS]]="ALÇADA",tblCalculo[[#This Row],[VALOR_TOTAL]],"")</f>
        <v/>
      </c>
      <c r="M218" t="str">
        <f>IF(tblCalculo[[#This Row],[STATUS]]="EM ANÁLISE",tblCalculo[[#This Row],[VALOR_TOTAL]],"")</f>
        <v/>
      </c>
      <c r="N218" t="str">
        <f>IF(tblCalculo[[#This Row],[STATUS]]="TRAMITANDO",tblCalculo[[#This Row],[VALOR_TOTAL]],"")</f>
        <v/>
      </c>
      <c r="O218" t="str">
        <f>IF(tblCalculo[[#This Row],[STATUS]]="PERDIDO",tblCalculo[[#This Row],[VALOR_TOTAL]],"")</f>
        <v/>
      </c>
      <c r="P218" t="str">
        <f>IF(tblCalculo[[#This Row],[STATUS]]="CONCLUÍDO",tblCalculo[[#This Row],[VALOR_TOTAL]],"")</f>
        <v/>
      </c>
    </row>
    <row r="219" spans="1:16" x14ac:dyDescent="0.25">
      <c r="A219" t="str">
        <f>tblVendas[[#This Row],[NR_SIMULACAO]]</f>
        <v>SIM1209</v>
      </c>
      <c r="B219" s="34" t="str">
        <f>_xlfn.XLOOKUP(A219,tblVendas[[#This Row],[NR_SIMULACAO]],tblVendas[[#This Row],[NR_CNPJ]],"")</f>
        <v>87.189.551/0001-59</v>
      </c>
      <c r="C219" t="str">
        <f>_xlfn.XLOOKUP(A219,tblVendas[[#This Row],[NR_SIMULACAO]],tblVendas[[#This Row],[STATUS]],"")</f>
        <v>CONCLUÍDO</v>
      </c>
      <c r="D219" t="str">
        <f>_xlfn.XLOOKUP(A219,tblVendas[[#This Row],[NR_SIMULACAO]],tblVendas[[#This Row],[MES]],"")</f>
        <v>Janeiro</v>
      </c>
      <c r="E219">
        <f>SUM(_xlfn.XLOOKUP(tblCalculo[[#This Row],[NR_SIMULACAO]],tblVendas[[#This Row],[NR_SIMULACAO]],tblVendas[[#This Row],[VALOR_MOVEL]],""):_xlfn.XLOOKUP(tblCalculo[[#This Row],[NR_SIMULACAO]],tblVendas[[#This Row],[NR_SIMULACAO]],tblVendas[[#This Row],[VALOR_APARELHO]],""))</f>
        <v>29704.03</v>
      </c>
      <c r="F219">
        <f>IF(tblCalculo[[#This Row],[STATUS]]="CONCLUÍDO",_xlfn.XLOOKUP(tblCalculo[[#This Row],[NR_SIMULACAO]],tblVendas[[#This Row],[NR_SIMULACAO]],tblVendas[[#This Row],[VALOR_MOVEL]],""),0)</f>
        <v>3818.84</v>
      </c>
      <c r="G219">
        <f>IF(tblCalculo[[#This Row],[STATUS]]="CONCLUÍDO",_xlfn.XLOOKUP(tblCalculo[[#This Row],[NR_SIMULACAO]],tblVendas[[#This Row],[NR_SIMULACAO]],tblVendas[[#This Row],[VALOR_AVANCADO]],""),0)</f>
        <v>405.42</v>
      </c>
      <c r="H219">
        <f>IF(tblCalculo[[#This Row],[STATUS]]="CONCLUÍDO",_xlfn.XLOOKUP(tblCalculo[[#This Row],[NR_SIMULACAO]],tblVendas[[#This Row],[NR_SIMULACAO]],tblVendas[[#This Row],[VALOR_FIXABASICA]],""),0)</f>
        <v>736.93</v>
      </c>
      <c r="I219">
        <f>IF(tblCalculo[[#This Row],[STATUS]]="CONCLUÍDO",_xlfn.XLOOKUP(tblCalculo[[#This Row],[NR_SIMULACAO]],tblVendas[[#This Row],[NR_SIMULACAO]],tblVendas[[#This Row],[VALOR_TI]],""),0)</f>
        <v>9765.4500000000007</v>
      </c>
      <c r="J219">
        <f>IF(tblCalculo[[#This Row],[STATUS]]="CONCLUÍDO",_xlfn.XLOOKUP(tblCalculo[[#This Row],[NR_SIMULACAO]],tblVendas[[#This Row],[NR_SIMULACAO]],tblVendas[[#This Row],[VALOR_APARELHO]],""),0)</f>
        <v>14977.39</v>
      </c>
      <c r="K219" t="str">
        <f>IF(tblCalculo[[#This Row],[STATUS]]="NEGOCIANDO",tblCalculo[[#This Row],[VALOR_TOTAL]],"")</f>
        <v/>
      </c>
      <c r="L219" t="str">
        <f>IF(tblCalculo[[#This Row],[STATUS]]="ALÇADA",tblCalculo[[#This Row],[VALOR_TOTAL]],"")</f>
        <v/>
      </c>
      <c r="M219" t="str">
        <f>IF(tblCalculo[[#This Row],[STATUS]]="EM ANÁLISE",tblCalculo[[#This Row],[VALOR_TOTAL]],"")</f>
        <v/>
      </c>
      <c r="N219" t="str">
        <f>IF(tblCalculo[[#This Row],[STATUS]]="TRAMITANDO",tblCalculo[[#This Row],[VALOR_TOTAL]],"")</f>
        <v/>
      </c>
      <c r="O219" t="str">
        <f>IF(tblCalculo[[#This Row],[STATUS]]="PERDIDO",tblCalculo[[#This Row],[VALOR_TOTAL]],"")</f>
        <v/>
      </c>
      <c r="P219">
        <f>IF(tblCalculo[[#This Row],[STATUS]]="CONCLUÍDO",tblCalculo[[#This Row],[VALOR_TOTAL]],"")</f>
        <v>29704.03</v>
      </c>
    </row>
    <row r="220" spans="1:16" x14ac:dyDescent="0.25">
      <c r="A220" t="str">
        <f>tblVendas[[#This Row],[NR_SIMULACAO]]</f>
        <v>SIM1210</v>
      </c>
      <c r="B220" s="34" t="str">
        <f>_xlfn.XLOOKUP(A220,tblVendas[[#This Row],[NR_SIMULACAO]],tblVendas[[#This Row],[NR_CNPJ]],"")</f>
        <v>78.736.467/0001-93</v>
      </c>
      <c r="C220" t="str">
        <f>_xlfn.XLOOKUP(A220,tblVendas[[#This Row],[NR_SIMULACAO]],tblVendas[[#This Row],[STATUS]],"")</f>
        <v>ALÇADA</v>
      </c>
      <c r="D220" t="str">
        <f>_xlfn.XLOOKUP(A220,tblVendas[[#This Row],[NR_SIMULACAO]],tblVendas[[#This Row],[MES]],"")</f>
        <v>Agosto</v>
      </c>
      <c r="E220">
        <f>SUM(_xlfn.XLOOKUP(tblCalculo[[#This Row],[NR_SIMULACAO]],tblVendas[[#This Row],[NR_SIMULACAO]],tblVendas[[#This Row],[VALOR_MOVEL]],""):_xlfn.XLOOKUP(tblCalculo[[#This Row],[NR_SIMULACAO]],tblVendas[[#This Row],[NR_SIMULACAO]],tblVendas[[#This Row],[VALOR_APARELHO]],""))</f>
        <v>11678.580000000002</v>
      </c>
      <c r="F220">
        <f>IF(tblCalculo[[#This Row],[STATUS]]="CONCLUÍDO",_xlfn.XLOOKUP(tblCalculo[[#This Row],[NR_SIMULACAO]],tblVendas[[#This Row],[NR_SIMULACAO]],tblVendas[[#This Row],[VALOR_MOVEL]],""),0)</f>
        <v>0</v>
      </c>
      <c r="G220">
        <f>IF(tblCalculo[[#This Row],[STATUS]]="CONCLUÍDO",_xlfn.XLOOKUP(tblCalculo[[#This Row],[NR_SIMULACAO]],tblVendas[[#This Row],[NR_SIMULACAO]],tblVendas[[#This Row],[VALOR_AVANCADO]],""),0)</f>
        <v>0</v>
      </c>
      <c r="H220">
        <f>IF(tblCalculo[[#This Row],[STATUS]]="CONCLUÍDO",_xlfn.XLOOKUP(tblCalculo[[#This Row],[NR_SIMULACAO]],tblVendas[[#This Row],[NR_SIMULACAO]],tblVendas[[#This Row],[VALOR_FIXABASICA]],""),0)</f>
        <v>0</v>
      </c>
      <c r="I220">
        <f>IF(tblCalculo[[#This Row],[STATUS]]="CONCLUÍDO",_xlfn.XLOOKUP(tblCalculo[[#This Row],[NR_SIMULACAO]],tblVendas[[#This Row],[NR_SIMULACAO]],tblVendas[[#This Row],[VALOR_TI]],""),0)</f>
        <v>0</v>
      </c>
      <c r="J220">
        <f>IF(tblCalculo[[#This Row],[STATUS]]="CONCLUÍDO",_xlfn.XLOOKUP(tblCalculo[[#This Row],[NR_SIMULACAO]],tblVendas[[#This Row],[NR_SIMULACAO]],tblVendas[[#This Row],[VALOR_APARELHO]],""),0)</f>
        <v>0</v>
      </c>
      <c r="K220" t="str">
        <f>IF(tblCalculo[[#This Row],[STATUS]]="NEGOCIANDO",tblCalculo[[#This Row],[VALOR_TOTAL]],"")</f>
        <v/>
      </c>
      <c r="L220">
        <f>IF(tblCalculo[[#This Row],[STATUS]]="ALÇADA",tblCalculo[[#This Row],[VALOR_TOTAL]],"")</f>
        <v>11678.580000000002</v>
      </c>
      <c r="M220" t="str">
        <f>IF(tblCalculo[[#This Row],[STATUS]]="EM ANÁLISE",tblCalculo[[#This Row],[VALOR_TOTAL]],"")</f>
        <v/>
      </c>
      <c r="N220" t="str">
        <f>IF(tblCalculo[[#This Row],[STATUS]]="TRAMITANDO",tblCalculo[[#This Row],[VALOR_TOTAL]],"")</f>
        <v/>
      </c>
      <c r="O220" t="str">
        <f>IF(tblCalculo[[#This Row],[STATUS]]="PERDIDO",tblCalculo[[#This Row],[VALOR_TOTAL]],"")</f>
        <v/>
      </c>
      <c r="P220" t="str">
        <f>IF(tblCalculo[[#This Row],[STATUS]]="CONCLUÍDO",tblCalculo[[#This Row],[VALOR_TOTAL]],"")</f>
        <v/>
      </c>
    </row>
    <row r="221" spans="1:16" x14ac:dyDescent="0.25">
      <c r="A221" t="str">
        <f>tblVendas[[#This Row],[NR_SIMULACAO]]</f>
        <v>SIM1211</v>
      </c>
      <c r="B221" s="34" t="str">
        <f>_xlfn.XLOOKUP(A221,tblVendas[[#This Row],[NR_SIMULACAO]],tblVendas[[#This Row],[NR_CNPJ]],"")</f>
        <v>19.959.582/0001-28</v>
      </c>
      <c r="C221" t="str">
        <f>_xlfn.XLOOKUP(A221,tblVendas[[#This Row],[NR_SIMULACAO]],tblVendas[[#This Row],[STATUS]],"")</f>
        <v>NEGOCIANDO</v>
      </c>
      <c r="D221" t="str">
        <f>_xlfn.XLOOKUP(A221,tblVendas[[#This Row],[NR_SIMULACAO]],tblVendas[[#This Row],[MES]],"")</f>
        <v>Setembro</v>
      </c>
      <c r="E221">
        <f>SUM(_xlfn.XLOOKUP(tblCalculo[[#This Row],[NR_SIMULACAO]],tblVendas[[#This Row],[NR_SIMULACAO]],tblVendas[[#This Row],[VALOR_MOVEL]],""):_xlfn.XLOOKUP(tblCalculo[[#This Row],[NR_SIMULACAO]],tblVendas[[#This Row],[NR_SIMULACAO]],tblVendas[[#This Row],[VALOR_APARELHO]],""))</f>
        <v>16563.21</v>
      </c>
      <c r="F221">
        <f>IF(tblCalculo[[#This Row],[STATUS]]="CONCLUÍDO",_xlfn.XLOOKUP(tblCalculo[[#This Row],[NR_SIMULACAO]],tblVendas[[#This Row],[NR_SIMULACAO]],tblVendas[[#This Row],[VALOR_MOVEL]],""),0)</f>
        <v>0</v>
      </c>
      <c r="G221">
        <f>IF(tblCalculo[[#This Row],[STATUS]]="CONCLUÍDO",_xlfn.XLOOKUP(tblCalculo[[#This Row],[NR_SIMULACAO]],tblVendas[[#This Row],[NR_SIMULACAO]],tblVendas[[#This Row],[VALOR_AVANCADO]],""),0)</f>
        <v>0</v>
      </c>
      <c r="H221">
        <f>IF(tblCalculo[[#This Row],[STATUS]]="CONCLUÍDO",_xlfn.XLOOKUP(tblCalculo[[#This Row],[NR_SIMULACAO]],tblVendas[[#This Row],[NR_SIMULACAO]],tblVendas[[#This Row],[VALOR_FIXABASICA]],""),0)</f>
        <v>0</v>
      </c>
      <c r="I221">
        <f>IF(tblCalculo[[#This Row],[STATUS]]="CONCLUÍDO",_xlfn.XLOOKUP(tblCalculo[[#This Row],[NR_SIMULACAO]],tblVendas[[#This Row],[NR_SIMULACAO]],tblVendas[[#This Row],[VALOR_TI]],""),0)</f>
        <v>0</v>
      </c>
      <c r="J221">
        <f>IF(tblCalculo[[#This Row],[STATUS]]="CONCLUÍDO",_xlfn.XLOOKUP(tblCalculo[[#This Row],[NR_SIMULACAO]],tblVendas[[#This Row],[NR_SIMULACAO]],tblVendas[[#This Row],[VALOR_APARELHO]],""),0)</f>
        <v>0</v>
      </c>
      <c r="K221">
        <f>IF(tblCalculo[[#This Row],[STATUS]]="NEGOCIANDO",tblCalculo[[#This Row],[VALOR_TOTAL]],"")</f>
        <v>16563.21</v>
      </c>
      <c r="L221" t="str">
        <f>IF(tblCalculo[[#This Row],[STATUS]]="ALÇADA",tblCalculo[[#This Row],[VALOR_TOTAL]],"")</f>
        <v/>
      </c>
      <c r="M221" t="str">
        <f>IF(tblCalculo[[#This Row],[STATUS]]="EM ANÁLISE",tblCalculo[[#This Row],[VALOR_TOTAL]],"")</f>
        <v/>
      </c>
      <c r="N221" t="str">
        <f>IF(tblCalculo[[#This Row],[STATUS]]="TRAMITANDO",tblCalculo[[#This Row],[VALOR_TOTAL]],"")</f>
        <v/>
      </c>
      <c r="O221" t="str">
        <f>IF(tblCalculo[[#This Row],[STATUS]]="PERDIDO",tblCalculo[[#This Row],[VALOR_TOTAL]],"")</f>
        <v/>
      </c>
      <c r="P221" t="str">
        <f>IF(tblCalculo[[#This Row],[STATUS]]="CONCLUÍDO",tblCalculo[[#This Row],[VALOR_TOTAL]],"")</f>
        <v/>
      </c>
    </row>
    <row r="222" spans="1:16" x14ac:dyDescent="0.25">
      <c r="A222" t="str">
        <f>tblVendas[[#This Row],[NR_SIMULACAO]]</f>
        <v>SIM1212</v>
      </c>
      <c r="B222" s="34" t="str">
        <f>_xlfn.XLOOKUP(A222,tblVendas[[#This Row],[NR_SIMULACAO]],tblVendas[[#This Row],[NR_CNPJ]],"")</f>
        <v>31.558.354/0001-27</v>
      </c>
      <c r="C222" t="str">
        <f>_xlfn.XLOOKUP(A222,tblVendas[[#This Row],[NR_SIMULACAO]],tblVendas[[#This Row],[STATUS]],"")</f>
        <v>CONCLUÍDO</v>
      </c>
      <c r="D222" t="str">
        <f>_xlfn.XLOOKUP(A222,tblVendas[[#This Row],[NR_SIMULACAO]],tblVendas[[#This Row],[MES]],"")</f>
        <v>Novembro</v>
      </c>
      <c r="E222">
        <f>SUM(_xlfn.XLOOKUP(tblCalculo[[#This Row],[NR_SIMULACAO]],tblVendas[[#This Row],[NR_SIMULACAO]],tblVendas[[#This Row],[VALOR_MOVEL]],""):_xlfn.XLOOKUP(tblCalculo[[#This Row],[NR_SIMULACAO]],tblVendas[[#This Row],[NR_SIMULACAO]],tblVendas[[#This Row],[VALOR_APARELHO]],""))</f>
        <v>4509.51</v>
      </c>
      <c r="F222">
        <f>IF(tblCalculo[[#This Row],[STATUS]]="CONCLUÍDO",_xlfn.XLOOKUP(tblCalculo[[#This Row],[NR_SIMULACAO]],tblVendas[[#This Row],[NR_SIMULACAO]],tblVendas[[#This Row],[VALOR_MOVEL]],""),0)</f>
        <v>467.74</v>
      </c>
      <c r="G222">
        <f>IF(tblCalculo[[#This Row],[STATUS]]="CONCLUÍDO",_xlfn.XLOOKUP(tblCalculo[[#This Row],[NR_SIMULACAO]],tblVendas[[#This Row],[NR_SIMULACAO]],tblVendas[[#This Row],[VALOR_AVANCADO]],""),0)</f>
        <v>4041.77</v>
      </c>
      <c r="H222">
        <f>IF(tblCalculo[[#This Row],[STATUS]]="CONCLUÍDO",_xlfn.XLOOKUP(tblCalculo[[#This Row],[NR_SIMULACAO]],tblVendas[[#This Row],[NR_SIMULACAO]],tblVendas[[#This Row],[VALOR_FIXABASICA]],""),0)</f>
        <v>0</v>
      </c>
      <c r="I222">
        <f>IF(tblCalculo[[#This Row],[STATUS]]="CONCLUÍDO",_xlfn.XLOOKUP(tblCalculo[[#This Row],[NR_SIMULACAO]],tblVendas[[#This Row],[NR_SIMULACAO]],tblVendas[[#This Row],[VALOR_TI]],""),0)</f>
        <v>0</v>
      </c>
      <c r="J222">
        <f>IF(tblCalculo[[#This Row],[STATUS]]="CONCLUÍDO",_xlfn.XLOOKUP(tblCalculo[[#This Row],[NR_SIMULACAO]],tblVendas[[#This Row],[NR_SIMULACAO]],tblVendas[[#This Row],[VALOR_APARELHO]],""),0)</f>
        <v>0</v>
      </c>
      <c r="K222" t="str">
        <f>IF(tblCalculo[[#This Row],[STATUS]]="NEGOCIANDO",tblCalculo[[#This Row],[VALOR_TOTAL]],"")</f>
        <v/>
      </c>
      <c r="L222" t="str">
        <f>IF(tblCalculo[[#This Row],[STATUS]]="ALÇADA",tblCalculo[[#This Row],[VALOR_TOTAL]],"")</f>
        <v/>
      </c>
      <c r="M222" t="str">
        <f>IF(tblCalculo[[#This Row],[STATUS]]="EM ANÁLISE",tblCalculo[[#This Row],[VALOR_TOTAL]],"")</f>
        <v/>
      </c>
      <c r="N222" t="str">
        <f>IF(tblCalculo[[#This Row],[STATUS]]="TRAMITANDO",tblCalculo[[#This Row],[VALOR_TOTAL]],"")</f>
        <v/>
      </c>
      <c r="O222" t="str">
        <f>IF(tblCalculo[[#This Row],[STATUS]]="PERDIDO",tblCalculo[[#This Row],[VALOR_TOTAL]],"")</f>
        <v/>
      </c>
      <c r="P222">
        <f>IF(tblCalculo[[#This Row],[STATUS]]="CONCLUÍDO",tblCalculo[[#This Row],[VALOR_TOTAL]],"")</f>
        <v>4509.51</v>
      </c>
    </row>
    <row r="223" spans="1:16" x14ac:dyDescent="0.25">
      <c r="A223" t="str">
        <f>tblVendas[[#This Row],[NR_SIMULACAO]]</f>
        <v>SIM1213</v>
      </c>
      <c r="B223" s="34" t="str">
        <f>_xlfn.XLOOKUP(A223,tblVendas[[#This Row],[NR_SIMULACAO]],tblVendas[[#This Row],[NR_CNPJ]],"")</f>
        <v>26.215.974/0001-58</v>
      </c>
      <c r="C223" t="str">
        <f>_xlfn.XLOOKUP(A223,tblVendas[[#This Row],[NR_SIMULACAO]],tblVendas[[#This Row],[STATUS]],"")</f>
        <v>CONCLUÍDO</v>
      </c>
      <c r="D223" t="str">
        <f>_xlfn.XLOOKUP(A223,tblVendas[[#This Row],[NR_SIMULACAO]],tblVendas[[#This Row],[MES]],"")</f>
        <v>Dezembro</v>
      </c>
      <c r="E223">
        <f>SUM(_xlfn.XLOOKUP(tblCalculo[[#This Row],[NR_SIMULACAO]],tblVendas[[#This Row],[NR_SIMULACAO]],tblVendas[[#This Row],[VALOR_MOVEL]],""):_xlfn.XLOOKUP(tblCalculo[[#This Row],[NR_SIMULACAO]],tblVendas[[#This Row],[NR_SIMULACAO]],tblVendas[[#This Row],[VALOR_APARELHO]],""))</f>
        <v>9016.14</v>
      </c>
      <c r="F223">
        <f>IF(tblCalculo[[#This Row],[STATUS]]="CONCLUÍDO",_xlfn.XLOOKUP(tblCalculo[[#This Row],[NR_SIMULACAO]],tblVendas[[#This Row],[NR_SIMULACAO]],tblVendas[[#This Row],[VALOR_MOVEL]],""),0)</f>
        <v>7654.93</v>
      </c>
      <c r="G223">
        <f>IF(tblCalculo[[#This Row],[STATUS]]="CONCLUÍDO",_xlfn.XLOOKUP(tblCalculo[[#This Row],[NR_SIMULACAO]],tblVendas[[#This Row],[NR_SIMULACAO]],tblVendas[[#This Row],[VALOR_AVANCADO]],""),0)</f>
        <v>0</v>
      </c>
      <c r="H223">
        <f>IF(tblCalculo[[#This Row],[STATUS]]="CONCLUÍDO",_xlfn.XLOOKUP(tblCalculo[[#This Row],[NR_SIMULACAO]],tblVendas[[#This Row],[NR_SIMULACAO]],tblVendas[[#This Row],[VALOR_FIXABASICA]],""),0)</f>
        <v>1361.21</v>
      </c>
      <c r="I223">
        <f>IF(tblCalculo[[#This Row],[STATUS]]="CONCLUÍDO",_xlfn.XLOOKUP(tblCalculo[[#This Row],[NR_SIMULACAO]],tblVendas[[#This Row],[NR_SIMULACAO]],tblVendas[[#This Row],[VALOR_TI]],""),0)</f>
        <v>0</v>
      </c>
      <c r="J223">
        <f>IF(tblCalculo[[#This Row],[STATUS]]="CONCLUÍDO",_xlfn.XLOOKUP(tblCalculo[[#This Row],[NR_SIMULACAO]],tblVendas[[#This Row],[NR_SIMULACAO]],tblVendas[[#This Row],[VALOR_APARELHO]],""),0)</f>
        <v>0</v>
      </c>
      <c r="K223" t="str">
        <f>IF(tblCalculo[[#This Row],[STATUS]]="NEGOCIANDO",tblCalculo[[#This Row],[VALOR_TOTAL]],"")</f>
        <v/>
      </c>
      <c r="L223" t="str">
        <f>IF(tblCalculo[[#This Row],[STATUS]]="ALÇADA",tblCalculo[[#This Row],[VALOR_TOTAL]],"")</f>
        <v/>
      </c>
      <c r="M223" t="str">
        <f>IF(tblCalculo[[#This Row],[STATUS]]="EM ANÁLISE",tblCalculo[[#This Row],[VALOR_TOTAL]],"")</f>
        <v/>
      </c>
      <c r="N223" t="str">
        <f>IF(tblCalculo[[#This Row],[STATUS]]="TRAMITANDO",tblCalculo[[#This Row],[VALOR_TOTAL]],"")</f>
        <v/>
      </c>
      <c r="O223" t="str">
        <f>IF(tblCalculo[[#This Row],[STATUS]]="PERDIDO",tblCalculo[[#This Row],[VALOR_TOTAL]],"")</f>
        <v/>
      </c>
      <c r="P223">
        <f>IF(tblCalculo[[#This Row],[STATUS]]="CONCLUÍDO",tblCalculo[[#This Row],[VALOR_TOTAL]],"")</f>
        <v>9016.14</v>
      </c>
    </row>
    <row r="224" spans="1:16" x14ac:dyDescent="0.25">
      <c r="A224" t="str">
        <f>tblVendas[[#This Row],[NR_SIMULACAO]]</f>
        <v>SIM1214</v>
      </c>
      <c r="B224" s="34" t="str">
        <f>_xlfn.XLOOKUP(A224,tblVendas[[#This Row],[NR_SIMULACAO]],tblVendas[[#This Row],[NR_CNPJ]],"")</f>
        <v>42.886.795/0001-20</v>
      </c>
      <c r="C224" t="str">
        <f>_xlfn.XLOOKUP(A224,tblVendas[[#This Row],[NR_SIMULACAO]],tblVendas[[#This Row],[STATUS]],"")</f>
        <v>PERDIDO</v>
      </c>
      <c r="D224" t="str">
        <f>_xlfn.XLOOKUP(A224,tblVendas[[#This Row],[NR_SIMULACAO]],tblVendas[[#This Row],[MES]],"")</f>
        <v>Janeiro</v>
      </c>
      <c r="E224">
        <f>SUM(_xlfn.XLOOKUP(tblCalculo[[#This Row],[NR_SIMULACAO]],tblVendas[[#This Row],[NR_SIMULACAO]],tblVendas[[#This Row],[VALOR_MOVEL]],""):_xlfn.XLOOKUP(tblCalculo[[#This Row],[NR_SIMULACAO]],tblVendas[[#This Row],[NR_SIMULACAO]],tblVendas[[#This Row],[VALOR_APARELHO]],""))</f>
        <v>9799.2900000000009</v>
      </c>
      <c r="F224">
        <f>IF(tblCalculo[[#This Row],[STATUS]]="CONCLUÍDO",_xlfn.XLOOKUP(tblCalculo[[#This Row],[NR_SIMULACAO]],tblVendas[[#This Row],[NR_SIMULACAO]],tblVendas[[#This Row],[VALOR_MOVEL]],""),0)</f>
        <v>0</v>
      </c>
      <c r="G224">
        <f>IF(tblCalculo[[#This Row],[STATUS]]="CONCLUÍDO",_xlfn.XLOOKUP(tblCalculo[[#This Row],[NR_SIMULACAO]],tblVendas[[#This Row],[NR_SIMULACAO]],tblVendas[[#This Row],[VALOR_AVANCADO]],""),0)</f>
        <v>0</v>
      </c>
      <c r="H224">
        <f>IF(tblCalculo[[#This Row],[STATUS]]="CONCLUÍDO",_xlfn.XLOOKUP(tblCalculo[[#This Row],[NR_SIMULACAO]],tblVendas[[#This Row],[NR_SIMULACAO]],tblVendas[[#This Row],[VALOR_FIXABASICA]],""),0)</f>
        <v>0</v>
      </c>
      <c r="I224">
        <f>IF(tblCalculo[[#This Row],[STATUS]]="CONCLUÍDO",_xlfn.XLOOKUP(tblCalculo[[#This Row],[NR_SIMULACAO]],tblVendas[[#This Row],[NR_SIMULACAO]],tblVendas[[#This Row],[VALOR_TI]],""),0)</f>
        <v>0</v>
      </c>
      <c r="J224">
        <f>IF(tblCalculo[[#This Row],[STATUS]]="CONCLUÍDO",_xlfn.XLOOKUP(tblCalculo[[#This Row],[NR_SIMULACAO]],tblVendas[[#This Row],[NR_SIMULACAO]],tblVendas[[#This Row],[VALOR_APARELHO]],""),0)</f>
        <v>0</v>
      </c>
      <c r="K224" t="str">
        <f>IF(tblCalculo[[#This Row],[STATUS]]="NEGOCIANDO",tblCalculo[[#This Row],[VALOR_TOTAL]],"")</f>
        <v/>
      </c>
      <c r="L224" t="str">
        <f>IF(tblCalculo[[#This Row],[STATUS]]="ALÇADA",tblCalculo[[#This Row],[VALOR_TOTAL]],"")</f>
        <v/>
      </c>
      <c r="M224" t="str">
        <f>IF(tblCalculo[[#This Row],[STATUS]]="EM ANÁLISE",tblCalculo[[#This Row],[VALOR_TOTAL]],"")</f>
        <v/>
      </c>
      <c r="N224" t="str">
        <f>IF(tblCalculo[[#This Row],[STATUS]]="TRAMITANDO",tblCalculo[[#This Row],[VALOR_TOTAL]],"")</f>
        <v/>
      </c>
      <c r="O224">
        <f>IF(tblCalculo[[#This Row],[STATUS]]="PERDIDO",tblCalculo[[#This Row],[VALOR_TOTAL]],"")</f>
        <v>9799.2900000000009</v>
      </c>
      <c r="P224" t="str">
        <f>IF(tblCalculo[[#This Row],[STATUS]]="CONCLUÍDO",tblCalculo[[#This Row],[VALOR_TOTAL]],"")</f>
        <v/>
      </c>
    </row>
    <row r="225" spans="1:16" x14ac:dyDescent="0.25">
      <c r="A225" t="str">
        <f>tblVendas[[#This Row],[NR_SIMULACAO]]</f>
        <v>SIM1215</v>
      </c>
      <c r="B225" s="34" t="str">
        <f>_xlfn.XLOOKUP(A225,tblVendas[[#This Row],[NR_SIMULACAO]],tblVendas[[#This Row],[NR_CNPJ]],"")</f>
        <v>76.358.165/0001-12</v>
      </c>
      <c r="C225" t="str">
        <f>_xlfn.XLOOKUP(A225,tblVendas[[#This Row],[NR_SIMULACAO]],tblVendas[[#This Row],[STATUS]],"")</f>
        <v>ALÇADA</v>
      </c>
      <c r="D225" t="str">
        <f>_xlfn.XLOOKUP(A225,tblVendas[[#This Row],[NR_SIMULACAO]],tblVendas[[#This Row],[MES]],"")</f>
        <v>Novembro</v>
      </c>
      <c r="E225">
        <f>SUM(_xlfn.XLOOKUP(tblCalculo[[#This Row],[NR_SIMULACAO]],tblVendas[[#This Row],[NR_SIMULACAO]],tblVendas[[#This Row],[VALOR_MOVEL]],""):_xlfn.XLOOKUP(tblCalculo[[#This Row],[NR_SIMULACAO]],tblVendas[[#This Row],[NR_SIMULACAO]],tblVendas[[#This Row],[VALOR_APARELHO]],""))</f>
        <v>3474.41</v>
      </c>
      <c r="F225">
        <f>IF(tblCalculo[[#This Row],[STATUS]]="CONCLUÍDO",_xlfn.XLOOKUP(tblCalculo[[#This Row],[NR_SIMULACAO]],tblVendas[[#This Row],[NR_SIMULACAO]],tblVendas[[#This Row],[VALOR_MOVEL]],""),0)</f>
        <v>0</v>
      </c>
      <c r="G225">
        <f>IF(tblCalculo[[#This Row],[STATUS]]="CONCLUÍDO",_xlfn.XLOOKUP(tblCalculo[[#This Row],[NR_SIMULACAO]],tblVendas[[#This Row],[NR_SIMULACAO]],tblVendas[[#This Row],[VALOR_AVANCADO]],""),0)</f>
        <v>0</v>
      </c>
      <c r="H225">
        <f>IF(tblCalculo[[#This Row],[STATUS]]="CONCLUÍDO",_xlfn.XLOOKUP(tblCalculo[[#This Row],[NR_SIMULACAO]],tblVendas[[#This Row],[NR_SIMULACAO]],tblVendas[[#This Row],[VALOR_FIXABASICA]],""),0)</f>
        <v>0</v>
      </c>
      <c r="I225">
        <f>IF(tblCalculo[[#This Row],[STATUS]]="CONCLUÍDO",_xlfn.XLOOKUP(tblCalculo[[#This Row],[NR_SIMULACAO]],tblVendas[[#This Row],[NR_SIMULACAO]],tblVendas[[#This Row],[VALOR_TI]],""),0)</f>
        <v>0</v>
      </c>
      <c r="J225">
        <f>IF(tblCalculo[[#This Row],[STATUS]]="CONCLUÍDO",_xlfn.XLOOKUP(tblCalculo[[#This Row],[NR_SIMULACAO]],tblVendas[[#This Row],[NR_SIMULACAO]],tblVendas[[#This Row],[VALOR_APARELHO]],""),0)</f>
        <v>0</v>
      </c>
      <c r="K225" t="str">
        <f>IF(tblCalculo[[#This Row],[STATUS]]="NEGOCIANDO",tblCalculo[[#This Row],[VALOR_TOTAL]],"")</f>
        <v/>
      </c>
      <c r="L225">
        <f>IF(tblCalculo[[#This Row],[STATUS]]="ALÇADA",tblCalculo[[#This Row],[VALOR_TOTAL]],"")</f>
        <v>3474.41</v>
      </c>
      <c r="M225" t="str">
        <f>IF(tblCalculo[[#This Row],[STATUS]]="EM ANÁLISE",tblCalculo[[#This Row],[VALOR_TOTAL]],"")</f>
        <v/>
      </c>
      <c r="N225" t="str">
        <f>IF(tblCalculo[[#This Row],[STATUS]]="TRAMITANDO",tblCalculo[[#This Row],[VALOR_TOTAL]],"")</f>
        <v/>
      </c>
      <c r="O225" t="str">
        <f>IF(tblCalculo[[#This Row],[STATUS]]="PERDIDO",tblCalculo[[#This Row],[VALOR_TOTAL]],"")</f>
        <v/>
      </c>
      <c r="P225" t="str">
        <f>IF(tblCalculo[[#This Row],[STATUS]]="CONCLUÍDO",tblCalculo[[#This Row],[VALOR_TOTAL]],"")</f>
        <v/>
      </c>
    </row>
    <row r="226" spans="1:16" x14ac:dyDescent="0.25">
      <c r="A226" t="str">
        <f>tblVendas[[#This Row],[NR_SIMULACAO]]</f>
        <v>SIM1216</v>
      </c>
      <c r="B226" s="34" t="str">
        <f>_xlfn.XLOOKUP(A226,tblVendas[[#This Row],[NR_SIMULACAO]],tblVendas[[#This Row],[NR_CNPJ]],"")</f>
        <v>94.957.444/0001-23</v>
      </c>
      <c r="C226" t="str">
        <f>_xlfn.XLOOKUP(A226,tblVendas[[#This Row],[NR_SIMULACAO]],tblVendas[[#This Row],[STATUS]],"")</f>
        <v>NEGOCIANDO</v>
      </c>
      <c r="D226" t="str">
        <f>_xlfn.XLOOKUP(A226,tblVendas[[#This Row],[NR_SIMULACAO]],tblVendas[[#This Row],[MES]],"")</f>
        <v>Abril</v>
      </c>
      <c r="E226">
        <f>SUM(_xlfn.XLOOKUP(tblCalculo[[#This Row],[NR_SIMULACAO]],tblVendas[[#This Row],[NR_SIMULACAO]],tblVendas[[#This Row],[VALOR_MOVEL]],""):_xlfn.XLOOKUP(tblCalculo[[#This Row],[NR_SIMULACAO]],tblVendas[[#This Row],[NR_SIMULACAO]],tblVendas[[#This Row],[VALOR_APARELHO]],""))</f>
        <v>27067.39</v>
      </c>
      <c r="F226">
        <f>IF(tblCalculo[[#This Row],[STATUS]]="CONCLUÍDO",_xlfn.XLOOKUP(tblCalculo[[#This Row],[NR_SIMULACAO]],tblVendas[[#This Row],[NR_SIMULACAO]],tblVendas[[#This Row],[VALOR_MOVEL]],""),0)</f>
        <v>0</v>
      </c>
      <c r="G226">
        <f>IF(tblCalculo[[#This Row],[STATUS]]="CONCLUÍDO",_xlfn.XLOOKUP(tblCalculo[[#This Row],[NR_SIMULACAO]],tblVendas[[#This Row],[NR_SIMULACAO]],tblVendas[[#This Row],[VALOR_AVANCADO]],""),0)</f>
        <v>0</v>
      </c>
      <c r="H226">
        <f>IF(tblCalculo[[#This Row],[STATUS]]="CONCLUÍDO",_xlfn.XLOOKUP(tblCalculo[[#This Row],[NR_SIMULACAO]],tblVendas[[#This Row],[NR_SIMULACAO]],tblVendas[[#This Row],[VALOR_FIXABASICA]],""),0)</f>
        <v>0</v>
      </c>
      <c r="I226">
        <f>IF(tblCalculo[[#This Row],[STATUS]]="CONCLUÍDO",_xlfn.XLOOKUP(tblCalculo[[#This Row],[NR_SIMULACAO]],tblVendas[[#This Row],[NR_SIMULACAO]],tblVendas[[#This Row],[VALOR_TI]],""),0)</f>
        <v>0</v>
      </c>
      <c r="J226">
        <f>IF(tblCalculo[[#This Row],[STATUS]]="CONCLUÍDO",_xlfn.XLOOKUP(tblCalculo[[#This Row],[NR_SIMULACAO]],tblVendas[[#This Row],[NR_SIMULACAO]],tblVendas[[#This Row],[VALOR_APARELHO]],""),0)</f>
        <v>0</v>
      </c>
      <c r="K226">
        <f>IF(tblCalculo[[#This Row],[STATUS]]="NEGOCIANDO",tblCalculo[[#This Row],[VALOR_TOTAL]],"")</f>
        <v>27067.39</v>
      </c>
      <c r="L226" t="str">
        <f>IF(tblCalculo[[#This Row],[STATUS]]="ALÇADA",tblCalculo[[#This Row],[VALOR_TOTAL]],"")</f>
        <v/>
      </c>
      <c r="M226" t="str">
        <f>IF(tblCalculo[[#This Row],[STATUS]]="EM ANÁLISE",tblCalculo[[#This Row],[VALOR_TOTAL]],"")</f>
        <v/>
      </c>
      <c r="N226" t="str">
        <f>IF(tblCalculo[[#This Row],[STATUS]]="TRAMITANDO",tblCalculo[[#This Row],[VALOR_TOTAL]],"")</f>
        <v/>
      </c>
      <c r="O226" t="str">
        <f>IF(tblCalculo[[#This Row],[STATUS]]="PERDIDO",tblCalculo[[#This Row],[VALOR_TOTAL]],"")</f>
        <v/>
      </c>
      <c r="P226" t="str">
        <f>IF(tblCalculo[[#This Row],[STATUS]]="CONCLUÍDO",tblCalculo[[#This Row],[VALOR_TOTAL]],"")</f>
        <v/>
      </c>
    </row>
    <row r="227" spans="1:16" x14ac:dyDescent="0.25">
      <c r="A227" t="str">
        <f>tblVendas[[#This Row],[NR_SIMULACAO]]</f>
        <v>SIM1217</v>
      </c>
      <c r="B227" s="34" t="str">
        <f>_xlfn.XLOOKUP(A227,tblVendas[[#This Row],[NR_SIMULACAO]],tblVendas[[#This Row],[NR_CNPJ]],"")</f>
        <v>33.816.126/0001-72</v>
      </c>
      <c r="C227" t="str">
        <f>_xlfn.XLOOKUP(A227,tblVendas[[#This Row],[NR_SIMULACAO]],tblVendas[[#This Row],[STATUS]],"")</f>
        <v>TRAMITANDO</v>
      </c>
      <c r="D227" t="str">
        <f>_xlfn.XLOOKUP(A227,tblVendas[[#This Row],[NR_SIMULACAO]],tblVendas[[#This Row],[MES]],"")</f>
        <v>Fevereiro</v>
      </c>
      <c r="E227">
        <f>SUM(_xlfn.XLOOKUP(tblCalculo[[#This Row],[NR_SIMULACAO]],tblVendas[[#This Row],[NR_SIMULACAO]],tblVendas[[#This Row],[VALOR_MOVEL]],""):_xlfn.XLOOKUP(tblCalculo[[#This Row],[NR_SIMULACAO]],tblVendas[[#This Row],[NR_SIMULACAO]],tblVendas[[#This Row],[VALOR_APARELHO]],""))</f>
        <v>10033.34</v>
      </c>
      <c r="F227">
        <f>IF(tblCalculo[[#This Row],[STATUS]]="CONCLUÍDO",_xlfn.XLOOKUP(tblCalculo[[#This Row],[NR_SIMULACAO]],tblVendas[[#This Row],[NR_SIMULACAO]],tblVendas[[#This Row],[VALOR_MOVEL]],""),0)</f>
        <v>0</v>
      </c>
      <c r="G227">
        <f>IF(tblCalculo[[#This Row],[STATUS]]="CONCLUÍDO",_xlfn.XLOOKUP(tblCalculo[[#This Row],[NR_SIMULACAO]],tblVendas[[#This Row],[NR_SIMULACAO]],tblVendas[[#This Row],[VALOR_AVANCADO]],""),0)</f>
        <v>0</v>
      </c>
      <c r="H227">
        <f>IF(tblCalculo[[#This Row],[STATUS]]="CONCLUÍDO",_xlfn.XLOOKUP(tblCalculo[[#This Row],[NR_SIMULACAO]],tblVendas[[#This Row],[NR_SIMULACAO]],tblVendas[[#This Row],[VALOR_FIXABASICA]],""),0)</f>
        <v>0</v>
      </c>
      <c r="I227">
        <f>IF(tblCalculo[[#This Row],[STATUS]]="CONCLUÍDO",_xlfn.XLOOKUP(tblCalculo[[#This Row],[NR_SIMULACAO]],tblVendas[[#This Row],[NR_SIMULACAO]],tblVendas[[#This Row],[VALOR_TI]],""),0)</f>
        <v>0</v>
      </c>
      <c r="J227">
        <f>IF(tblCalculo[[#This Row],[STATUS]]="CONCLUÍDO",_xlfn.XLOOKUP(tblCalculo[[#This Row],[NR_SIMULACAO]],tblVendas[[#This Row],[NR_SIMULACAO]],tblVendas[[#This Row],[VALOR_APARELHO]],""),0)</f>
        <v>0</v>
      </c>
      <c r="K227" t="str">
        <f>IF(tblCalculo[[#This Row],[STATUS]]="NEGOCIANDO",tblCalculo[[#This Row],[VALOR_TOTAL]],"")</f>
        <v/>
      </c>
      <c r="L227" t="str">
        <f>IF(tblCalculo[[#This Row],[STATUS]]="ALÇADA",tblCalculo[[#This Row],[VALOR_TOTAL]],"")</f>
        <v/>
      </c>
      <c r="M227" t="str">
        <f>IF(tblCalculo[[#This Row],[STATUS]]="EM ANÁLISE",tblCalculo[[#This Row],[VALOR_TOTAL]],"")</f>
        <v/>
      </c>
      <c r="N227">
        <f>IF(tblCalculo[[#This Row],[STATUS]]="TRAMITANDO",tblCalculo[[#This Row],[VALOR_TOTAL]],"")</f>
        <v>10033.34</v>
      </c>
      <c r="O227" t="str">
        <f>IF(tblCalculo[[#This Row],[STATUS]]="PERDIDO",tblCalculo[[#This Row],[VALOR_TOTAL]],"")</f>
        <v/>
      </c>
      <c r="P227" t="str">
        <f>IF(tblCalculo[[#This Row],[STATUS]]="CONCLUÍDO",tblCalculo[[#This Row],[VALOR_TOTAL]],"")</f>
        <v/>
      </c>
    </row>
    <row r="228" spans="1:16" x14ac:dyDescent="0.25">
      <c r="A228" t="str">
        <f>tblVendas[[#This Row],[NR_SIMULACAO]]</f>
        <v>SIM1218</v>
      </c>
      <c r="B228" s="34" t="str">
        <f>_xlfn.XLOOKUP(A228,tblVendas[[#This Row],[NR_SIMULACAO]],tblVendas[[#This Row],[NR_CNPJ]],"")</f>
        <v>43.640.659/0001-97</v>
      </c>
      <c r="C228" t="str">
        <f>_xlfn.XLOOKUP(A228,tblVendas[[#This Row],[NR_SIMULACAO]],tblVendas[[#This Row],[STATUS]],"")</f>
        <v>PERDIDO</v>
      </c>
      <c r="D228" t="str">
        <f>_xlfn.XLOOKUP(A228,tblVendas[[#This Row],[NR_SIMULACAO]],tblVendas[[#This Row],[MES]],"")</f>
        <v>Março</v>
      </c>
      <c r="E228">
        <f>SUM(_xlfn.XLOOKUP(tblCalculo[[#This Row],[NR_SIMULACAO]],tblVendas[[#This Row],[NR_SIMULACAO]],tblVendas[[#This Row],[VALOR_MOVEL]],""):_xlfn.XLOOKUP(tblCalculo[[#This Row],[NR_SIMULACAO]],tblVendas[[#This Row],[NR_SIMULACAO]],tblVendas[[#This Row],[VALOR_APARELHO]],""))</f>
        <v>13237.470000000001</v>
      </c>
      <c r="F228">
        <f>IF(tblCalculo[[#This Row],[STATUS]]="CONCLUÍDO",_xlfn.XLOOKUP(tblCalculo[[#This Row],[NR_SIMULACAO]],tblVendas[[#This Row],[NR_SIMULACAO]],tblVendas[[#This Row],[VALOR_MOVEL]],""),0)</f>
        <v>0</v>
      </c>
      <c r="G228">
        <f>IF(tblCalculo[[#This Row],[STATUS]]="CONCLUÍDO",_xlfn.XLOOKUP(tblCalculo[[#This Row],[NR_SIMULACAO]],tblVendas[[#This Row],[NR_SIMULACAO]],tblVendas[[#This Row],[VALOR_AVANCADO]],""),0)</f>
        <v>0</v>
      </c>
      <c r="H228">
        <f>IF(tblCalculo[[#This Row],[STATUS]]="CONCLUÍDO",_xlfn.XLOOKUP(tblCalculo[[#This Row],[NR_SIMULACAO]],tblVendas[[#This Row],[NR_SIMULACAO]],tblVendas[[#This Row],[VALOR_FIXABASICA]],""),0)</f>
        <v>0</v>
      </c>
      <c r="I228">
        <f>IF(tblCalculo[[#This Row],[STATUS]]="CONCLUÍDO",_xlfn.XLOOKUP(tblCalculo[[#This Row],[NR_SIMULACAO]],tblVendas[[#This Row],[NR_SIMULACAO]],tblVendas[[#This Row],[VALOR_TI]],""),0)</f>
        <v>0</v>
      </c>
      <c r="J228">
        <f>IF(tblCalculo[[#This Row],[STATUS]]="CONCLUÍDO",_xlfn.XLOOKUP(tblCalculo[[#This Row],[NR_SIMULACAO]],tblVendas[[#This Row],[NR_SIMULACAO]],tblVendas[[#This Row],[VALOR_APARELHO]],""),0)</f>
        <v>0</v>
      </c>
      <c r="K228" t="str">
        <f>IF(tblCalculo[[#This Row],[STATUS]]="NEGOCIANDO",tblCalculo[[#This Row],[VALOR_TOTAL]],"")</f>
        <v/>
      </c>
      <c r="L228" t="str">
        <f>IF(tblCalculo[[#This Row],[STATUS]]="ALÇADA",tblCalculo[[#This Row],[VALOR_TOTAL]],"")</f>
        <v/>
      </c>
      <c r="M228" t="str">
        <f>IF(tblCalculo[[#This Row],[STATUS]]="EM ANÁLISE",tblCalculo[[#This Row],[VALOR_TOTAL]],"")</f>
        <v/>
      </c>
      <c r="N228" t="str">
        <f>IF(tblCalculo[[#This Row],[STATUS]]="TRAMITANDO",tblCalculo[[#This Row],[VALOR_TOTAL]],"")</f>
        <v/>
      </c>
      <c r="O228">
        <f>IF(tblCalculo[[#This Row],[STATUS]]="PERDIDO",tblCalculo[[#This Row],[VALOR_TOTAL]],"")</f>
        <v>13237.470000000001</v>
      </c>
      <c r="P228" t="str">
        <f>IF(tblCalculo[[#This Row],[STATUS]]="CONCLUÍDO",tblCalculo[[#This Row],[VALOR_TOTAL]],"")</f>
        <v/>
      </c>
    </row>
    <row r="229" spans="1:16" x14ac:dyDescent="0.25">
      <c r="A229" t="str">
        <f>tblVendas[[#This Row],[NR_SIMULACAO]]</f>
        <v>SIM1219</v>
      </c>
      <c r="B229" s="34" t="str">
        <f>_xlfn.XLOOKUP(A229,tblVendas[[#This Row],[NR_SIMULACAO]],tblVendas[[#This Row],[NR_CNPJ]],"")</f>
        <v>21.397.488/0001-90</v>
      </c>
      <c r="C229" t="str">
        <f>_xlfn.XLOOKUP(A229,tblVendas[[#This Row],[NR_SIMULACAO]],tblVendas[[#This Row],[STATUS]],"")</f>
        <v>CONCLUÍDO</v>
      </c>
      <c r="D229" t="str">
        <f>_xlfn.XLOOKUP(A229,tblVendas[[#This Row],[NR_SIMULACAO]],tblVendas[[#This Row],[MES]],"")</f>
        <v>Dezembro</v>
      </c>
      <c r="E229">
        <f>SUM(_xlfn.XLOOKUP(tblCalculo[[#This Row],[NR_SIMULACAO]],tblVendas[[#This Row],[NR_SIMULACAO]],tblVendas[[#This Row],[VALOR_MOVEL]],""):_xlfn.XLOOKUP(tblCalculo[[#This Row],[NR_SIMULACAO]],tblVendas[[#This Row],[NR_SIMULACAO]],tblVendas[[#This Row],[VALOR_APARELHO]],""))</f>
        <v>9057.83</v>
      </c>
      <c r="F229">
        <f>IF(tblCalculo[[#This Row],[STATUS]]="CONCLUÍDO",_xlfn.XLOOKUP(tblCalculo[[#This Row],[NR_SIMULACAO]],tblVendas[[#This Row],[NR_SIMULACAO]],tblVendas[[#This Row],[VALOR_MOVEL]],""),0)</f>
        <v>0</v>
      </c>
      <c r="G229">
        <f>IF(tblCalculo[[#This Row],[STATUS]]="CONCLUÍDO",_xlfn.XLOOKUP(tblCalculo[[#This Row],[NR_SIMULACAO]],tblVendas[[#This Row],[NR_SIMULACAO]],tblVendas[[#This Row],[VALOR_AVANCADO]],""),0)</f>
        <v>0</v>
      </c>
      <c r="H229">
        <f>IF(tblCalculo[[#This Row],[STATUS]]="CONCLUÍDO",_xlfn.XLOOKUP(tblCalculo[[#This Row],[NR_SIMULACAO]],tblVendas[[#This Row],[NR_SIMULACAO]],tblVendas[[#This Row],[VALOR_FIXABASICA]],""),0)</f>
        <v>0</v>
      </c>
      <c r="I229">
        <f>IF(tblCalculo[[#This Row],[STATUS]]="CONCLUÍDO",_xlfn.XLOOKUP(tblCalculo[[#This Row],[NR_SIMULACAO]],tblVendas[[#This Row],[NR_SIMULACAO]],tblVendas[[#This Row],[VALOR_TI]],""),0)</f>
        <v>6571.84</v>
      </c>
      <c r="J229">
        <f>IF(tblCalculo[[#This Row],[STATUS]]="CONCLUÍDO",_xlfn.XLOOKUP(tblCalculo[[#This Row],[NR_SIMULACAO]],tblVendas[[#This Row],[NR_SIMULACAO]],tblVendas[[#This Row],[VALOR_APARELHO]],""),0)</f>
        <v>2485.9899999999998</v>
      </c>
      <c r="K229" t="str">
        <f>IF(tblCalculo[[#This Row],[STATUS]]="NEGOCIANDO",tblCalculo[[#This Row],[VALOR_TOTAL]],"")</f>
        <v/>
      </c>
      <c r="L229" t="str">
        <f>IF(tblCalculo[[#This Row],[STATUS]]="ALÇADA",tblCalculo[[#This Row],[VALOR_TOTAL]],"")</f>
        <v/>
      </c>
      <c r="M229" t="str">
        <f>IF(tblCalculo[[#This Row],[STATUS]]="EM ANÁLISE",tblCalculo[[#This Row],[VALOR_TOTAL]],"")</f>
        <v/>
      </c>
      <c r="N229" t="str">
        <f>IF(tblCalculo[[#This Row],[STATUS]]="TRAMITANDO",tblCalculo[[#This Row],[VALOR_TOTAL]],"")</f>
        <v/>
      </c>
      <c r="O229" t="str">
        <f>IF(tblCalculo[[#This Row],[STATUS]]="PERDIDO",tblCalculo[[#This Row],[VALOR_TOTAL]],"")</f>
        <v/>
      </c>
      <c r="P229">
        <f>IF(tblCalculo[[#This Row],[STATUS]]="CONCLUÍDO",tblCalculo[[#This Row],[VALOR_TOTAL]],"")</f>
        <v>9057.83</v>
      </c>
    </row>
    <row r="230" spans="1:16" x14ac:dyDescent="0.25">
      <c r="A230" t="str">
        <f>tblVendas[[#This Row],[NR_SIMULACAO]]</f>
        <v>SIM1220</v>
      </c>
      <c r="B230" s="34" t="str">
        <f>_xlfn.XLOOKUP(A230,tblVendas[[#This Row],[NR_SIMULACAO]],tblVendas[[#This Row],[NR_CNPJ]],"")</f>
        <v>55.844.314/0001-17</v>
      </c>
      <c r="C230" t="str">
        <f>_xlfn.XLOOKUP(A230,tblVendas[[#This Row],[NR_SIMULACAO]],tblVendas[[#This Row],[STATUS]],"")</f>
        <v>EM ANÁLISE</v>
      </c>
      <c r="D230" t="str">
        <f>_xlfn.XLOOKUP(A230,tblVendas[[#This Row],[NR_SIMULACAO]],tblVendas[[#This Row],[MES]],"")</f>
        <v>Março</v>
      </c>
      <c r="E230">
        <f>SUM(_xlfn.XLOOKUP(tblCalculo[[#This Row],[NR_SIMULACAO]],tblVendas[[#This Row],[NR_SIMULACAO]],tblVendas[[#This Row],[VALOR_MOVEL]],""):_xlfn.XLOOKUP(tblCalculo[[#This Row],[NR_SIMULACAO]],tblVendas[[#This Row],[NR_SIMULACAO]],tblVendas[[#This Row],[VALOR_APARELHO]],""))</f>
        <v>4962.8599999999997</v>
      </c>
      <c r="F230">
        <f>IF(tblCalculo[[#This Row],[STATUS]]="CONCLUÍDO",_xlfn.XLOOKUP(tblCalculo[[#This Row],[NR_SIMULACAO]],tblVendas[[#This Row],[NR_SIMULACAO]],tblVendas[[#This Row],[VALOR_MOVEL]],""),0)</f>
        <v>0</v>
      </c>
      <c r="G230">
        <f>IF(tblCalculo[[#This Row],[STATUS]]="CONCLUÍDO",_xlfn.XLOOKUP(tblCalculo[[#This Row],[NR_SIMULACAO]],tblVendas[[#This Row],[NR_SIMULACAO]],tblVendas[[#This Row],[VALOR_AVANCADO]],""),0)</f>
        <v>0</v>
      </c>
      <c r="H230">
        <f>IF(tblCalculo[[#This Row],[STATUS]]="CONCLUÍDO",_xlfn.XLOOKUP(tblCalculo[[#This Row],[NR_SIMULACAO]],tblVendas[[#This Row],[NR_SIMULACAO]],tblVendas[[#This Row],[VALOR_FIXABASICA]],""),0)</f>
        <v>0</v>
      </c>
      <c r="I230">
        <f>IF(tblCalculo[[#This Row],[STATUS]]="CONCLUÍDO",_xlfn.XLOOKUP(tblCalculo[[#This Row],[NR_SIMULACAO]],tblVendas[[#This Row],[NR_SIMULACAO]],tblVendas[[#This Row],[VALOR_TI]],""),0)</f>
        <v>0</v>
      </c>
      <c r="J230">
        <f>IF(tblCalculo[[#This Row],[STATUS]]="CONCLUÍDO",_xlfn.XLOOKUP(tblCalculo[[#This Row],[NR_SIMULACAO]],tblVendas[[#This Row],[NR_SIMULACAO]],tblVendas[[#This Row],[VALOR_APARELHO]],""),0)</f>
        <v>0</v>
      </c>
      <c r="K230" t="str">
        <f>IF(tblCalculo[[#This Row],[STATUS]]="NEGOCIANDO",tblCalculo[[#This Row],[VALOR_TOTAL]],"")</f>
        <v/>
      </c>
      <c r="L230" t="str">
        <f>IF(tblCalculo[[#This Row],[STATUS]]="ALÇADA",tblCalculo[[#This Row],[VALOR_TOTAL]],"")</f>
        <v/>
      </c>
      <c r="M230">
        <f>IF(tblCalculo[[#This Row],[STATUS]]="EM ANÁLISE",tblCalculo[[#This Row],[VALOR_TOTAL]],"")</f>
        <v>4962.8599999999997</v>
      </c>
      <c r="N230" t="str">
        <f>IF(tblCalculo[[#This Row],[STATUS]]="TRAMITANDO",tblCalculo[[#This Row],[VALOR_TOTAL]],"")</f>
        <v/>
      </c>
      <c r="O230" t="str">
        <f>IF(tblCalculo[[#This Row],[STATUS]]="PERDIDO",tblCalculo[[#This Row],[VALOR_TOTAL]],"")</f>
        <v/>
      </c>
      <c r="P230" t="str">
        <f>IF(tblCalculo[[#This Row],[STATUS]]="CONCLUÍDO",tblCalculo[[#This Row],[VALOR_TOTAL]],"")</f>
        <v/>
      </c>
    </row>
    <row r="231" spans="1:16" x14ac:dyDescent="0.25">
      <c r="A231" t="str">
        <f>tblVendas[[#This Row],[NR_SIMULACAO]]</f>
        <v>SIM1221</v>
      </c>
      <c r="B231" s="34" t="str">
        <f>_xlfn.XLOOKUP(A231,tblVendas[[#This Row],[NR_SIMULACAO]],tblVendas[[#This Row],[NR_CNPJ]],"")</f>
        <v>13.189.721/0001-40</v>
      </c>
      <c r="C231" t="str">
        <f>_xlfn.XLOOKUP(A231,tblVendas[[#This Row],[NR_SIMULACAO]],tblVendas[[#This Row],[STATUS]],"")</f>
        <v>TRAMITANDO</v>
      </c>
      <c r="D231" t="str">
        <f>_xlfn.XLOOKUP(A231,tblVendas[[#This Row],[NR_SIMULACAO]],tblVendas[[#This Row],[MES]],"")</f>
        <v>Novembro</v>
      </c>
      <c r="E231">
        <f>SUM(_xlfn.XLOOKUP(tblCalculo[[#This Row],[NR_SIMULACAO]],tblVendas[[#This Row],[NR_SIMULACAO]],tblVendas[[#This Row],[VALOR_MOVEL]],""):_xlfn.XLOOKUP(tblCalculo[[#This Row],[NR_SIMULACAO]],tblVendas[[#This Row],[NR_SIMULACAO]],tblVendas[[#This Row],[VALOR_APARELHO]],""))</f>
        <v>14892.869999999999</v>
      </c>
      <c r="F231">
        <f>IF(tblCalculo[[#This Row],[STATUS]]="CONCLUÍDO",_xlfn.XLOOKUP(tblCalculo[[#This Row],[NR_SIMULACAO]],tblVendas[[#This Row],[NR_SIMULACAO]],tblVendas[[#This Row],[VALOR_MOVEL]],""),0)</f>
        <v>0</v>
      </c>
      <c r="G231">
        <f>IF(tblCalculo[[#This Row],[STATUS]]="CONCLUÍDO",_xlfn.XLOOKUP(tblCalculo[[#This Row],[NR_SIMULACAO]],tblVendas[[#This Row],[NR_SIMULACAO]],tblVendas[[#This Row],[VALOR_AVANCADO]],""),0)</f>
        <v>0</v>
      </c>
      <c r="H231">
        <f>IF(tblCalculo[[#This Row],[STATUS]]="CONCLUÍDO",_xlfn.XLOOKUP(tblCalculo[[#This Row],[NR_SIMULACAO]],tblVendas[[#This Row],[NR_SIMULACAO]],tblVendas[[#This Row],[VALOR_FIXABASICA]],""),0)</f>
        <v>0</v>
      </c>
      <c r="I231">
        <f>IF(tblCalculo[[#This Row],[STATUS]]="CONCLUÍDO",_xlfn.XLOOKUP(tblCalculo[[#This Row],[NR_SIMULACAO]],tblVendas[[#This Row],[NR_SIMULACAO]],tblVendas[[#This Row],[VALOR_TI]],""),0)</f>
        <v>0</v>
      </c>
      <c r="J231">
        <f>IF(tblCalculo[[#This Row],[STATUS]]="CONCLUÍDO",_xlfn.XLOOKUP(tblCalculo[[#This Row],[NR_SIMULACAO]],tblVendas[[#This Row],[NR_SIMULACAO]],tblVendas[[#This Row],[VALOR_APARELHO]],""),0)</f>
        <v>0</v>
      </c>
      <c r="K231" t="str">
        <f>IF(tblCalculo[[#This Row],[STATUS]]="NEGOCIANDO",tblCalculo[[#This Row],[VALOR_TOTAL]],"")</f>
        <v/>
      </c>
      <c r="L231" t="str">
        <f>IF(tblCalculo[[#This Row],[STATUS]]="ALÇADA",tblCalculo[[#This Row],[VALOR_TOTAL]],"")</f>
        <v/>
      </c>
      <c r="M231" t="str">
        <f>IF(tblCalculo[[#This Row],[STATUS]]="EM ANÁLISE",tblCalculo[[#This Row],[VALOR_TOTAL]],"")</f>
        <v/>
      </c>
      <c r="N231">
        <f>IF(tblCalculo[[#This Row],[STATUS]]="TRAMITANDO",tblCalculo[[#This Row],[VALOR_TOTAL]],"")</f>
        <v>14892.869999999999</v>
      </c>
      <c r="O231" t="str">
        <f>IF(tblCalculo[[#This Row],[STATUS]]="PERDIDO",tblCalculo[[#This Row],[VALOR_TOTAL]],"")</f>
        <v/>
      </c>
      <c r="P231" t="str">
        <f>IF(tblCalculo[[#This Row],[STATUS]]="CONCLUÍDO",tblCalculo[[#This Row],[VALOR_TOTAL]],"")</f>
        <v/>
      </c>
    </row>
    <row r="232" spans="1:16" x14ac:dyDescent="0.25">
      <c r="A232" t="str">
        <f>tblVendas[[#This Row],[NR_SIMULACAO]]</f>
        <v>SIM1222</v>
      </c>
      <c r="B232" s="34" t="str">
        <f>_xlfn.XLOOKUP(A232,tblVendas[[#This Row],[NR_SIMULACAO]],tblVendas[[#This Row],[NR_CNPJ]],"")</f>
        <v>29.717.114/0001-15</v>
      </c>
      <c r="C232" t="str">
        <f>_xlfn.XLOOKUP(A232,tblVendas[[#This Row],[NR_SIMULACAO]],tblVendas[[#This Row],[STATUS]],"")</f>
        <v>EM ANÁLISE</v>
      </c>
      <c r="D232" t="str">
        <f>_xlfn.XLOOKUP(A232,tblVendas[[#This Row],[NR_SIMULACAO]],tblVendas[[#This Row],[MES]],"")</f>
        <v>Julho</v>
      </c>
      <c r="E232">
        <f>SUM(_xlfn.XLOOKUP(tblCalculo[[#This Row],[NR_SIMULACAO]],tblVendas[[#This Row],[NR_SIMULACAO]],tblVendas[[#This Row],[VALOR_MOVEL]],""):_xlfn.XLOOKUP(tblCalculo[[#This Row],[NR_SIMULACAO]],tblVendas[[#This Row],[NR_SIMULACAO]],tblVendas[[#This Row],[VALOR_APARELHO]],""))</f>
        <v>21089.15</v>
      </c>
      <c r="F232">
        <f>IF(tblCalculo[[#This Row],[STATUS]]="CONCLUÍDO",_xlfn.XLOOKUP(tblCalculo[[#This Row],[NR_SIMULACAO]],tblVendas[[#This Row],[NR_SIMULACAO]],tblVendas[[#This Row],[VALOR_MOVEL]],""),0)</f>
        <v>0</v>
      </c>
      <c r="G232">
        <f>IF(tblCalculo[[#This Row],[STATUS]]="CONCLUÍDO",_xlfn.XLOOKUP(tblCalculo[[#This Row],[NR_SIMULACAO]],tblVendas[[#This Row],[NR_SIMULACAO]],tblVendas[[#This Row],[VALOR_AVANCADO]],""),0)</f>
        <v>0</v>
      </c>
      <c r="H232">
        <f>IF(tblCalculo[[#This Row],[STATUS]]="CONCLUÍDO",_xlfn.XLOOKUP(tblCalculo[[#This Row],[NR_SIMULACAO]],tblVendas[[#This Row],[NR_SIMULACAO]],tblVendas[[#This Row],[VALOR_FIXABASICA]],""),0)</f>
        <v>0</v>
      </c>
      <c r="I232">
        <f>IF(tblCalculo[[#This Row],[STATUS]]="CONCLUÍDO",_xlfn.XLOOKUP(tblCalculo[[#This Row],[NR_SIMULACAO]],tblVendas[[#This Row],[NR_SIMULACAO]],tblVendas[[#This Row],[VALOR_TI]],""),0)</f>
        <v>0</v>
      </c>
      <c r="J232">
        <f>IF(tblCalculo[[#This Row],[STATUS]]="CONCLUÍDO",_xlfn.XLOOKUP(tblCalculo[[#This Row],[NR_SIMULACAO]],tblVendas[[#This Row],[NR_SIMULACAO]],tblVendas[[#This Row],[VALOR_APARELHO]],""),0)</f>
        <v>0</v>
      </c>
      <c r="K232" t="str">
        <f>IF(tblCalculo[[#This Row],[STATUS]]="NEGOCIANDO",tblCalculo[[#This Row],[VALOR_TOTAL]],"")</f>
        <v/>
      </c>
      <c r="L232" t="str">
        <f>IF(tblCalculo[[#This Row],[STATUS]]="ALÇADA",tblCalculo[[#This Row],[VALOR_TOTAL]],"")</f>
        <v/>
      </c>
      <c r="M232">
        <f>IF(tblCalculo[[#This Row],[STATUS]]="EM ANÁLISE",tblCalculo[[#This Row],[VALOR_TOTAL]],"")</f>
        <v>21089.15</v>
      </c>
      <c r="N232" t="str">
        <f>IF(tblCalculo[[#This Row],[STATUS]]="TRAMITANDO",tblCalculo[[#This Row],[VALOR_TOTAL]],"")</f>
        <v/>
      </c>
      <c r="O232" t="str">
        <f>IF(tblCalculo[[#This Row],[STATUS]]="PERDIDO",tblCalculo[[#This Row],[VALOR_TOTAL]],"")</f>
        <v/>
      </c>
      <c r="P232" t="str">
        <f>IF(tblCalculo[[#This Row],[STATUS]]="CONCLUÍDO",tblCalculo[[#This Row],[VALOR_TOTAL]],"")</f>
        <v/>
      </c>
    </row>
    <row r="233" spans="1:16" x14ac:dyDescent="0.25">
      <c r="A233" t="str">
        <f>tblVendas[[#This Row],[NR_SIMULACAO]]</f>
        <v>SIM1223</v>
      </c>
      <c r="B233" s="34" t="str">
        <f>_xlfn.XLOOKUP(A233,tblVendas[[#This Row],[NR_SIMULACAO]],tblVendas[[#This Row],[NR_CNPJ]],"")</f>
        <v>52.996.598/0001-18</v>
      </c>
      <c r="C233" t="str">
        <f>_xlfn.XLOOKUP(A233,tblVendas[[#This Row],[NR_SIMULACAO]],tblVendas[[#This Row],[STATUS]],"")</f>
        <v>NEGOCIANDO</v>
      </c>
      <c r="D233" t="str">
        <f>_xlfn.XLOOKUP(A233,tblVendas[[#This Row],[NR_SIMULACAO]],tblVendas[[#This Row],[MES]],"")</f>
        <v>Março</v>
      </c>
      <c r="E233">
        <f>SUM(_xlfn.XLOOKUP(tblCalculo[[#This Row],[NR_SIMULACAO]],tblVendas[[#This Row],[NR_SIMULACAO]],tblVendas[[#This Row],[VALOR_MOVEL]],""):_xlfn.XLOOKUP(tblCalculo[[#This Row],[NR_SIMULACAO]],tblVendas[[#This Row],[NR_SIMULACAO]],tblVendas[[#This Row],[VALOR_APARELHO]],""))</f>
        <v>2258.8000000000002</v>
      </c>
      <c r="F233">
        <f>IF(tblCalculo[[#This Row],[STATUS]]="CONCLUÍDO",_xlfn.XLOOKUP(tblCalculo[[#This Row],[NR_SIMULACAO]],tblVendas[[#This Row],[NR_SIMULACAO]],tblVendas[[#This Row],[VALOR_MOVEL]],""),0)</f>
        <v>0</v>
      </c>
      <c r="G233">
        <f>IF(tblCalculo[[#This Row],[STATUS]]="CONCLUÍDO",_xlfn.XLOOKUP(tblCalculo[[#This Row],[NR_SIMULACAO]],tblVendas[[#This Row],[NR_SIMULACAO]],tblVendas[[#This Row],[VALOR_AVANCADO]],""),0)</f>
        <v>0</v>
      </c>
      <c r="H233">
        <f>IF(tblCalculo[[#This Row],[STATUS]]="CONCLUÍDO",_xlfn.XLOOKUP(tblCalculo[[#This Row],[NR_SIMULACAO]],tblVendas[[#This Row],[NR_SIMULACAO]],tblVendas[[#This Row],[VALOR_FIXABASICA]],""),0)</f>
        <v>0</v>
      </c>
      <c r="I233">
        <f>IF(tblCalculo[[#This Row],[STATUS]]="CONCLUÍDO",_xlfn.XLOOKUP(tblCalculo[[#This Row],[NR_SIMULACAO]],tblVendas[[#This Row],[NR_SIMULACAO]],tblVendas[[#This Row],[VALOR_TI]],""),0)</f>
        <v>0</v>
      </c>
      <c r="J233">
        <f>IF(tblCalculo[[#This Row],[STATUS]]="CONCLUÍDO",_xlfn.XLOOKUP(tblCalculo[[#This Row],[NR_SIMULACAO]],tblVendas[[#This Row],[NR_SIMULACAO]],tblVendas[[#This Row],[VALOR_APARELHO]],""),0)</f>
        <v>0</v>
      </c>
      <c r="K233">
        <f>IF(tblCalculo[[#This Row],[STATUS]]="NEGOCIANDO",tblCalculo[[#This Row],[VALOR_TOTAL]],"")</f>
        <v>2258.8000000000002</v>
      </c>
      <c r="L233" t="str">
        <f>IF(tblCalculo[[#This Row],[STATUS]]="ALÇADA",tblCalculo[[#This Row],[VALOR_TOTAL]],"")</f>
        <v/>
      </c>
      <c r="M233" t="str">
        <f>IF(tblCalculo[[#This Row],[STATUS]]="EM ANÁLISE",tblCalculo[[#This Row],[VALOR_TOTAL]],"")</f>
        <v/>
      </c>
      <c r="N233" t="str">
        <f>IF(tblCalculo[[#This Row],[STATUS]]="TRAMITANDO",tblCalculo[[#This Row],[VALOR_TOTAL]],"")</f>
        <v/>
      </c>
      <c r="O233" t="str">
        <f>IF(tblCalculo[[#This Row],[STATUS]]="PERDIDO",tblCalculo[[#This Row],[VALOR_TOTAL]],"")</f>
        <v/>
      </c>
      <c r="P233" t="str">
        <f>IF(tblCalculo[[#This Row],[STATUS]]="CONCLUÍDO",tblCalculo[[#This Row],[VALOR_TOTAL]],"")</f>
        <v/>
      </c>
    </row>
    <row r="234" spans="1:16" x14ac:dyDescent="0.25">
      <c r="A234" t="str">
        <f>tblVendas[[#This Row],[NR_SIMULACAO]]</f>
        <v>SIM1224</v>
      </c>
      <c r="B234" s="34" t="str">
        <f>_xlfn.XLOOKUP(A234,tblVendas[[#This Row],[NR_SIMULACAO]],tblVendas[[#This Row],[NR_CNPJ]],"")</f>
        <v>25.499.647/0001-15</v>
      </c>
      <c r="C234" t="str">
        <f>_xlfn.XLOOKUP(A234,tblVendas[[#This Row],[NR_SIMULACAO]],tblVendas[[#This Row],[STATUS]],"")</f>
        <v>EM ANÁLISE</v>
      </c>
      <c r="D234" t="str">
        <f>_xlfn.XLOOKUP(A234,tblVendas[[#This Row],[NR_SIMULACAO]],tblVendas[[#This Row],[MES]],"")</f>
        <v>Janeiro</v>
      </c>
      <c r="E234">
        <f>SUM(_xlfn.XLOOKUP(tblCalculo[[#This Row],[NR_SIMULACAO]],tblVendas[[#This Row],[NR_SIMULACAO]],tblVendas[[#This Row],[VALOR_MOVEL]],""):_xlfn.XLOOKUP(tblCalculo[[#This Row],[NR_SIMULACAO]],tblVendas[[#This Row],[NR_SIMULACAO]],tblVendas[[#This Row],[VALOR_APARELHO]],""))</f>
        <v>4564.92</v>
      </c>
      <c r="F234">
        <f>IF(tblCalculo[[#This Row],[STATUS]]="CONCLUÍDO",_xlfn.XLOOKUP(tblCalculo[[#This Row],[NR_SIMULACAO]],tblVendas[[#This Row],[NR_SIMULACAO]],tblVendas[[#This Row],[VALOR_MOVEL]],""),0)</f>
        <v>0</v>
      </c>
      <c r="G234">
        <f>IF(tblCalculo[[#This Row],[STATUS]]="CONCLUÍDO",_xlfn.XLOOKUP(tblCalculo[[#This Row],[NR_SIMULACAO]],tblVendas[[#This Row],[NR_SIMULACAO]],tblVendas[[#This Row],[VALOR_AVANCADO]],""),0)</f>
        <v>0</v>
      </c>
      <c r="H234">
        <f>IF(tblCalculo[[#This Row],[STATUS]]="CONCLUÍDO",_xlfn.XLOOKUP(tblCalculo[[#This Row],[NR_SIMULACAO]],tblVendas[[#This Row],[NR_SIMULACAO]],tblVendas[[#This Row],[VALOR_FIXABASICA]],""),0)</f>
        <v>0</v>
      </c>
      <c r="I234">
        <f>IF(tblCalculo[[#This Row],[STATUS]]="CONCLUÍDO",_xlfn.XLOOKUP(tblCalculo[[#This Row],[NR_SIMULACAO]],tblVendas[[#This Row],[NR_SIMULACAO]],tblVendas[[#This Row],[VALOR_TI]],""),0)</f>
        <v>0</v>
      </c>
      <c r="J234">
        <f>IF(tblCalculo[[#This Row],[STATUS]]="CONCLUÍDO",_xlfn.XLOOKUP(tblCalculo[[#This Row],[NR_SIMULACAO]],tblVendas[[#This Row],[NR_SIMULACAO]],tblVendas[[#This Row],[VALOR_APARELHO]],""),0)</f>
        <v>0</v>
      </c>
      <c r="K234" t="str">
        <f>IF(tblCalculo[[#This Row],[STATUS]]="NEGOCIANDO",tblCalculo[[#This Row],[VALOR_TOTAL]],"")</f>
        <v/>
      </c>
      <c r="L234" t="str">
        <f>IF(tblCalculo[[#This Row],[STATUS]]="ALÇADA",tblCalculo[[#This Row],[VALOR_TOTAL]],"")</f>
        <v/>
      </c>
      <c r="M234">
        <f>IF(tblCalculo[[#This Row],[STATUS]]="EM ANÁLISE",tblCalculo[[#This Row],[VALOR_TOTAL]],"")</f>
        <v>4564.92</v>
      </c>
      <c r="N234" t="str">
        <f>IF(tblCalculo[[#This Row],[STATUS]]="TRAMITANDO",tblCalculo[[#This Row],[VALOR_TOTAL]],"")</f>
        <v/>
      </c>
      <c r="O234" t="str">
        <f>IF(tblCalculo[[#This Row],[STATUS]]="PERDIDO",tblCalculo[[#This Row],[VALOR_TOTAL]],"")</f>
        <v/>
      </c>
      <c r="P234" t="str">
        <f>IF(tblCalculo[[#This Row],[STATUS]]="CONCLUÍDO",tblCalculo[[#This Row],[VALOR_TOTAL]],"")</f>
        <v/>
      </c>
    </row>
    <row r="235" spans="1:16" x14ac:dyDescent="0.25">
      <c r="A235" t="str">
        <f>tblVendas[[#This Row],[NR_SIMULACAO]]</f>
        <v>SIM1225</v>
      </c>
      <c r="B235" s="34" t="str">
        <f>_xlfn.XLOOKUP(A235,tblVendas[[#This Row],[NR_SIMULACAO]],tblVendas[[#This Row],[NR_CNPJ]],"")</f>
        <v>89.526.547/0001-26</v>
      </c>
      <c r="C235" t="str">
        <f>_xlfn.XLOOKUP(A235,tblVendas[[#This Row],[NR_SIMULACAO]],tblVendas[[#This Row],[STATUS]],"")</f>
        <v>NEGOCIANDO</v>
      </c>
      <c r="D235" t="str">
        <f>_xlfn.XLOOKUP(A235,tblVendas[[#This Row],[NR_SIMULACAO]],tblVendas[[#This Row],[MES]],"")</f>
        <v>Janeiro</v>
      </c>
      <c r="E235">
        <f>SUM(_xlfn.XLOOKUP(tblCalculo[[#This Row],[NR_SIMULACAO]],tblVendas[[#This Row],[NR_SIMULACAO]],tblVendas[[#This Row],[VALOR_MOVEL]],""):_xlfn.XLOOKUP(tblCalculo[[#This Row],[NR_SIMULACAO]],tblVendas[[#This Row],[NR_SIMULACAO]],tblVendas[[#This Row],[VALOR_APARELHO]],""))</f>
        <v>26455.030000000002</v>
      </c>
      <c r="F235">
        <f>IF(tblCalculo[[#This Row],[STATUS]]="CONCLUÍDO",_xlfn.XLOOKUP(tblCalculo[[#This Row],[NR_SIMULACAO]],tblVendas[[#This Row],[NR_SIMULACAO]],tblVendas[[#This Row],[VALOR_MOVEL]],""),0)</f>
        <v>0</v>
      </c>
      <c r="G235">
        <f>IF(tblCalculo[[#This Row],[STATUS]]="CONCLUÍDO",_xlfn.XLOOKUP(tblCalculo[[#This Row],[NR_SIMULACAO]],tblVendas[[#This Row],[NR_SIMULACAO]],tblVendas[[#This Row],[VALOR_AVANCADO]],""),0)</f>
        <v>0</v>
      </c>
      <c r="H235">
        <f>IF(tblCalculo[[#This Row],[STATUS]]="CONCLUÍDO",_xlfn.XLOOKUP(tblCalculo[[#This Row],[NR_SIMULACAO]],tblVendas[[#This Row],[NR_SIMULACAO]],tblVendas[[#This Row],[VALOR_FIXABASICA]],""),0)</f>
        <v>0</v>
      </c>
      <c r="I235">
        <f>IF(tblCalculo[[#This Row],[STATUS]]="CONCLUÍDO",_xlfn.XLOOKUP(tblCalculo[[#This Row],[NR_SIMULACAO]],tblVendas[[#This Row],[NR_SIMULACAO]],tblVendas[[#This Row],[VALOR_TI]],""),0)</f>
        <v>0</v>
      </c>
      <c r="J235">
        <f>IF(tblCalculo[[#This Row],[STATUS]]="CONCLUÍDO",_xlfn.XLOOKUP(tblCalculo[[#This Row],[NR_SIMULACAO]],tblVendas[[#This Row],[NR_SIMULACAO]],tblVendas[[#This Row],[VALOR_APARELHO]],""),0)</f>
        <v>0</v>
      </c>
      <c r="K235">
        <f>IF(tblCalculo[[#This Row],[STATUS]]="NEGOCIANDO",tblCalculo[[#This Row],[VALOR_TOTAL]],"")</f>
        <v>26455.030000000002</v>
      </c>
      <c r="L235" t="str">
        <f>IF(tblCalculo[[#This Row],[STATUS]]="ALÇADA",tblCalculo[[#This Row],[VALOR_TOTAL]],"")</f>
        <v/>
      </c>
      <c r="M235" t="str">
        <f>IF(tblCalculo[[#This Row],[STATUS]]="EM ANÁLISE",tblCalculo[[#This Row],[VALOR_TOTAL]],"")</f>
        <v/>
      </c>
      <c r="N235" t="str">
        <f>IF(tblCalculo[[#This Row],[STATUS]]="TRAMITANDO",tblCalculo[[#This Row],[VALOR_TOTAL]],"")</f>
        <v/>
      </c>
      <c r="O235" t="str">
        <f>IF(tblCalculo[[#This Row],[STATUS]]="PERDIDO",tblCalculo[[#This Row],[VALOR_TOTAL]],"")</f>
        <v/>
      </c>
      <c r="P235" t="str">
        <f>IF(tblCalculo[[#This Row],[STATUS]]="CONCLUÍDO",tblCalculo[[#This Row],[VALOR_TOTAL]],"")</f>
        <v/>
      </c>
    </row>
    <row r="236" spans="1:16" x14ac:dyDescent="0.25">
      <c r="A236" t="str">
        <f>tblVendas[[#This Row],[NR_SIMULACAO]]</f>
        <v>SIM1226</v>
      </c>
      <c r="B236" s="34" t="str">
        <f>_xlfn.XLOOKUP(A236,tblVendas[[#This Row],[NR_SIMULACAO]],tblVendas[[#This Row],[NR_CNPJ]],"")</f>
        <v>21.915.678/0001-29</v>
      </c>
      <c r="C236" t="str">
        <f>_xlfn.XLOOKUP(A236,tblVendas[[#This Row],[NR_SIMULACAO]],tblVendas[[#This Row],[STATUS]],"")</f>
        <v>PERDIDO</v>
      </c>
      <c r="D236" t="str">
        <f>_xlfn.XLOOKUP(A236,tblVendas[[#This Row],[NR_SIMULACAO]],tblVendas[[#This Row],[MES]],"")</f>
        <v>Agosto</v>
      </c>
      <c r="E236">
        <f>SUM(_xlfn.XLOOKUP(tblCalculo[[#This Row],[NR_SIMULACAO]],tblVendas[[#This Row],[NR_SIMULACAO]],tblVendas[[#This Row],[VALOR_MOVEL]],""):_xlfn.XLOOKUP(tblCalculo[[#This Row],[NR_SIMULACAO]],tblVendas[[#This Row],[NR_SIMULACAO]],tblVendas[[#This Row],[VALOR_APARELHO]],""))</f>
        <v>2917.59</v>
      </c>
      <c r="F236">
        <f>IF(tblCalculo[[#This Row],[STATUS]]="CONCLUÍDO",_xlfn.XLOOKUP(tblCalculo[[#This Row],[NR_SIMULACAO]],tblVendas[[#This Row],[NR_SIMULACAO]],tblVendas[[#This Row],[VALOR_MOVEL]],""),0)</f>
        <v>0</v>
      </c>
      <c r="G236">
        <f>IF(tblCalculo[[#This Row],[STATUS]]="CONCLUÍDO",_xlfn.XLOOKUP(tblCalculo[[#This Row],[NR_SIMULACAO]],tblVendas[[#This Row],[NR_SIMULACAO]],tblVendas[[#This Row],[VALOR_AVANCADO]],""),0)</f>
        <v>0</v>
      </c>
      <c r="H236">
        <f>IF(tblCalculo[[#This Row],[STATUS]]="CONCLUÍDO",_xlfn.XLOOKUP(tblCalculo[[#This Row],[NR_SIMULACAO]],tblVendas[[#This Row],[NR_SIMULACAO]],tblVendas[[#This Row],[VALOR_FIXABASICA]],""),0)</f>
        <v>0</v>
      </c>
      <c r="I236">
        <f>IF(tblCalculo[[#This Row],[STATUS]]="CONCLUÍDO",_xlfn.XLOOKUP(tblCalculo[[#This Row],[NR_SIMULACAO]],tblVendas[[#This Row],[NR_SIMULACAO]],tblVendas[[#This Row],[VALOR_TI]],""),0)</f>
        <v>0</v>
      </c>
      <c r="J236">
        <f>IF(tblCalculo[[#This Row],[STATUS]]="CONCLUÍDO",_xlfn.XLOOKUP(tblCalculo[[#This Row],[NR_SIMULACAO]],tblVendas[[#This Row],[NR_SIMULACAO]],tblVendas[[#This Row],[VALOR_APARELHO]],""),0)</f>
        <v>0</v>
      </c>
      <c r="K236" t="str">
        <f>IF(tblCalculo[[#This Row],[STATUS]]="NEGOCIANDO",tblCalculo[[#This Row],[VALOR_TOTAL]],"")</f>
        <v/>
      </c>
      <c r="L236" t="str">
        <f>IF(tblCalculo[[#This Row],[STATUS]]="ALÇADA",tblCalculo[[#This Row],[VALOR_TOTAL]],"")</f>
        <v/>
      </c>
      <c r="M236" t="str">
        <f>IF(tblCalculo[[#This Row],[STATUS]]="EM ANÁLISE",tblCalculo[[#This Row],[VALOR_TOTAL]],"")</f>
        <v/>
      </c>
      <c r="N236" t="str">
        <f>IF(tblCalculo[[#This Row],[STATUS]]="TRAMITANDO",tblCalculo[[#This Row],[VALOR_TOTAL]],"")</f>
        <v/>
      </c>
      <c r="O236">
        <f>IF(tblCalculo[[#This Row],[STATUS]]="PERDIDO",tblCalculo[[#This Row],[VALOR_TOTAL]],"")</f>
        <v>2917.59</v>
      </c>
      <c r="P236" t="str">
        <f>IF(tblCalculo[[#This Row],[STATUS]]="CONCLUÍDO",tblCalculo[[#This Row],[VALOR_TOTAL]],"")</f>
        <v/>
      </c>
    </row>
    <row r="237" spans="1:16" x14ac:dyDescent="0.25">
      <c r="A237" t="str">
        <f>tblVendas[[#This Row],[NR_SIMULACAO]]</f>
        <v>SIM1227</v>
      </c>
      <c r="B237" s="34" t="str">
        <f>_xlfn.XLOOKUP(A237,tblVendas[[#This Row],[NR_SIMULACAO]],tblVendas[[#This Row],[NR_CNPJ]],"")</f>
        <v>63.930.834/0001-21</v>
      </c>
      <c r="C237" t="str">
        <f>_xlfn.XLOOKUP(A237,tblVendas[[#This Row],[NR_SIMULACAO]],tblVendas[[#This Row],[STATUS]],"")</f>
        <v>PERDIDO</v>
      </c>
      <c r="D237" t="str">
        <f>_xlfn.XLOOKUP(A237,tblVendas[[#This Row],[NR_SIMULACAO]],tblVendas[[#This Row],[MES]],"")</f>
        <v>Dezembro</v>
      </c>
      <c r="E237">
        <f>SUM(_xlfn.XLOOKUP(tblCalculo[[#This Row],[NR_SIMULACAO]],tblVendas[[#This Row],[NR_SIMULACAO]],tblVendas[[#This Row],[VALOR_MOVEL]],""):_xlfn.XLOOKUP(tblCalculo[[#This Row],[NR_SIMULACAO]],tblVendas[[#This Row],[NR_SIMULACAO]],tblVendas[[#This Row],[VALOR_APARELHO]],""))</f>
        <v>17748.690000000002</v>
      </c>
      <c r="F237">
        <f>IF(tblCalculo[[#This Row],[STATUS]]="CONCLUÍDO",_xlfn.XLOOKUP(tblCalculo[[#This Row],[NR_SIMULACAO]],tblVendas[[#This Row],[NR_SIMULACAO]],tblVendas[[#This Row],[VALOR_MOVEL]],""),0)</f>
        <v>0</v>
      </c>
      <c r="G237">
        <f>IF(tblCalculo[[#This Row],[STATUS]]="CONCLUÍDO",_xlfn.XLOOKUP(tblCalculo[[#This Row],[NR_SIMULACAO]],tblVendas[[#This Row],[NR_SIMULACAO]],tblVendas[[#This Row],[VALOR_AVANCADO]],""),0)</f>
        <v>0</v>
      </c>
      <c r="H237">
        <f>IF(tblCalculo[[#This Row],[STATUS]]="CONCLUÍDO",_xlfn.XLOOKUP(tblCalculo[[#This Row],[NR_SIMULACAO]],tblVendas[[#This Row],[NR_SIMULACAO]],tblVendas[[#This Row],[VALOR_FIXABASICA]],""),0)</f>
        <v>0</v>
      </c>
      <c r="I237">
        <f>IF(tblCalculo[[#This Row],[STATUS]]="CONCLUÍDO",_xlfn.XLOOKUP(tblCalculo[[#This Row],[NR_SIMULACAO]],tblVendas[[#This Row],[NR_SIMULACAO]],tblVendas[[#This Row],[VALOR_TI]],""),0)</f>
        <v>0</v>
      </c>
      <c r="J237">
        <f>IF(tblCalculo[[#This Row],[STATUS]]="CONCLUÍDO",_xlfn.XLOOKUP(tblCalculo[[#This Row],[NR_SIMULACAO]],tblVendas[[#This Row],[NR_SIMULACAO]],tblVendas[[#This Row],[VALOR_APARELHO]],""),0)</f>
        <v>0</v>
      </c>
      <c r="K237" t="str">
        <f>IF(tblCalculo[[#This Row],[STATUS]]="NEGOCIANDO",tblCalculo[[#This Row],[VALOR_TOTAL]],"")</f>
        <v/>
      </c>
      <c r="L237" t="str">
        <f>IF(tblCalculo[[#This Row],[STATUS]]="ALÇADA",tblCalculo[[#This Row],[VALOR_TOTAL]],"")</f>
        <v/>
      </c>
      <c r="M237" t="str">
        <f>IF(tblCalculo[[#This Row],[STATUS]]="EM ANÁLISE",tblCalculo[[#This Row],[VALOR_TOTAL]],"")</f>
        <v/>
      </c>
      <c r="N237" t="str">
        <f>IF(tblCalculo[[#This Row],[STATUS]]="TRAMITANDO",tblCalculo[[#This Row],[VALOR_TOTAL]],"")</f>
        <v/>
      </c>
      <c r="O237">
        <f>IF(tblCalculo[[#This Row],[STATUS]]="PERDIDO",tblCalculo[[#This Row],[VALOR_TOTAL]],"")</f>
        <v>17748.690000000002</v>
      </c>
      <c r="P237" t="str">
        <f>IF(tblCalculo[[#This Row],[STATUS]]="CONCLUÍDO",tblCalculo[[#This Row],[VALOR_TOTAL]],"")</f>
        <v/>
      </c>
    </row>
    <row r="238" spans="1:16" x14ac:dyDescent="0.25">
      <c r="A238" t="str">
        <f>tblVendas[[#This Row],[NR_SIMULACAO]]</f>
        <v>SIM1228</v>
      </c>
      <c r="B238" s="34" t="str">
        <f>_xlfn.XLOOKUP(A238,tblVendas[[#This Row],[NR_SIMULACAO]],tblVendas[[#This Row],[NR_CNPJ]],"")</f>
        <v>53.248.899/0001-47</v>
      </c>
      <c r="C238" t="str">
        <f>_xlfn.XLOOKUP(A238,tblVendas[[#This Row],[NR_SIMULACAO]],tblVendas[[#This Row],[STATUS]],"")</f>
        <v>CONCLUÍDO</v>
      </c>
      <c r="D238" t="str">
        <f>_xlfn.XLOOKUP(A238,tblVendas[[#This Row],[NR_SIMULACAO]],tblVendas[[#This Row],[MES]],"")</f>
        <v>Agosto</v>
      </c>
      <c r="E238">
        <f>SUM(_xlfn.XLOOKUP(tblCalculo[[#This Row],[NR_SIMULACAO]],tblVendas[[#This Row],[NR_SIMULACAO]],tblVendas[[#This Row],[VALOR_MOVEL]],""):_xlfn.XLOOKUP(tblCalculo[[#This Row],[NR_SIMULACAO]],tblVendas[[#This Row],[NR_SIMULACAO]],tblVendas[[#This Row],[VALOR_APARELHO]],""))</f>
        <v>1136.01</v>
      </c>
      <c r="F238">
        <f>IF(tblCalculo[[#This Row],[STATUS]]="CONCLUÍDO",_xlfn.XLOOKUP(tblCalculo[[#This Row],[NR_SIMULACAO]],tblVendas[[#This Row],[NR_SIMULACAO]],tblVendas[[#This Row],[VALOR_MOVEL]],""),0)</f>
        <v>0</v>
      </c>
      <c r="G238">
        <f>IF(tblCalculo[[#This Row],[STATUS]]="CONCLUÍDO",_xlfn.XLOOKUP(tblCalculo[[#This Row],[NR_SIMULACAO]],tblVendas[[#This Row],[NR_SIMULACAO]],tblVendas[[#This Row],[VALOR_AVANCADO]],""),0)</f>
        <v>0</v>
      </c>
      <c r="H238">
        <f>IF(tblCalculo[[#This Row],[STATUS]]="CONCLUÍDO",_xlfn.XLOOKUP(tblCalculo[[#This Row],[NR_SIMULACAO]],tblVendas[[#This Row],[NR_SIMULACAO]],tblVendas[[#This Row],[VALOR_FIXABASICA]],""),0)</f>
        <v>0</v>
      </c>
      <c r="I238">
        <f>IF(tblCalculo[[#This Row],[STATUS]]="CONCLUÍDO",_xlfn.XLOOKUP(tblCalculo[[#This Row],[NR_SIMULACAO]],tblVendas[[#This Row],[NR_SIMULACAO]],tblVendas[[#This Row],[VALOR_TI]],""),0)</f>
        <v>1136.01</v>
      </c>
      <c r="J238">
        <f>IF(tblCalculo[[#This Row],[STATUS]]="CONCLUÍDO",_xlfn.XLOOKUP(tblCalculo[[#This Row],[NR_SIMULACAO]],tblVendas[[#This Row],[NR_SIMULACAO]],tblVendas[[#This Row],[VALOR_APARELHO]],""),0)</f>
        <v>0</v>
      </c>
      <c r="K238" t="str">
        <f>IF(tblCalculo[[#This Row],[STATUS]]="NEGOCIANDO",tblCalculo[[#This Row],[VALOR_TOTAL]],"")</f>
        <v/>
      </c>
      <c r="L238" t="str">
        <f>IF(tblCalculo[[#This Row],[STATUS]]="ALÇADA",tblCalculo[[#This Row],[VALOR_TOTAL]],"")</f>
        <v/>
      </c>
      <c r="M238" t="str">
        <f>IF(tblCalculo[[#This Row],[STATUS]]="EM ANÁLISE",tblCalculo[[#This Row],[VALOR_TOTAL]],"")</f>
        <v/>
      </c>
      <c r="N238" t="str">
        <f>IF(tblCalculo[[#This Row],[STATUS]]="TRAMITANDO",tblCalculo[[#This Row],[VALOR_TOTAL]],"")</f>
        <v/>
      </c>
      <c r="O238" t="str">
        <f>IF(tblCalculo[[#This Row],[STATUS]]="PERDIDO",tblCalculo[[#This Row],[VALOR_TOTAL]],"")</f>
        <v/>
      </c>
      <c r="P238">
        <f>IF(tblCalculo[[#This Row],[STATUS]]="CONCLUÍDO",tblCalculo[[#This Row],[VALOR_TOTAL]],"")</f>
        <v>1136.01</v>
      </c>
    </row>
    <row r="239" spans="1:16" x14ac:dyDescent="0.25">
      <c r="A239" t="str">
        <f>tblVendas[[#This Row],[NR_SIMULACAO]]</f>
        <v>SIM1229</v>
      </c>
      <c r="B239" s="34" t="str">
        <f>_xlfn.XLOOKUP(A239,tblVendas[[#This Row],[NR_SIMULACAO]],tblVendas[[#This Row],[NR_CNPJ]],"")</f>
        <v>55.538.398/0001-10</v>
      </c>
      <c r="C239" t="str">
        <f>_xlfn.XLOOKUP(A239,tblVendas[[#This Row],[NR_SIMULACAO]],tblVendas[[#This Row],[STATUS]],"")</f>
        <v>PERDIDO</v>
      </c>
      <c r="D239" t="str">
        <f>_xlfn.XLOOKUP(A239,tblVendas[[#This Row],[NR_SIMULACAO]],tblVendas[[#This Row],[MES]],"")</f>
        <v>Agosto</v>
      </c>
      <c r="E239">
        <f>SUM(_xlfn.XLOOKUP(tblCalculo[[#This Row],[NR_SIMULACAO]],tblVendas[[#This Row],[NR_SIMULACAO]],tblVendas[[#This Row],[VALOR_MOVEL]],""):_xlfn.XLOOKUP(tblCalculo[[#This Row],[NR_SIMULACAO]],tblVendas[[#This Row],[NR_SIMULACAO]],tblVendas[[#This Row],[VALOR_APARELHO]],""))</f>
        <v>12574.67</v>
      </c>
      <c r="F239">
        <f>IF(tblCalculo[[#This Row],[STATUS]]="CONCLUÍDO",_xlfn.XLOOKUP(tblCalculo[[#This Row],[NR_SIMULACAO]],tblVendas[[#This Row],[NR_SIMULACAO]],tblVendas[[#This Row],[VALOR_MOVEL]],""),0)</f>
        <v>0</v>
      </c>
      <c r="G239">
        <f>IF(tblCalculo[[#This Row],[STATUS]]="CONCLUÍDO",_xlfn.XLOOKUP(tblCalculo[[#This Row],[NR_SIMULACAO]],tblVendas[[#This Row],[NR_SIMULACAO]],tblVendas[[#This Row],[VALOR_AVANCADO]],""),0)</f>
        <v>0</v>
      </c>
      <c r="H239">
        <f>IF(tblCalculo[[#This Row],[STATUS]]="CONCLUÍDO",_xlfn.XLOOKUP(tblCalculo[[#This Row],[NR_SIMULACAO]],tblVendas[[#This Row],[NR_SIMULACAO]],tblVendas[[#This Row],[VALOR_FIXABASICA]],""),0)</f>
        <v>0</v>
      </c>
      <c r="I239">
        <f>IF(tblCalculo[[#This Row],[STATUS]]="CONCLUÍDO",_xlfn.XLOOKUP(tblCalculo[[#This Row],[NR_SIMULACAO]],tblVendas[[#This Row],[NR_SIMULACAO]],tblVendas[[#This Row],[VALOR_TI]],""),0)</f>
        <v>0</v>
      </c>
      <c r="J239">
        <f>IF(tblCalculo[[#This Row],[STATUS]]="CONCLUÍDO",_xlfn.XLOOKUP(tblCalculo[[#This Row],[NR_SIMULACAO]],tblVendas[[#This Row],[NR_SIMULACAO]],tblVendas[[#This Row],[VALOR_APARELHO]],""),0)</f>
        <v>0</v>
      </c>
      <c r="K239" t="str">
        <f>IF(tblCalculo[[#This Row],[STATUS]]="NEGOCIANDO",tblCalculo[[#This Row],[VALOR_TOTAL]],"")</f>
        <v/>
      </c>
      <c r="L239" t="str">
        <f>IF(tblCalculo[[#This Row],[STATUS]]="ALÇADA",tblCalculo[[#This Row],[VALOR_TOTAL]],"")</f>
        <v/>
      </c>
      <c r="M239" t="str">
        <f>IF(tblCalculo[[#This Row],[STATUS]]="EM ANÁLISE",tblCalculo[[#This Row],[VALOR_TOTAL]],"")</f>
        <v/>
      </c>
      <c r="N239" t="str">
        <f>IF(tblCalculo[[#This Row],[STATUS]]="TRAMITANDO",tblCalculo[[#This Row],[VALOR_TOTAL]],"")</f>
        <v/>
      </c>
      <c r="O239">
        <f>IF(tblCalculo[[#This Row],[STATUS]]="PERDIDO",tblCalculo[[#This Row],[VALOR_TOTAL]],"")</f>
        <v>12574.67</v>
      </c>
      <c r="P239" t="str">
        <f>IF(tblCalculo[[#This Row],[STATUS]]="CONCLUÍDO",tblCalculo[[#This Row],[VALOR_TOTAL]],"")</f>
        <v/>
      </c>
    </row>
    <row r="240" spans="1:16" x14ac:dyDescent="0.25">
      <c r="A240" t="str">
        <f>tblVendas[[#This Row],[NR_SIMULACAO]]</f>
        <v>SIM1230</v>
      </c>
      <c r="B240" s="34" t="str">
        <f>_xlfn.XLOOKUP(A240,tblVendas[[#This Row],[NR_SIMULACAO]],tblVendas[[#This Row],[NR_CNPJ]],"")</f>
        <v>81.332.855/0001-43</v>
      </c>
      <c r="C240" t="str">
        <f>_xlfn.XLOOKUP(A240,tblVendas[[#This Row],[NR_SIMULACAO]],tblVendas[[#This Row],[STATUS]],"")</f>
        <v>CONCLUÍDO</v>
      </c>
      <c r="D240" t="str">
        <f>_xlfn.XLOOKUP(A240,tblVendas[[#This Row],[NR_SIMULACAO]],tblVendas[[#This Row],[MES]],"")</f>
        <v>Abril</v>
      </c>
      <c r="E240">
        <f>SUM(_xlfn.XLOOKUP(tblCalculo[[#This Row],[NR_SIMULACAO]],tblVendas[[#This Row],[NR_SIMULACAO]],tblVendas[[#This Row],[VALOR_MOVEL]],""):_xlfn.XLOOKUP(tblCalculo[[#This Row],[NR_SIMULACAO]],tblVendas[[#This Row],[NR_SIMULACAO]],tblVendas[[#This Row],[VALOR_APARELHO]],""))</f>
        <v>13089.84</v>
      </c>
      <c r="F240">
        <f>IF(tblCalculo[[#This Row],[STATUS]]="CONCLUÍDO",_xlfn.XLOOKUP(tblCalculo[[#This Row],[NR_SIMULACAO]],tblVendas[[#This Row],[NR_SIMULACAO]],tblVendas[[#This Row],[VALOR_MOVEL]],""),0)</f>
        <v>0</v>
      </c>
      <c r="G240">
        <f>IF(tblCalculo[[#This Row],[STATUS]]="CONCLUÍDO",_xlfn.XLOOKUP(tblCalculo[[#This Row],[NR_SIMULACAO]],tblVendas[[#This Row],[NR_SIMULACAO]],tblVendas[[#This Row],[VALOR_AVANCADO]],""),0)</f>
        <v>0</v>
      </c>
      <c r="H240">
        <f>IF(tblCalculo[[#This Row],[STATUS]]="CONCLUÍDO",_xlfn.XLOOKUP(tblCalculo[[#This Row],[NR_SIMULACAO]],tblVendas[[#This Row],[NR_SIMULACAO]],tblVendas[[#This Row],[VALOR_FIXABASICA]],""),0)</f>
        <v>364.38</v>
      </c>
      <c r="I240">
        <f>IF(tblCalculo[[#This Row],[STATUS]]="CONCLUÍDO",_xlfn.XLOOKUP(tblCalculo[[#This Row],[NR_SIMULACAO]],tblVendas[[#This Row],[NR_SIMULACAO]],tblVendas[[#This Row],[VALOR_TI]],""),0)</f>
        <v>8379.5</v>
      </c>
      <c r="J240">
        <f>IF(tblCalculo[[#This Row],[STATUS]]="CONCLUÍDO",_xlfn.XLOOKUP(tblCalculo[[#This Row],[NR_SIMULACAO]],tblVendas[[#This Row],[NR_SIMULACAO]],tblVendas[[#This Row],[VALOR_APARELHO]],""),0)</f>
        <v>4345.96</v>
      </c>
      <c r="K240" t="str">
        <f>IF(tblCalculo[[#This Row],[STATUS]]="NEGOCIANDO",tblCalculo[[#This Row],[VALOR_TOTAL]],"")</f>
        <v/>
      </c>
      <c r="L240" t="str">
        <f>IF(tblCalculo[[#This Row],[STATUS]]="ALÇADA",tblCalculo[[#This Row],[VALOR_TOTAL]],"")</f>
        <v/>
      </c>
      <c r="M240" t="str">
        <f>IF(tblCalculo[[#This Row],[STATUS]]="EM ANÁLISE",tblCalculo[[#This Row],[VALOR_TOTAL]],"")</f>
        <v/>
      </c>
      <c r="N240" t="str">
        <f>IF(tblCalculo[[#This Row],[STATUS]]="TRAMITANDO",tblCalculo[[#This Row],[VALOR_TOTAL]],"")</f>
        <v/>
      </c>
      <c r="O240" t="str">
        <f>IF(tblCalculo[[#This Row],[STATUS]]="PERDIDO",tblCalculo[[#This Row],[VALOR_TOTAL]],"")</f>
        <v/>
      </c>
      <c r="P240">
        <f>IF(tblCalculo[[#This Row],[STATUS]]="CONCLUÍDO",tblCalculo[[#This Row],[VALOR_TOTAL]],"")</f>
        <v>13089.84</v>
      </c>
    </row>
    <row r="241" spans="1:16" x14ac:dyDescent="0.25">
      <c r="A241" t="str">
        <f>tblVendas[[#This Row],[NR_SIMULACAO]]</f>
        <v>SIM1231</v>
      </c>
      <c r="B241" s="34" t="str">
        <f>_xlfn.XLOOKUP(A241,tblVendas[[#This Row],[NR_SIMULACAO]],tblVendas[[#This Row],[NR_CNPJ]],"")</f>
        <v>58.296.317/0001-46</v>
      </c>
      <c r="C241" t="str">
        <f>_xlfn.XLOOKUP(A241,tblVendas[[#This Row],[NR_SIMULACAO]],tblVendas[[#This Row],[STATUS]],"")</f>
        <v>CONCLUÍDO</v>
      </c>
      <c r="D241" t="str">
        <f>_xlfn.XLOOKUP(A241,tblVendas[[#This Row],[NR_SIMULACAO]],tblVendas[[#This Row],[MES]],"")</f>
        <v>Junho</v>
      </c>
      <c r="E241">
        <f>SUM(_xlfn.XLOOKUP(tblCalculo[[#This Row],[NR_SIMULACAO]],tblVendas[[#This Row],[NR_SIMULACAO]],tblVendas[[#This Row],[VALOR_MOVEL]],""):_xlfn.XLOOKUP(tblCalculo[[#This Row],[NR_SIMULACAO]],tblVendas[[#This Row],[NR_SIMULACAO]],tblVendas[[#This Row],[VALOR_APARELHO]],""))</f>
        <v>11061.86</v>
      </c>
      <c r="F241">
        <f>IF(tblCalculo[[#This Row],[STATUS]]="CONCLUÍDO",_xlfn.XLOOKUP(tblCalculo[[#This Row],[NR_SIMULACAO]],tblVendas[[#This Row],[NR_SIMULACAO]],tblVendas[[#This Row],[VALOR_MOVEL]],""),0)</f>
        <v>1859.13</v>
      </c>
      <c r="G241">
        <f>IF(tblCalculo[[#This Row],[STATUS]]="CONCLUÍDO",_xlfn.XLOOKUP(tblCalculo[[#This Row],[NR_SIMULACAO]],tblVendas[[#This Row],[NR_SIMULACAO]],tblVendas[[#This Row],[VALOR_AVANCADO]],""),0)</f>
        <v>1250.1400000000001</v>
      </c>
      <c r="H241">
        <f>IF(tblCalculo[[#This Row],[STATUS]]="CONCLUÍDO",_xlfn.XLOOKUP(tblCalculo[[#This Row],[NR_SIMULACAO]],tblVendas[[#This Row],[NR_SIMULACAO]],tblVendas[[#This Row],[VALOR_FIXABASICA]],""),0)</f>
        <v>2827.75</v>
      </c>
      <c r="I241">
        <f>IF(tblCalculo[[#This Row],[STATUS]]="CONCLUÍDO",_xlfn.XLOOKUP(tblCalculo[[#This Row],[NR_SIMULACAO]],tblVendas[[#This Row],[NR_SIMULACAO]],tblVendas[[#This Row],[VALOR_TI]],""),0)</f>
        <v>0</v>
      </c>
      <c r="J241">
        <f>IF(tblCalculo[[#This Row],[STATUS]]="CONCLUÍDO",_xlfn.XLOOKUP(tblCalculo[[#This Row],[NR_SIMULACAO]],tblVendas[[#This Row],[NR_SIMULACAO]],tblVendas[[#This Row],[VALOR_APARELHO]],""),0)</f>
        <v>5124.84</v>
      </c>
      <c r="K241" t="str">
        <f>IF(tblCalculo[[#This Row],[STATUS]]="NEGOCIANDO",tblCalculo[[#This Row],[VALOR_TOTAL]],"")</f>
        <v/>
      </c>
      <c r="L241" t="str">
        <f>IF(tblCalculo[[#This Row],[STATUS]]="ALÇADA",tblCalculo[[#This Row],[VALOR_TOTAL]],"")</f>
        <v/>
      </c>
      <c r="M241" t="str">
        <f>IF(tblCalculo[[#This Row],[STATUS]]="EM ANÁLISE",tblCalculo[[#This Row],[VALOR_TOTAL]],"")</f>
        <v/>
      </c>
      <c r="N241" t="str">
        <f>IF(tblCalculo[[#This Row],[STATUS]]="TRAMITANDO",tblCalculo[[#This Row],[VALOR_TOTAL]],"")</f>
        <v/>
      </c>
      <c r="O241" t="str">
        <f>IF(tblCalculo[[#This Row],[STATUS]]="PERDIDO",tblCalculo[[#This Row],[VALOR_TOTAL]],"")</f>
        <v/>
      </c>
      <c r="P241">
        <f>IF(tblCalculo[[#This Row],[STATUS]]="CONCLUÍDO",tblCalculo[[#This Row],[VALOR_TOTAL]],"")</f>
        <v>11061.86</v>
      </c>
    </row>
    <row r="242" spans="1:16" x14ac:dyDescent="0.25">
      <c r="A242" t="str">
        <f>tblVendas[[#This Row],[NR_SIMULACAO]]</f>
        <v>SIM1232</v>
      </c>
      <c r="B242" s="34" t="str">
        <f>_xlfn.XLOOKUP(A242,tblVendas[[#This Row],[NR_SIMULACAO]],tblVendas[[#This Row],[NR_CNPJ]],"")</f>
        <v>67.179.240/0001-12</v>
      </c>
      <c r="C242" t="str">
        <f>_xlfn.XLOOKUP(A242,tblVendas[[#This Row],[NR_SIMULACAO]],tblVendas[[#This Row],[STATUS]],"")</f>
        <v>PERDIDO</v>
      </c>
      <c r="D242" t="str">
        <f>_xlfn.XLOOKUP(A242,tblVendas[[#This Row],[NR_SIMULACAO]],tblVendas[[#This Row],[MES]],"")</f>
        <v>Junho</v>
      </c>
      <c r="E242">
        <f>SUM(_xlfn.XLOOKUP(tblCalculo[[#This Row],[NR_SIMULACAO]],tblVendas[[#This Row],[NR_SIMULACAO]],tblVendas[[#This Row],[VALOR_MOVEL]],""):_xlfn.XLOOKUP(tblCalculo[[#This Row],[NR_SIMULACAO]],tblVendas[[#This Row],[NR_SIMULACAO]],tblVendas[[#This Row],[VALOR_APARELHO]],""))</f>
        <v>12756.289999999999</v>
      </c>
      <c r="F242">
        <f>IF(tblCalculo[[#This Row],[STATUS]]="CONCLUÍDO",_xlfn.XLOOKUP(tblCalculo[[#This Row],[NR_SIMULACAO]],tblVendas[[#This Row],[NR_SIMULACAO]],tblVendas[[#This Row],[VALOR_MOVEL]],""),0)</f>
        <v>0</v>
      </c>
      <c r="G242">
        <f>IF(tblCalculo[[#This Row],[STATUS]]="CONCLUÍDO",_xlfn.XLOOKUP(tblCalculo[[#This Row],[NR_SIMULACAO]],tblVendas[[#This Row],[NR_SIMULACAO]],tblVendas[[#This Row],[VALOR_AVANCADO]],""),0)</f>
        <v>0</v>
      </c>
      <c r="H242">
        <f>IF(tblCalculo[[#This Row],[STATUS]]="CONCLUÍDO",_xlfn.XLOOKUP(tblCalculo[[#This Row],[NR_SIMULACAO]],tblVendas[[#This Row],[NR_SIMULACAO]],tblVendas[[#This Row],[VALOR_FIXABASICA]],""),0)</f>
        <v>0</v>
      </c>
      <c r="I242">
        <f>IF(tblCalculo[[#This Row],[STATUS]]="CONCLUÍDO",_xlfn.XLOOKUP(tblCalculo[[#This Row],[NR_SIMULACAO]],tblVendas[[#This Row],[NR_SIMULACAO]],tblVendas[[#This Row],[VALOR_TI]],""),0)</f>
        <v>0</v>
      </c>
      <c r="J242">
        <f>IF(tblCalculo[[#This Row],[STATUS]]="CONCLUÍDO",_xlfn.XLOOKUP(tblCalculo[[#This Row],[NR_SIMULACAO]],tblVendas[[#This Row],[NR_SIMULACAO]],tblVendas[[#This Row],[VALOR_APARELHO]],""),0)</f>
        <v>0</v>
      </c>
      <c r="K242" t="str">
        <f>IF(tblCalculo[[#This Row],[STATUS]]="NEGOCIANDO",tblCalculo[[#This Row],[VALOR_TOTAL]],"")</f>
        <v/>
      </c>
      <c r="L242" t="str">
        <f>IF(tblCalculo[[#This Row],[STATUS]]="ALÇADA",tblCalculo[[#This Row],[VALOR_TOTAL]],"")</f>
        <v/>
      </c>
      <c r="M242" t="str">
        <f>IF(tblCalculo[[#This Row],[STATUS]]="EM ANÁLISE",tblCalculo[[#This Row],[VALOR_TOTAL]],"")</f>
        <v/>
      </c>
      <c r="N242" t="str">
        <f>IF(tblCalculo[[#This Row],[STATUS]]="TRAMITANDO",tblCalculo[[#This Row],[VALOR_TOTAL]],"")</f>
        <v/>
      </c>
      <c r="O242">
        <f>IF(tblCalculo[[#This Row],[STATUS]]="PERDIDO",tblCalculo[[#This Row],[VALOR_TOTAL]],"")</f>
        <v>12756.289999999999</v>
      </c>
      <c r="P242" t="str">
        <f>IF(tblCalculo[[#This Row],[STATUS]]="CONCLUÍDO",tblCalculo[[#This Row],[VALOR_TOTAL]],"")</f>
        <v/>
      </c>
    </row>
    <row r="243" spans="1:16" x14ac:dyDescent="0.25">
      <c r="A243" t="str">
        <f>tblVendas[[#This Row],[NR_SIMULACAO]]</f>
        <v>SIM1233</v>
      </c>
      <c r="B243" s="34" t="str">
        <f>_xlfn.XLOOKUP(A243,tblVendas[[#This Row],[NR_SIMULACAO]],tblVendas[[#This Row],[NR_CNPJ]],"")</f>
        <v>22.665.718/0001-73</v>
      </c>
      <c r="C243" t="str">
        <f>_xlfn.XLOOKUP(A243,tblVendas[[#This Row],[NR_SIMULACAO]],tblVendas[[#This Row],[STATUS]],"")</f>
        <v>TRAMITANDO</v>
      </c>
      <c r="D243" t="str">
        <f>_xlfn.XLOOKUP(A243,tblVendas[[#This Row],[NR_SIMULACAO]],tblVendas[[#This Row],[MES]],"")</f>
        <v>Janeiro</v>
      </c>
      <c r="E243">
        <f>SUM(_xlfn.XLOOKUP(tblCalculo[[#This Row],[NR_SIMULACAO]],tblVendas[[#This Row],[NR_SIMULACAO]],tblVendas[[#This Row],[VALOR_MOVEL]],""):_xlfn.XLOOKUP(tblCalculo[[#This Row],[NR_SIMULACAO]],tblVendas[[#This Row],[NR_SIMULACAO]],tblVendas[[#This Row],[VALOR_APARELHO]],""))</f>
        <v>16290.800000000001</v>
      </c>
      <c r="F243">
        <f>IF(tblCalculo[[#This Row],[STATUS]]="CONCLUÍDO",_xlfn.XLOOKUP(tblCalculo[[#This Row],[NR_SIMULACAO]],tblVendas[[#This Row],[NR_SIMULACAO]],tblVendas[[#This Row],[VALOR_MOVEL]],""),0)</f>
        <v>0</v>
      </c>
      <c r="G243">
        <f>IF(tblCalculo[[#This Row],[STATUS]]="CONCLUÍDO",_xlfn.XLOOKUP(tblCalculo[[#This Row],[NR_SIMULACAO]],tblVendas[[#This Row],[NR_SIMULACAO]],tblVendas[[#This Row],[VALOR_AVANCADO]],""),0)</f>
        <v>0</v>
      </c>
      <c r="H243">
        <f>IF(tblCalculo[[#This Row],[STATUS]]="CONCLUÍDO",_xlfn.XLOOKUP(tblCalculo[[#This Row],[NR_SIMULACAO]],tblVendas[[#This Row],[NR_SIMULACAO]],tblVendas[[#This Row],[VALOR_FIXABASICA]],""),0)</f>
        <v>0</v>
      </c>
      <c r="I243">
        <f>IF(tblCalculo[[#This Row],[STATUS]]="CONCLUÍDO",_xlfn.XLOOKUP(tblCalculo[[#This Row],[NR_SIMULACAO]],tblVendas[[#This Row],[NR_SIMULACAO]],tblVendas[[#This Row],[VALOR_TI]],""),0)</f>
        <v>0</v>
      </c>
      <c r="J243">
        <f>IF(tblCalculo[[#This Row],[STATUS]]="CONCLUÍDO",_xlfn.XLOOKUP(tblCalculo[[#This Row],[NR_SIMULACAO]],tblVendas[[#This Row],[NR_SIMULACAO]],tblVendas[[#This Row],[VALOR_APARELHO]],""),0)</f>
        <v>0</v>
      </c>
      <c r="K243" t="str">
        <f>IF(tblCalculo[[#This Row],[STATUS]]="NEGOCIANDO",tblCalculo[[#This Row],[VALOR_TOTAL]],"")</f>
        <v/>
      </c>
      <c r="L243" t="str">
        <f>IF(tblCalculo[[#This Row],[STATUS]]="ALÇADA",tblCalculo[[#This Row],[VALOR_TOTAL]],"")</f>
        <v/>
      </c>
      <c r="M243" t="str">
        <f>IF(tblCalculo[[#This Row],[STATUS]]="EM ANÁLISE",tblCalculo[[#This Row],[VALOR_TOTAL]],"")</f>
        <v/>
      </c>
      <c r="N243">
        <f>IF(tblCalculo[[#This Row],[STATUS]]="TRAMITANDO",tblCalculo[[#This Row],[VALOR_TOTAL]],"")</f>
        <v>16290.800000000001</v>
      </c>
      <c r="O243" t="str">
        <f>IF(tblCalculo[[#This Row],[STATUS]]="PERDIDO",tblCalculo[[#This Row],[VALOR_TOTAL]],"")</f>
        <v/>
      </c>
      <c r="P243" t="str">
        <f>IF(tblCalculo[[#This Row],[STATUS]]="CONCLUÍDO",tblCalculo[[#This Row],[VALOR_TOTAL]],"")</f>
        <v/>
      </c>
    </row>
    <row r="244" spans="1:16" x14ac:dyDescent="0.25">
      <c r="A244" t="str">
        <f>tblVendas[[#This Row],[NR_SIMULACAO]]</f>
        <v>SIM1234</v>
      </c>
      <c r="B244" s="34" t="str">
        <f>_xlfn.XLOOKUP(A244,tblVendas[[#This Row],[NR_SIMULACAO]],tblVendas[[#This Row],[NR_CNPJ]],"")</f>
        <v>65.432.750/0001-29</v>
      </c>
      <c r="C244" t="str">
        <f>_xlfn.XLOOKUP(A244,tblVendas[[#This Row],[NR_SIMULACAO]],tblVendas[[#This Row],[STATUS]],"")</f>
        <v>CONCLUÍDO</v>
      </c>
      <c r="D244" t="str">
        <f>_xlfn.XLOOKUP(A244,tblVendas[[#This Row],[NR_SIMULACAO]],tblVendas[[#This Row],[MES]],"")</f>
        <v>Maio</v>
      </c>
      <c r="E244">
        <f>SUM(_xlfn.XLOOKUP(tblCalculo[[#This Row],[NR_SIMULACAO]],tblVendas[[#This Row],[NR_SIMULACAO]],tblVendas[[#This Row],[VALOR_MOVEL]],""):_xlfn.XLOOKUP(tblCalculo[[#This Row],[NR_SIMULACAO]],tblVendas[[#This Row],[NR_SIMULACAO]],tblVendas[[#This Row],[VALOR_APARELHO]],""))</f>
        <v>4997.7999999999993</v>
      </c>
      <c r="F244">
        <f>IF(tblCalculo[[#This Row],[STATUS]]="CONCLUÍDO",_xlfn.XLOOKUP(tblCalculo[[#This Row],[NR_SIMULACAO]],tblVendas[[#This Row],[NR_SIMULACAO]],tblVendas[[#This Row],[VALOR_MOVEL]],""),0)</f>
        <v>867.66</v>
      </c>
      <c r="G244">
        <f>IF(tblCalculo[[#This Row],[STATUS]]="CONCLUÍDO",_xlfn.XLOOKUP(tblCalculo[[#This Row],[NR_SIMULACAO]],tblVendas[[#This Row],[NR_SIMULACAO]],tblVendas[[#This Row],[VALOR_AVANCADO]],""),0)</f>
        <v>3048.06</v>
      </c>
      <c r="H244">
        <f>IF(tblCalculo[[#This Row],[STATUS]]="CONCLUÍDO",_xlfn.XLOOKUP(tblCalculo[[#This Row],[NR_SIMULACAO]],tblVendas[[#This Row],[NR_SIMULACAO]],tblVendas[[#This Row],[VALOR_FIXABASICA]],""),0)</f>
        <v>1082.08</v>
      </c>
      <c r="I244">
        <f>IF(tblCalculo[[#This Row],[STATUS]]="CONCLUÍDO",_xlfn.XLOOKUP(tblCalculo[[#This Row],[NR_SIMULACAO]],tblVendas[[#This Row],[NR_SIMULACAO]],tblVendas[[#This Row],[VALOR_TI]],""),0)</f>
        <v>0</v>
      </c>
      <c r="J244">
        <f>IF(tblCalculo[[#This Row],[STATUS]]="CONCLUÍDO",_xlfn.XLOOKUP(tblCalculo[[#This Row],[NR_SIMULACAO]],tblVendas[[#This Row],[NR_SIMULACAO]],tblVendas[[#This Row],[VALOR_APARELHO]],""),0)</f>
        <v>0</v>
      </c>
      <c r="K244" t="str">
        <f>IF(tblCalculo[[#This Row],[STATUS]]="NEGOCIANDO",tblCalculo[[#This Row],[VALOR_TOTAL]],"")</f>
        <v/>
      </c>
      <c r="L244" t="str">
        <f>IF(tblCalculo[[#This Row],[STATUS]]="ALÇADA",tblCalculo[[#This Row],[VALOR_TOTAL]],"")</f>
        <v/>
      </c>
      <c r="M244" t="str">
        <f>IF(tblCalculo[[#This Row],[STATUS]]="EM ANÁLISE",tblCalculo[[#This Row],[VALOR_TOTAL]],"")</f>
        <v/>
      </c>
      <c r="N244" t="str">
        <f>IF(tblCalculo[[#This Row],[STATUS]]="TRAMITANDO",tblCalculo[[#This Row],[VALOR_TOTAL]],"")</f>
        <v/>
      </c>
      <c r="O244" t="str">
        <f>IF(tblCalculo[[#This Row],[STATUS]]="PERDIDO",tblCalculo[[#This Row],[VALOR_TOTAL]],"")</f>
        <v/>
      </c>
      <c r="P244">
        <f>IF(tblCalculo[[#This Row],[STATUS]]="CONCLUÍDO",tblCalculo[[#This Row],[VALOR_TOTAL]],"")</f>
        <v>4997.7999999999993</v>
      </c>
    </row>
    <row r="245" spans="1:16" x14ac:dyDescent="0.25">
      <c r="A245" t="str">
        <f>tblVendas[[#This Row],[NR_SIMULACAO]]</f>
        <v>SIM1235</v>
      </c>
      <c r="B245" s="34" t="str">
        <f>_xlfn.XLOOKUP(A245,tblVendas[[#This Row],[NR_SIMULACAO]],tblVendas[[#This Row],[NR_CNPJ]],"")</f>
        <v>81.103.386/0001-32</v>
      </c>
      <c r="C245" t="str">
        <f>_xlfn.XLOOKUP(A245,tblVendas[[#This Row],[NR_SIMULACAO]],tblVendas[[#This Row],[STATUS]],"")</f>
        <v>PERDIDO</v>
      </c>
      <c r="D245" t="str">
        <f>_xlfn.XLOOKUP(A245,tblVendas[[#This Row],[NR_SIMULACAO]],tblVendas[[#This Row],[MES]],"")</f>
        <v>Abril</v>
      </c>
      <c r="E245">
        <f>SUM(_xlfn.XLOOKUP(tblCalculo[[#This Row],[NR_SIMULACAO]],tblVendas[[#This Row],[NR_SIMULACAO]],tblVendas[[#This Row],[VALOR_MOVEL]],""):_xlfn.XLOOKUP(tblCalculo[[#This Row],[NR_SIMULACAO]],tblVendas[[#This Row],[NR_SIMULACAO]],tblVendas[[#This Row],[VALOR_APARELHO]],""))</f>
        <v>19071.009999999998</v>
      </c>
      <c r="F245">
        <f>IF(tblCalculo[[#This Row],[STATUS]]="CONCLUÍDO",_xlfn.XLOOKUP(tblCalculo[[#This Row],[NR_SIMULACAO]],tblVendas[[#This Row],[NR_SIMULACAO]],tblVendas[[#This Row],[VALOR_MOVEL]],""),0)</f>
        <v>0</v>
      </c>
      <c r="G245">
        <f>IF(tblCalculo[[#This Row],[STATUS]]="CONCLUÍDO",_xlfn.XLOOKUP(tblCalculo[[#This Row],[NR_SIMULACAO]],tblVendas[[#This Row],[NR_SIMULACAO]],tblVendas[[#This Row],[VALOR_AVANCADO]],""),0)</f>
        <v>0</v>
      </c>
      <c r="H245">
        <f>IF(tblCalculo[[#This Row],[STATUS]]="CONCLUÍDO",_xlfn.XLOOKUP(tblCalculo[[#This Row],[NR_SIMULACAO]],tblVendas[[#This Row],[NR_SIMULACAO]],tblVendas[[#This Row],[VALOR_FIXABASICA]],""),0)</f>
        <v>0</v>
      </c>
      <c r="I245">
        <f>IF(tblCalculo[[#This Row],[STATUS]]="CONCLUÍDO",_xlfn.XLOOKUP(tblCalculo[[#This Row],[NR_SIMULACAO]],tblVendas[[#This Row],[NR_SIMULACAO]],tblVendas[[#This Row],[VALOR_TI]],""),0)</f>
        <v>0</v>
      </c>
      <c r="J245">
        <f>IF(tblCalculo[[#This Row],[STATUS]]="CONCLUÍDO",_xlfn.XLOOKUP(tblCalculo[[#This Row],[NR_SIMULACAO]],tblVendas[[#This Row],[NR_SIMULACAO]],tblVendas[[#This Row],[VALOR_APARELHO]],""),0)</f>
        <v>0</v>
      </c>
      <c r="K245" t="str">
        <f>IF(tblCalculo[[#This Row],[STATUS]]="NEGOCIANDO",tblCalculo[[#This Row],[VALOR_TOTAL]],"")</f>
        <v/>
      </c>
      <c r="L245" t="str">
        <f>IF(tblCalculo[[#This Row],[STATUS]]="ALÇADA",tblCalculo[[#This Row],[VALOR_TOTAL]],"")</f>
        <v/>
      </c>
      <c r="M245" t="str">
        <f>IF(tblCalculo[[#This Row],[STATUS]]="EM ANÁLISE",tblCalculo[[#This Row],[VALOR_TOTAL]],"")</f>
        <v/>
      </c>
      <c r="N245" t="str">
        <f>IF(tblCalculo[[#This Row],[STATUS]]="TRAMITANDO",tblCalculo[[#This Row],[VALOR_TOTAL]],"")</f>
        <v/>
      </c>
      <c r="O245">
        <f>IF(tblCalculo[[#This Row],[STATUS]]="PERDIDO",tblCalculo[[#This Row],[VALOR_TOTAL]],"")</f>
        <v>19071.009999999998</v>
      </c>
      <c r="P245" t="str">
        <f>IF(tblCalculo[[#This Row],[STATUS]]="CONCLUÍDO",tblCalculo[[#This Row],[VALOR_TOTAL]],"")</f>
        <v/>
      </c>
    </row>
    <row r="246" spans="1:16" x14ac:dyDescent="0.25">
      <c r="A246" t="str">
        <f>tblVendas[[#This Row],[NR_SIMULACAO]]</f>
        <v>SIM1236</v>
      </c>
      <c r="B246" s="34" t="str">
        <f>_xlfn.XLOOKUP(A246,tblVendas[[#This Row],[NR_SIMULACAO]],tblVendas[[#This Row],[NR_CNPJ]],"")</f>
        <v>31.137.694/0001-95</v>
      </c>
      <c r="C246" t="str">
        <f>_xlfn.XLOOKUP(A246,tblVendas[[#This Row],[NR_SIMULACAO]],tblVendas[[#This Row],[STATUS]],"")</f>
        <v>ALÇADA</v>
      </c>
      <c r="D246" t="str">
        <f>_xlfn.XLOOKUP(A246,tblVendas[[#This Row],[NR_SIMULACAO]],tblVendas[[#This Row],[MES]],"")</f>
        <v>Novembro</v>
      </c>
      <c r="E246">
        <f>SUM(_xlfn.XLOOKUP(tblCalculo[[#This Row],[NR_SIMULACAO]],tblVendas[[#This Row],[NR_SIMULACAO]],tblVendas[[#This Row],[VALOR_MOVEL]],""):_xlfn.XLOOKUP(tblCalculo[[#This Row],[NR_SIMULACAO]],tblVendas[[#This Row],[NR_SIMULACAO]],tblVendas[[#This Row],[VALOR_APARELHO]],""))</f>
        <v>15505.71</v>
      </c>
      <c r="F246">
        <f>IF(tblCalculo[[#This Row],[STATUS]]="CONCLUÍDO",_xlfn.XLOOKUP(tblCalculo[[#This Row],[NR_SIMULACAO]],tblVendas[[#This Row],[NR_SIMULACAO]],tblVendas[[#This Row],[VALOR_MOVEL]],""),0)</f>
        <v>0</v>
      </c>
      <c r="G246">
        <f>IF(tblCalculo[[#This Row],[STATUS]]="CONCLUÍDO",_xlfn.XLOOKUP(tblCalculo[[#This Row],[NR_SIMULACAO]],tblVendas[[#This Row],[NR_SIMULACAO]],tblVendas[[#This Row],[VALOR_AVANCADO]],""),0)</f>
        <v>0</v>
      </c>
      <c r="H246">
        <f>IF(tblCalculo[[#This Row],[STATUS]]="CONCLUÍDO",_xlfn.XLOOKUP(tblCalculo[[#This Row],[NR_SIMULACAO]],tblVendas[[#This Row],[NR_SIMULACAO]],tblVendas[[#This Row],[VALOR_FIXABASICA]],""),0)</f>
        <v>0</v>
      </c>
      <c r="I246">
        <f>IF(tblCalculo[[#This Row],[STATUS]]="CONCLUÍDO",_xlfn.XLOOKUP(tblCalculo[[#This Row],[NR_SIMULACAO]],tblVendas[[#This Row],[NR_SIMULACAO]],tblVendas[[#This Row],[VALOR_TI]],""),0)</f>
        <v>0</v>
      </c>
      <c r="J246">
        <f>IF(tblCalculo[[#This Row],[STATUS]]="CONCLUÍDO",_xlfn.XLOOKUP(tblCalculo[[#This Row],[NR_SIMULACAO]],tblVendas[[#This Row],[NR_SIMULACAO]],tblVendas[[#This Row],[VALOR_APARELHO]],""),0)</f>
        <v>0</v>
      </c>
      <c r="K246" t="str">
        <f>IF(tblCalculo[[#This Row],[STATUS]]="NEGOCIANDO",tblCalculo[[#This Row],[VALOR_TOTAL]],"")</f>
        <v/>
      </c>
      <c r="L246">
        <f>IF(tblCalculo[[#This Row],[STATUS]]="ALÇADA",tblCalculo[[#This Row],[VALOR_TOTAL]],"")</f>
        <v>15505.71</v>
      </c>
      <c r="M246" t="str">
        <f>IF(tblCalculo[[#This Row],[STATUS]]="EM ANÁLISE",tblCalculo[[#This Row],[VALOR_TOTAL]],"")</f>
        <v/>
      </c>
      <c r="N246" t="str">
        <f>IF(tblCalculo[[#This Row],[STATUS]]="TRAMITANDO",tblCalculo[[#This Row],[VALOR_TOTAL]],"")</f>
        <v/>
      </c>
      <c r="O246" t="str">
        <f>IF(tblCalculo[[#This Row],[STATUS]]="PERDIDO",tblCalculo[[#This Row],[VALOR_TOTAL]],"")</f>
        <v/>
      </c>
      <c r="P246" t="str">
        <f>IF(tblCalculo[[#This Row],[STATUS]]="CONCLUÍDO",tblCalculo[[#This Row],[VALOR_TOTAL]],"")</f>
        <v/>
      </c>
    </row>
    <row r="247" spans="1:16" x14ac:dyDescent="0.25">
      <c r="A247" t="str">
        <f>tblVendas[[#This Row],[NR_SIMULACAO]]</f>
        <v>SIM1237</v>
      </c>
      <c r="B247" s="34" t="str">
        <f>_xlfn.XLOOKUP(A247,tblVendas[[#This Row],[NR_SIMULACAO]],tblVendas[[#This Row],[NR_CNPJ]],"")</f>
        <v>57.427.733/0001-99</v>
      </c>
      <c r="C247" t="str">
        <f>_xlfn.XLOOKUP(A247,tblVendas[[#This Row],[NR_SIMULACAO]],tblVendas[[#This Row],[STATUS]],"")</f>
        <v>TRAMITANDO</v>
      </c>
      <c r="D247" t="str">
        <f>_xlfn.XLOOKUP(A247,tblVendas[[#This Row],[NR_SIMULACAO]],tblVendas[[#This Row],[MES]],"")</f>
        <v>Março</v>
      </c>
      <c r="E247">
        <f>SUM(_xlfn.XLOOKUP(tblCalculo[[#This Row],[NR_SIMULACAO]],tblVendas[[#This Row],[NR_SIMULACAO]],tblVendas[[#This Row],[VALOR_MOVEL]],""):_xlfn.XLOOKUP(tblCalculo[[#This Row],[NR_SIMULACAO]],tblVendas[[#This Row],[NR_SIMULACAO]],tblVendas[[#This Row],[VALOR_APARELHO]],""))</f>
        <v>21553.06</v>
      </c>
      <c r="F247">
        <f>IF(tblCalculo[[#This Row],[STATUS]]="CONCLUÍDO",_xlfn.XLOOKUP(tblCalculo[[#This Row],[NR_SIMULACAO]],tblVendas[[#This Row],[NR_SIMULACAO]],tblVendas[[#This Row],[VALOR_MOVEL]],""),0)</f>
        <v>0</v>
      </c>
      <c r="G247">
        <f>IF(tblCalculo[[#This Row],[STATUS]]="CONCLUÍDO",_xlfn.XLOOKUP(tblCalculo[[#This Row],[NR_SIMULACAO]],tblVendas[[#This Row],[NR_SIMULACAO]],tblVendas[[#This Row],[VALOR_AVANCADO]],""),0)</f>
        <v>0</v>
      </c>
      <c r="H247">
        <f>IF(tblCalculo[[#This Row],[STATUS]]="CONCLUÍDO",_xlfn.XLOOKUP(tblCalculo[[#This Row],[NR_SIMULACAO]],tblVendas[[#This Row],[NR_SIMULACAO]],tblVendas[[#This Row],[VALOR_FIXABASICA]],""),0)</f>
        <v>0</v>
      </c>
      <c r="I247">
        <f>IF(tblCalculo[[#This Row],[STATUS]]="CONCLUÍDO",_xlfn.XLOOKUP(tblCalculo[[#This Row],[NR_SIMULACAO]],tblVendas[[#This Row],[NR_SIMULACAO]],tblVendas[[#This Row],[VALOR_TI]],""),0)</f>
        <v>0</v>
      </c>
      <c r="J247">
        <f>IF(tblCalculo[[#This Row],[STATUS]]="CONCLUÍDO",_xlfn.XLOOKUP(tblCalculo[[#This Row],[NR_SIMULACAO]],tblVendas[[#This Row],[NR_SIMULACAO]],tblVendas[[#This Row],[VALOR_APARELHO]],""),0)</f>
        <v>0</v>
      </c>
      <c r="K247" t="str">
        <f>IF(tblCalculo[[#This Row],[STATUS]]="NEGOCIANDO",tblCalculo[[#This Row],[VALOR_TOTAL]],"")</f>
        <v/>
      </c>
      <c r="L247" t="str">
        <f>IF(tblCalculo[[#This Row],[STATUS]]="ALÇADA",tblCalculo[[#This Row],[VALOR_TOTAL]],"")</f>
        <v/>
      </c>
      <c r="M247" t="str">
        <f>IF(tblCalculo[[#This Row],[STATUS]]="EM ANÁLISE",tblCalculo[[#This Row],[VALOR_TOTAL]],"")</f>
        <v/>
      </c>
      <c r="N247">
        <f>IF(tblCalculo[[#This Row],[STATUS]]="TRAMITANDO",tblCalculo[[#This Row],[VALOR_TOTAL]],"")</f>
        <v>21553.06</v>
      </c>
      <c r="O247" t="str">
        <f>IF(tblCalculo[[#This Row],[STATUS]]="PERDIDO",tblCalculo[[#This Row],[VALOR_TOTAL]],"")</f>
        <v/>
      </c>
      <c r="P247" t="str">
        <f>IF(tblCalculo[[#This Row],[STATUS]]="CONCLUÍDO",tblCalculo[[#This Row],[VALOR_TOTAL]],"")</f>
        <v/>
      </c>
    </row>
    <row r="248" spans="1:16" x14ac:dyDescent="0.25">
      <c r="A248" t="str">
        <f>tblVendas[[#This Row],[NR_SIMULACAO]]</f>
        <v>SIM1238</v>
      </c>
      <c r="B248" s="34" t="str">
        <f>_xlfn.XLOOKUP(A248,tblVendas[[#This Row],[NR_SIMULACAO]],tblVendas[[#This Row],[NR_CNPJ]],"")</f>
        <v>66.561.670/0001-80</v>
      </c>
      <c r="C248" t="str">
        <f>_xlfn.XLOOKUP(A248,tblVendas[[#This Row],[NR_SIMULACAO]],tblVendas[[#This Row],[STATUS]],"")</f>
        <v>NEGOCIANDO</v>
      </c>
      <c r="D248" t="str">
        <f>_xlfn.XLOOKUP(A248,tblVendas[[#This Row],[NR_SIMULACAO]],tblVendas[[#This Row],[MES]],"")</f>
        <v>Março</v>
      </c>
      <c r="E248">
        <f>SUM(_xlfn.XLOOKUP(tblCalculo[[#This Row],[NR_SIMULACAO]],tblVendas[[#This Row],[NR_SIMULACAO]],tblVendas[[#This Row],[VALOR_MOVEL]],""):_xlfn.XLOOKUP(tblCalculo[[#This Row],[NR_SIMULACAO]],tblVendas[[#This Row],[NR_SIMULACAO]],tblVendas[[#This Row],[VALOR_APARELHO]],""))</f>
        <v>26455.200000000001</v>
      </c>
      <c r="F248">
        <f>IF(tblCalculo[[#This Row],[STATUS]]="CONCLUÍDO",_xlfn.XLOOKUP(tblCalculo[[#This Row],[NR_SIMULACAO]],tblVendas[[#This Row],[NR_SIMULACAO]],tblVendas[[#This Row],[VALOR_MOVEL]],""),0)</f>
        <v>0</v>
      </c>
      <c r="G248">
        <f>IF(tblCalculo[[#This Row],[STATUS]]="CONCLUÍDO",_xlfn.XLOOKUP(tblCalculo[[#This Row],[NR_SIMULACAO]],tblVendas[[#This Row],[NR_SIMULACAO]],tblVendas[[#This Row],[VALOR_AVANCADO]],""),0)</f>
        <v>0</v>
      </c>
      <c r="H248">
        <f>IF(tblCalculo[[#This Row],[STATUS]]="CONCLUÍDO",_xlfn.XLOOKUP(tblCalculo[[#This Row],[NR_SIMULACAO]],tblVendas[[#This Row],[NR_SIMULACAO]],tblVendas[[#This Row],[VALOR_FIXABASICA]],""),0)</f>
        <v>0</v>
      </c>
      <c r="I248">
        <f>IF(tblCalculo[[#This Row],[STATUS]]="CONCLUÍDO",_xlfn.XLOOKUP(tblCalculo[[#This Row],[NR_SIMULACAO]],tblVendas[[#This Row],[NR_SIMULACAO]],tblVendas[[#This Row],[VALOR_TI]],""),0)</f>
        <v>0</v>
      </c>
      <c r="J248">
        <f>IF(tblCalculo[[#This Row],[STATUS]]="CONCLUÍDO",_xlfn.XLOOKUP(tblCalculo[[#This Row],[NR_SIMULACAO]],tblVendas[[#This Row],[NR_SIMULACAO]],tblVendas[[#This Row],[VALOR_APARELHO]],""),0)</f>
        <v>0</v>
      </c>
      <c r="K248">
        <f>IF(tblCalculo[[#This Row],[STATUS]]="NEGOCIANDO",tblCalculo[[#This Row],[VALOR_TOTAL]],"")</f>
        <v>26455.200000000001</v>
      </c>
      <c r="L248" t="str">
        <f>IF(tblCalculo[[#This Row],[STATUS]]="ALÇADA",tblCalculo[[#This Row],[VALOR_TOTAL]],"")</f>
        <v/>
      </c>
      <c r="M248" t="str">
        <f>IF(tblCalculo[[#This Row],[STATUS]]="EM ANÁLISE",tblCalculo[[#This Row],[VALOR_TOTAL]],"")</f>
        <v/>
      </c>
      <c r="N248" t="str">
        <f>IF(tblCalculo[[#This Row],[STATUS]]="TRAMITANDO",tblCalculo[[#This Row],[VALOR_TOTAL]],"")</f>
        <v/>
      </c>
      <c r="O248" t="str">
        <f>IF(tblCalculo[[#This Row],[STATUS]]="PERDIDO",tblCalculo[[#This Row],[VALOR_TOTAL]],"")</f>
        <v/>
      </c>
      <c r="P248" t="str">
        <f>IF(tblCalculo[[#This Row],[STATUS]]="CONCLUÍDO",tblCalculo[[#This Row],[VALOR_TOTAL]],"")</f>
        <v/>
      </c>
    </row>
    <row r="249" spans="1:16" x14ac:dyDescent="0.25">
      <c r="A249" t="str">
        <f>tblVendas[[#This Row],[NR_SIMULACAO]]</f>
        <v>SIM1239</v>
      </c>
      <c r="B249" s="34" t="str">
        <f>_xlfn.XLOOKUP(A249,tblVendas[[#This Row],[NR_SIMULACAO]],tblVendas[[#This Row],[NR_CNPJ]],"")</f>
        <v>99.369.175/0001-64</v>
      </c>
      <c r="C249" t="str">
        <f>_xlfn.XLOOKUP(A249,tblVendas[[#This Row],[NR_SIMULACAO]],tblVendas[[#This Row],[STATUS]],"")</f>
        <v>TRAMITANDO</v>
      </c>
      <c r="D249" t="str">
        <f>_xlfn.XLOOKUP(A249,tblVendas[[#This Row],[NR_SIMULACAO]],tblVendas[[#This Row],[MES]],"")</f>
        <v>Julho</v>
      </c>
      <c r="E249">
        <f>SUM(_xlfn.XLOOKUP(tblCalculo[[#This Row],[NR_SIMULACAO]],tblVendas[[#This Row],[NR_SIMULACAO]],tblVendas[[#This Row],[VALOR_MOVEL]],""):_xlfn.XLOOKUP(tblCalculo[[#This Row],[NR_SIMULACAO]],tblVendas[[#This Row],[NR_SIMULACAO]],tblVendas[[#This Row],[VALOR_APARELHO]],""))</f>
        <v>7152.49</v>
      </c>
      <c r="F249">
        <f>IF(tblCalculo[[#This Row],[STATUS]]="CONCLUÍDO",_xlfn.XLOOKUP(tblCalculo[[#This Row],[NR_SIMULACAO]],tblVendas[[#This Row],[NR_SIMULACAO]],tblVendas[[#This Row],[VALOR_MOVEL]],""),0)</f>
        <v>0</v>
      </c>
      <c r="G249">
        <f>IF(tblCalculo[[#This Row],[STATUS]]="CONCLUÍDO",_xlfn.XLOOKUP(tblCalculo[[#This Row],[NR_SIMULACAO]],tblVendas[[#This Row],[NR_SIMULACAO]],tblVendas[[#This Row],[VALOR_AVANCADO]],""),0)</f>
        <v>0</v>
      </c>
      <c r="H249">
        <f>IF(tblCalculo[[#This Row],[STATUS]]="CONCLUÍDO",_xlfn.XLOOKUP(tblCalculo[[#This Row],[NR_SIMULACAO]],tblVendas[[#This Row],[NR_SIMULACAO]],tblVendas[[#This Row],[VALOR_FIXABASICA]],""),0)</f>
        <v>0</v>
      </c>
      <c r="I249">
        <f>IF(tblCalculo[[#This Row],[STATUS]]="CONCLUÍDO",_xlfn.XLOOKUP(tblCalculo[[#This Row],[NR_SIMULACAO]],tblVendas[[#This Row],[NR_SIMULACAO]],tblVendas[[#This Row],[VALOR_TI]],""),0)</f>
        <v>0</v>
      </c>
      <c r="J249">
        <f>IF(tblCalculo[[#This Row],[STATUS]]="CONCLUÍDO",_xlfn.XLOOKUP(tblCalculo[[#This Row],[NR_SIMULACAO]],tblVendas[[#This Row],[NR_SIMULACAO]],tblVendas[[#This Row],[VALOR_APARELHO]],""),0)</f>
        <v>0</v>
      </c>
      <c r="K249" t="str">
        <f>IF(tblCalculo[[#This Row],[STATUS]]="NEGOCIANDO",tblCalculo[[#This Row],[VALOR_TOTAL]],"")</f>
        <v/>
      </c>
      <c r="L249" t="str">
        <f>IF(tblCalculo[[#This Row],[STATUS]]="ALÇADA",tblCalculo[[#This Row],[VALOR_TOTAL]],"")</f>
        <v/>
      </c>
      <c r="M249" t="str">
        <f>IF(tblCalculo[[#This Row],[STATUS]]="EM ANÁLISE",tblCalculo[[#This Row],[VALOR_TOTAL]],"")</f>
        <v/>
      </c>
      <c r="N249">
        <f>IF(tblCalculo[[#This Row],[STATUS]]="TRAMITANDO",tblCalculo[[#This Row],[VALOR_TOTAL]],"")</f>
        <v>7152.49</v>
      </c>
      <c r="O249" t="str">
        <f>IF(tblCalculo[[#This Row],[STATUS]]="PERDIDO",tblCalculo[[#This Row],[VALOR_TOTAL]],"")</f>
        <v/>
      </c>
      <c r="P249" t="str">
        <f>IF(tblCalculo[[#This Row],[STATUS]]="CONCLUÍDO",tblCalculo[[#This Row],[VALOR_TOTAL]],"")</f>
        <v/>
      </c>
    </row>
    <row r="250" spans="1:16" x14ac:dyDescent="0.25">
      <c r="A250" t="str">
        <f>tblVendas[[#This Row],[NR_SIMULACAO]]</f>
        <v>SIM1240</v>
      </c>
      <c r="B250" s="34" t="str">
        <f>_xlfn.XLOOKUP(A250,tblVendas[[#This Row],[NR_SIMULACAO]],tblVendas[[#This Row],[NR_CNPJ]],"")</f>
        <v>12.737.342/0001-73</v>
      </c>
      <c r="C250" t="str">
        <f>_xlfn.XLOOKUP(A250,tblVendas[[#This Row],[NR_SIMULACAO]],tblVendas[[#This Row],[STATUS]],"")</f>
        <v>CONCLUÍDO</v>
      </c>
      <c r="D250" t="str">
        <f>_xlfn.XLOOKUP(A250,tblVendas[[#This Row],[NR_SIMULACAO]],tblVendas[[#This Row],[MES]],"")</f>
        <v>Maio</v>
      </c>
      <c r="E250">
        <f>SUM(_xlfn.XLOOKUP(tblCalculo[[#This Row],[NR_SIMULACAO]],tblVendas[[#This Row],[NR_SIMULACAO]],tblVendas[[#This Row],[VALOR_MOVEL]],""):_xlfn.XLOOKUP(tblCalculo[[#This Row],[NR_SIMULACAO]],tblVendas[[#This Row],[NR_SIMULACAO]],tblVendas[[#This Row],[VALOR_APARELHO]],""))</f>
        <v>11162.76</v>
      </c>
      <c r="F250">
        <f>IF(tblCalculo[[#This Row],[STATUS]]="CONCLUÍDO",_xlfn.XLOOKUP(tblCalculo[[#This Row],[NR_SIMULACAO]],tblVendas[[#This Row],[NR_SIMULACAO]],tblVendas[[#This Row],[VALOR_MOVEL]],""),0)</f>
        <v>0</v>
      </c>
      <c r="G250">
        <f>IF(tblCalculo[[#This Row],[STATUS]]="CONCLUÍDO",_xlfn.XLOOKUP(tblCalculo[[#This Row],[NR_SIMULACAO]],tblVendas[[#This Row],[NR_SIMULACAO]],tblVendas[[#This Row],[VALOR_AVANCADO]],""),0)</f>
        <v>0</v>
      </c>
      <c r="H250">
        <f>IF(tblCalculo[[#This Row],[STATUS]]="CONCLUÍDO",_xlfn.XLOOKUP(tblCalculo[[#This Row],[NR_SIMULACAO]],tblVendas[[#This Row],[NR_SIMULACAO]],tblVendas[[#This Row],[VALOR_FIXABASICA]],""),0)</f>
        <v>1771.34</v>
      </c>
      <c r="I250">
        <f>IF(tblCalculo[[#This Row],[STATUS]]="CONCLUÍDO",_xlfn.XLOOKUP(tblCalculo[[#This Row],[NR_SIMULACAO]],tblVendas[[#This Row],[NR_SIMULACAO]],tblVendas[[#This Row],[VALOR_TI]],""),0)</f>
        <v>9391.42</v>
      </c>
      <c r="J250">
        <f>IF(tblCalculo[[#This Row],[STATUS]]="CONCLUÍDO",_xlfn.XLOOKUP(tblCalculo[[#This Row],[NR_SIMULACAO]],tblVendas[[#This Row],[NR_SIMULACAO]],tblVendas[[#This Row],[VALOR_APARELHO]],""),0)</f>
        <v>0</v>
      </c>
      <c r="K250" t="str">
        <f>IF(tblCalculo[[#This Row],[STATUS]]="NEGOCIANDO",tblCalculo[[#This Row],[VALOR_TOTAL]],"")</f>
        <v/>
      </c>
      <c r="L250" t="str">
        <f>IF(tblCalculo[[#This Row],[STATUS]]="ALÇADA",tblCalculo[[#This Row],[VALOR_TOTAL]],"")</f>
        <v/>
      </c>
      <c r="M250" t="str">
        <f>IF(tblCalculo[[#This Row],[STATUS]]="EM ANÁLISE",tblCalculo[[#This Row],[VALOR_TOTAL]],"")</f>
        <v/>
      </c>
      <c r="N250" t="str">
        <f>IF(tblCalculo[[#This Row],[STATUS]]="TRAMITANDO",tblCalculo[[#This Row],[VALOR_TOTAL]],"")</f>
        <v/>
      </c>
      <c r="O250" t="str">
        <f>IF(tblCalculo[[#This Row],[STATUS]]="PERDIDO",tblCalculo[[#This Row],[VALOR_TOTAL]],"")</f>
        <v/>
      </c>
      <c r="P250">
        <f>IF(tblCalculo[[#This Row],[STATUS]]="CONCLUÍDO",tblCalculo[[#This Row],[VALOR_TOTAL]],"")</f>
        <v>11162.76</v>
      </c>
    </row>
    <row r="251" spans="1:16" x14ac:dyDescent="0.25">
      <c r="A251" t="str">
        <f>tblVendas[[#This Row],[NR_SIMULACAO]]</f>
        <v>SIM1241</v>
      </c>
      <c r="B251" s="34" t="str">
        <f>_xlfn.XLOOKUP(A251,tblVendas[[#This Row],[NR_SIMULACAO]],tblVendas[[#This Row],[NR_CNPJ]],"")</f>
        <v>80.217.465/0001-37</v>
      </c>
      <c r="C251" t="str">
        <f>_xlfn.XLOOKUP(A251,tblVendas[[#This Row],[NR_SIMULACAO]],tblVendas[[#This Row],[STATUS]],"")</f>
        <v>PERDIDO</v>
      </c>
      <c r="D251" t="str">
        <f>_xlfn.XLOOKUP(A251,tblVendas[[#This Row],[NR_SIMULACAO]],tblVendas[[#This Row],[MES]],"")</f>
        <v>Outubro</v>
      </c>
      <c r="E251">
        <f>SUM(_xlfn.XLOOKUP(tblCalculo[[#This Row],[NR_SIMULACAO]],tblVendas[[#This Row],[NR_SIMULACAO]],tblVendas[[#This Row],[VALOR_MOVEL]],""):_xlfn.XLOOKUP(tblCalculo[[#This Row],[NR_SIMULACAO]],tblVendas[[#This Row],[NR_SIMULACAO]],tblVendas[[#This Row],[VALOR_APARELHO]],""))</f>
        <v>17472.080000000002</v>
      </c>
      <c r="F251">
        <f>IF(tblCalculo[[#This Row],[STATUS]]="CONCLUÍDO",_xlfn.XLOOKUP(tblCalculo[[#This Row],[NR_SIMULACAO]],tblVendas[[#This Row],[NR_SIMULACAO]],tblVendas[[#This Row],[VALOR_MOVEL]],""),0)</f>
        <v>0</v>
      </c>
      <c r="G251">
        <f>IF(tblCalculo[[#This Row],[STATUS]]="CONCLUÍDO",_xlfn.XLOOKUP(tblCalculo[[#This Row],[NR_SIMULACAO]],tblVendas[[#This Row],[NR_SIMULACAO]],tblVendas[[#This Row],[VALOR_AVANCADO]],""),0)</f>
        <v>0</v>
      </c>
      <c r="H251">
        <f>IF(tblCalculo[[#This Row],[STATUS]]="CONCLUÍDO",_xlfn.XLOOKUP(tblCalculo[[#This Row],[NR_SIMULACAO]],tblVendas[[#This Row],[NR_SIMULACAO]],tblVendas[[#This Row],[VALOR_FIXABASICA]],""),0)</f>
        <v>0</v>
      </c>
      <c r="I251">
        <f>IF(tblCalculo[[#This Row],[STATUS]]="CONCLUÍDO",_xlfn.XLOOKUP(tblCalculo[[#This Row],[NR_SIMULACAO]],tblVendas[[#This Row],[NR_SIMULACAO]],tblVendas[[#This Row],[VALOR_TI]],""),0)</f>
        <v>0</v>
      </c>
      <c r="J251">
        <f>IF(tblCalculo[[#This Row],[STATUS]]="CONCLUÍDO",_xlfn.XLOOKUP(tblCalculo[[#This Row],[NR_SIMULACAO]],tblVendas[[#This Row],[NR_SIMULACAO]],tblVendas[[#This Row],[VALOR_APARELHO]],""),0)</f>
        <v>0</v>
      </c>
      <c r="K251" t="str">
        <f>IF(tblCalculo[[#This Row],[STATUS]]="NEGOCIANDO",tblCalculo[[#This Row],[VALOR_TOTAL]],"")</f>
        <v/>
      </c>
      <c r="L251" t="str">
        <f>IF(tblCalculo[[#This Row],[STATUS]]="ALÇADA",tblCalculo[[#This Row],[VALOR_TOTAL]],"")</f>
        <v/>
      </c>
      <c r="M251" t="str">
        <f>IF(tblCalculo[[#This Row],[STATUS]]="EM ANÁLISE",tblCalculo[[#This Row],[VALOR_TOTAL]],"")</f>
        <v/>
      </c>
      <c r="N251" t="str">
        <f>IF(tblCalculo[[#This Row],[STATUS]]="TRAMITANDO",tblCalculo[[#This Row],[VALOR_TOTAL]],"")</f>
        <v/>
      </c>
      <c r="O251">
        <f>IF(tblCalculo[[#This Row],[STATUS]]="PERDIDO",tblCalculo[[#This Row],[VALOR_TOTAL]],"")</f>
        <v>17472.080000000002</v>
      </c>
      <c r="P251" t="str">
        <f>IF(tblCalculo[[#This Row],[STATUS]]="CONCLUÍDO",tblCalculo[[#This Row],[VALOR_TOTAL]],"")</f>
        <v/>
      </c>
    </row>
    <row r="252" spans="1:16" x14ac:dyDescent="0.25">
      <c r="A252" t="str">
        <f>tblVendas[[#This Row],[NR_SIMULACAO]]</f>
        <v>SIM1242</v>
      </c>
      <c r="B252" s="34" t="str">
        <f>_xlfn.XLOOKUP(A252,tblVendas[[#This Row],[NR_SIMULACAO]],tblVendas[[#This Row],[NR_CNPJ]],"")</f>
        <v>40.699.862/0001-72</v>
      </c>
      <c r="C252" t="str">
        <f>_xlfn.XLOOKUP(A252,tblVendas[[#This Row],[NR_SIMULACAO]],tblVendas[[#This Row],[STATUS]],"")</f>
        <v>ALÇADA</v>
      </c>
      <c r="D252" t="str">
        <f>_xlfn.XLOOKUP(A252,tblVendas[[#This Row],[NR_SIMULACAO]],tblVendas[[#This Row],[MES]],"")</f>
        <v>Março</v>
      </c>
      <c r="E252">
        <f>SUM(_xlfn.XLOOKUP(tblCalculo[[#This Row],[NR_SIMULACAO]],tblVendas[[#This Row],[NR_SIMULACAO]],tblVendas[[#This Row],[VALOR_MOVEL]],""):_xlfn.XLOOKUP(tblCalculo[[#This Row],[NR_SIMULACAO]],tblVendas[[#This Row],[NR_SIMULACAO]],tblVendas[[#This Row],[VALOR_APARELHO]],""))</f>
        <v>3617.35</v>
      </c>
      <c r="F252">
        <f>IF(tblCalculo[[#This Row],[STATUS]]="CONCLUÍDO",_xlfn.XLOOKUP(tblCalculo[[#This Row],[NR_SIMULACAO]],tblVendas[[#This Row],[NR_SIMULACAO]],tblVendas[[#This Row],[VALOR_MOVEL]],""),0)</f>
        <v>0</v>
      </c>
      <c r="G252">
        <f>IF(tblCalculo[[#This Row],[STATUS]]="CONCLUÍDO",_xlfn.XLOOKUP(tblCalculo[[#This Row],[NR_SIMULACAO]],tblVendas[[#This Row],[NR_SIMULACAO]],tblVendas[[#This Row],[VALOR_AVANCADO]],""),0)</f>
        <v>0</v>
      </c>
      <c r="H252">
        <f>IF(tblCalculo[[#This Row],[STATUS]]="CONCLUÍDO",_xlfn.XLOOKUP(tblCalculo[[#This Row],[NR_SIMULACAO]],tblVendas[[#This Row],[NR_SIMULACAO]],tblVendas[[#This Row],[VALOR_FIXABASICA]],""),0)</f>
        <v>0</v>
      </c>
      <c r="I252">
        <f>IF(tblCalculo[[#This Row],[STATUS]]="CONCLUÍDO",_xlfn.XLOOKUP(tblCalculo[[#This Row],[NR_SIMULACAO]],tblVendas[[#This Row],[NR_SIMULACAO]],tblVendas[[#This Row],[VALOR_TI]],""),0)</f>
        <v>0</v>
      </c>
      <c r="J252">
        <f>IF(tblCalculo[[#This Row],[STATUS]]="CONCLUÍDO",_xlfn.XLOOKUP(tblCalculo[[#This Row],[NR_SIMULACAO]],tblVendas[[#This Row],[NR_SIMULACAO]],tblVendas[[#This Row],[VALOR_APARELHO]],""),0)</f>
        <v>0</v>
      </c>
      <c r="K252" t="str">
        <f>IF(tblCalculo[[#This Row],[STATUS]]="NEGOCIANDO",tblCalculo[[#This Row],[VALOR_TOTAL]],"")</f>
        <v/>
      </c>
      <c r="L252">
        <f>IF(tblCalculo[[#This Row],[STATUS]]="ALÇADA",tblCalculo[[#This Row],[VALOR_TOTAL]],"")</f>
        <v>3617.35</v>
      </c>
      <c r="M252" t="str">
        <f>IF(tblCalculo[[#This Row],[STATUS]]="EM ANÁLISE",tblCalculo[[#This Row],[VALOR_TOTAL]],"")</f>
        <v/>
      </c>
      <c r="N252" t="str">
        <f>IF(tblCalculo[[#This Row],[STATUS]]="TRAMITANDO",tblCalculo[[#This Row],[VALOR_TOTAL]],"")</f>
        <v/>
      </c>
      <c r="O252" t="str">
        <f>IF(tblCalculo[[#This Row],[STATUS]]="PERDIDO",tblCalculo[[#This Row],[VALOR_TOTAL]],"")</f>
        <v/>
      </c>
      <c r="P252" t="str">
        <f>IF(tblCalculo[[#This Row],[STATUS]]="CONCLUÍDO",tblCalculo[[#This Row],[VALOR_TOTAL]],"")</f>
        <v/>
      </c>
    </row>
    <row r="253" spans="1:16" x14ac:dyDescent="0.25">
      <c r="A253" t="str">
        <f>tblVendas[[#This Row],[NR_SIMULACAO]]</f>
        <v>SIM1243</v>
      </c>
      <c r="B253" s="34" t="str">
        <f>_xlfn.XLOOKUP(A253,tblVendas[[#This Row],[NR_SIMULACAO]],tblVendas[[#This Row],[NR_CNPJ]],"")</f>
        <v>78.609.535/0001-26</v>
      </c>
      <c r="C253" t="str">
        <f>_xlfn.XLOOKUP(A253,tblVendas[[#This Row],[NR_SIMULACAO]],tblVendas[[#This Row],[STATUS]],"")</f>
        <v>CONCLUÍDO</v>
      </c>
      <c r="D253" t="str">
        <f>_xlfn.XLOOKUP(A253,tblVendas[[#This Row],[NR_SIMULACAO]],tblVendas[[#This Row],[MES]],"")</f>
        <v>Abril</v>
      </c>
      <c r="E253">
        <f>SUM(_xlfn.XLOOKUP(tblCalculo[[#This Row],[NR_SIMULACAO]],tblVendas[[#This Row],[NR_SIMULACAO]],tblVendas[[#This Row],[VALOR_MOVEL]],""):_xlfn.XLOOKUP(tblCalculo[[#This Row],[NR_SIMULACAO]],tblVendas[[#This Row],[NR_SIMULACAO]],tblVendas[[#This Row],[VALOR_APARELHO]],""))</f>
        <v>3293.01</v>
      </c>
      <c r="F253">
        <f>IF(tblCalculo[[#This Row],[STATUS]]="CONCLUÍDO",_xlfn.XLOOKUP(tblCalculo[[#This Row],[NR_SIMULACAO]],tblVendas[[#This Row],[NR_SIMULACAO]],tblVendas[[#This Row],[VALOR_MOVEL]],""),0)</f>
        <v>0</v>
      </c>
      <c r="G253">
        <f>IF(tblCalculo[[#This Row],[STATUS]]="CONCLUÍDO",_xlfn.XLOOKUP(tblCalculo[[#This Row],[NR_SIMULACAO]],tblVendas[[#This Row],[NR_SIMULACAO]],tblVendas[[#This Row],[VALOR_AVANCADO]],""),0)</f>
        <v>3293.01</v>
      </c>
      <c r="H253">
        <f>IF(tblCalculo[[#This Row],[STATUS]]="CONCLUÍDO",_xlfn.XLOOKUP(tblCalculo[[#This Row],[NR_SIMULACAO]],tblVendas[[#This Row],[NR_SIMULACAO]],tblVendas[[#This Row],[VALOR_FIXABASICA]],""),0)</f>
        <v>0</v>
      </c>
      <c r="I253">
        <f>IF(tblCalculo[[#This Row],[STATUS]]="CONCLUÍDO",_xlfn.XLOOKUP(tblCalculo[[#This Row],[NR_SIMULACAO]],tblVendas[[#This Row],[NR_SIMULACAO]],tblVendas[[#This Row],[VALOR_TI]],""),0)</f>
        <v>0</v>
      </c>
      <c r="J253">
        <f>IF(tblCalculo[[#This Row],[STATUS]]="CONCLUÍDO",_xlfn.XLOOKUP(tblCalculo[[#This Row],[NR_SIMULACAO]],tblVendas[[#This Row],[NR_SIMULACAO]],tblVendas[[#This Row],[VALOR_APARELHO]],""),0)</f>
        <v>0</v>
      </c>
      <c r="K253" t="str">
        <f>IF(tblCalculo[[#This Row],[STATUS]]="NEGOCIANDO",tblCalculo[[#This Row],[VALOR_TOTAL]],"")</f>
        <v/>
      </c>
      <c r="L253" t="str">
        <f>IF(tblCalculo[[#This Row],[STATUS]]="ALÇADA",tblCalculo[[#This Row],[VALOR_TOTAL]],"")</f>
        <v/>
      </c>
      <c r="M253" t="str">
        <f>IF(tblCalculo[[#This Row],[STATUS]]="EM ANÁLISE",tblCalculo[[#This Row],[VALOR_TOTAL]],"")</f>
        <v/>
      </c>
      <c r="N253" t="str">
        <f>IF(tblCalculo[[#This Row],[STATUS]]="TRAMITANDO",tblCalculo[[#This Row],[VALOR_TOTAL]],"")</f>
        <v/>
      </c>
      <c r="O253" t="str">
        <f>IF(tblCalculo[[#This Row],[STATUS]]="PERDIDO",tblCalculo[[#This Row],[VALOR_TOTAL]],"")</f>
        <v/>
      </c>
      <c r="P253">
        <f>IF(tblCalculo[[#This Row],[STATUS]]="CONCLUÍDO",tblCalculo[[#This Row],[VALOR_TOTAL]],"")</f>
        <v>3293.01</v>
      </c>
    </row>
    <row r="254" spans="1:16" x14ac:dyDescent="0.25">
      <c r="A254" t="str">
        <f>tblVendas[[#This Row],[NR_SIMULACAO]]</f>
        <v>SIM1244</v>
      </c>
      <c r="B254" s="34" t="str">
        <f>_xlfn.XLOOKUP(A254,tblVendas[[#This Row],[NR_SIMULACAO]],tblVendas[[#This Row],[NR_CNPJ]],"")</f>
        <v>35.170.927/0001-60</v>
      </c>
      <c r="C254" t="str">
        <f>_xlfn.XLOOKUP(A254,tblVendas[[#This Row],[NR_SIMULACAO]],tblVendas[[#This Row],[STATUS]],"")</f>
        <v>ALÇADA</v>
      </c>
      <c r="D254" t="str">
        <f>_xlfn.XLOOKUP(A254,tblVendas[[#This Row],[NR_SIMULACAO]],tblVendas[[#This Row],[MES]],"")</f>
        <v>Junho</v>
      </c>
      <c r="E254">
        <f>SUM(_xlfn.XLOOKUP(tblCalculo[[#This Row],[NR_SIMULACAO]],tblVendas[[#This Row],[NR_SIMULACAO]],tblVendas[[#This Row],[VALOR_MOVEL]],""):_xlfn.XLOOKUP(tblCalculo[[#This Row],[NR_SIMULACAO]],tblVendas[[#This Row],[NR_SIMULACAO]],tblVendas[[#This Row],[VALOR_APARELHO]],""))</f>
        <v>23268.67</v>
      </c>
      <c r="F254">
        <f>IF(tblCalculo[[#This Row],[STATUS]]="CONCLUÍDO",_xlfn.XLOOKUP(tblCalculo[[#This Row],[NR_SIMULACAO]],tblVendas[[#This Row],[NR_SIMULACAO]],tblVendas[[#This Row],[VALOR_MOVEL]],""),0)</f>
        <v>0</v>
      </c>
      <c r="G254">
        <f>IF(tblCalculo[[#This Row],[STATUS]]="CONCLUÍDO",_xlfn.XLOOKUP(tblCalculo[[#This Row],[NR_SIMULACAO]],tblVendas[[#This Row],[NR_SIMULACAO]],tblVendas[[#This Row],[VALOR_AVANCADO]],""),0)</f>
        <v>0</v>
      </c>
      <c r="H254">
        <f>IF(tblCalculo[[#This Row],[STATUS]]="CONCLUÍDO",_xlfn.XLOOKUP(tblCalculo[[#This Row],[NR_SIMULACAO]],tblVendas[[#This Row],[NR_SIMULACAO]],tblVendas[[#This Row],[VALOR_FIXABASICA]],""),0)</f>
        <v>0</v>
      </c>
      <c r="I254">
        <f>IF(tblCalculo[[#This Row],[STATUS]]="CONCLUÍDO",_xlfn.XLOOKUP(tblCalculo[[#This Row],[NR_SIMULACAO]],tblVendas[[#This Row],[NR_SIMULACAO]],tblVendas[[#This Row],[VALOR_TI]],""),0)</f>
        <v>0</v>
      </c>
      <c r="J254">
        <f>IF(tblCalculo[[#This Row],[STATUS]]="CONCLUÍDO",_xlfn.XLOOKUP(tblCalculo[[#This Row],[NR_SIMULACAO]],tblVendas[[#This Row],[NR_SIMULACAO]],tblVendas[[#This Row],[VALOR_APARELHO]],""),0)</f>
        <v>0</v>
      </c>
      <c r="K254" t="str">
        <f>IF(tblCalculo[[#This Row],[STATUS]]="NEGOCIANDO",tblCalculo[[#This Row],[VALOR_TOTAL]],"")</f>
        <v/>
      </c>
      <c r="L254">
        <f>IF(tblCalculo[[#This Row],[STATUS]]="ALÇADA",tblCalculo[[#This Row],[VALOR_TOTAL]],"")</f>
        <v>23268.67</v>
      </c>
      <c r="M254" t="str">
        <f>IF(tblCalculo[[#This Row],[STATUS]]="EM ANÁLISE",tblCalculo[[#This Row],[VALOR_TOTAL]],"")</f>
        <v/>
      </c>
      <c r="N254" t="str">
        <f>IF(tblCalculo[[#This Row],[STATUS]]="TRAMITANDO",tblCalculo[[#This Row],[VALOR_TOTAL]],"")</f>
        <v/>
      </c>
      <c r="O254" t="str">
        <f>IF(tblCalculo[[#This Row],[STATUS]]="PERDIDO",tblCalculo[[#This Row],[VALOR_TOTAL]],"")</f>
        <v/>
      </c>
      <c r="P254" t="str">
        <f>IF(tblCalculo[[#This Row],[STATUS]]="CONCLUÍDO",tblCalculo[[#This Row],[VALOR_TOTAL]],"")</f>
        <v/>
      </c>
    </row>
    <row r="255" spans="1:16" x14ac:dyDescent="0.25">
      <c r="A255" t="str">
        <f>tblVendas[[#This Row],[NR_SIMULACAO]]</f>
        <v>SIM1245</v>
      </c>
      <c r="B255" s="34" t="str">
        <f>_xlfn.XLOOKUP(A255,tblVendas[[#This Row],[NR_SIMULACAO]],tblVendas[[#This Row],[NR_CNPJ]],"")</f>
        <v>12.450.547/0001-77</v>
      </c>
      <c r="C255" t="str">
        <f>_xlfn.XLOOKUP(A255,tblVendas[[#This Row],[NR_SIMULACAO]],tblVendas[[#This Row],[STATUS]],"")</f>
        <v>TRAMITANDO</v>
      </c>
      <c r="D255" t="str">
        <f>_xlfn.XLOOKUP(A255,tblVendas[[#This Row],[NR_SIMULACAO]],tblVendas[[#This Row],[MES]],"")</f>
        <v>Maio</v>
      </c>
      <c r="E255">
        <f>SUM(_xlfn.XLOOKUP(tblCalculo[[#This Row],[NR_SIMULACAO]],tblVendas[[#This Row],[NR_SIMULACAO]],tblVendas[[#This Row],[VALOR_MOVEL]],""):_xlfn.XLOOKUP(tblCalculo[[#This Row],[NR_SIMULACAO]],tblVendas[[#This Row],[NR_SIMULACAO]],tblVendas[[#This Row],[VALOR_APARELHO]],""))</f>
        <v>18020.699999999997</v>
      </c>
      <c r="F255">
        <f>IF(tblCalculo[[#This Row],[STATUS]]="CONCLUÍDO",_xlfn.XLOOKUP(tblCalculo[[#This Row],[NR_SIMULACAO]],tblVendas[[#This Row],[NR_SIMULACAO]],tblVendas[[#This Row],[VALOR_MOVEL]],""),0)</f>
        <v>0</v>
      </c>
      <c r="G255">
        <f>IF(tblCalculo[[#This Row],[STATUS]]="CONCLUÍDO",_xlfn.XLOOKUP(tblCalculo[[#This Row],[NR_SIMULACAO]],tblVendas[[#This Row],[NR_SIMULACAO]],tblVendas[[#This Row],[VALOR_AVANCADO]],""),0)</f>
        <v>0</v>
      </c>
      <c r="H255">
        <f>IF(tblCalculo[[#This Row],[STATUS]]="CONCLUÍDO",_xlfn.XLOOKUP(tblCalculo[[#This Row],[NR_SIMULACAO]],tblVendas[[#This Row],[NR_SIMULACAO]],tblVendas[[#This Row],[VALOR_FIXABASICA]],""),0)</f>
        <v>0</v>
      </c>
      <c r="I255">
        <f>IF(tblCalculo[[#This Row],[STATUS]]="CONCLUÍDO",_xlfn.XLOOKUP(tblCalculo[[#This Row],[NR_SIMULACAO]],tblVendas[[#This Row],[NR_SIMULACAO]],tblVendas[[#This Row],[VALOR_TI]],""),0)</f>
        <v>0</v>
      </c>
      <c r="J255">
        <f>IF(tblCalculo[[#This Row],[STATUS]]="CONCLUÍDO",_xlfn.XLOOKUP(tblCalculo[[#This Row],[NR_SIMULACAO]],tblVendas[[#This Row],[NR_SIMULACAO]],tblVendas[[#This Row],[VALOR_APARELHO]],""),0)</f>
        <v>0</v>
      </c>
      <c r="K255" t="str">
        <f>IF(tblCalculo[[#This Row],[STATUS]]="NEGOCIANDO",tblCalculo[[#This Row],[VALOR_TOTAL]],"")</f>
        <v/>
      </c>
      <c r="L255" t="str">
        <f>IF(tblCalculo[[#This Row],[STATUS]]="ALÇADA",tblCalculo[[#This Row],[VALOR_TOTAL]],"")</f>
        <v/>
      </c>
      <c r="M255" t="str">
        <f>IF(tblCalculo[[#This Row],[STATUS]]="EM ANÁLISE",tblCalculo[[#This Row],[VALOR_TOTAL]],"")</f>
        <v/>
      </c>
      <c r="N255">
        <f>IF(tblCalculo[[#This Row],[STATUS]]="TRAMITANDO",tblCalculo[[#This Row],[VALOR_TOTAL]],"")</f>
        <v>18020.699999999997</v>
      </c>
      <c r="O255" t="str">
        <f>IF(tblCalculo[[#This Row],[STATUS]]="PERDIDO",tblCalculo[[#This Row],[VALOR_TOTAL]],"")</f>
        <v/>
      </c>
      <c r="P255" t="str">
        <f>IF(tblCalculo[[#This Row],[STATUS]]="CONCLUÍDO",tblCalculo[[#This Row],[VALOR_TOTAL]],"")</f>
        <v/>
      </c>
    </row>
    <row r="256" spans="1:16" x14ac:dyDescent="0.25">
      <c r="A256" t="str">
        <f>tblVendas[[#This Row],[NR_SIMULACAO]]</f>
        <v>SIM1246</v>
      </c>
      <c r="B256" s="34" t="str">
        <f>_xlfn.XLOOKUP(A256,tblVendas[[#This Row],[NR_SIMULACAO]],tblVendas[[#This Row],[NR_CNPJ]],"")</f>
        <v>40.240.836/0001-27</v>
      </c>
      <c r="C256" t="str">
        <f>_xlfn.XLOOKUP(A256,tblVendas[[#This Row],[NR_SIMULACAO]],tblVendas[[#This Row],[STATUS]],"")</f>
        <v>TRAMITANDO</v>
      </c>
      <c r="D256" t="str">
        <f>_xlfn.XLOOKUP(A256,tblVendas[[#This Row],[NR_SIMULACAO]],tblVendas[[#This Row],[MES]],"")</f>
        <v>Novembro</v>
      </c>
      <c r="E256">
        <f>SUM(_xlfn.XLOOKUP(tblCalculo[[#This Row],[NR_SIMULACAO]],tblVendas[[#This Row],[NR_SIMULACAO]],tblVendas[[#This Row],[VALOR_MOVEL]],""):_xlfn.XLOOKUP(tblCalculo[[#This Row],[NR_SIMULACAO]],tblVendas[[#This Row],[NR_SIMULACAO]],tblVendas[[#This Row],[VALOR_APARELHO]],""))</f>
        <v>3365.8100000000004</v>
      </c>
      <c r="F256">
        <f>IF(tblCalculo[[#This Row],[STATUS]]="CONCLUÍDO",_xlfn.XLOOKUP(tblCalculo[[#This Row],[NR_SIMULACAO]],tblVendas[[#This Row],[NR_SIMULACAO]],tblVendas[[#This Row],[VALOR_MOVEL]],""),0)</f>
        <v>0</v>
      </c>
      <c r="G256">
        <f>IF(tblCalculo[[#This Row],[STATUS]]="CONCLUÍDO",_xlfn.XLOOKUP(tblCalculo[[#This Row],[NR_SIMULACAO]],tblVendas[[#This Row],[NR_SIMULACAO]],tblVendas[[#This Row],[VALOR_AVANCADO]],""),0)</f>
        <v>0</v>
      </c>
      <c r="H256">
        <f>IF(tblCalculo[[#This Row],[STATUS]]="CONCLUÍDO",_xlfn.XLOOKUP(tblCalculo[[#This Row],[NR_SIMULACAO]],tblVendas[[#This Row],[NR_SIMULACAO]],tblVendas[[#This Row],[VALOR_FIXABASICA]],""),0)</f>
        <v>0</v>
      </c>
      <c r="I256">
        <f>IF(tblCalculo[[#This Row],[STATUS]]="CONCLUÍDO",_xlfn.XLOOKUP(tblCalculo[[#This Row],[NR_SIMULACAO]],tblVendas[[#This Row],[NR_SIMULACAO]],tblVendas[[#This Row],[VALOR_TI]],""),0)</f>
        <v>0</v>
      </c>
      <c r="J256">
        <f>IF(tblCalculo[[#This Row],[STATUS]]="CONCLUÍDO",_xlfn.XLOOKUP(tblCalculo[[#This Row],[NR_SIMULACAO]],tblVendas[[#This Row],[NR_SIMULACAO]],tblVendas[[#This Row],[VALOR_APARELHO]],""),0)</f>
        <v>0</v>
      </c>
      <c r="K256" t="str">
        <f>IF(tblCalculo[[#This Row],[STATUS]]="NEGOCIANDO",tblCalculo[[#This Row],[VALOR_TOTAL]],"")</f>
        <v/>
      </c>
      <c r="L256" t="str">
        <f>IF(tblCalculo[[#This Row],[STATUS]]="ALÇADA",tblCalculo[[#This Row],[VALOR_TOTAL]],"")</f>
        <v/>
      </c>
      <c r="M256" t="str">
        <f>IF(tblCalculo[[#This Row],[STATUS]]="EM ANÁLISE",tblCalculo[[#This Row],[VALOR_TOTAL]],"")</f>
        <v/>
      </c>
      <c r="N256">
        <f>IF(tblCalculo[[#This Row],[STATUS]]="TRAMITANDO",tblCalculo[[#This Row],[VALOR_TOTAL]],"")</f>
        <v>3365.8100000000004</v>
      </c>
      <c r="O256" t="str">
        <f>IF(tblCalculo[[#This Row],[STATUS]]="PERDIDO",tblCalculo[[#This Row],[VALOR_TOTAL]],"")</f>
        <v/>
      </c>
      <c r="P256" t="str">
        <f>IF(tblCalculo[[#This Row],[STATUS]]="CONCLUÍDO",tblCalculo[[#This Row],[VALOR_TOTAL]],"")</f>
        <v/>
      </c>
    </row>
    <row r="257" spans="1:16" x14ac:dyDescent="0.25">
      <c r="A257" t="str">
        <f>tblVendas[[#This Row],[NR_SIMULACAO]]</f>
        <v>SIM1247</v>
      </c>
      <c r="B257" s="34" t="str">
        <f>_xlfn.XLOOKUP(A257,tblVendas[[#This Row],[NR_SIMULACAO]],tblVendas[[#This Row],[NR_CNPJ]],"")</f>
        <v>57.315.449/0001-34</v>
      </c>
      <c r="C257" t="str">
        <f>_xlfn.XLOOKUP(A257,tblVendas[[#This Row],[NR_SIMULACAO]],tblVendas[[#This Row],[STATUS]],"")</f>
        <v>PERDIDO</v>
      </c>
      <c r="D257" t="str">
        <f>_xlfn.XLOOKUP(A257,tblVendas[[#This Row],[NR_SIMULACAO]],tblVendas[[#This Row],[MES]],"")</f>
        <v>Setembro</v>
      </c>
      <c r="E257">
        <f>SUM(_xlfn.XLOOKUP(tblCalculo[[#This Row],[NR_SIMULACAO]],tblVendas[[#This Row],[NR_SIMULACAO]],tblVendas[[#This Row],[VALOR_MOVEL]],""):_xlfn.XLOOKUP(tblCalculo[[#This Row],[NR_SIMULACAO]],tblVendas[[#This Row],[NR_SIMULACAO]],tblVendas[[#This Row],[VALOR_APARELHO]],""))</f>
        <v>5568.41</v>
      </c>
      <c r="F257">
        <f>IF(tblCalculo[[#This Row],[STATUS]]="CONCLUÍDO",_xlfn.XLOOKUP(tblCalculo[[#This Row],[NR_SIMULACAO]],tblVendas[[#This Row],[NR_SIMULACAO]],tblVendas[[#This Row],[VALOR_MOVEL]],""),0)</f>
        <v>0</v>
      </c>
      <c r="G257">
        <f>IF(tblCalculo[[#This Row],[STATUS]]="CONCLUÍDO",_xlfn.XLOOKUP(tblCalculo[[#This Row],[NR_SIMULACAO]],tblVendas[[#This Row],[NR_SIMULACAO]],tblVendas[[#This Row],[VALOR_AVANCADO]],""),0)</f>
        <v>0</v>
      </c>
      <c r="H257">
        <f>IF(tblCalculo[[#This Row],[STATUS]]="CONCLUÍDO",_xlfn.XLOOKUP(tblCalculo[[#This Row],[NR_SIMULACAO]],tblVendas[[#This Row],[NR_SIMULACAO]],tblVendas[[#This Row],[VALOR_FIXABASICA]],""),0)</f>
        <v>0</v>
      </c>
      <c r="I257">
        <f>IF(tblCalculo[[#This Row],[STATUS]]="CONCLUÍDO",_xlfn.XLOOKUP(tblCalculo[[#This Row],[NR_SIMULACAO]],tblVendas[[#This Row],[NR_SIMULACAO]],tblVendas[[#This Row],[VALOR_TI]],""),0)</f>
        <v>0</v>
      </c>
      <c r="J257">
        <f>IF(tblCalculo[[#This Row],[STATUS]]="CONCLUÍDO",_xlfn.XLOOKUP(tblCalculo[[#This Row],[NR_SIMULACAO]],tblVendas[[#This Row],[NR_SIMULACAO]],tblVendas[[#This Row],[VALOR_APARELHO]],""),0)</f>
        <v>0</v>
      </c>
      <c r="K257" t="str">
        <f>IF(tblCalculo[[#This Row],[STATUS]]="NEGOCIANDO",tblCalculo[[#This Row],[VALOR_TOTAL]],"")</f>
        <v/>
      </c>
      <c r="L257" t="str">
        <f>IF(tblCalculo[[#This Row],[STATUS]]="ALÇADA",tblCalculo[[#This Row],[VALOR_TOTAL]],"")</f>
        <v/>
      </c>
      <c r="M257" t="str">
        <f>IF(tblCalculo[[#This Row],[STATUS]]="EM ANÁLISE",tblCalculo[[#This Row],[VALOR_TOTAL]],"")</f>
        <v/>
      </c>
      <c r="N257" t="str">
        <f>IF(tblCalculo[[#This Row],[STATUS]]="TRAMITANDO",tblCalculo[[#This Row],[VALOR_TOTAL]],"")</f>
        <v/>
      </c>
      <c r="O257">
        <f>IF(tblCalculo[[#This Row],[STATUS]]="PERDIDO",tblCalculo[[#This Row],[VALOR_TOTAL]],"")</f>
        <v>5568.41</v>
      </c>
      <c r="P257" t="str">
        <f>IF(tblCalculo[[#This Row],[STATUS]]="CONCLUÍDO",tblCalculo[[#This Row],[VALOR_TOTAL]],"")</f>
        <v/>
      </c>
    </row>
    <row r="258" spans="1:16" x14ac:dyDescent="0.25">
      <c r="A258" t="str">
        <f>tblVendas[[#This Row],[NR_SIMULACAO]]</f>
        <v>SIM1248</v>
      </c>
      <c r="B258" s="34" t="str">
        <f>_xlfn.XLOOKUP(A258,tblVendas[[#This Row],[NR_SIMULACAO]],tblVendas[[#This Row],[NR_CNPJ]],"")</f>
        <v>61.246.274/0001-20</v>
      </c>
      <c r="C258" t="str">
        <f>_xlfn.XLOOKUP(A258,tblVendas[[#This Row],[NR_SIMULACAO]],tblVendas[[#This Row],[STATUS]],"")</f>
        <v>NEGOCIANDO</v>
      </c>
      <c r="D258" t="str">
        <f>_xlfn.XLOOKUP(A258,tblVendas[[#This Row],[NR_SIMULACAO]],tblVendas[[#This Row],[MES]],"")</f>
        <v>Maio</v>
      </c>
      <c r="E258">
        <f>SUM(_xlfn.XLOOKUP(tblCalculo[[#This Row],[NR_SIMULACAO]],tblVendas[[#This Row],[NR_SIMULACAO]],tblVendas[[#This Row],[VALOR_MOVEL]],""):_xlfn.XLOOKUP(tblCalculo[[#This Row],[NR_SIMULACAO]],tblVendas[[#This Row],[NR_SIMULACAO]],tblVendas[[#This Row],[VALOR_APARELHO]],""))</f>
        <v>15790</v>
      </c>
      <c r="F258">
        <f>IF(tblCalculo[[#This Row],[STATUS]]="CONCLUÍDO",_xlfn.XLOOKUP(tblCalculo[[#This Row],[NR_SIMULACAO]],tblVendas[[#This Row],[NR_SIMULACAO]],tblVendas[[#This Row],[VALOR_MOVEL]],""),0)</f>
        <v>0</v>
      </c>
      <c r="G258">
        <f>IF(tblCalculo[[#This Row],[STATUS]]="CONCLUÍDO",_xlfn.XLOOKUP(tblCalculo[[#This Row],[NR_SIMULACAO]],tblVendas[[#This Row],[NR_SIMULACAO]],tblVendas[[#This Row],[VALOR_AVANCADO]],""),0)</f>
        <v>0</v>
      </c>
      <c r="H258">
        <f>IF(tblCalculo[[#This Row],[STATUS]]="CONCLUÍDO",_xlfn.XLOOKUP(tblCalculo[[#This Row],[NR_SIMULACAO]],tblVendas[[#This Row],[NR_SIMULACAO]],tblVendas[[#This Row],[VALOR_FIXABASICA]],""),0)</f>
        <v>0</v>
      </c>
      <c r="I258">
        <f>IF(tblCalculo[[#This Row],[STATUS]]="CONCLUÍDO",_xlfn.XLOOKUP(tblCalculo[[#This Row],[NR_SIMULACAO]],tblVendas[[#This Row],[NR_SIMULACAO]],tblVendas[[#This Row],[VALOR_TI]],""),0)</f>
        <v>0</v>
      </c>
      <c r="J258">
        <f>IF(tblCalculo[[#This Row],[STATUS]]="CONCLUÍDO",_xlfn.XLOOKUP(tblCalculo[[#This Row],[NR_SIMULACAO]],tblVendas[[#This Row],[NR_SIMULACAO]],tblVendas[[#This Row],[VALOR_APARELHO]],""),0)</f>
        <v>0</v>
      </c>
      <c r="K258">
        <f>IF(tblCalculo[[#This Row],[STATUS]]="NEGOCIANDO",tblCalculo[[#This Row],[VALOR_TOTAL]],"")</f>
        <v>15790</v>
      </c>
      <c r="L258" t="str">
        <f>IF(tblCalculo[[#This Row],[STATUS]]="ALÇADA",tblCalculo[[#This Row],[VALOR_TOTAL]],"")</f>
        <v/>
      </c>
      <c r="M258" t="str">
        <f>IF(tblCalculo[[#This Row],[STATUS]]="EM ANÁLISE",tblCalculo[[#This Row],[VALOR_TOTAL]],"")</f>
        <v/>
      </c>
      <c r="N258" t="str">
        <f>IF(tblCalculo[[#This Row],[STATUS]]="TRAMITANDO",tblCalculo[[#This Row],[VALOR_TOTAL]],"")</f>
        <v/>
      </c>
      <c r="O258" t="str">
        <f>IF(tblCalculo[[#This Row],[STATUS]]="PERDIDO",tblCalculo[[#This Row],[VALOR_TOTAL]],"")</f>
        <v/>
      </c>
      <c r="P258" t="str">
        <f>IF(tblCalculo[[#This Row],[STATUS]]="CONCLUÍDO",tblCalculo[[#This Row],[VALOR_TOTAL]],"")</f>
        <v/>
      </c>
    </row>
    <row r="259" spans="1:16" x14ac:dyDescent="0.25">
      <c r="A259" t="str">
        <f>tblVendas[[#This Row],[NR_SIMULACAO]]</f>
        <v>SIM1249</v>
      </c>
      <c r="B259" s="34" t="str">
        <f>_xlfn.XLOOKUP(A259,tblVendas[[#This Row],[NR_SIMULACAO]],tblVendas[[#This Row],[NR_CNPJ]],"")</f>
        <v>23.193.420/0001-80</v>
      </c>
      <c r="C259" t="str">
        <f>_xlfn.XLOOKUP(A259,tblVendas[[#This Row],[NR_SIMULACAO]],tblVendas[[#This Row],[STATUS]],"")</f>
        <v>TRAMITANDO</v>
      </c>
      <c r="D259" t="str">
        <f>_xlfn.XLOOKUP(A259,tblVendas[[#This Row],[NR_SIMULACAO]],tblVendas[[#This Row],[MES]],"")</f>
        <v>Fevereiro</v>
      </c>
      <c r="E259">
        <f>SUM(_xlfn.XLOOKUP(tblCalculo[[#This Row],[NR_SIMULACAO]],tblVendas[[#This Row],[NR_SIMULACAO]],tblVendas[[#This Row],[VALOR_MOVEL]],""):_xlfn.XLOOKUP(tblCalculo[[#This Row],[NR_SIMULACAO]],tblVendas[[#This Row],[NR_SIMULACAO]],tblVendas[[#This Row],[VALOR_APARELHO]],""))</f>
        <v>1787.31</v>
      </c>
      <c r="F259">
        <f>IF(tblCalculo[[#This Row],[STATUS]]="CONCLUÍDO",_xlfn.XLOOKUP(tblCalculo[[#This Row],[NR_SIMULACAO]],tblVendas[[#This Row],[NR_SIMULACAO]],tblVendas[[#This Row],[VALOR_MOVEL]],""),0)</f>
        <v>0</v>
      </c>
      <c r="G259">
        <f>IF(tblCalculo[[#This Row],[STATUS]]="CONCLUÍDO",_xlfn.XLOOKUP(tblCalculo[[#This Row],[NR_SIMULACAO]],tblVendas[[#This Row],[NR_SIMULACAO]],tblVendas[[#This Row],[VALOR_AVANCADO]],""),0)</f>
        <v>0</v>
      </c>
      <c r="H259">
        <f>IF(tblCalculo[[#This Row],[STATUS]]="CONCLUÍDO",_xlfn.XLOOKUP(tblCalculo[[#This Row],[NR_SIMULACAO]],tblVendas[[#This Row],[NR_SIMULACAO]],tblVendas[[#This Row],[VALOR_FIXABASICA]],""),0)</f>
        <v>0</v>
      </c>
      <c r="I259">
        <f>IF(tblCalculo[[#This Row],[STATUS]]="CONCLUÍDO",_xlfn.XLOOKUP(tblCalculo[[#This Row],[NR_SIMULACAO]],tblVendas[[#This Row],[NR_SIMULACAO]],tblVendas[[#This Row],[VALOR_TI]],""),0)</f>
        <v>0</v>
      </c>
      <c r="J259">
        <f>IF(tblCalculo[[#This Row],[STATUS]]="CONCLUÍDO",_xlfn.XLOOKUP(tblCalculo[[#This Row],[NR_SIMULACAO]],tblVendas[[#This Row],[NR_SIMULACAO]],tblVendas[[#This Row],[VALOR_APARELHO]],""),0)</f>
        <v>0</v>
      </c>
      <c r="K259" t="str">
        <f>IF(tblCalculo[[#This Row],[STATUS]]="NEGOCIANDO",tblCalculo[[#This Row],[VALOR_TOTAL]],"")</f>
        <v/>
      </c>
      <c r="L259" t="str">
        <f>IF(tblCalculo[[#This Row],[STATUS]]="ALÇADA",tblCalculo[[#This Row],[VALOR_TOTAL]],"")</f>
        <v/>
      </c>
      <c r="M259" t="str">
        <f>IF(tblCalculo[[#This Row],[STATUS]]="EM ANÁLISE",tblCalculo[[#This Row],[VALOR_TOTAL]],"")</f>
        <v/>
      </c>
      <c r="N259">
        <f>IF(tblCalculo[[#This Row],[STATUS]]="TRAMITANDO",tblCalculo[[#This Row],[VALOR_TOTAL]],"")</f>
        <v>1787.31</v>
      </c>
      <c r="O259" t="str">
        <f>IF(tblCalculo[[#This Row],[STATUS]]="PERDIDO",tblCalculo[[#This Row],[VALOR_TOTAL]],"")</f>
        <v/>
      </c>
      <c r="P259" t="str">
        <f>IF(tblCalculo[[#This Row],[STATUS]]="CONCLUÍDO",tblCalculo[[#This Row],[VALOR_TOTAL]],"")</f>
        <v/>
      </c>
    </row>
    <row r="260" spans="1:16" x14ac:dyDescent="0.25">
      <c r="A260" t="str">
        <f>tblVendas[[#This Row],[NR_SIMULACAO]]</f>
        <v>SIM1250</v>
      </c>
      <c r="B260" s="34" t="str">
        <f>_xlfn.XLOOKUP(A260,tblVendas[[#This Row],[NR_SIMULACAO]],tblVendas[[#This Row],[NR_CNPJ]],"")</f>
        <v>88.396.931/0001-58</v>
      </c>
      <c r="C260" t="str">
        <f>_xlfn.XLOOKUP(A260,tblVendas[[#This Row],[NR_SIMULACAO]],tblVendas[[#This Row],[STATUS]],"")</f>
        <v>PERDIDO</v>
      </c>
      <c r="D260" t="str">
        <f>_xlfn.XLOOKUP(A260,tblVendas[[#This Row],[NR_SIMULACAO]],tblVendas[[#This Row],[MES]],"")</f>
        <v>Janeiro</v>
      </c>
      <c r="E260">
        <f>SUM(_xlfn.XLOOKUP(tblCalculo[[#This Row],[NR_SIMULACAO]],tblVendas[[#This Row],[NR_SIMULACAO]],tblVendas[[#This Row],[VALOR_MOVEL]],""):_xlfn.XLOOKUP(tblCalculo[[#This Row],[NR_SIMULACAO]],tblVendas[[#This Row],[NR_SIMULACAO]],tblVendas[[#This Row],[VALOR_APARELHO]],""))</f>
        <v>7025.67</v>
      </c>
      <c r="F260">
        <f>IF(tblCalculo[[#This Row],[STATUS]]="CONCLUÍDO",_xlfn.XLOOKUP(tblCalculo[[#This Row],[NR_SIMULACAO]],tblVendas[[#This Row],[NR_SIMULACAO]],tblVendas[[#This Row],[VALOR_MOVEL]],""),0)</f>
        <v>0</v>
      </c>
      <c r="G260">
        <f>IF(tblCalculo[[#This Row],[STATUS]]="CONCLUÍDO",_xlfn.XLOOKUP(tblCalculo[[#This Row],[NR_SIMULACAO]],tblVendas[[#This Row],[NR_SIMULACAO]],tblVendas[[#This Row],[VALOR_AVANCADO]],""),0)</f>
        <v>0</v>
      </c>
      <c r="H260">
        <f>IF(tblCalculo[[#This Row],[STATUS]]="CONCLUÍDO",_xlfn.XLOOKUP(tblCalculo[[#This Row],[NR_SIMULACAO]],tblVendas[[#This Row],[NR_SIMULACAO]],tblVendas[[#This Row],[VALOR_FIXABASICA]],""),0)</f>
        <v>0</v>
      </c>
      <c r="I260">
        <f>IF(tblCalculo[[#This Row],[STATUS]]="CONCLUÍDO",_xlfn.XLOOKUP(tblCalculo[[#This Row],[NR_SIMULACAO]],tblVendas[[#This Row],[NR_SIMULACAO]],tblVendas[[#This Row],[VALOR_TI]],""),0)</f>
        <v>0</v>
      </c>
      <c r="J260">
        <f>IF(tblCalculo[[#This Row],[STATUS]]="CONCLUÍDO",_xlfn.XLOOKUP(tblCalculo[[#This Row],[NR_SIMULACAO]],tblVendas[[#This Row],[NR_SIMULACAO]],tblVendas[[#This Row],[VALOR_APARELHO]],""),0)</f>
        <v>0</v>
      </c>
      <c r="K260" t="str">
        <f>IF(tblCalculo[[#This Row],[STATUS]]="NEGOCIANDO",tblCalculo[[#This Row],[VALOR_TOTAL]],"")</f>
        <v/>
      </c>
      <c r="L260" t="str">
        <f>IF(tblCalculo[[#This Row],[STATUS]]="ALÇADA",tblCalculo[[#This Row],[VALOR_TOTAL]],"")</f>
        <v/>
      </c>
      <c r="M260" t="str">
        <f>IF(tblCalculo[[#This Row],[STATUS]]="EM ANÁLISE",tblCalculo[[#This Row],[VALOR_TOTAL]],"")</f>
        <v/>
      </c>
      <c r="N260" t="str">
        <f>IF(tblCalculo[[#This Row],[STATUS]]="TRAMITANDO",tblCalculo[[#This Row],[VALOR_TOTAL]],"")</f>
        <v/>
      </c>
      <c r="O260">
        <f>IF(tblCalculo[[#This Row],[STATUS]]="PERDIDO",tblCalculo[[#This Row],[VALOR_TOTAL]],"")</f>
        <v>7025.67</v>
      </c>
      <c r="P260" t="str">
        <f>IF(tblCalculo[[#This Row],[STATUS]]="CONCLUÍDO",tblCalculo[[#This Row],[VALOR_TOTAL]],"")</f>
        <v/>
      </c>
    </row>
    <row r="261" spans="1:16" x14ac:dyDescent="0.25">
      <c r="A261" t="str">
        <f>tblVendas[[#This Row],[NR_SIMULACAO]]</f>
        <v>SIM1251</v>
      </c>
      <c r="B261" s="34" t="str">
        <f>_xlfn.XLOOKUP(A261,tblVendas[[#This Row],[NR_SIMULACAO]],tblVendas[[#This Row],[NR_CNPJ]],"")</f>
        <v>57.877.483/0001-35</v>
      </c>
      <c r="C261" t="str">
        <f>_xlfn.XLOOKUP(A261,tblVendas[[#This Row],[NR_SIMULACAO]],tblVendas[[#This Row],[STATUS]],"")</f>
        <v>TRAMITANDO</v>
      </c>
      <c r="D261" t="str">
        <f>_xlfn.XLOOKUP(A261,tblVendas[[#This Row],[NR_SIMULACAO]],tblVendas[[#This Row],[MES]],"")</f>
        <v>Novembro</v>
      </c>
      <c r="E261">
        <f>SUM(_xlfn.XLOOKUP(tblCalculo[[#This Row],[NR_SIMULACAO]],tblVendas[[#This Row],[NR_SIMULACAO]],tblVendas[[#This Row],[VALOR_MOVEL]],""):_xlfn.XLOOKUP(tblCalculo[[#This Row],[NR_SIMULACAO]],tblVendas[[#This Row],[NR_SIMULACAO]],tblVendas[[#This Row],[VALOR_APARELHO]],""))</f>
        <v>2866.89</v>
      </c>
      <c r="F261">
        <f>IF(tblCalculo[[#This Row],[STATUS]]="CONCLUÍDO",_xlfn.XLOOKUP(tblCalculo[[#This Row],[NR_SIMULACAO]],tblVendas[[#This Row],[NR_SIMULACAO]],tblVendas[[#This Row],[VALOR_MOVEL]],""),0)</f>
        <v>0</v>
      </c>
      <c r="G261">
        <f>IF(tblCalculo[[#This Row],[STATUS]]="CONCLUÍDO",_xlfn.XLOOKUP(tblCalculo[[#This Row],[NR_SIMULACAO]],tblVendas[[#This Row],[NR_SIMULACAO]],tblVendas[[#This Row],[VALOR_AVANCADO]],""),0)</f>
        <v>0</v>
      </c>
      <c r="H261">
        <f>IF(tblCalculo[[#This Row],[STATUS]]="CONCLUÍDO",_xlfn.XLOOKUP(tblCalculo[[#This Row],[NR_SIMULACAO]],tblVendas[[#This Row],[NR_SIMULACAO]],tblVendas[[#This Row],[VALOR_FIXABASICA]],""),0)</f>
        <v>0</v>
      </c>
      <c r="I261">
        <f>IF(tblCalculo[[#This Row],[STATUS]]="CONCLUÍDO",_xlfn.XLOOKUP(tblCalculo[[#This Row],[NR_SIMULACAO]],tblVendas[[#This Row],[NR_SIMULACAO]],tblVendas[[#This Row],[VALOR_TI]],""),0)</f>
        <v>0</v>
      </c>
      <c r="J261">
        <f>IF(tblCalculo[[#This Row],[STATUS]]="CONCLUÍDO",_xlfn.XLOOKUP(tblCalculo[[#This Row],[NR_SIMULACAO]],tblVendas[[#This Row],[NR_SIMULACAO]],tblVendas[[#This Row],[VALOR_APARELHO]],""),0)</f>
        <v>0</v>
      </c>
      <c r="K261" t="str">
        <f>IF(tblCalculo[[#This Row],[STATUS]]="NEGOCIANDO",tblCalculo[[#This Row],[VALOR_TOTAL]],"")</f>
        <v/>
      </c>
      <c r="L261" t="str">
        <f>IF(tblCalculo[[#This Row],[STATUS]]="ALÇADA",tblCalculo[[#This Row],[VALOR_TOTAL]],"")</f>
        <v/>
      </c>
      <c r="M261" t="str">
        <f>IF(tblCalculo[[#This Row],[STATUS]]="EM ANÁLISE",tblCalculo[[#This Row],[VALOR_TOTAL]],"")</f>
        <v/>
      </c>
      <c r="N261">
        <f>IF(tblCalculo[[#This Row],[STATUS]]="TRAMITANDO",tblCalculo[[#This Row],[VALOR_TOTAL]],"")</f>
        <v>2866.89</v>
      </c>
      <c r="O261" t="str">
        <f>IF(tblCalculo[[#This Row],[STATUS]]="PERDIDO",tblCalculo[[#This Row],[VALOR_TOTAL]],"")</f>
        <v/>
      </c>
      <c r="P261" t="str">
        <f>IF(tblCalculo[[#This Row],[STATUS]]="CONCLUÍDO",tblCalculo[[#This Row],[VALOR_TOTAL]],"")</f>
        <v/>
      </c>
    </row>
    <row r="262" spans="1:16" x14ac:dyDescent="0.25">
      <c r="A262" t="str">
        <f>tblVendas[[#This Row],[NR_SIMULACAO]]</f>
        <v>SIM1252</v>
      </c>
      <c r="B262" s="34" t="str">
        <f>_xlfn.XLOOKUP(A262,tblVendas[[#This Row],[NR_SIMULACAO]],tblVendas[[#This Row],[NR_CNPJ]],"")</f>
        <v>74.587.477/0001-16</v>
      </c>
      <c r="C262" t="str">
        <f>_xlfn.XLOOKUP(A262,tblVendas[[#This Row],[NR_SIMULACAO]],tblVendas[[#This Row],[STATUS]],"")</f>
        <v>TRAMITANDO</v>
      </c>
      <c r="D262" t="str">
        <f>_xlfn.XLOOKUP(A262,tblVendas[[#This Row],[NR_SIMULACAO]],tblVendas[[#This Row],[MES]],"")</f>
        <v>Junho</v>
      </c>
      <c r="E262">
        <f>SUM(_xlfn.XLOOKUP(tblCalculo[[#This Row],[NR_SIMULACAO]],tblVendas[[#This Row],[NR_SIMULACAO]],tblVendas[[#This Row],[VALOR_MOVEL]],""):_xlfn.XLOOKUP(tblCalculo[[#This Row],[NR_SIMULACAO]],tblVendas[[#This Row],[NR_SIMULACAO]],tblVendas[[#This Row],[VALOR_APARELHO]],""))</f>
        <v>13874.119999999999</v>
      </c>
      <c r="F262">
        <f>IF(tblCalculo[[#This Row],[STATUS]]="CONCLUÍDO",_xlfn.XLOOKUP(tblCalculo[[#This Row],[NR_SIMULACAO]],tblVendas[[#This Row],[NR_SIMULACAO]],tblVendas[[#This Row],[VALOR_MOVEL]],""),0)</f>
        <v>0</v>
      </c>
      <c r="G262">
        <f>IF(tblCalculo[[#This Row],[STATUS]]="CONCLUÍDO",_xlfn.XLOOKUP(tblCalculo[[#This Row],[NR_SIMULACAO]],tblVendas[[#This Row],[NR_SIMULACAO]],tblVendas[[#This Row],[VALOR_AVANCADO]],""),0)</f>
        <v>0</v>
      </c>
      <c r="H262">
        <f>IF(tblCalculo[[#This Row],[STATUS]]="CONCLUÍDO",_xlfn.XLOOKUP(tblCalculo[[#This Row],[NR_SIMULACAO]],tblVendas[[#This Row],[NR_SIMULACAO]],tblVendas[[#This Row],[VALOR_FIXABASICA]],""),0)</f>
        <v>0</v>
      </c>
      <c r="I262">
        <f>IF(tblCalculo[[#This Row],[STATUS]]="CONCLUÍDO",_xlfn.XLOOKUP(tblCalculo[[#This Row],[NR_SIMULACAO]],tblVendas[[#This Row],[NR_SIMULACAO]],tblVendas[[#This Row],[VALOR_TI]],""),0)</f>
        <v>0</v>
      </c>
      <c r="J262">
        <f>IF(tblCalculo[[#This Row],[STATUS]]="CONCLUÍDO",_xlfn.XLOOKUP(tblCalculo[[#This Row],[NR_SIMULACAO]],tblVendas[[#This Row],[NR_SIMULACAO]],tblVendas[[#This Row],[VALOR_APARELHO]],""),0)</f>
        <v>0</v>
      </c>
      <c r="K262" t="str">
        <f>IF(tblCalculo[[#This Row],[STATUS]]="NEGOCIANDO",tblCalculo[[#This Row],[VALOR_TOTAL]],"")</f>
        <v/>
      </c>
      <c r="L262" t="str">
        <f>IF(tblCalculo[[#This Row],[STATUS]]="ALÇADA",tblCalculo[[#This Row],[VALOR_TOTAL]],"")</f>
        <v/>
      </c>
      <c r="M262" t="str">
        <f>IF(tblCalculo[[#This Row],[STATUS]]="EM ANÁLISE",tblCalculo[[#This Row],[VALOR_TOTAL]],"")</f>
        <v/>
      </c>
      <c r="N262">
        <f>IF(tblCalculo[[#This Row],[STATUS]]="TRAMITANDO",tblCalculo[[#This Row],[VALOR_TOTAL]],"")</f>
        <v>13874.119999999999</v>
      </c>
      <c r="O262" t="str">
        <f>IF(tblCalculo[[#This Row],[STATUS]]="PERDIDO",tblCalculo[[#This Row],[VALOR_TOTAL]],"")</f>
        <v/>
      </c>
      <c r="P262" t="str">
        <f>IF(tblCalculo[[#This Row],[STATUS]]="CONCLUÍDO",tblCalculo[[#This Row],[VALOR_TOTAL]],"")</f>
        <v/>
      </c>
    </row>
    <row r="263" spans="1:16" x14ac:dyDescent="0.25">
      <c r="A263" t="str">
        <f>tblVendas[[#This Row],[NR_SIMULACAO]]</f>
        <v>SIM1253</v>
      </c>
      <c r="B263" s="34" t="str">
        <f>_xlfn.XLOOKUP(A263,tblVendas[[#This Row],[NR_SIMULACAO]],tblVendas[[#This Row],[NR_CNPJ]],"")</f>
        <v>79.853.457/0001-41</v>
      </c>
      <c r="C263" t="str">
        <f>_xlfn.XLOOKUP(A263,tblVendas[[#This Row],[NR_SIMULACAO]],tblVendas[[#This Row],[STATUS]],"")</f>
        <v>NEGOCIANDO</v>
      </c>
      <c r="D263" t="str">
        <f>_xlfn.XLOOKUP(A263,tblVendas[[#This Row],[NR_SIMULACAO]],tblVendas[[#This Row],[MES]],"")</f>
        <v>Janeiro</v>
      </c>
      <c r="E263">
        <f>SUM(_xlfn.XLOOKUP(tblCalculo[[#This Row],[NR_SIMULACAO]],tblVendas[[#This Row],[NR_SIMULACAO]],tblVendas[[#This Row],[VALOR_MOVEL]],""):_xlfn.XLOOKUP(tblCalculo[[#This Row],[NR_SIMULACAO]],tblVendas[[#This Row],[NR_SIMULACAO]],tblVendas[[#This Row],[VALOR_APARELHO]],""))</f>
        <v>5982.13</v>
      </c>
      <c r="F263">
        <f>IF(tblCalculo[[#This Row],[STATUS]]="CONCLUÍDO",_xlfn.XLOOKUP(tblCalculo[[#This Row],[NR_SIMULACAO]],tblVendas[[#This Row],[NR_SIMULACAO]],tblVendas[[#This Row],[VALOR_MOVEL]],""),0)</f>
        <v>0</v>
      </c>
      <c r="G263">
        <f>IF(tblCalculo[[#This Row],[STATUS]]="CONCLUÍDO",_xlfn.XLOOKUP(tblCalculo[[#This Row],[NR_SIMULACAO]],tblVendas[[#This Row],[NR_SIMULACAO]],tblVendas[[#This Row],[VALOR_AVANCADO]],""),0)</f>
        <v>0</v>
      </c>
      <c r="H263">
        <f>IF(tblCalculo[[#This Row],[STATUS]]="CONCLUÍDO",_xlfn.XLOOKUP(tblCalculo[[#This Row],[NR_SIMULACAO]],tblVendas[[#This Row],[NR_SIMULACAO]],tblVendas[[#This Row],[VALOR_FIXABASICA]],""),0)</f>
        <v>0</v>
      </c>
      <c r="I263">
        <f>IF(tblCalculo[[#This Row],[STATUS]]="CONCLUÍDO",_xlfn.XLOOKUP(tblCalculo[[#This Row],[NR_SIMULACAO]],tblVendas[[#This Row],[NR_SIMULACAO]],tblVendas[[#This Row],[VALOR_TI]],""),0)</f>
        <v>0</v>
      </c>
      <c r="J263">
        <f>IF(tblCalculo[[#This Row],[STATUS]]="CONCLUÍDO",_xlfn.XLOOKUP(tblCalculo[[#This Row],[NR_SIMULACAO]],tblVendas[[#This Row],[NR_SIMULACAO]],tblVendas[[#This Row],[VALOR_APARELHO]],""),0)</f>
        <v>0</v>
      </c>
      <c r="K263">
        <f>IF(tblCalculo[[#This Row],[STATUS]]="NEGOCIANDO",tblCalculo[[#This Row],[VALOR_TOTAL]],"")</f>
        <v>5982.13</v>
      </c>
      <c r="L263" t="str">
        <f>IF(tblCalculo[[#This Row],[STATUS]]="ALÇADA",tblCalculo[[#This Row],[VALOR_TOTAL]],"")</f>
        <v/>
      </c>
      <c r="M263" t="str">
        <f>IF(tblCalculo[[#This Row],[STATUS]]="EM ANÁLISE",tblCalculo[[#This Row],[VALOR_TOTAL]],"")</f>
        <v/>
      </c>
      <c r="N263" t="str">
        <f>IF(tblCalculo[[#This Row],[STATUS]]="TRAMITANDO",tblCalculo[[#This Row],[VALOR_TOTAL]],"")</f>
        <v/>
      </c>
      <c r="O263" t="str">
        <f>IF(tblCalculo[[#This Row],[STATUS]]="PERDIDO",tblCalculo[[#This Row],[VALOR_TOTAL]],"")</f>
        <v/>
      </c>
      <c r="P263" t="str">
        <f>IF(tblCalculo[[#This Row],[STATUS]]="CONCLUÍDO",tblCalculo[[#This Row],[VALOR_TOTAL]],"")</f>
        <v/>
      </c>
    </row>
    <row r="264" spans="1:16" x14ac:dyDescent="0.25">
      <c r="A264" t="str">
        <f>tblVendas[[#This Row],[NR_SIMULACAO]]</f>
        <v>SIM1254</v>
      </c>
      <c r="B264" s="34" t="str">
        <f>_xlfn.XLOOKUP(A264,tblVendas[[#This Row],[NR_SIMULACAO]],tblVendas[[#This Row],[NR_CNPJ]],"")</f>
        <v>39.101.211/0001-20</v>
      </c>
      <c r="C264" t="str">
        <f>_xlfn.XLOOKUP(A264,tblVendas[[#This Row],[NR_SIMULACAO]],tblVendas[[#This Row],[STATUS]],"")</f>
        <v>TRAMITANDO</v>
      </c>
      <c r="D264" t="str">
        <f>_xlfn.XLOOKUP(A264,tblVendas[[#This Row],[NR_SIMULACAO]],tblVendas[[#This Row],[MES]],"")</f>
        <v>Janeiro</v>
      </c>
      <c r="E264">
        <f>SUM(_xlfn.XLOOKUP(tblCalculo[[#This Row],[NR_SIMULACAO]],tblVendas[[#This Row],[NR_SIMULACAO]],tblVendas[[#This Row],[VALOR_MOVEL]],""):_xlfn.XLOOKUP(tblCalculo[[#This Row],[NR_SIMULACAO]],tblVendas[[#This Row],[NR_SIMULACAO]],tblVendas[[#This Row],[VALOR_APARELHO]],""))</f>
        <v>211.38</v>
      </c>
      <c r="F264">
        <f>IF(tblCalculo[[#This Row],[STATUS]]="CONCLUÍDO",_xlfn.XLOOKUP(tblCalculo[[#This Row],[NR_SIMULACAO]],tblVendas[[#This Row],[NR_SIMULACAO]],tblVendas[[#This Row],[VALOR_MOVEL]],""),0)</f>
        <v>0</v>
      </c>
      <c r="G264">
        <f>IF(tblCalculo[[#This Row],[STATUS]]="CONCLUÍDO",_xlfn.XLOOKUP(tblCalculo[[#This Row],[NR_SIMULACAO]],tblVendas[[#This Row],[NR_SIMULACAO]],tblVendas[[#This Row],[VALOR_AVANCADO]],""),0)</f>
        <v>0</v>
      </c>
      <c r="H264">
        <f>IF(tblCalculo[[#This Row],[STATUS]]="CONCLUÍDO",_xlfn.XLOOKUP(tblCalculo[[#This Row],[NR_SIMULACAO]],tblVendas[[#This Row],[NR_SIMULACAO]],tblVendas[[#This Row],[VALOR_FIXABASICA]],""),0)</f>
        <v>0</v>
      </c>
      <c r="I264">
        <f>IF(tblCalculo[[#This Row],[STATUS]]="CONCLUÍDO",_xlfn.XLOOKUP(tblCalculo[[#This Row],[NR_SIMULACAO]],tblVendas[[#This Row],[NR_SIMULACAO]],tblVendas[[#This Row],[VALOR_TI]],""),0)</f>
        <v>0</v>
      </c>
      <c r="J264">
        <f>IF(tblCalculo[[#This Row],[STATUS]]="CONCLUÍDO",_xlfn.XLOOKUP(tblCalculo[[#This Row],[NR_SIMULACAO]],tblVendas[[#This Row],[NR_SIMULACAO]],tblVendas[[#This Row],[VALOR_APARELHO]],""),0)</f>
        <v>0</v>
      </c>
      <c r="K264" t="str">
        <f>IF(tblCalculo[[#This Row],[STATUS]]="NEGOCIANDO",tblCalculo[[#This Row],[VALOR_TOTAL]],"")</f>
        <v/>
      </c>
      <c r="L264" t="str">
        <f>IF(tblCalculo[[#This Row],[STATUS]]="ALÇADA",tblCalculo[[#This Row],[VALOR_TOTAL]],"")</f>
        <v/>
      </c>
      <c r="M264" t="str">
        <f>IF(tblCalculo[[#This Row],[STATUS]]="EM ANÁLISE",tblCalculo[[#This Row],[VALOR_TOTAL]],"")</f>
        <v/>
      </c>
      <c r="N264">
        <f>IF(tblCalculo[[#This Row],[STATUS]]="TRAMITANDO",tblCalculo[[#This Row],[VALOR_TOTAL]],"")</f>
        <v>211.38</v>
      </c>
      <c r="O264" t="str">
        <f>IF(tblCalculo[[#This Row],[STATUS]]="PERDIDO",tblCalculo[[#This Row],[VALOR_TOTAL]],"")</f>
        <v/>
      </c>
      <c r="P264" t="str">
        <f>IF(tblCalculo[[#This Row],[STATUS]]="CONCLUÍDO",tblCalculo[[#This Row],[VALOR_TOTAL]],"")</f>
        <v/>
      </c>
    </row>
    <row r="265" spans="1:16" x14ac:dyDescent="0.25">
      <c r="A265" t="str">
        <f>tblVendas[[#This Row],[NR_SIMULACAO]]</f>
        <v>SIM1255</v>
      </c>
      <c r="B265" s="34" t="str">
        <f>_xlfn.XLOOKUP(A265,tblVendas[[#This Row],[NR_SIMULACAO]],tblVendas[[#This Row],[NR_CNPJ]],"")</f>
        <v>16.498.526/0001-89</v>
      </c>
      <c r="C265" t="str">
        <f>_xlfn.XLOOKUP(A265,tblVendas[[#This Row],[NR_SIMULACAO]],tblVendas[[#This Row],[STATUS]],"")</f>
        <v>EM ANÁLISE</v>
      </c>
      <c r="D265" t="str">
        <f>_xlfn.XLOOKUP(A265,tblVendas[[#This Row],[NR_SIMULACAO]],tblVendas[[#This Row],[MES]],"")</f>
        <v>Novembro</v>
      </c>
      <c r="E265">
        <f>SUM(_xlfn.XLOOKUP(tblCalculo[[#This Row],[NR_SIMULACAO]],tblVendas[[#This Row],[NR_SIMULACAO]],tblVendas[[#This Row],[VALOR_MOVEL]],""):_xlfn.XLOOKUP(tblCalculo[[#This Row],[NR_SIMULACAO]],tblVendas[[#This Row],[NR_SIMULACAO]],tblVendas[[#This Row],[VALOR_APARELHO]],""))</f>
        <v>1947.54</v>
      </c>
      <c r="F265">
        <f>IF(tblCalculo[[#This Row],[STATUS]]="CONCLUÍDO",_xlfn.XLOOKUP(tblCalculo[[#This Row],[NR_SIMULACAO]],tblVendas[[#This Row],[NR_SIMULACAO]],tblVendas[[#This Row],[VALOR_MOVEL]],""),0)</f>
        <v>0</v>
      </c>
      <c r="G265">
        <f>IF(tblCalculo[[#This Row],[STATUS]]="CONCLUÍDO",_xlfn.XLOOKUP(tblCalculo[[#This Row],[NR_SIMULACAO]],tblVendas[[#This Row],[NR_SIMULACAO]],tblVendas[[#This Row],[VALOR_AVANCADO]],""),0)</f>
        <v>0</v>
      </c>
      <c r="H265">
        <f>IF(tblCalculo[[#This Row],[STATUS]]="CONCLUÍDO",_xlfn.XLOOKUP(tblCalculo[[#This Row],[NR_SIMULACAO]],tblVendas[[#This Row],[NR_SIMULACAO]],tblVendas[[#This Row],[VALOR_FIXABASICA]],""),0)</f>
        <v>0</v>
      </c>
      <c r="I265">
        <f>IF(tblCalculo[[#This Row],[STATUS]]="CONCLUÍDO",_xlfn.XLOOKUP(tblCalculo[[#This Row],[NR_SIMULACAO]],tblVendas[[#This Row],[NR_SIMULACAO]],tblVendas[[#This Row],[VALOR_TI]],""),0)</f>
        <v>0</v>
      </c>
      <c r="J265">
        <f>IF(tblCalculo[[#This Row],[STATUS]]="CONCLUÍDO",_xlfn.XLOOKUP(tblCalculo[[#This Row],[NR_SIMULACAO]],tblVendas[[#This Row],[NR_SIMULACAO]],tblVendas[[#This Row],[VALOR_APARELHO]],""),0)</f>
        <v>0</v>
      </c>
      <c r="K265" t="str">
        <f>IF(tblCalculo[[#This Row],[STATUS]]="NEGOCIANDO",tblCalculo[[#This Row],[VALOR_TOTAL]],"")</f>
        <v/>
      </c>
      <c r="L265" t="str">
        <f>IF(tblCalculo[[#This Row],[STATUS]]="ALÇADA",tblCalculo[[#This Row],[VALOR_TOTAL]],"")</f>
        <v/>
      </c>
      <c r="M265">
        <f>IF(tblCalculo[[#This Row],[STATUS]]="EM ANÁLISE",tblCalculo[[#This Row],[VALOR_TOTAL]],"")</f>
        <v>1947.54</v>
      </c>
      <c r="N265" t="str">
        <f>IF(tblCalculo[[#This Row],[STATUS]]="TRAMITANDO",tblCalculo[[#This Row],[VALOR_TOTAL]],"")</f>
        <v/>
      </c>
      <c r="O265" t="str">
        <f>IF(tblCalculo[[#This Row],[STATUS]]="PERDIDO",tblCalculo[[#This Row],[VALOR_TOTAL]],"")</f>
        <v/>
      </c>
      <c r="P265" t="str">
        <f>IF(tblCalculo[[#This Row],[STATUS]]="CONCLUÍDO",tblCalculo[[#This Row],[VALOR_TOTAL]],"")</f>
        <v/>
      </c>
    </row>
    <row r="266" spans="1:16" x14ac:dyDescent="0.25">
      <c r="A266" t="str">
        <f>tblVendas[[#This Row],[NR_SIMULACAO]]</f>
        <v>SIM1256</v>
      </c>
      <c r="B266" s="34" t="str">
        <f>_xlfn.XLOOKUP(A266,tblVendas[[#This Row],[NR_SIMULACAO]],tblVendas[[#This Row],[NR_CNPJ]],"")</f>
        <v>58.706.214/0001-92</v>
      </c>
      <c r="C266" t="str">
        <f>_xlfn.XLOOKUP(A266,tblVendas[[#This Row],[NR_SIMULACAO]],tblVendas[[#This Row],[STATUS]],"")</f>
        <v>PERDIDO</v>
      </c>
      <c r="D266" t="str">
        <f>_xlfn.XLOOKUP(A266,tblVendas[[#This Row],[NR_SIMULACAO]],tblVendas[[#This Row],[MES]],"")</f>
        <v>Outubro</v>
      </c>
      <c r="E266">
        <f>SUM(_xlfn.XLOOKUP(tblCalculo[[#This Row],[NR_SIMULACAO]],tblVendas[[#This Row],[NR_SIMULACAO]],tblVendas[[#This Row],[VALOR_MOVEL]],""):_xlfn.XLOOKUP(tblCalculo[[#This Row],[NR_SIMULACAO]],tblVendas[[#This Row],[NR_SIMULACAO]],tblVendas[[#This Row],[VALOR_APARELHO]],""))</f>
        <v>12292.83</v>
      </c>
      <c r="F266">
        <f>IF(tblCalculo[[#This Row],[STATUS]]="CONCLUÍDO",_xlfn.XLOOKUP(tblCalculo[[#This Row],[NR_SIMULACAO]],tblVendas[[#This Row],[NR_SIMULACAO]],tblVendas[[#This Row],[VALOR_MOVEL]],""),0)</f>
        <v>0</v>
      </c>
      <c r="G266">
        <f>IF(tblCalculo[[#This Row],[STATUS]]="CONCLUÍDO",_xlfn.XLOOKUP(tblCalculo[[#This Row],[NR_SIMULACAO]],tblVendas[[#This Row],[NR_SIMULACAO]],tblVendas[[#This Row],[VALOR_AVANCADO]],""),0)</f>
        <v>0</v>
      </c>
      <c r="H266">
        <f>IF(tblCalculo[[#This Row],[STATUS]]="CONCLUÍDO",_xlfn.XLOOKUP(tblCalculo[[#This Row],[NR_SIMULACAO]],tblVendas[[#This Row],[NR_SIMULACAO]],tblVendas[[#This Row],[VALOR_FIXABASICA]],""),0)</f>
        <v>0</v>
      </c>
      <c r="I266">
        <f>IF(tblCalculo[[#This Row],[STATUS]]="CONCLUÍDO",_xlfn.XLOOKUP(tblCalculo[[#This Row],[NR_SIMULACAO]],tblVendas[[#This Row],[NR_SIMULACAO]],tblVendas[[#This Row],[VALOR_TI]],""),0)</f>
        <v>0</v>
      </c>
      <c r="J266">
        <f>IF(tblCalculo[[#This Row],[STATUS]]="CONCLUÍDO",_xlfn.XLOOKUP(tblCalculo[[#This Row],[NR_SIMULACAO]],tblVendas[[#This Row],[NR_SIMULACAO]],tblVendas[[#This Row],[VALOR_APARELHO]],""),0)</f>
        <v>0</v>
      </c>
      <c r="K266" t="str">
        <f>IF(tblCalculo[[#This Row],[STATUS]]="NEGOCIANDO",tblCalculo[[#This Row],[VALOR_TOTAL]],"")</f>
        <v/>
      </c>
      <c r="L266" t="str">
        <f>IF(tblCalculo[[#This Row],[STATUS]]="ALÇADA",tblCalculo[[#This Row],[VALOR_TOTAL]],"")</f>
        <v/>
      </c>
      <c r="M266" t="str">
        <f>IF(tblCalculo[[#This Row],[STATUS]]="EM ANÁLISE",tblCalculo[[#This Row],[VALOR_TOTAL]],"")</f>
        <v/>
      </c>
      <c r="N266" t="str">
        <f>IF(tblCalculo[[#This Row],[STATUS]]="TRAMITANDO",tblCalculo[[#This Row],[VALOR_TOTAL]],"")</f>
        <v/>
      </c>
      <c r="O266">
        <f>IF(tblCalculo[[#This Row],[STATUS]]="PERDIDO",tblCalculo[[#This Row],[VALOR_TOTAL]],"")</f>
        <v>12292.83</v>
      </c>
      <c r="P266" t="str">
        <f>IF(tblCalculo[[#This Row],[STATUS]]="CONCLUÍDO",tblCalculo[[#This Row],[VALOR_TOTAL]],"")</f>
        <v/>
      </c>
    </row>
    <row r="267" spans="1:16" x14ac:dyDescent="0.25">
      <c r="A267" t="str">
        <f>tblVendas[[#This Row],[NR_SIMULACAO]]</f>
        <v>SIM1257</v>
      </c>
      <c r="B267" s="34" t="str">
        <f>_xlfn.XLOOKUP(A267,tblVendas[[#This Row],[NR_SIMULACAO]],tblVendas[[#This Row],[NR_CNPJ]],"")</f>
        <v>76.835.737/0001-23</v>
      </c>
      <c r="C267" t="str">
        <f>_xlfn.XLOOKUP(A267,tblVendas[[#This Row],[NR_SIMULACAO]],tblVendas[[#This Row],[STATUS]],"")</f>
        <v>EM ANÁLISE</v>
      </c>
      <c r="D267" t="str">
        <f>_xlfn.XLOOKUP(A267,tblVendas[[#This Row],[NR_SIMULACAO]],tblVendas[[#This Row],[MES]],"")</f>
        <v>Junho</v>
      </c>
      <c r="E267">
        <f>SUM(_xlfn.XLOOKUP(tblCalculo[[#This Row],[NR_SIMULACAO]],tblVendas[[#This Row],[NR_SIMULACAO]],tblVendas[[#This Row],[VALOR_MOVEL]],""):_xlfn.XLOOKUP(tblCalculo[[#This Row],[NR_SIMULACAO]],tblVendas[[#This Row],[NR_SIMULACAO]],tblVendas[[#This Row],[VALOR_APARELHO]],""))</f>
        <v>3660.87</v>
      </c>
      <c r="F267">
        <f>IF(tblCalculo[[#This Row],[STATUS]]="CONCLUÍDO",_xlfn.XLOOKUP(tblCalculo[[#This Row],[NR_SIMULACAO]],tblVendas[[#This Row],[NR_SIMULACAO]],tblVendas[[#This Row],[VALOR_MOVEL]],""),0)</f>
        <v>0</v>
      </c>
      <c r="G267">
        <f>IF(tblCalculo[[#This Row],[STATUS]]="CONCLUÍDO",_xlfn.XLOOKUP(tblCalculo[[#This Row],[NR_SIMULACAO]],tblVendas[[#This Row],[NR_SIMULACAO]],tblVendas[[#This Row],[VALOR_AVANCADO]],""),0)</f>
        <v>0</v>
      </c>
      <c r="H267">
        <f>IF(tblCalculo[[#This Row],[STATUS]]="CONCLUÍDO",_xlfn.XLOOKUP(tblCalculo[[#This Row],[NR_SIMULACAO]],tblVendas[[#This Row],[NR_SIMULACAO]],tblVendas[[#This Row],[VALOR_FIXABASICA]],""),0)</f>
        <v>0</v>
      </c>
      <c r="I267">
        <f>IF(tblCalculo[[#This Row],[STATUS]]="CONCLUÍDO",_xlfn.XLOOKUP(tblCalculo[[#This Row],[NR_SIMULACAO]],tblVendas[[#This Row],[NR_SIMULACAO]],tblVendas[[#This Row],[VALOR_TI]],""),0)</f>
        <v>0</v>
      </c>
      <c r="J267">
        <f>IF(tblCalculo[[#This Row],[STATUS]]="CONCLUÍDO",_xlfn.XLOOKUP(tblCalculo[[#This Row],[NR_SIMULACAO]],tblVendas[[#This Row],[NR_SIMULACAO]],tblVendas[[#This Row],[VALOR_APARELHO]],""),0)</f>
        <v>0</v>
      </c>
      <c r="K267" t="str">
        <f>IF(tblCalculo[[#This Row],[STATUS]]="NEGOCIANDO",tblCalculo[[#This Row],[VALOR_TOTAL]],"")</f>
        <v/>
      </c>
      <c r="L267" t="str">
        <f>IF(tblCalculo[[#This Row],[STATUS]]="ALÇADA",tblCalculo[[#This Row],[VALOR_TOTAL]],"")</f>
        <v/>
      </c>
      <c r="M267">
        <f>IF(tblCalculo[[#This Row],[STATUS]]="EM ANÁLISE",tblCalculo[[#This Row],[VALOR_TOTAL]],"")</f>
        <v>3660.87</v>
      </c>
      <c r="N267" t="str">
        <f>IF(tblCalculo[[#This Row],[STATUS]]="TRAMITANDO",tblCalculo[[#This Row],[VALOR_TOTAL]],"")</f>
        <v/>
      </c>
      <c r="O267" t="str">
        <f>IF(tblCalculo[[#This Row],[STATUS]]="PERDIDO",tblCalculo[[#This Row],[VALOR_TOTAL]],"")</f>
        <v/>
      </c>
      <c r="P267" t="str">
        <f>IF(tblCalculo[[#This Row],[STATUS]]="CONCLUÍDO",tblCalculo[[#This Row],[VALOR_TOTAL]],"")</f>
        <v/>
      </c>
    </row>
    <row r="268" spans="1:16" x14ac:dyDescent="0.25">
      <c r="A268" t="str">
        <f>tblVendas[[#This Row],[NR_SIMULACAO]]</f>
        <v>SIM1258</v>
      </c>
      <c r="B268" s="34" t="str">
        <f>_xlfn.XLOOKUP(A268,tblVendas[[#This Row],[NR_SIMULACAO]],tblVendas[[#This Row],[NR_CNPJ]],"")</f>
        <v>23.384.363/0001-35</v>
      </c>
      <c r="C268" t="str">
        <f>_xlfn.XLOOKUP(A268,tblVendas[[#This Row],[NR_SIMULACAO]],tblVendas[[#This Row],[STATUS]],"")</f>
        <v>CONCLUÍDO</v>
      </c>
      <c r="D268" t="str">
        <f>_xlfn.XLOOKUP(A268,tblVendas[[#This Row],[NR_SIMULACAO]],tblVendas[[#This Row],[MES]],"")</f>
        <v>Julho</v>
      </c>
      <c r="E268">
        <f>SUM(_xlfn.XLOOKUP(tblCalculo[[#This Row],[NR_SIMULACAO]],tblVendas[[#This Row],[NR_SIMULACAO]],tblVendas[[#This Row],[VALOR_MOVEL]],""):_xlfn.XLOOKUP(tblCalculo[[#This Row],[NR_SIMULACAO]],tblVendas[[#This Row],[NR_SIMULACAO]],tblVendas[[#This Row],[VALOR_APARELHO]],""))</f>
        <v>3202.41</v>
      </c>
      <c r="F268">
        <f>IF(tblCalculo[[#This Row],[STATUS]]="CONCLUÍDO",_xlfn.XLOOKUP(tblCalculo[[#This Row],[NR_SIMULACAO]],tblVendas[[#This Row],[NR_SIMULACAO]],tblVendas[[#This Row],[VALOR_MOVEL]],""),0)</f>
        <v>245.62</v>
      </c>
      <c r="G268">
        <f>IF(tblCalculo[[#This Row],[STATUS]]="CONCLUÍDO",_xlfn.XLOOKUP(tblCalculo[[#This Row],[NR_SIMULACAO]],tblVendas[[#This Row],[NR_SIMULACAO]],tblVendas[[#This Row],[VALOR_AVANCADO]],""),0)</f>
        <v>2956.79</v>
      </c>
      <c r="H268">
        <f>IF(tblCalculo[[#This Row],[STATUS]]="CONCLUÍDO",_xlfn.XLOOKUP(tblCalculo[[#This Row],[NR_SIMULACAO]],tblVendas[[#This Row],[NR_SIMULACAO]],tblVendas[[#This Row],[VALOR_FIXABASICA]],""),0)</f>
        <v>0</v>
      </c>
      <c r="I268">
        <f>IF(tblCalculo[[#This Row],[STATUS]]="CONCLUÍDO",_xlfn.XLOOKUP(tblCalculo[[#This Row],[NR_SIMULACAO]],tblVendas[[#This Row],[NR_SIMULACAO]],tblVendas[[#This Row],[VALOR_TI]],""),0)</f>
        <v>0</v>
      </c>
      <c r="J268">
        <f>IF(tblCalculo[[#This Row],[STATUS]]="CONCLUÍDO",_xlfn.XLOOKUP(tblCalculo[[#This Row],[NR_SIMULACAO]],tblVendas[[#This Row],[NR_SIMULACAO]],tblVendas[[#This Row],[VALOR_APARELHO]],""),0)</f>
        <v>0</v>
      </c>
      <c r="K268" t="str">
        <f>IF(tblCalculo[[#This Row],[STATUS]]="NEGOCIANDO",tblCalculo[[#This Row],[VALOR_TOTAL]],"")</f>
        <v/>
      </c>
      <c r="L268" t="str">
        <f>IF(tblCalculo[[#This Row],[STATUS]]="ALÇADA",tblCalculo[[#This Row],[VALOR_TOTAL]],"")</f>
        <v/>
      </c>
      <c r="M268" t="str">
        <f>IF(tblCalculo[[#This Row],[STATUS]]="EM ANÁLISE",tblCalculo[[#This Row],[VALOR_TOTAL]],"")</f>
        <v/>
      </c>
      <c r="N268" t="str">
        <f>IF(tblCalculo[[#This Row],[STATUS]]="TRAMITANDO",tblCalculo[[#This Row],[VALOR_TOTAL]],"")</f>
        <v/>
      </c>
      <c r="O268" t="str">
        <f>IF(tblCalculo[[#This Row],[STATUS]]="PERDIDO",tblCalculo[[#This Row],[VALOR_TOTAL]],"")</f>
        <v/>
      </c>
      <c r="P268">
        <f>IF(tblCalculo[[#This Row],[STATUS]]="CONCLUÍDO",tblCalculo[[#This Row],[VALOR_TOTAL]],"")</f>
        <v>3202.41</v>
      </c>
    </row>
    <row r="269" spans="1:16" x14ac:dyDescent="0.25">
      <c r="A269" t="str">
        <f>tblVendas[[#This Row],[NR_SIMULACAO]]</f>
        <v>SIM1259</v>
      </c>
      <c r="B269" s="34" t="str">
        <f>_xlfn.XLOOKUP(A269,tblVendas[[#This Row],[NR_SIMULACAO]],tblVendas[[#This Row],[NR_CNPJ]],"")</f>
        <v>19.912.650/0001-27</v>
      </c>
      <c r="C269" t="str">
        <f>_xlfn.XLOOKUP(A269,tblVendas[[#This Row],[NR_SIMULACAO]],tblVendas[[#This Row],[STATUS]],"")</f>
        <v>ALÇADA</v>
      </c>
      <c r="D269" t="str">
        <f>_xlfn.XLOOKUP(A269,tblVendas[[#This Row],[NR_SIMULACAO]],tblVendas[[#This Row],[MES]],"")</f>
        <v>Setembro</v>
      </c>
      <c r="E269">
        <f>SUM(_xlfn.XLOOKUP(tblCalculo[[#This Row],[NR_SIMULACAO]],tblVendas[[#This Row],[NR_SIMULACAO]],tblVendas[[#This Row],[VALOR_MOVEL]],""):_xlfn.XLOOKUP(tblCalculo[[#This Row],[NR_SIMULACAO]],tblVendas[[#This Row],[NR_SIMULACAO]],tblVendas[[#This Row],[VALOR_APARELHO]],""))</f>
        <v>9667.8200000000015</v>
      </c>
      <c r="F269">
        <f>IF(tblCalculo[[#This Row],[STATUS]]="CONCLUÍDO",_xlfn.XLOOKUP(tblCalculo[[#This Row],[NR_SIMULACAO]],tblVendas[[#This Row],[NR_SIMULACAO]],tblVendas[[#This Row],[VALOR_MOVEL]],""),0)</f>
        <v>0</v>
      </c>
      <c r="G269">
        <f>IF(tblCalculo[[#This Row],[STATUS]]="CONCLUÍDO",_xlfn.XLOOKUP(tblCalculo[[#This Row],[NR_SIMULACAO]],tblVendas[[#This Row],[NR_SIMULACAO]],tblVendas[[#This Row],[VALOR_AVANCADO]],""),0)</f>
        <v>0</v>
      </c>
      <c r="H269">
        <f>IF(tblCalculo[[#This Row],[STATUS]]="CONCLUÍDO",_xlfn.XLOOKUP(tblCalculo[[#This Row],[NR_SIMULACAO]],tblVendas[[#This Row],[NR_SIMULACAO]],tblVendas[[#This Row],[VALOR_FIXABASICA]],""),0)</f>
        <v>0</v>
      </c>
      <c r="I269">
        <f>IF(tblCalculo[[#This Row],[STATUS]]="CONCLUÍDO",_xlfn.XLOOKUP(tblCalculo[[#This Row],[NR_SIMULACAO]],tblVendas[[#This Row],[NR_SIMULACAO]],tblVendas[[#This Row],[VALOR_TI]],""),0)</f>
        <v>0</v>
      </c>
      <c r="J269">
        <f>IF(tblCalculo[[#This Row],[STATUS]]="CONCLUÍDO",_xlfn.XLOOKUP(tblCalculo[[#This Row],[NR_SIMULACAO]],tblVendas[[#This Row],[NR_SIMULACAO]],tblVendas[[#This Row],[VALOR_APARELHO]],""),0)</f>
        <v>0</v>
      </c>
      <c r="K269" t="str">
        <f>IF(tblCalculo[[#This Row],[STATUS]]="NEGOCIANDO",tblCalculo[[#This Row],[VALOR_TOTAL]],"")</f>
        <v/>
      </c>
      <c r="L269">
        <f>IF(tblCalculo[[#This Row],[STATUS]]="ALÇADA",tblCalculo[[#This Row],[VALOR_TOTAL]],"")</f>
        <v>9667.8200000000015</v>
      </c>
      <c r="M269" t="str">
        <f>IF(tblCalculo[[#This Row],[STATUS]]="EM ANÁLISE",tblCalculo[[#This Row],[VALOR_TOTAL]],"")</f>
        <v/>
      </c>
      <c r="N269" t="str">
        <f>IF(tblCalculo[[#This Row],[STATUS]]="TRAMITANDO",tblCalculo[[#This Row],[VALOR_TOTAL]],"")</f>
        <v/>
      </c>
      <c r="O269" t="str">
        <f>IF(tblCalculo[[#This Row],[STATUS]]="PERDIDO",tblCalculo[[#This Row],[VALOR_TOTAL]],"")</f>
        <v/>
      </c>
      <c r="P269" t="str">
        <f>IF(tblCalculo[[#This Row],[STATUS]]="CONCLUÍDO",tblCalculo[[#This Row],[VALOR_TOTAL]],"")</f>
        <v/>
      </c>
    </row>
    <row r="270" spans="1:16" x14ac:dyDescent="0.25">
      <c r="A270" t="str">
        <f>tblVendas[[#This Row],[NR_SIMULACAO]]</f>
        <v>SIM1260</v>
      </c>
      <c r="B270" s="34" t="str">
        <f>_xlfn.XLOOKUP(A270,tblVendas[[#This Row],[NR_SIMULACAO]],tblVendas[[#This Row],[NR_CNPJ]],"")</f>
        <v>95.842.539/0001-65</v>
      </c>
      <c r="C270" t="str">
        <f>_xlfn.XLOOKUP(A270,tblVendas[[#This Row],[NR_SIMULACAO]],tblVendas[[#This Row],[STATUS]],"")</f>
        <v>EM ANÁLISE</v>
      </c>
      <c r="D270" t="str">
        <f>_xlfn.XLOOKUP(A270,tblVendas[[#This Row],[NR_SIMULACAO]],tblVendas[[#This Row],[MES]],"")</f>
        <v>Maio</v>
      </c>
      <c r="E270">
        <f>SUM(_xlfn.XLOOKUP(tblCalculo[[#This Row],[NR_SIMULACAO]],tblVendas[[#This Row],[NR_SIMULACAO]],tblVendas[[#This Row],[VALOR_MOVEL]],""):_xlfn.XLOOKUP(tblCalculo[[#This Row],[NR_SIMULACAO]],tblVendas[[#This Row],[NR_SIMULACAO]],tblVendas[[#This Row],[VALOR_APARELHO]],""))</f>
        <v>1761.65</v>
      </c>
      <c r="F270">
        <f>IF(tblCalculo[[#This Row],[STATUS]]="CONCLUÍDO",_xlfn.XLOOKUP(tblCalculo[[#This Row],[NR_SIMULACAO]],tblVendas[[#This Row],[NR_SIMULACAO]],tblVendas[[#This Row],[VALOR_MOVEL]],""),0)</f>
        <v>0</v>
      </c>
      <c r="G270">
        <f>IF(tblCalculo[[#This Row],[STATUS]]="CONCLUÍDO",_xlfn.XLOOKUP(tblCalculo[[#This Row],[NR_SIMULACAO]],tblVendas[[#This Row],[NR_SIMULACAO]],tblVendas[[#This Row],[VALOR_AVANCADO]],""),0)</f>
        <v>0</v>
      </c>
      <c r="H270">
        <f>IF(tblCalculo[[#This Row],[STATUS]]="CONCLUÍDO",_xlfn.XLOOKUP(tblCalculo[[#This Row],[NR_SIMULACAO]],tblVendas[[#This Row],[NR_SIMULACAO]],tblVendas[[#This Row],[VALOR_FIXABASICA]],""),0)</f>
        <v>0</v>
      </c>
      <c r="I270">
        <f>IF(tblCalculo[[#This Row],[STATUS]]="CONCLUÍDO",_xlfn.XLOOKUP(tblCalculo[[#This Row],[NR_SIMULACAO]],tblVendas[[#This Row],[NR_SIMULACAO]],tblVendas[[#This Row],[VALOR_TI]],""),0)</f>
        <v>0</v>
      </c>
      <c r="J270">
        <f>IF(tblCalculo[[#This Row],[STATUS]]="CONCLUÍDO",_xlfn.XLOOKUP(tblCalculo[[#This Row],[NR_SIMULACAO]],tblVendas[[#This Row],[NR_SIMULACAO]],tblVendas[[#This Row],[VALOR_APARELHO]],""),0)</f>
        <v>0</v>
      </c>
      <c r="K270" t="str">
        <f>IF(tblCalculo[[#This Row],[STATUS]]="NEGOCIANDO",tblCalculo[[#This Row],[VALOR_TOTAL]],"")</f>
        <v/>
      </c>
      <c r="L270" t="str">
        <f>IF(tblCalculo[[#This Row],[STATUS]]="ALÇADA",tblCalculo[[#This Row],[VALOR_TOTAL]],"")</f>
        <v/>
      </c>
      <c r="M270">
        <f>IF(tblCalculo[[#This Row],[STATUS]]="EM ANÁLISE",tblCalculo[[#This Row],[VALOR_TOTAL]],"")</f>
        <v>1761.65</v>
      </c>
      <c r="N270" t="str">
        <f>IF(tblCalculo[[#This Row],[STATUS]]="TRAMITANDO",tblCalculo[[#This Row],[VALOR_TOTAL]],"")</f>
        <v/>
      </c>
      <c r="O270" t="str">
        <f>IF(tblCalculo[[#This Row],[STATUS]]="PERDIDO",tblCalculo[[#This Row],[VALOR_TOTAL]],"")</f>
        <v/>
      </c>
      <c r="P270" t="str">
        <f>IF(tblCalculo[[#This Row],[STATUS]]="CONCLUÍDO",tblCalculo[[#This Row],[VALOR_TOTAL]],"")</f>
        <v/>
      </c>
    </row>
    <row r="271" spans="1:16" x14ac:dyDescent="0.25">
      <c r="A271" t="str">
        <f>tblVendas[[#This Row],[NR_SIMULACAO]]</f>
        <v>SIM1261</v>
      </c>
      <c r="B271" s="34" t="str">
        <f>_xlfn.XLOOKUP(A271,tblVendas[[#This Row],[NR_SIMULACAO]],tblVendas[[#This Row],[NR_CNPJ]],"")</f>
        <v>80.201.950/0001-62</v>
      </c>
      <c r="C271" t="str">
        <f>_xlfn.XLOOKUP(A271,tblVendas[[#This Row],[NR_SIMULACAO]],tblVendas[[#This Row],[STATUS]],"")</f>
        <v>ALÇADA</v>
      </c>
      <c r="D271" t="str">
        <f>_xlfn.XLOOKUP(A271,tblVendas[[#This Row],[NR_SIMULACAO]],tblVendas[[#This Row],[MES]],"")</f>
        <v>Maio</v>
      </c>
      <c r="E271">
        <f>SUM(_xlfn.XLOOKUP(tblCalculo[[#This Row],[NR_SIMULACAO]],tblVendas[[#This Row],[NR_SIMULACAO]],tblVendas[[#This Row],[VALOR_MOVEL]],""):_xlfn.XLOOKUP(tblCalculo[[#This Row],[NR_SIMULACAO]],tblVendas[[#This Row],[NR_SIMULACAO]],tblVendas[[#This Row],[VALOR_APARELHO]],""))</f>
        <v>4263.6400000000003</v>
      </c>
      <c r="F271">
        <f>IF(tblCalculo[[#This Row],[STATUS]]="CONCLUÍDO",_xlfn.XLOOKUP(tblCalculo[[#This Row],[NR_SIMULACAO]],tblVendas[[#This Row],[NR_SIMULACAO]],tblVendas[[#This Row],[VALOR_MOVEL]],""),0)</f>
        <v>0</v>
      </c>
      <c r="G271">
        <f>IF(tblCalculo[[#This Row],[STATUS]]="CONCLUÍDO",_xlfn.XLOOKUP(tblCalculo[[#This Row],[NR_SIMULACAO]],tblVendas[[#This Row],[NR_SIMULACAO]],tblVendas[[#This Row],[VALOR_AVANCADO]],""),0)</f>
        <v>0</v>
      </c>
      <c r="H271">
        <f>IF(tblCalculo[[#This Row],[STATUS]]="CONCLUÍDO",_xlfn.XLOOKUP(tblCalculo[[#This Row],[NR_SIMULACAO]],tblVendas[[#This Row],[NR_SIMULACAO]],tblVendas[[#This Row],[VALOR_FIXABASICA]],""),0)</f>
        <v>0</v>
      </c>
      <c r="I271">
        <f>IF(tblCalculo[[#This Row],[STATUS]]="CONCLUÍDO",_xlfn.XLOOKUP(tblCalculo[[#This Row],[NR_SIMULACAO]],tblVendas[[#This Row],[NR_SIMULACAO]],tblVendas[[#This Row],[VALOR_TI]],""),0)</f>
        <v>0</v>
      </c>
      <c r="J271">
        <f>IF(tblCalculo[[#This Row],[STATUS]]="CONCLUÍDO",_xlfn.XLOOKUP(tblCalculo[[#This Row],[NR_SIMULACAO]],tblVendas[[#This Row],[NR_SIMULACAO]],tblVendas[[#This Row],[VALOR_APARELHO]],""),0)</f>
        <v>0</v>
      </c>
      <c r="K271" t="str">
        <f>IF(tblCalculo[[#This Row],[STATUS]]="NEGOCIANDO",tblCalculo[[#This Row],[VALOR_TOTAL]],"")</f>
        <v/>
      </c>
      <c r="L271">
        <f>IF(tblCalculo[[#This Row],[STATUS]]="ALÇADA",tblCalculo[[#This Row],[VALOR_TOTAL]],"")</f>
        <v>4263.6400000000003</v>
      </c>
      <c r="M271" t="str">
        <f>IF(tblCalculo[[#This Row],[STATUS]]="EM ANÁLISE",tblCalculo[[#This Row],[VALOR_TOTAL]],"")</f>
        <v/>
      </c>
      <c r="N271" t="str">
        <f>IF(tblCalculo[[#This Row],[STATUS]]="TRAMITANDO",tblCalculo[[#This Row],[VALOR_TOTAL]],"")</f>
        <v/>
      </c>
      <c r="O271" t="str">
        <f>IF(tblCalculo[[#This Row],[STATUS]]="PERDIDO",tblCalculo[[#This Row],[VALOR_TOTAL]],"")</f>
        <v/>
      </c>
      <c r="P271" t="str">
        <f>IF(tblCalculo[[#This Row],[STATUS]]="CONCLUÍDO",tblCalculo[[#This Row],[VALOR_TOTAL]],"")</f>
        <v/>
      </c>
    </row>
    <row r="272" spans="1:16" x14ac:dyDescent="0.25">
      <c r="A272" t="str">
        <f>tblVendas[[#This Row],[NR_SIMULACAO]]</f>
        <v>SIM1262</v>
      </c>
      <c r="B272" s="34" t="str">
        <f>_xlfn.XLOOKUP(A272,tblVendas[[#This Row],[NR_SIMULACAO]],tblVendas[[#This Row],[NR_CNPJ]],"")</f>
        <v>69.913.810/0001-12</v>
      </c>
      <c r="C272" t="str">
        <f>_xlfn.XLOOKUP(A272,tblVendas[[#This Row],[NR_SIMULACAO]],tblVendas[[#This Row],[STATUS]],"")</f>
        <v>CONCLUÍDO</v>
      </c>
      <c r="D272" t="str">
        <f>_xlfn.XLOOKUP(A272,tblVendas[[#This Row],[NR_SIMULACAO]],tblVendas[[#This Row],[MES]],"")</f>
        <v>Fevereiro</v>
      </c>
      <c r="E272">
        <f>SUM(_xlfn.XLOOKUP(tblCalculo[[#This Row],[NR_SIMULACAO]],tblVendas[[#This Row],[NR_SIMULACAO]],tblVendas[[#This Row],[VALOR_MOVEL]],""):_xlfn.XLOOKUP(tblCalculo[[#This Row],[NR_SIMULACAO]],tblVendas[[#This Row],[NR_SIMULACAO]],tblVendas[[#This Row],[VALOR_APARELHO]],""))</f>
        <v>13902.36</v>
      </c>
      <c r="F272">
        <f>IF(tblCalculo[[#This Row],[STATUS]]="CONCLUÍDO",_xlfn.XLOOKUP(tblCalculo[[#This Row],[NR_SIMULACAO]],tblVendas[[#This Row],[NR_SIMULACAO]],tblVendas[[#This Row],[VALOR_MOVEL]],""),0)</f>
        <v>7172.52</v>
      </c>
      <c r="G272">
        <f>IF(tblCalculo[[#This Row],[STATUS]]="CONCLUÍDO",_xlfn.XLOOKUP(tblCalculo[[#This Row],[NR_SIMULACAO]],tblVendas[[#This Row],[NR_SIMULACAO]],tblVendas[[#This Row],[VALOR_AVANCADO]],""),0)</f>
        <v>0</v>
      </c>
      <c r="H272">
        <f>IF(tblCalculo[[#This Row],[STATUS]]="CONCLUÍDO",_xlfn.XLOOKUP(tblCalculo[[#This Row],[NR_SIMULACAO]],tblVendas[[#This Row],[NR_SIMULACAO]],tblVendas[[#This Row],[VALOR_FIXABASICA]],""),0)</f>
        <v>0</v>
      </c>
      <c r="I272">
        <f>IF(tblCalculo[[#This Row],[STATUS]]="CONCLUÍDO",_xlfn.XLOOKUP(tblCalculo[[#This Row],[NR_SIMULACAO]],tblVendas[[#This Row],[NR_SIMULACAO]],tblVendas[[#This Row],[VALOR_TI]],""),0)</f>
        <v>6729.84</v>
      </c>
      <c r="J272">
        <f>IF(tblCalculo[[#This Row],[STATUS]]="CONCLUÍDO",_xlfn.XLOOKUP(tblCalculo[[#This Row],[NR_SIMULACAO]],tblVendas[[#This Row],[NR_SIMULACAO]],tblVendas[[#This Row],[VALOR_APARELHO]],""),0)</f>
        <v>0</v>
      </c>
      <c r="K272" t="str">
        <f>IF(tblCalculo[[#This Row],[STATUS]]="NEGOCIANDO",tblCalculo[[#This Row],[VALOR_TOTAL]],"")</f>
        <v/>
      </c>
      <c r="L272" t="str">
        <f>IF(tblCalculo[[#This Row],[STATUS]]="ALÇADA",tblCalculo[[#This Row],[VALOR_TOTAL]],"")</f>
        <v/>
      </c>
      <c r="M272" t="str">
        <f>IF(tblCalculo[[#This Row],[STATUS]]="EM ANÁLISE",tblCalculo[[#This Row],[VALOR_TOTAL]],"")</f>
        <v/>
      </c>
      <c r="N272" t="str">
        <f>IF(tblCalculo[[#This Row],[STATUS]]="TRAMITANDO",tblCalculo[[#This Row],[VALOR_TOTAL]],"")</f>
        <v/>
      </c>
      <c r="O272" t="str">
        <f>IF(tblCalculo[[#This Row],[STATUS]]="PERDIDO",tblCalculo[[#This Row],[VALOR_TOTAL]],"")</f>
        <v/>
      </c>
      <c r="P272">
        <f>IF(tblCalculo[[#This Row],[STATUS]]="CONCLUÍDO",tblCalculo[[#This Row],[VALOR_TOTAL]],"")</f>
        <v>13902.36</v>
      </c>
    </row>
    <row r="273" spans="1:16" x14ac:dyDescent="0.25">
      <c r="A273" t="str">
        <f>tblVendas[[#This Row],[NR_SIMULACAO]]</f>
        <v>SIM1263</v>
      </c>
      <c r="B273" s="34" t="str">
        <f>_xlfn.XLOOKUP(A273,tblVendas[[#This Row],[NR_SIMULACAO]],tblVendas[[#This Row],[NR_CNPJ]],"")</f>
        <v>29.791.464/0001-63</v>
      </c>
      <c r="C273" t="str">
        <f>_xlfn.XLOOKUP(A273,tblVendas[[#This Row],[NR_SIMULACAO]],tblVendas[[#This Row],[STATUS]],"")</f>
        <v>EM ANÁLISE</v>
      </c>
      <c r="D273" t="str">
        <f>_xlfn.XLOOKUP(A273,tblVendas[[#This Row],[NR_SIMULACAO]],tblVendas[[#This Row],[MES]],"")</f>
        <v>Julho</v>
      </c>
      <c r="E273">
        <f>SUM(_xlfn.XLOOKUP(tblCalculo[[#This Row],[NR_SIMULACAO]],tblVendas[[#This Row],[NR_SIMULACAO]],tblVendas[[#This Row],[VALOR_MOVEL]],""):_xlfn.XLOOKUP(tblCalculo[[#This Row],[NR_SIMULACAO]],tblVendas[[#This Row],[NR_SIMULACAO]],tblVendas[[#This Row],[VALOR_APARELHO]],""))</f>
        <v>3854.86</v>
      </c>
      <c r="F273">
        <f>IF(tblCalculo[[#This Row],[STATUS]]="CONCLUÍDO",_xlfn.XLOOKUP(tblCalculo[[#This Row],[NR_SIMULACAO]],tblVendas[[#This Row],[NR_SIMULACAO]],tblVendas[[#This Row],[VALOR_MOVEL]],""),0)</f>
        <v>0</v>
      </c>
      <c r="G273">
        <f>IF(tblCalculo[[#This Row],[STATUS]]="CONCLUÍDO",_xlfn.XLOOKUP(tblCalculo[[#This Row],[NR_SIMULACAO]],tblVendas[[#This Row],[NR_SIMULACAO]],tblVendas[[#This Row],[VALOR_AVANCADO]],""),0)</f>
        <v>0</v>
      </c>
      <c r="H273">
        <f>IF(tblCalculo[[#This Row],[STATUS]]="CONCLUÍDO",_xlfn.XLOOKUP(tblCalculo[[#This Row],[NR_SIMULACAO]],tblVendas[[#This Row],[NR_SIMULACAO]],tblVendas[[#This Row],[VALOR_FIXABASICA]],""),0)</f>
        <v>0</v>
      </c>
      <c r="I273">
        <f>IF(tblCalculo[[#This Row],[STATUS]]="CONCLUÍDO",_xlfn.XLOOKUP(tblCalculo[[#This Row],[NR_SIMULACAO]],tblVendas[[#This Row],[NR_SIMULACAO]],tblVendas[[#This Row],[VALOR_TI]],""),0)</f>
        <v>0</v>
      </c>
      <c r="J273">
        <f>IF(tblCalculo[[#This Row],[STATUS]]="CONCLUÍDO",_xlfn.XLOOKUP(tblCalculo[[#This Row],[NR_SIMULACAO]],tblVendas[[#This Row],[NR_SIMULACAO]],tblVendas[[#This Row],[VALOR_APARELHO]],""),0)</f>
        <v>0</v>
      </c>
      <c r="K273" t="str">
        <f>IF(tblCalculo[[#This Row],[STATUS]]="NEGOCIANDO",tblCalculo[[#This Row],[VALOR_TOTAL]],"")</f>
        <v/>
      </c>
      <c r="L273" t="str">
        <f>IF(tblCalculo[[#This Row],[STATUS]]="ALÇADA",tblCalculo[[#This Row],[VALOR_TOTAL]],"")</f>
        <v/>
      </c>
      <c r="M273">
        <f>IF(tblCalculo[[#This Row],[STATUS]]="EM ANÁLISE",tblCalculo[[#This Row],[VALOR_TOTAL]],"")</f>
        <v>3854.86</v>
      </c>
      <c r="N273" t="str">
        <f>IF(tblCalculo[[#This Row],[STATUS]]="TRAMITANDO",tblCalculo[[#This Row],[VALOR_TOTAL]],"")</f>
        <v/>
      </c>
      <c r="O273" t="str">
        <f>IF(tblCalculo[[#This Row],[STATUS]]="PERDIDO",tblCalculo[[#This Row],[VALOR_TOTAL]],"")</f>
        <v/>
      </c>
      <c r="P273" t="str">
        <f>IF(tblCalculo[[#This Row],[STATUS]]="CONCLUÍDO",tblCalculo[[#This Row],[VALOR_TOTAL]],"")</f>
        <v/>
      </c>
    </row>
    <row r="274" spans="1:16" x14ac:dyDescent="0.25">
      <c r="A274" t="str">
        <f>tblVendas[[#This Row],[NR_SIMULACAO]]</f>
        <v>SIM1264</v>
      </c>
      <c r="B274" s="34" t="str">
        <f>_xlfn.XLOOKUP(A274,tblVendas[[#This Row],[NR_SIMULACAO]],tblVendas[[#This Row],[NR_CNPJ]],"")</f>
        <v>23.161.843/0001-62</v>
      </c>
      <c r="C274" t="str">
        <f>_xlfn.XLOOKUP(A274,tblVendas[[#This Row],[NR_SIMULACAO]],tblVendas[[#This Row],[STATUS]],"")</f>
        <v>CONCLUÍDO</v>
      </c>
      <c r="D274" t="str">
        <f>_xlfn.XLOOKUP(A274,tblVendas[[#This Row],[NR_SIMULACAO]],tblVendas[[#This Row],[MES]],"")</f>
        <v>Fevereiro</v>
      </c>
      <c r="E274">
        <f>SUM(_xlfn.XLOOKUP(tblCalculo[[#This Row],[NR_SIMULACAO]],tblVendas[[#This Row],[NR_SIMULACAO]],tblVendas[[#This Row],[VALOR_MOVEL]],""):_xlfn.XLOOKUP(tblCalculo[[#This Row],[NR_SIMULACAO]],tblVendas[[#This Row],[NR_SIMULACAO]],tblVendas[[#This Row],[VALOR_APARELHO]],""))</f>
        <v>7626.34</v>
      </c>
      <c r="F274">
        <f>IF(tblCalculo[[#This Row],[STATUS]]="CONCLUÍDO",_xlfn.XLOOKUP(tblCalculo[[#This Row],[NR_SIMULACAO]],tblVendas[[#This Row],[NR_SIMULACAO]],tblVendas[[#This Row],[VALOR_MOVEL]],""),0)</f>
        <v>0</v>
      </c>
      <c r="G274">
        <f>IF(tblCalculo[[#This Row],[STATUS]]="CONCLUÍDO",_xlfn.XLOOKUP(tblCalculo[[#This Row],[NR_SIMULACAO]],tblVendas[[#This Row],[NR_SIMULACAO]],tblVendas[[#This Row],[VALOR_AVANCADO]],""),0)</f>
        <v>0</v>
      </c>
      <c r="H274">
        <f>IF(tblCalculo[[#This Row],[STATUS]]="CONCLUÍDO",_xlfn.XLOOKUP(tblCalculo[[#This Row],[NR_SIMULACAO]],tblVendas[[#This Row],[NR_SIMULACAO]],tblVendas[[#This Row],[VALOR_FIXABASICA]],""),0)</f>
        <v>2591.66</v>
      </c>
      <c r="I274">
        <f>IF(tblCalculo[[#This Row],[STATUS]]="CONCLUÍDO",_xlfn.XLOOKUP(tblCalculo[[#This Row],[NR_SIMULACAO]],tblVendas[[#This Row],[NR_SIMULACAO]],tblVendas[[#This Row],[VALOR_TI]],""),0)</f>
        <v>5034.68</v>
      </c>
      <c r="J274">
        <f>IF(tblCalculo[[#This Row],[STATUS]]="CONCLUÍDO",_xlfn.XLOOKUP(tblCalculo[[#This Row],[NR_SIMULACAO]],tblVendas[[#This Row],[NR_SIMULACAO]],tblVendas[[#This Row],[VALOR_APARELHO]],""),0)</f>
        <v>0</v>
      </c>
      <c r="K274" t="str">
        <f>IF(tblCalculo[[#This Row],[STATUS]]="NEGOCIANDO",tblCalculo[[#This Row],[VALOR_TOTAL]],"")</f>
        <v/>
      </c>
      <c r="L274" t="str">
        <f>IF(tblCalculo[[#This Row],[STATUS]]="ALÇADA",tblCalculo[[#This Row],[VALOR_TOTAL]],"")</f>
        <v/>
      </c>
      <c r="M274" t="str">
        <f>IF(tblCalculo[[#This Row],[STATUS]]="EM ANÁLISE",tblCalculo[[#This Row],[VALOR_TOTAL]],"")</f>
        <v/>
      </c>
      <c r="N274" t="str">
        <f>IF(tblCalculo[[#This Row],[STATUS]]="TRAMITANDO",tblCalculo[[#This Row],[VALOR_TOTAL]],"")</f>
        <v/>
      </c>
      <c r="O274" t="str">
        <f>IF(tblCalculo[[#This Row],[STATUS]]="PERDIDO",tblCalculo[[#This Row],[VALOR_TOTAL]],"")</f>
        <v/>
      </c>
      <c r="P274">
        <f>IF(tblCalculo[[#This Row],[STATUS]]="CONCLUÍDO",tblCalculo[[#This Row],[VALOR_TOTAL]],"")</f>
        <v>7626.34</v>
      </c>
    </row>
    <row r="275" spans="1:16" x14ac:dyDescent="0.25">
      <c r="A275" t="str">
        <f>tblVendas[[#This Row],[NR_SIMULACAO]]</f>
        <v>SIM1265</v>
      </c>
      <c r="B275" s="34" t="str">
        <f>_xlfn.XLOOKUP(A275,tblVendas[[#This Row],[NR_SIMULACAO]],tblVendas[[#This Row],[NR_CNPJ]],"")</f>
        <v>32.138.673/0001-71</v>
      </c>
      <c r="C275" t="str">
        <f>_xlfn.XLOOKUP(A275,tblVendas[[#This Row],[NR_SIMULACAO]],tblVendas[[#This Row],[STATUS]],"")</f>
        <v>PERDIDO</v>
      </c>
      <c r="D275" t="str">
        <f>_xlfn.XLOOKUP(A275,tblVendas[[#This Row],[NR_SIMULACAO]],tblVendas[[#This Row],[MES]],"")</f>
        <v>Julho</v>
      </c>
      <c r="E275">
        <f>SUM(_xlfn.XLOOKUP(tblCalculo[[#This Row],[NR_SIMULACAO]],tblVendas[[#This Row],[NR_SIMULACAO]],tblVendas[[#This Row],[VALOR_MOVEL]],""):_xlfn.XLOOKUP(tblCalculo[[#This Row],[NR_SIMULACAO]],tblVendas[[#This Row],[NR_SIMULACAO]],tblVendas[[#This Row],[VALOR_APARELHO]],""))</f>
        <v>29051.02</v>
      </c>
      <c r="F275">
        <f>IF(tblCalculo[[#This Row],[STATUS]]="CONCLUÍDO",_xlfn.XLOOKUP(tblCalculo[[#This Row],[NR_SIMULACAO]],tblVendas[[#This Row],[NR_SIMULACAO]],tblVendas[[#This Row],[VALOR_MOVEL]],""),0)</f>
        <v>0</v>
      </c>
      <c r="G275">
        <f>IF(tblCalculo[[#This Row],[STATUS]]="CONCLUÍDO",_xlfn.XLOOKUP(tblCalculo[[#This Row],[NR_SIMULACAO]],tblVendas[[#This Row],[NR_SIMULACAO]],tblVendas[[#This Row],[VALOR_AVANCADO]],""),0)</f>
        <v>0</v>
      </c>
      <c r="H275">
        <f>IF(tblCalculo[[#This Row],[STATUS]]="CONCLUÍDO",_xlfn.XLOOKUP(tblCalculo[[#This Row],[NR_SIMULACAO]],tblVendas[[#This Row],[NR_SIMULACAO]],tblVendas[[#This Row],[VALOR_FIXABASICA]],""),0)</f>
        <v>0</v>
      </c>
      <c r="I275">
        <f>IF(tblCalculo[[#This Row],[STATUS]]="CONCLUÍDO",_xlfn.XLOOKUP(tblCalculo[[#This Row],[NR_SIMULACAO]],tblVendas[[#This Row],[NR_SIMULACAO]],tblVendas[[#This Row],[VALOR_TI]],""),0)</f>
        <v>0</v>
      </c>
      <c r="J275">
        <f>IF(tblCalculo[[#This Row],[STATUS]]="CONCLUÍDO",_xlfn.XLOOKUP(tblCalculo[[#This Row],[NR_SIMULACAO]],tblVendas[[#This Row],[NR_SIMULACAO]],tblVendas[[#This Row],[VALOR_APARELHO]],""),0)</f>
        <v>0</v>
      </c>
      <c r="K275" t="str">
        <f>IF(tblCalculo[[#This Row],[STATUS]]="NEGOCIANDO",tblCalculo[[#This Row],[VALOR_TOTAL]],"")</f>
        <v/>
      </c>
      <c r="L275" t="str">
        <f>IF(tblCalculo[[#This Row],[STATUS]]="ALÇADA",tblCalculo[[#This Row],[VALOR_TOTAL]],"")</f>
        <v/>
      </c>
      <c r="M275" t="str">
        <f>IF(tblCalculo[[#This Row],[STATUS]]="EM ANÁLISE",tblCalculo[[#This Row],[VALOR_TOTAL]],"")</f>
        <v/>
      </c>
      <c r="N275" t="str">
        <f>IF(tblCalculo[[#This Row],[STATUS]]="TRAMITANDO",tblCalculo[[#This Row],[VALOR_TOTAL]],"")</f>
        <v/>
      </c>
      <c r="O275">
        <f>IF(tblCalculo[[#This Row],[STATUS]]="PERDIDO",tblCalculo[[#This Row],[VALOR_TOTAL]],"")</f>
        <v>29051.02</v>
      </c>
      <c r="P275" t="str">
        <f>IF(tblCalculo[[#This Row],[STATUS]]="CONCLUÍDO",tblCalculo[[#This Row],[VALOR_TOTAL]],"")</f>
        <v/>
      </c>
    </row>
    <row r="276" spans="1:16" x14ac:dyDescent="0.25">
      <c r="A276" t="str">
        <f>tblVendas[[#This Row],[NR_SIMULACAO]]</f>
        <v>SIM1266</v>
      </c>
      <c r="B276" s="34" t="str">
        <f>_xlfn.XLOOKUP(A276,tblVendas[[#This Row],[NR_SIMULACAO]],tblVendas[[#This Row],[NR_CNPJ]],"")</f>
        <v>10.529.674/0001-33</v>
      </c>
      <c r="C276" t="str">
        <f>_xlfn.XLOOKUP(A276,tblVendas[[#This Row],[NR_SIMULACAO]],tblVendas[[#This Row],[STATUS]],"")</f>
        <v>ALÇADA</v>
      </c>
      <c r="D276" t="str">
        <f>_xlfn.XLOOKUP(A276,tblVendas[[#This Row],[NR_SIMULACAO]],tblVendas[[#This Row],[MES]],"")</f>
        <v>Julho</v>
      </c>
      <c r="E276">
        <f>SUM(_xlfn.XLOOKUP(tblCalculo[[#This Row],[NR_SIMULACAO]],tblVendas[[#This Row],[NR_SIMULACAO]],tblVendas[[#This Row],[VALOR_MOVEL]],""):_xlfn.XLOOKUP(tblCalculo[[#This Row],[NR_SIMULACAO]],tblVendas[[#This Row],[NR_SIMULACAO]],tblVendas[[#This Row],[VALOR_APARELHO]],""))</f>
        <v>2106.69</v>
      </c>
      <c r="F276">
        <f>IF(tblCalculo[[#This Row],[STATUS]]="CONCLUÍDO",_xlfn.XLOOKUP(tblCalculo[[#This Row],[NR_SIMULACAO]],tblVendas[[#This Row],[NR_SIMULACAO]],tblVendas[[#This Row],[VALOR_MOVEL]],""),0)</f>
        <v>0</v>
      </c>
      <c r="G276">
        <f>IF(tblCalculo[[#This Row],[STATUS]]="CONCLUÍDO",_xlfn.XLOOKUP(tblCalculo[[#This Row],[NR_SIMULACAO]],tblVendas[[#This Row],[NR_SIMULACAO]],tblVendas[[#This Row],[VALOR_AVANCADO]],""),0)</f>
        <v>0</v>
      </c>
      <c r="H276">
        <f>IF(tblCalculo[[#This Row],[STATUS]]="CONCLUÍDO",_xlfn.XLOOKUP(tblCalculo[[#This Row],[NR_SIMULACAO]],tblVendas[[#This Row],[NR_SIMULACAO]],tblVendas[[#This Row],[VALOR_FIXABASICA]],""),0)</f>
        <v>0</v>
      </c>
      <c r="I276">
        <f>IF(tblCalculo[[#This Row],[STATUS]]="CONCLUÍDO",_xlfn.XLOOKUP(tblCalculo[[#This Row],[NR_SIMULACAO]],tblVendas[[#This Row],[NR_SIMULACAO]],tblVendas[[#This Row],[VALOR_TI]],""),0)</f>
        <v>0</v>
      </c>
      <c r="J276">
        <f>IF(tblCalculo[[#This Row],[STATUS]]="CONCLUÍDO",_xlfn.XLOOKUP(tblCalculo[[#This Row],[NR_SIMULACAO]],tblVendas[[#This Row],[NR_SIMULACAO]],tblVendas[[#This Row],[VALOR_APARELHO]],""),0)</f>
        <v>0</v>
      </c>
      <c r="K276" t="str">
        <f>IF(tblCalculo[[#This Row],[STATUS]]="NEGOCIANDO",tblCalculo[[#This Row],[VALOR_TOTAL]],"")</f>
        <v/>
      </c>
      <c r="L276">
        <f>IF(tblCalculo[[#This Row],[STATUS]]="ALÇADA",tblCalculo[[#This Row],[VALOR_TOTAL]],"")</f>
        <v>2106.69</v>
      </c>
      <c r="M276" t="str">
        <f>IF(tblCalculo[[#This Row],[STATUS]]="EM ANÁLISE",tblCalculo[[#This Row],[VALOR_TOTAL]],"")</f>
        <v/>
      </c>
      <c r="N276" t="str">
        <f>IF(tblCalculo[[#This Row],[STATUS]]="TRAMITANDO",tblCalculo[[#This Row],[VALOR_TOTAL]],"")</f>
        <v/>
      </c>
      <c r="O276" t="str">
        <f>IF(tblCalculo[[#This Row],[STATUS]]="PERDIDO",tblCalculo[[#This Row],[VALOR_TOTAL]],"")</f>
        <v/>
      </c>
      <c r="P276" t="str">
        <f>IF(tblCalculo[[#This Row],[STATUS]]="CONCLUÍDO",tblCalculo[[#This Row],[VALOR_TOTAL]],"")</f>
        <v/>
      </c>
    </row>
    <row r="277" spans="1:16" x14ac:dyDescent="0.25">
      <c r="A277" t="str">
        <f>tblVendas[[#This Row],[NR_SIMULACAO]]</f>
        <v>SIM1267</v>
      </c>
      <c r="B277" s="34" t="str">
        <f>_xlfn.XLOOKUP(A277,tblVendas[[#This Row],[NR_SIMULACAO]],tblVendas[[#This Row],[NR_CNPJ]],"")</f>
        <v>83.749.897/0001-22</v>
      </c>
      <c r="C277" t="str">
        <f>_xlfn.XLOOKUP(A277,tblVendas[[#This Row],[NR_SIMULACAO]],tblVendas[[#This Row],[STATUS]],"")</f>
        <v>NEGOCIANDO</v>
      </c>
      <c r="D277" t="str">
        <f>_xlfn.XLOOKUP(A277,tblVendas[[#This Row],[NR_SIMULACAO]],tblVendas[[#This Row],[MES]],"")</f>
        <v>Agosto</v>
      </c>
      <c r="E277">
        <f>SUM(_xlfn.XLOOKUP(tblCalculo[[#This Row],[NR_SIMULACAO]],tblVendas[[#This Row],[NR_SIMULACAO]],tblVendas[[#This Row],[VALOR_MOVEL]],""):_xlfn.XLOOKUP(tblCalculo[[#This Row],[NR_SIMULACAO]],tblVendas[[#This Row],[NR_SIMULACAO]],tblVendas[[#This Row],[VALOR_APARELHO]],""))</f>
        <v>917.99</v>
      </c>
      <c r="F277">
        <f>IF(tblCalculo[[#This Row],[STATUS]]="CONCLUÍDO",_xlfn.XLOOKUP(tblCalculo[[#This Row],[NR_SIMULACAO]],tblVendas[[#This Row],[NR_SIMULACAO]],tblVendas[[#This Row],[VALOR_MOVEL]],""),0)</f>
        <v>0</v>
      </c>
      <c r="G277">
        <f>IF(tblCalculo[[#This Row],[STATUS]]="CONCLUÍDO",_xlfn.XLOOKUP(tblCalculo[[#This Row],[NR_SIMULACAO]],tblVendas[[#This Row],[NR_SIMULACAO]],tblVendas[[#This Row],[VALOR_AVANCADO]],""),0)</f>
        <v>0</v>
      </c>
      <c r="H277">
        <f>IF(tblCalculo[[#This Row],[STATUS]]="CONCLUÍDO",_xlfn.XLOOKUP(tblCalculo[[#This Row],[NR_SIMULACAO]],tblVendas[[#This Row],[NR_SIMULACAO]],tblVendas[[#This Row],[VALOR_FIXABASICA]],""),0)</f>
        <v>0</v>
      </c>
      <c r="I277">
        <f>IF(tblCalculo[[#This Row],[STATUS]]="CONCLUÍDO",_xlfn.XLOOKUP(tblCalculo[[#This Row],[NR_SIMULACAO]],tblVendas[[#This Row],[NR_SIMULACAO]],tblVendas[[#This Row],[VALOR_TI]],""),0)</f>
        <v>0</v>
      </c>
      <c r="J277">
        <f>IF(tblCalculo[[#This Row],[STATUS]]="CONCLUÍDO",_xlfn.XLOOKUP(tblCalculo[[#This Row],[NR_SIMULACAO]],tblVendas[[#This Row],[NR_SIMULACAO]],tblVendas[[#This Row],[VALOR_APARELHO]],""),0)</f>
        <v>0</v>
      </c>
      <c r="K277">
        <f>IF(tblCalculo[[#This Row],[STATUS]]="NEGOCIANDO",tblCalculo[[#This Row],[VALOR_TOTAL]],"")</f>
        <v>917.99</v>
      </c>
      <c r="L277" t="str">
        <f>IF(tblCalculo[[#This Row],[STATUS]]="ALÇADA",tblCalculo[[#This Row],[VALOR_TOTAL]],"")</f>
        <v/>
      </c>
      <c r="M277" t="str">
        <f>IF(tblCalculo[[#This Row],[STATUS]]="EM ANÁLISE",tblCalculo[[#This Row],[VALOR_TOTAL]],"")</f>
        <v/>
      </c>
      <c r="N277" t="str">
        <f>IF(tblCalculo[[#This Row],[STATUS]]="TRAMITANDO",tblCalculo[[#This Row],[VALOR_TOTAL]],"")</f>
        <v/>
      </c>
      <c r="O277" t="str">
        <f>IF(tblCalculo[[#This Row],[STATUS]]="PERDIDO",tblCalculo[[#This Row],[VALOR_TOTAL]],"")</f>
        <v/>
      </c>
      <c r="P277" t="str">
        <f>IF(tblCalculo[[#This Row],[STATUS]]="CONCLUÍDO",tblCalculo[[#This Row],[VALOR_TOTAL]],"")</f>
        <v/>
      </c>
    </row>
    <row r="278" spans="1:16" x14ac:dyDescent="0.25">
      <c r="A278" t="str">
        <f>tblVendas[[#This Row],[NR_SIMULACAO]]</f>
        <v>SIM1268</v>
      </c>
      <c r="B278" s="34" t="str">
        <f>_xlfn.XLOOKUP(A278,tblVendas[[#This Row],[NR_SIMULACAO]],tblVendas[[#This Row],[NR_CNPJ]],"")</f>
        <v>94.953.841/0001-33</v>
      </c>
      <c r="C278" t="str">
        <f>_xlfn.XLOOKUP(A278,tblVendas[[#This Row],[NR_SIMULACAO]],tblVendas[[#This Row],[STATUS]],"")</f>
        <v>CONCLUÍDO</v>
      </c>
      <c r="D278" t="str">
        <f>_xlfn.XLOOKUP(A278,tblVendas[[#This Row],[NR_SIMULACAO]],tblVendas[[#This Row],[MES]],"")</f>
        <v>Dezembro</v>
      </c>
      <c r="E278">
        <f>SUM(_xlfn.XLOOKUP(tblCalculo[[#This Row],[NR_SIMULACAO]],tblVendas[[#This Row],[NR_SIMULACAO]],tblVendas[[#This Row],[VALOR_MOVEL]],""):_xlfn.XLOOKUP(tblCalculo[[#This Row],[NR_SIMULACAO]],tblVendas[[#This Row],[NR_SIMULACAO]],tblVendas[[#This Row],[VALOR_APARELHO]],""))</f>
        <v>888.31</v>
      </c>
      <c r="F278">
        <f>IF(tblCalculo[[#This Row],[STATUS]]="CONCLUÍDO",_xlfn.XLOOKUP(tblCalculo[[#This Row],[NR_SIMULACAO]],tblVendas[[#This Row],[NR_SIMULACAO]],tblVendas[[#This Row],[VALOR_MOVEL]],""),0)</f>
        <v>0</v>
      </c>
      <c r="G278">
        <f>IF(tblCalculo[[#This Row],[STATUS]]="CONCLUÍDO",_xlfn.XLOOKUP(tblCalculo[[#This Row],[NR_SIMULACAO]],tblVendas[[#This Row],[NR_SIMULACAO]],tblVendas[[#This Row],[VALOR_AVANCADO]],""),0)</f>
        <v>0</v>
      </c>
      <c r="H278">
        <f>IF(tblCalculo[[#This Row],[STATUS]]="CONCLUÍDO",_xlfn.XLOOKUP(tblCalculo[[#This Row],[NR_SIMULACAO]],tblVendas[[#This Row],[NR_SIMULACAO]],tblVendas[[#This Row],[VALOR_FIXABASICA]],""),0)</f>
        <v>888.31</v>
      </c>
      <c r="I278">
        <f>IF(tblCalculo[[#This Row],[STATUS]]="CONCLUÍDO",_xlfn.XLOOKUP(tblCalculo[[#This Row],[NR_SIMULACAO]],tblVendas[[#This Row],[NR_SIMULACAO]],tblVendas[[#This Row],[VALOR_TI]],""),0)</f>
        <v>0</v>
      </c>
      <c r="J278">
        <f>IF(tblCalculo[[#This Row],[STATUS]]="CONCLUÍDO",_xlfn.XLOOKUP(tblCalculo[[#This Row],[NR_SIMULACAO]],tblVendas[[#This Row],[NR_SIMULACAO]],tblVendas[[#This Row],[VALOR_APARELHO]],""),0)</f>
        <v>0</v>
      </c>
      <c r="K278" t="str">
        <f>IF(tblCalculo[[#This Row],[STATUS]]="NEGOCIANDO",tblCalculo[[#This Row],[VALOR_TOTAL]],"")</f>
        <v/>
      </c>
      <c r="L278" t="str">
        <f>IF(tblCalculo[[#This Row],[STATUS]]="ALÇADA",tblCalculo[[#This Row],[VALOR_TOTAL]],"")</f>
        <v/>
      </c>
      <c r="M278" t="str">
        <f>IF(tblCalculo[[#This Row],[STATUS]]="EM ANÁLISE",tblCalculo[[#This Row],[VALOR_TOTAL]],"")</f>
        <v/>
      </c>
      <c r="N278" t="str">
        <f>IF(tblCalculo[[#This Row],[STATUS]]="TRAMITANDO",tblCalculo[[#This Row],[VALOR_TOTAL]],"")</f>
        <v/>
      </c>
      <c r="O278" t="str">
        <f>IF(tblCalculo[[#This Row],[STATUS]]="PERDIDO",tblCalculo[[#This Row],[VALOR_TOTAL]],"")</f>
        <v/>
      </c>
      <c r="P278">
        <f>IF(tblCalculo[[#This Row],[STATUS]]="CONCLUÍDO",tblCalculo[[#This Row],[VALOR_TOTAL]],"")</f>
        <v>888.31</v>
      </c>
    </row>
    <row r="279" spans="1:16" x14ac:dyDescent="0.25">
      <c r="A279" t="str">
        <f>tblVendas[[#This Row],[NR_SIMULACAO]]</f>
        <v>SIM1269</v>
      </c>
      <c r="B279" s="34" t="str">
        <f>_xlfn.XLOOKUP(A279,tblVendas[[#This Row],[NR_SIMULACAO]],tblVendas[[#This Row],[NR_CNPJ]],"")</f>
        <v>17.503.799/0001-34</v>
      </c>
      <c r="C279" t="str">
        <f>_xlfn.XLOOKUP(A279,tblVendas[[#This Row],[NR_SIMULACAO]],tblVendas[[#This Row],[STATUS]],"")</f>
        <v>EM ANÁLISE</v>
      </c>
      <c r="D279" t="str">
        <f>_xlfn.XLOOKUP(A279,tblVendas[[#This Row],[NR_SIMULACAO]],tblVendas[[#This Row],[MES]],"")</f>
        <v>Setembro</v>
      </c>
      <c r="E279">
        <f>SUM(_xlfn.XLOOKUP(tblCalculo[[#This Row],[NR_SIMULACAO]],tblVendas[[#This Row],[NR_SIMULACAO]],tblVendas[[#This Row],[VALOR_MOVEL]],""):_xlfn.XLOOKUP(tblCalculo[[#This Row],[NR_SIMULACAO]],tblVendas[[#This Row],[NR_SIMULACAO]],tblVendas[[#This Row],[VALOR_APARELHO]],""))</f>
        <v>781.49</v>
      </c>
      <c r="F279">
        <f>IF(tblCalculo[[#This Row],[STATUS]]="CONCLUÍDO",_xlfn.XLOOKUP(tblCalculo[[#This Row],[NR_SIMULACAO]],tblVendas[[#This Row],[NR_SIMULACAO]],tblVendas[[#This Row],[VALOR_MOVEL]],""),0)</f>
        <v>0</v>
      </c>
      <c r="G279">
        <f>IF(tblCalculo[[#This Row],[STATUS]]="CONCLUÍDO",_xlfn.XLOOKUP(tblCalculo[[#This Row],[NR_SIMULACAO]],tblVendas[[#This Row],[NR_SIMULACAO]],tblVendas[[#This Row],[VALOR_AVANCADO]],""),0)</f>
        <v>0</v>
      </c>
      <c r="H279">
        <f>IF(tblCalculo[[#This Row],[STATUS]]="CONCLUÍDO",_xlfn.XLOOKUP(tblCalculo[[#This Row],[NR_SIMULACAO]],tblVendas[[#This Row],[NR_SIMULACAO]],tblVendas[[#This Row],[VALOR_FIXABASICA]],""),0)</f>
        <v>0</v>
      </c>
      <c r="I279">
        <f>IF(tblCalculo[[#This Row],[STATUS]]="CONCLUÍDO",_xlfn.XLOOKUP(tblCalculo[[#This Row],[NR_SIMULACAO]],tblVendas[[#This Row],[NR_SIMULACAO]],tblVendas[[#This Row],[VALOR_TI]],""),0)</f>
        <v>0</v>
      </c>
      <c r="J279">
        <f>IF(tblCalculo[[#This Row],[STATUS]]="CONCLUÍDO",_xlfn.XLOOKUP(tblCalculo[[#This Row],[NR_SIMULACAO]],tblVendas[[#This Row],[NR_SIMULACAO]],tblVendas[[#This Row],[VALOR_APARELHO]],""),0)</f>
        <v>0</v>
      </c>
      <c r="K279" t="str">
        <f>IF(tblCalculo[[#This Row],[STATUS]]="NEGOCIANDO",tblCalculo[[#This Row],[VALOR_TOTAL]],"")</f>
        <v/>
      </c>
      <c r="L279" t="str">
        <f>IF(tblCalculo[[#This Row],[STATUS]]="ALÇADA",tblCalculo[[#This Row],[VALOR_TOTAL]],"")</f>
        <v/>
      </c>
      <c r="M279">
        <f>IF(tblCalculo[[#This Row],[STATUS]]="EM ANÁLISE",tblCalculo[[#This Row],[VALOR_TOTAL]],"")</f>
        <v>781.49</v>
      </c>
      <c r="N279" t="str">
        <f>IF(tblCalculo[[#This Row],[STATUS]]="TRAMITANDO",tblCalculo[[#This Row],[VALOR_TOTAL]],"")</f>
        <v/>
      </c>
      <c r="O279" t="str">
        <f>IF(tblCalculo[[#This Row],[STATUS]]="PERDIDO",tblCalculo[[#This Row],[VALOR_TOTAL]],"")</f>
        <v/>
      </c>
      <c r="P279" t="str">
        <f>IF(tblCalculo[[#This Row],[STATUS]]="CONCLUÍDO",tblCalculo[[#This Row],[VALOR_TOTAL]],"")</f>
        <v/>
      </c>
    </row>
    <row r="280" spans="1:16" x14ac:dyDescent="0.25">
      <c r="A280" t="str">
        <f>tblVendas[[#This Row],[NR_SIMULACAO]]</f>
        <v>SIM1270</v>
      </c>
      <c r="B280" s="34" t="str">
        <f>_xlfn.XLOOKUP(A280,tblVendas[[#This Row],[NR_SIMULACAO]],tblVendas[[#This Row],[NR_CNPJ]],"")</f>
        <v>69.335.162/0001-47</v>
      </c>
      <c r="C280" t="str">
        <f>_xlfn.XLOOKUP(A280,tblVendas[[#This Row],[NR_SIMULACAO]],tblVendas[[#This Row],[STATUS]],"")</f>
        <v>PERDIDO</v>
      </c>
      <c r="D280" t="str">
        <f>_xlfn.XLOOKUP(A280,tblVendas[[#This Row],[NR_SIMULACAO]],tblVendas[[#This Row],[MES]],"")</f>
        <v>Janeiro</v>
      </c>
      <c r="E280">
        <f>SUM(_xlfn.XLOOKUP(tblCalculo[[#This Row],[NR_SIMULACAO]],tblVendas[[#This Row],[NR_SIMULACAO]],tblVendas[[#This Row],[VALOR_MOVEL]],""):_xlfn.XLOOKUP(tblCalculo[[#This Row],[NR_SIMULACAO]],tblVendas[[#This Row],[NR_SIMULACAO]],tblVendas[[#This Row],[VALOR_APARELHO]],""))</f>
        <v>7121.8099999999995</v>
      </c>
      <c r="F280">
        <f>IF(tblCalculo[[#This Row],[STATUS]]="CONCLUÍDO",_xlfn.XLOOKUP(tblCalculo[[#This Row],[NR_SIMULACAO]],tblVendas[[#This Row],[NR_SIMULACAO]],tblVendas[[#This Row],[VALOR_MOVEL]],""),0)</f>
        <v>0</v>
      </c>
      <c r="G280">
        <f>IF(tblCalculo[[#This Row],[STATUS]]="CONCLUÍDO",_xlfn.XLOOKUP(tblCalculo[[#This Row],[NR_SIMULACAO]],tblVendas[[#This Row],[NR_SIMULACAO]],tblVendas[[#This Row],[VALOR_AVANCADO]],""),0)</f>
        <v>0</v>
      </c>
      <c r="H280">
        <f>IF(tblCalculo[[#This Row],[STATUS]]="CONCLUÍDO",_xlfn.XLOOKUP(tblCalculo[[#This Row],[NR_SIMULACAO]],tblVendas[[#This Row],[NR_SIMULACAO]],tblVendas[[#This Row],[VALOR_FIXABASICA]],""),0)</f>
        <v>0</v>
      </c>
      <c r="I280">
        <f>IF(tblCalculo[[#This Row],[STATUS]]="CONCLUÍDO",_xlfn.XLOOKUP(tblCalculo[[#This Row],[NR_SIMULACAO]],tblVendas[[#This Row],[NR_SIMULACAO]],tblVendas[[#This Row],[VALOR_TI]],""),0)</f>
        <v>0</v>
      </c>
      <c r="J280">
        <f>IF(tblCalculo[[#This Row],[STATUS]]="CONCLUÍDO",_xlfn.XLOOKUP(tblCalculo[[#This Row],[NR_SIMULACAO]],tblVendas[[#This Row],[NR_SIMULACAO]],tblVendas[[#This Row],[VALOR_APARELHO]],""),0)</f>
        <v>0</v>
      </c>
      <c r="K280" t="str">
        <f>IF(tblCalculo[[#This Row],[STATUS]]="NEGOCIANDO",tblCalculo[[#This Row],[VALOR_TOTAL]],"")</f>
        <v/>
      </c>
      <c r="L280" t="str">
        <f>IF(tblCalculo[[#This Row],[STATUS]]="ALÇADA",tblCalculo[[#This Row],[VALOR_TOTAL]],"")</f>
        <v/>
      </c>
      <c r="M280" t="str">
        <f>IF(tblCalculo[[#This Row],[STATUS]]="EM ANÁLISE",tblCalculo[[#This Row],[VALOR_TOTAL]],"")</f>
        <v/>
      </c>
      <c r="N280" t="str">
        <f>IF(tblCalculo[[#This Row],[STATUS]]="TRAMITANDO",tblCalculo[[#This Row],[VALOR_TOTAL]],"")</f>
        <v/>
      </c>
      <c r="O280">
        <f>IF(tblCalculo[[#This Row],[STATUS]]="PERDIDO",tblCalculo[[#This Row],[VALOR_TOTAL]],"")</f>
        <v>7121.8099999999995</v>
      </c>
      <c r="P280" t="str">
        <f>IF(tblCalculo[[#This Row],[STATUS]]="CONCLUÍDO",tblCalculo[[#This Row],[VALOR_TOTAL]],"")</f>
        <v/>
      </c>
    </row>
    <row r="281" spans="1:16" x14ac:dyDescent="0.25">
      <c r="A281" t="str">
        <f>tblVendas[[#This Row],[NR_SIMULACAO]]</f>
        <v>SIM1271</v>
      </c>
      <c r="B281" s="34" t="str">
        <f>_xlfn.XLOOKUP(A281,tblVendas[[#This Row],[NR_SIMULACAO]],tblVendas[[#This Row],[NR_CNPJ]],"")</f>
        <v>83.182.987/0001-72</v>
      </c>
      <c r="C281" t="str">
        <f>_xlfn.XLOOKUP(A281,tblVendas[[#This Row],[NR_SIMULACAO]],tblVendas[[#This Row],[STATUS]],"")</f>
        <v>TRAMITANDO</v>
      </c>
      <c r="D281" t="str">
        <f>_xlfn.XLOOKUP(A281,tblVendas[[#This Row],[NR_SIMULACAO]],tblVendas[[#This Row],[MES]],"")</f>
        <v>Dezembro</v>
      </c>
      <c r="E281">
        <f>SUM(_xlfn.XLOOKUP(tblCalculo[[#This Row],[NR_SIMULACAO]],tblVendas[[#This Row],[NR_SIMULACAO]],tblVendas[[#This Row],[VALOR_MOVEL]],""):_xlfn.XLOOKUP(tblCalculo[[#This Row],[NR_SIMULACAO]],tblVendas[[#This Row],[NR_SIMULACAO]],tblVendas[[#This Row],[VALOR_APARELHO]],""))</f>
        <v>10588.83</v>
      </c>
      <c r="F281">
        <f>IF(tblCalculo[[#This Row],[STATUS]]="CONCLUÍDO",_xlfn.XLOOKUP(tblCalculo[[#This Row],[NR_SIMULACAO]],tblVendas[[#This Row],[NR_SIMULACAO]],tblVendas[[#This Row],[VALOR_MOVEL]],""),0)</f>
        <v>0</v>
      </c>
      <c r="G281">
        <f>IF(tblCalculo[[#This Row],[STATUS]]="CONCLUÍDO",_xlfn.XLOOKUP(tblCalculo[[#This Row],[NR_SIMULACAO]],tblVendas[[#This Row],[NR_SIMULACAO]],tblVendas[[#This Row],[VALOR_AVANCADO]],""),0)</f>
        <v>0</v>
      </c>
      <c r="H281">
        <f>IF(tblCalculo[[#This Row],[STATUS]]="CONCLUÍDO",_xlfn.XLOOKUP(tblCalculo[[#This Row],[NR_SIMULACAO]],tblVendas[[#This Row],[NR_SIMULACAO]],tblVendas[[#This Row],[VALOR_FIXABASICA]],""),0)</f>
        <v>0</v>
      </c>
      <c r="I281">
        <f>IF(tblCalculo[[#This Row],[STATUS]]="CONCLUÍDO",_xlfn.XLOOKUP(tblCalculo[[#This Row],[NR_SIMULACAO]],tblVendas[[#This Row],[NR_SIMULACAO]],tblVendas[[#This Row],[VALOR_TI]],""),0)</f>
        <v>0</v>
      </c>
      <c r="J281">
        <f>IF(tblCalculo[[#This Row],[STATUS]]="CONCLUÍDO",_xlfn.XLOOKUP(tblCalculo[[#This Row],[NR_SIMULACAO]],tblVendas[[#This Row],[NR_SIMULACAO]],tblVendas[[#This Row],[VALOR_APARELHO]],""),0)</f>
        <v>0</v>
      </c>
      <c r="K281" t="str">
        <f>IF(tblCalculo[[#This Row],[STATUS]]="NEGOCIANDO",tblCalculo[[#This Row],[VALOR_TOTAL]],"")</f>
        <v/>
      </c>
      <c r="L281" t="str">
        <f>IF(tblCalculo[[#This Row],[STATUS]]="ALÇADA",tblCalculo[[#This Row],[VALOR_TOTAL]],"")</f>
        <v/>
      </c>
      <c r="M281" t="str">
        <f>IF(tblCalculo[[#This Row],[STATUS]]="EM ANÁLISE",tblCalculo[[#This Row],[VALOR_TOTAL]],"")</f>
        <v/>
      </c>
      <c r="N281">
        <f>IF(tblCalculo[[#This Row],[STATUS]]="TRAMITANDO",tblCalculo[[#This Row],[VALOR_TOTAL]],"")</f>
        <v>10588.83</v>
      </c>
      <c r="O281" t="str">
        <f>IF(tblCalculo[[#This Row],[STATUS]]="PERDIDO",tblCalculo[[#This Row],[VALOR_TOTAL]],"")</f>
        <v/>
      </c>
      <c r="P281" t="str">
        <f>IF(tblCalculo[[#This Row],[STATUS]]="CONCLUÍDO",tblCalculo[[#This Row],[VALOR_TOTAL]],"")</f>
        <v/>
      </c>
    </row>
    <row r="282" spans="1:16" x14ac:dyDescent="0.25">
      <c r="A282" t="str">
        <f>tblVendas[[#This Row],[NR_SIMULACAO]]</f>
        <v>SIM1272</v>
      </c>
      <c r="B282" s="34" t="str">
        <f>_xlfn.XLOOKUP(A282,tblVendas[[#This Row],[NR_SIMULACAO]],tblVendas[[#This Row],[NR_CNPJ]],"")</f>
        <v>47.484.685/0001-30</v>
      </c>
      <c r="C282" t="str">
        <f>_xlfn.XLOOKUP(A282,tblVendas[[#This Row],[NR_SIMULACAO]],tblVendas[[#This Row],[STATUS]],"")</f>
        <v>EM ANÁLISE</v>
      </c>
      <c r="D282" t="str">
        <f>_xlfn.XLOOKUP(A282,tblVendas[[#This Row],[NR_SIMULACAO]],tblVendas[[#This Row],[MES]],"")</f>
        <v>Setembro</v>
      </c>
      <c r="E282">
        <f>SUM(_xlfn.XLOOKUP(tblCalculo[[#This Row],[NR_SIMULACAO]],tblVendas[[#This Row],[NR_SIMULACAO]],tblVendas[[#This Row],[VALOR_MOVEL]],""):_xlfn.XLOOKUP(tblCalculo[[#This Row],[NR_SIMULACAO]],tblVendas[[#This Row],[NR_SIMULACAO]],tblVendas[[#This Row],[VALOR_APARELHO]],""))</f>
        <v>9687.75</v>
      </c>
      <c r="F282">
        <f>IF(tblCalculo[[#This Row],[STATUS]]="CONCLUÍDO",_xlfn.XLOOKUP(tblCalculo[[#This Row],[NR_SIMULACAO]],tblVendas[[#This Row],[NR_SIMULACAO]],tblVendas[[#This Row],[VALOR_MOVEL]],""),0)</f>
        <v>0</v>
      </c>
      <c r="G282">
        <f>IF(tblCalculo[[#This Row],[STATUS]]="CONCLUÍDO",_xlfn.XLOOKUP(tblCalculo[[#This Row],[NR_SIMULACAO]],tblVendas[[#This Row],[NR_SIMULACAO]],tblVendas[[#This Row],[VALOR_AVANCADO]],""),0)</f>
        <v>0</v>
      </c>
      <c r="H282">
        <f>IF(tblCalculo[[#This Row],[STATUS]]="CONCLUÍDO",_xlfn.XLOOKUP(tblCalculo[[#This Row],[NR_SIMULACAO]],tblVendas[[#This Row],[NR_SIMULACAO]],tblVendas[[#This Row],[VALOR_FIXABASICA]],""),0)</f>
        <v>0</v>
      </c>
      <c r="I282">
        <f>IF(tblCalculo[[#This Row],[STATUS]]="CONCLUÍDO",_xlfn.XLOOKUP(tblCalculo[[#This Row],[NR_SIMULACAO]],tblVendas[[#This Row],[NR_SIMULACAO]],tblVendas[[#This Row],[VALOR_TI]],""),0)</f>
        <v>0</v>
      </c>
      <c r="J282">
        <f>IF(tblCalculo[[#This Row],[STATUS]]="CONCLUÍDO",_xlfn.XLOOKUP(tblCalculo[[#This Row],[NR_SIMULACAO]],tblVendas[[#This Row],[NR_SIMULACAO]],tblVendas[[#This Row],[VALOR_APARELHO]],""),0)</f>
        <v>0</v>
      </c>
      <c r="K282" t="str">
        <f>IF(tblCalculo[[#This Row],[STATUS]]="NEGOCIANDO",tblCalculo[[#This Row],[VALOR_TOTAL]],"")</f>
        <v/>
      </c>
      <c r="L282" t="str">
        <f>IF(tblCalculo[[#This Row],[STATUS]]="ALÇADA",tblCalculo[[#This Row],[VALOR_TOTAL]],"")</f>
        <v/>
      </c>
      <c r="M282">
        <f>IF(tblCalculo[[#This Row],[STATUS]]="EM ANÁLISE",tblCalculo[[#This Row],[VALOR_TOTAL]],"")</f>
        <v>9687.75</v>
      </c>
      <c r="N282" t="str">
        <f>IF(tblCalculo[[#This Row],[STATUS]]="TRAMITANDO",tblCalculo[[#This Row],[VALOR_TOTAL]],"")</f>
        <v/>
      </c>
      <c r="O282" t="str">
        <f>IF(tblCalculo[[#This Row],[STATUS]]="PERDIDO",tblCalculo[[#This Row],[VALOR_TOTAL]],"")</f>
        <v/>
      </c>
      <c r="P282" t="str">
        <f>IF(tblCalculo[[#This Row],[STATUS]]="CONCLUÍDO",tblCalculo[[#This Row],[VALOR_TOTAL]],"")</f>
        <v/>
      </c>
    </row>
    <row r="283" spans="1:16" x14ac:dyDescent="0.25">
      <c r="A283" t="str">
        <f>tblVendas[[#This Row],[NR_SIMULACAO]]</f>
        <v>SIM1273</v>
      </c>
      <c r="B283" s="34" t="str">
        <f>_xlfn.XLOOKUP(A283,tblVendas[[#This Row],[NR_SIMULACAO]],tblVendas[[#This Row],[NR_CNPJ]],"")</f>
        <v>96.463.636/0001-62</v>
      </c>
      <c r="C283" t="str">
        <f>_xlfn.XLOOKUP(A283,tblVendas[[#This Row],[NR_SIMULACAO]],tblVendas[[#This Row],[STATUS]],"")</f>
        <v>CONCLUÍDO</v>
      </c>
      <c r="D283" t="str">
        <f>_xlfn.XLOOKUP(A283,tblVendas[[#This Row],[NR_SIMULACAO]],tblVendas[[#This Row],[MES]],"")</f>
        <v>Novembro</v>
      </c>
      <c r="E283">
        <f>SUM(_xlfn.XLOOKUP(tblCalculo[[#This Row],[NR_SIMULACAO]],tblVendas[[#This Row],[NR_SIMULACAO]],tblVendas[[#This Row],[VALOR_MOVEL]],""):_xlfn.XLOOKUP(tblCalculo[[#This Row],[NR_SIMULACAO]],tblVendas[[#This Row],[NR_SIMULACAO]],tblVendas[[#This Row],[VALOR_APARELHO]],""))</f>
        <v>19666.07</v>
      </c>
      <c r="F283">
        <f>IF(tblCalculo[[#This Row],[STATUS]]="CONCLUÍDO",_xlfn.XLOOKUP(tblCalculo[[#This Row],[NR_SIMULACAO]],tblVendas[[#This Row],[NR_SIMULACAO]],tblVendas[[#This Row],[VALOR_MOVEL]],""),0)</f>
        <v>0</v>
      </c>
      <c r="G283">
        <f>IF(tblCalculo[[#This Row],[STATUS]]="CONCLUÍDO",_xlfn.XLOOKUP(tblCalculo[[#This Row],[NR_SIMULACAO]],tblVendas[[#This Row],[NR_SIMULACAO]],tblVendas[[#This Row],[VALOR_AVANCADO]],""),0)</f>
        <v>4224.03</v>
      </c>
      <c r="H283">
        <f>IF(tblCalculo[[#This Row],[STATUS]]="CONCLUÍDO",_xlfn.XLOOKUP(tblCalculo[[#This Row],[NR_SIMULACAO]],tblVendas[[#This Row],[NR_SIMULACAO]],tblVendas[[#This Row],[VALOR_FIXABASICA]],""),0)</f>
        <v>0</v>
      </c>
      <c r="I283">
        <f>IF(tblCalculo[[#This Row],[STATUS]]="CONCLUÍDO",_xlfn.XLOOKUP(tblCalculo[[#This Row],[NR_SIMULACAO]],tblVendas[[#This Row],[NR_SIMULACAO]],tblVendas[[#This Row],[VALOR_TI]],""),0)</f>
        <v>2517.12</v>
      </c>
      <c r="J283">
        <f>IF(tblCalculo[[#This Row],[STATUS]]="CONCLUÍDO",_xlfn.XLOOKUP(tblCalculo[[#This Row],[NR_SIMULACAO]],tblVendas[[#This Row],[NR_SIMULACAO]],tblVendas[[#This Row],[VALOR_APARELHO]],""),0)</f>
        <v>12924.92</v>
      </c>
      <c r="K283" t="str">
        <f>IF(tblCalculo[[#This Row],[STATUS]]="NEGOCIANDO",tblCalculo[[#This Row],[VALOR_TOTAL]],"")</f>
        <v/>
      </c>
      <c r="L283" t="str">
        <f>IF(tblCalculo[[#This Row],[STATUS]]="ALÇADA",tblCalculo[[#This Row],[VALOR_TOTAL]],"")</f>
        <v/>
      </c>
      <c r="M283" t="str">
        <f>IF(tblCalculo[[#This Row],[STATUS]]="EM ANÁLISE",tblCalculo[[#This Row],[VALOR_TOTAL]],"")</f>
        <v/>
      </c>
      <c r="N283" t="str">
        <f>IF(tblCalculo[[#This Row],[STATUS]]="TRAMITANDO",tblCalculo[[#This Row],[VALOR_TOTAL]],"")</f>
        <v/>
      </c>
      <c r="O283" t="str">
        <f>IF(tblCalculo[[#This Row],[STATUS]]="PERDIDO",tblCalculo[[#This Row],[VALOR_TOTAL]],"")</f>
        <v/>
      </c>
      <c r="P283">
        <f>IF(tblCalculo[[#This Row],[STATUS]]="CONCLUÍDO",tblCalculo[[#This Row],[VALOR_TOTAL]],"")</f>
        <v>19666.07</v>
      </c>
    </row>
    <row r="284" spans="1:16" x14ac:dyDescent="0.25">
      <c r="A284" t="str">
        <f>tblVendas[[#This Row],[NR_SIMULACAO]]</f>
        <v>SIM1274</v>
      </c>
      <c r="B284" s="34" t="str">
        <f>_xlfn.XLOOKUP(A284,tblVendas[[#This Row],[NR_SIMULACAO]],tblVendas[[#This Row],[NR_CNPJ]],"")</f>
        <v>82.917.975/0001-45</v>
      </c>
      <c r="C284" t="str">
        <f>_xlfn.XLOOKUP(A284,tblVendas[[#This Row],[NR_SIMULACAO]],tblVendas[[#This Row],[STATUS]],"")</f>
        <v>TRAMITANDO</v>
      </c>
      <c r="D284" t="str">
        <f>_xlfn.XLOOKUP(A284,tblVendas[[#This Row],[NR_SIMULACAO]],tblVendas[[#This Row],[MES]],"")</f>
        <v>Janeiro</v>
      </c>
      <c r="E284">
        <f>SUM(_xlfn.XLOOKUP(tblCalculo[[#This Row],[NR_SIMULACAO]],tblVendas[[#This Row],[NR_SIMULACAO]],tblVendas[[#This Row],[VALOR_MOVEL]],""):_xlfn.XLOOKUP(tblCalculo[[#This Row],[NR_SIMULACAO]],tblVendas[[#This Row],[NR_SIMULACAO]],tblVendas[[#This Row],[VALOR_APARELHO]],""))</f>
        <v>235.13</v>
      </c>
      <c r="F284">
        <f>IF(tblCalculo[[#This Row],[STATUS]]="CONCLUÍDO",_xlfn.XLOOKUP(tblCalculo[[#This Row],[NR_SIMULACAO]],tblVendas[[#This Row],[NR_SIMULACAO]],tblVendas[[#This Row],[VALOR_MOVEL]],""),0)</f>
        <v>0</v>
      </c>
      <c r="G284">
        <f>IF(tblCalculo[[#This Row],[STATUS]]="CONCLUÍDO",_xlfn.XLOOKUP(tblCalculo[[#This Row],[NR_SIMULACAO]],tblVendas[[#This Row],[NR_SIMULACAO]],tblVendas[[#This Row],[VALOR_AVANCADO]],""),0)</f>
        <v>0</v>
      </c>
      <c r="H284">
        <f>IF(tblCalculo[[#This Row],[STATUS]]="CONCLUÍDO",_xlfn.XLOOKUP(tblCalculo[[#This Row],[NR_SIMULACAO]],tblVendas[[#This Row],[NR_SIMULACAO]],tblVendas[[#This Row],[VALOR_FIXABASICA]],""),0)</f>
        <v>0</v>
      </c>
      <c r="I284">
        <f>IF(tblCalculo[[#This Row],[STATUS]]="CONCLUÍDO",_xlfn.XLOOKUP(tblCalculo[[#This Row],[NR_SIMULACAO]],tblVendas[[#This Row],[NR_SIMULACAO]],tblVendas[[#This Row],[VALOR_TI]],""),0)</f>
        <v>0</v>
      </c>
      <c r="J284">
        <f>IF(tblCalculo[[#This Row],[STATUS]]="CONCLUÍDO",_xlfn.XLOOKUP(tblCalculo[[#This Row],[NR_SIMULACAO]],tblVendas[[#This Row],[NR_SIMULACAO]],tblVendas[[#This Row],[VALOR_APARELHO]],""),0)</f>
        <v>0</v>
      </c>
      <c r="K284" t="str">
        <f>IF(tblCalculo[[#This Row],[STATUS]]="NEGOCIANDO",tblCalculo[[#This Row],[VALOR_TOTAL]],"")</f>
        <v/>
      </c>
      <c r="L284" t="str">
        <f>IF(tblCalculo[[#This Row],[STATUS]]="ALÇADA",tblCalculo[[#This Row],[VALOR_TOTAL]],"")</f>
        <v/>
      </c>
      <c r="M284" t="str">
        <f>IF(tblCalculo[[#This Row],[STATUS]]="EM ANÁLISE",tblCalculo[[#This Row],[VALOR_TOTAL]],"")</f>
        <v/>
      </c>
      <c r="N284">
        <f>IF(tblCalculo[[#This Row],[STATUS]]="TRAMITANDO",tblCalculo[[#This Row],[VALOR_TOTAL]],"")</f>
        <v>235.13</v>
      </c>
      <c r="O284" t="str">
        <f>IF(tblCalculo[[#This Row],[STATUS]]="PERDIDO",tblCalculo[[#This Row],[VALOR_TOTAL]],"")</f>
        <v/>
      </c>
      <c r="P284" t="str">
        <f>IF(tblCalculo[[#This Row],[STATUS]]="CONCLUÍDO",tblCalculo[[#This Row],[VALOR_TOTAL]],"")</f>
        <v/>
      </c>
    </row>
    <row r="285" spans="1:16" x14ac:dyDescent="0.25">
      <c r="A285" t="str">
        <f>tblVendas[[#This Row],[NR_SIMULACAO]]</f>
        <v>SIM1275</v>
      </c>
      <c r="B285" s="34" t="str">
        <f>_xlfn.XLOOKUP(A285,tblVendas[[#This Row],[NR_SIMULACAO]],tblVendas[[#This Row],[NR_CNPJ]],"")</f>
        <v>50.476.571/0001-70</v>
      </c>
      <c r="C285" t="str">
        <f>_xlfn.XLOOKUP(A285,tblVendas[[#This Row],[NR_SIMULACAO]],tblVendas[[#This Row],[STATUS]],"")</f>
        <v>NEGOCIANDO</v>
      </c>
      <c r="D285" t="str">
        <f>_xlfn.XLOOKUP(A285,tblVendas[[#This Row],[NR_SIMULACAO]],tblVendas[[#This Row],[MES]],"")</f>
        <v>Abril</v>
      </c>
      <c r="E285">
        <f>SUM(_xlfn.XLOOKUP(tblCalculo[[#This Row],[NR_SIMULACAO]],tblVendas[[#This Row],[NR_SIMULACAO]],tblVendas[[#This Row],[VALOR_MOVEL]],""):_xlfn.XLOOKUP(tblCalculo[[#This Row],[NR_SIMULACAO]],tblVendas[[#This Row],[NR_SIMULACAO]],tblVendas[[#This Row],[VALOR_APARELHO]],""))</f>
        <v>16172.960000000001</v>
      </c>
      <c r="F285">
        <f>IF(tblCalculo[[#This Row],[STATUS]]="CONCLUÍDO",_xlfn.XLOOKUP(tblCalculo[[#This Row],[NR_SIMULACAO]],tblVendas[[#This Row],[NR_SIMULACAO]],tblVendas[[#This Row],[VALOR_MOVEL]],""),0)</f>
        <v>0</v>
      </c>
      <c r="G285">
        <f>IF(tblCalculo[[#This Row],[STATUS]]="CONCLUÍDO",_xlfn.XLOOKUP(tblCalculo[[#This Row],[NR_SIMULACAO]],tblVendas[[#This Row],[NR_SIMULACAO]],tblVendas[[#This Row],[VALOR_AVANCADO]],""),0)</f>
        <v>0</v>
      </c>
      <c r="H285">
        <f>IF(tblCalculo[[#This Row],[STATUS]]="CONCLUÍDO",_xlfn.XLOOKUP(tblCalculo[[#This Row],[NR_SIMULACAO]],tblVendas[[#This Row],[NR_SIMULACAO]],tblVendas[[#This Row],[VALOR_FIXABASICA]],""),0)</f>
        <v>0</v>
      </c>
      <c r="I285">
        <f>IF(tblCalculo[[#This Row],[STATUS]]="CONCLUÍDO",_xlfn.XLOOKUP(tblCalculo[[#This Row],[NR_SIMULACAO]],tblVendas[[#This Row],[NR_SIMULACAO]],tblVendas[[#This Row],[VALOR_TI]],""),0)</f>
        <v>0</v>
      </c>
      <c r="J285">
        <f>IF(tblCalculo[[#This Row],[STATUS]]="CONCLUÍDO",_xlfn.XLOOKUP(tblCalculo[[#This Row],[NR_SIMULACAO]],tblVendas[[#This Row],[NR_SIMULACAO]],tblVendas[[#This Row],[VALOR_APARELHO]],""),0)</f>
        <v>0</v>
      </c>
      <c r="K285">
        <f>IF(tblCalculo[[#This Row],[STATUS]]="NEGOCIANDO",tblCalculo[[#This Row],[VALOR_TOTAL]],"")</f>
        <v>16172.960000000001</v>
      </c>
      <c r="L285" t="str">
        <f>IF(tblCalculo[[#This Row],[STATUS]]="ALÇADA",tblCalculo[[#This Row],[VALOR_TOTAL]],"")</f>
        <v/>
      </c>
      <c r="M285" t="str">
        <f>IF(tblCalculo[[#This Row],[STATUS]]="EM ANÁLISE",tblCalculo[[#This Row],[VALOR_TOTAL]],"")</f>
        <v/>
      </c>
      <c r="N285" t="str">
        <f>IF(tblCalculo[[#This Row],[STATUS]]="TRAMITANDO",tblCalculo[[#This Row],[VALOR_TOTAL]],"")</f>
        <v/>
      </c>
      <c r="O285" t="str">
        <f>IF(tblCalculo[[#This Row],[STATUS]]="PERDIDO",tblCalculo[[#This Row],[VALOR_TOTAL]],"")</f>
        <v/>
      </c>
      <c r="P285" t="str">
        <f>IF(tblCalculo[[#This Row],[STATUS]]="CONCLUÍDO",tblCalculo[[#This Row],[VALOR_TOTAL]],"")</f>
        <v/>
      </c>
    </row>
    <row r="286" spans="1:16" x14ac:dyDescent="0.25">
      <c r="A286" t="str">
        <f>tblVendas[[#This Row],[NR_SIMULACAO]]</f>
        <v>SIM1276</v>
      </c>
      <c r="B286" s="34" t="str">
        <f>_xlfn.XLOOKUP(A286,tblVendas[[#This Row],[NR_SIMULACAO]],tblVendas[[#This Row],[NR_CNPJ]],"")</f>
        <v>96.774.216/0001-23</v>
      </c>
      <c r="C286" t="str">
        <f>_xlfn.XLOOKUP(A286,tblVendas[[#This Row],[NR_SIMULACAO]],tblVendas[[#This Row],[STATUS]],"")</f>
        <v>NEGOCIANDO</v>
      </c>
      <c r="D286" t="str">
        <f>_xlfn.XLOOKUP(A286,tblVendas[[#This Row],[NR_SIMULACAO]],tblVendas[[#This Row],[MES]],"")</f>
        <v>Setembro</v>
      </c>
      <c r="E286">
        <f>SUM(_xlfn.XLOOKUP(tblCalculo[[#This Row],[NR_SIMULACAO]],tblVendas[[#This Row],[NR_SIMULACAO]],tblVendas[[#This Row],[VALOR_MOVEL]],""):_xlfn.XLOOKUP(tblCalculo[[#This Row],[NR_SIMULACAO]],tblVendas[[#This Row],[NR_SIMULACAO]],tblVendas[[#This Row],[VALOR_APARELHO]],""))</f>
        <v>4762</v>
      </c>
      <c r="F286">
        <f>IF(tblCalculo[[#This Row],[STATUS]]="CONCLUÍDO",_xlfn.XLOOKUP(tblCalculo[[#This Row],[NR_SIMULACAO]],tblVendas[[#This Row],[NR_SIMULACAO]],tblVendas[[#This Row],[VALOR_MOVEL]],""),0)</f>
        <v>0</v>
      </c>
      <c r="G286">
        <f>IF(tblCalculo[[#This Row],[STATUS]]="CONCLUÍDO",_xlfn.XLOOKUP(tblCalculo[[#This Row],[NR_SIMULACAO]],tblVendas[[#This Row],[NR_SIMULACAO]],tblVendas[[#This Row],[VALOR_AVANCADO]],""),0)</f>
        <v>0</v>
      </c>
      <c r="H286">
        <f>IF(tblCalculo[[#This Row],[STATUS]]="CONCLUÍDO",_xlfn.XLOOKUP(tblCalculo[[#This Row],[NR_SIMULACAO]],tblVendas[[#This Row],[NR_SIMULACAO]],tblVendas[[#This Row],[VALOR_FIXABASICA]],""),0)</f>
        <v>0</v>
      </c>
      <c r="I286">
        <f>IF(tblCalculo[[#This Row],[STATUS]]="CONCLUÍDO",_xlfn.XLOOKUP(tblCalculo[[#This Row],[NR_SIMULACAO]],tblVendas[[#This Row],[NR_SIMULACAO]],tblVendas[[#This Row],[VALOR_TI]],""),0)</f>
        <v>0</v>
      </c>
      <c r="J286">
        <f>IF(tblCalculo[[#This Row],[STATUS]]="CONCLUÍDO",_xlfn.XLOOKUP(tblCalculo[[#This Row],[NR_SIMULACAO]],tblVendas[[#This Row],[NR_SIMULACAO]],tblVendas[[#This Row],[VALOR_APARELHO]],""),0)</f>
        <v>0</v>
      </c>
      <c r="K286">
        <f>IF(tblCalculo[[#This Row],[STATUS]]="NEGOCIANDO",tblCalculo[[#This Row],[VALOR_TOTAL]],"")</f>
        <v>4762</v>
      </c>
      <c r="L286" t="str">
        <f>IF(tblCalculo[[#This Row],[STATUS]]="ALÇADA",tblCalculo[[#This Row],[VALOR_TOTAL]],"")</f>
        <v/>
      </c>
      <c r="M286" t="str">
        <f>IF(tblCalculo[[#This Row],[STATUS]]="EM ANÁLISE",tblCalculo[[#This Row],[VALOR_TOTAL]],"")</f>
        <v/>
      </c>
      <c r="N286" t="str">
        <f>IF(tblCalculo[[#This Row],[STATUS]]="TRAMITANDO",tblCalculo[[#This Row],[VALOR_TOTAL]],"")</f>
        <v/>
      </c>
      <c r="O286" t="str">
        <f>IF(tblCalculo[[#This Row],[STATUS]]="PERDIDO",tblCalculo[[#This Row],[VALOR_TOTAL]],"")</f>
        <v/>
      </c>
      <c r="P286" t="str">
        <f>IF(tblCalculo[[#This Row],[STATUS]]="CONCLUÍDO",tblCalculo[[#This Row],[VALOR_TOTAL]],"")</f>
        <v/>
      </c>
    </row>
    <row r="287" spans="1:16" x14ac:dyDescent="0.25">
      <c r="A287" t="str">
        <f>tblVendas[[#This Row],[NR_SIMULACAO]]</f>
        <v>SIM1277</v>
      </c>
      <c r="B287" s="34" t="str">
        <f>_xlfn.XLOOKUP(A287,tblVendas[[#This Row],[NR_SIMULACAO]],tblVendas[[#This Row],[NR_CNPJ]],"")</f>
        <v>86.388.350/0001-78</v>
      </c>
      <c r="C287" t="str">
        <f>_xlfn.XLOOKUP(A287,tblVendas[[#This Row],[NR_SIMULACAO]],tblVendas[[#This Row],[STATUS]],"")</f>
        <v>TRAMITANDO</v>
      </c>
      <c r="D287" t="str">
        <f>_xlfn.XLOOKUP(A287,tblVendas[[#This Row],[NR_SIMULACAO]],tblVendas[[#This Row],[MES]],"")</f>
        <v>Agosto</v>
      </c>
      <c r="E287">
        <f>SUM(_xlfn.XLOOKUP(tblCalculo[[#This Row],[NR_SIMULACAO]],tblVendas[[#This Row],[NR_SIMULACAO]],tblVendas[[#This Row],[VALOR_MOVEL]],""):_xlfn.XLOOKUP(tblCalculo[[#This Row],[NR_SIMULACAO]],tblVendas[[#This Row],[NR_SIMULACAO]],tblVendas[[#This Row],[VALOR_APARELHO]],""))</f>
        <v>5502.46</v>
      </c>
      <c r="F287">
        <f>IF(tblCalculo[[#This Row],[STATUS]]="CONCLUÍDO",_xlfn.XLOOKUP(tblCalculo[[#This Row],[NR_SIMULACAO]],tblVendas[[#This Row],[NR_SIMULACAO]],tblVendas[[#This Row],[VALOR_MOVEL]],""),0)</f>
        <v>0</v>
      </c>
      <c r="G287">
        <f>IF(tblCalculo[[#This Row],[STATUS]]="CONCLUÍDO",_xlfn.XLOOKUP(tblCalculo[[#This Row],[NR_SIMULACAO]],tblVendas[[#This Row],[NR_SIMULACAO]],tblVendas[[#This Row],[VALOR_AVANCADO]],""),0)</f>
        <v>0</v>
      </c>
      <c r="H287">
        <f>IF(tblCalculo[[#This Row],[STATUS]]="CONCLUÍDO",_xlfn.XLOOKUP(tblCalculo[[#This Row],[NR_SIMULACAO]],tblVendas[[#This Row],[NR_SIMULACAO]],tblVendas[[#This Row],[VALOR_FIXABASICA]],""),0)</f>
        <v>0</v>
      </c>
      <c r="I287">
        <f>IF(tblCalculo[[#This Row],[STATUS]]="CONCLUÍDO",_xlfn.XLOOKUP(tblCalculo[[#This Row],[NR_SIMULACAO]],tblVendas[[#This Row],[NR_SIMULACAO]],tblVendas[[#This Row],[VALOR_TI]],""),0)</f>
        <v>0</v>
      </c>
      <c r="J287">
        <f>IF(tblCalculo[[#This Row],[STATUS]]="CONCLUÍDO",_xlfn.XLOOKUP(tblCalculo[[#This Row],[NR_SIMULACAO]],tblVendas[[#This Row],[NR_SIMULACAO]],tblVendas[[#This Row],[VALOR_APARELHO]],""),0)</f>
        <v>0</v>
      </c>
      <c r="K287" t="str">
        <f>IF(tblCalculo[[#This Row],[STATUS]]="NEGOCIANDO",tblCalculo[[#This Row],[VALOR_TOTAL]],"")</f>
        <v/>
      </c>
      <c r="L287" t="str">
        <f>IF(tblCalculo[[#This Row],[STATUS]]="ALÇADA",tblCalculo[[#This Row],[VALOR_TOTAL]],"")</f>
        <v/>
      </c>
      <c r="M287" t="str">
        <f>IF(tblCalculo[[#This Row],[STATUS]]="EM ANÁLISE",tblCalculo[[#This Row],[VALOR_TOTAL]],"")</f>
        <v/>
      </c>
      <c r="N287">
        <f>IF(tblCalculo[[#This Row],[STATUS]]="TRAMITANDO",tblCalculo[[#This Row],[VALOR_TOTAL]],"")</f>
        <v>5502.46</v>
      </c>
      <c r="O287" t="str">
        <f>IF(tblCalculo[[#This Row],[STATUS]]="PERDIDO",tblCalculo[[#This Row],[VALOR_TOTAL]],"")</f>
        <v/>
      </c>
      <c r="P287" t="str">
        <f>IF(tblCalculo[[#This Row],[STATUS]]="CONCLUÍDO",tblCalculo[[#This Row],[VALOR_TOTAL]],"")</f>
        <v/>
      </c>
    </row>
    <row r="288" spans="1:16" x14ac:dyDescent="0.25">
      <c r="A288" t="str">
        <f>tblVendas[[#This Row],[NR_SIMULACAO]]</f>
        <v>SIM1278</v>
      </c>
      <c r="B288" s="34" t="str">
        <f>_xlfn.XLOOKUP(A288,tblVendas[[#This Row],[NR_SIMULACAO]],tblVendas[[#This Row],[NR_CNPJ]],"")</f>
        <v>96.627.572/0001-56</v>
      </c>
      <c r="C288" t="str">
        <f>_xlfn.XLOOKUP(A288,tblVendas[[#This Row],[NR_SIMULACAO]],tblVendas[[#This Row],[STATUS]],"")</f>
        <v>PERDIDO</v>
      </c>
      <c r="D288" t="str">
        <f>_xlfn.XLOOKUP(A288,tblVendas[[#This Row],[NR_SIMULACAO]],tblVendas[[#This Row],[MES]],"")</f>
        <v>Fevereiro</v>
      </c>
      <c r="E288">
        <f>SUM(_xlfn.XLOOKUP(tblCalculo[[#This Row],[NR_SIMULACAO]],tblVendas[[#This Row],[NR_SIMULACAO]],tblVendas[[#This Row],[VALOR_MOVEL]],""):_xlfn.XLOOKUP(tblCalculo[[#This Row],[NR_SIMULACAO]],tblVendas[[#This Row],[NR_SIMULACAO]],tblVendas[[#This Row],[VALOR_APARELHO]],""))</f>
        <v>11392.42</v>
      </c>
      <c r="F288">
        <f>IF(tblCalculo[[#This Row],[STATUS]]="CONCLUÍDO",_xlfn.XLOOKUP(tblCalculo[[#This Row],[NR_SIMULACAO]],tblVendas[[#This Row],[NR_SIMULACAO]],tblVendas[[#This Row],[VALOR_MOVEL]],""),0)</f>
        <v>0</v>
      </c>
      <c r="G288">
        <f>IF(tblCalculo[[#This Row],[STATUS]]="CONCLUÍDO",_xlfn.XLOOKUP(tblCalculo[[#This Row],[NR_SIMULACAO]],tblVendas[[#This Row],[NR_SIMULACAO]],tblVendas[[#This Row],[VALOR_AVANCADO]],""),0)</f>
        <v>0</v>
      </c>
      <c r="H288">
        <f>IF(tblCalculo[[#This Row],[STATUS]]="CONCLUÍDO",_xlfn.XLOOKUP(tblCalculo[[#This Row],[NR_SIMULACAO]],tblVendas[[#This Row],[NR_SIMULACAO]],tblVendas[[#This Row],[VALOR_FIXABASICA]],""),0)</f>
        <v>0</v>
      </c>
      <c r="I288">
        <f>IF(tblCalculo[[#This Row],[STATUS]]="CONCLUÍDO",_xlfn.XLOOKUP(tblCalculo[[#This Row],[NR_SIMULACAO]],tblVendas[[#This Row],[NR_SIMULACAO]],tblVendas[[#This Row],[VALOR_TI]],""),0)</f>
        <v>0</v>
      </c>
      <c r="J288">
        <f>IF(tblCalculo[[#This Row],[STATUS]]="CONCLUÍDO",_xlfn.XLOOKUP(tblCalculo[[#This Row],[NR_SIMULACAO]],tblVendas[[#This Row],[NR_SIMULACAO]],tblVendas[[#This Row],[VALOR_APARELHO]],""),0)</f>
        <v>0</v>
      </c>
      <c r="K288" t="str">
        <f>IF(tblCalculo[[#This Row],[STATUS]]="NEGOCIANDO",tblCalculo[[#This Row],[VALOR_TOTAL]],"")</f>
        <v/>
      </c>
      <c r="L288" t="str">
        <f>IF(tblCalculo[[#This Row],[STATUS]]="ALÇADA",tblCalculo[[#This Row],[VALOR_TOTAL]],"")</f>
        <v/>
      </c>
      <c r="M288" t="str">
        <f>IF(tblCalculo[[#This Row],[STATUS]]="EM ANÁLISE",tblCalculo[[#This Row],[VALOR_TOTAL]],"")</f>
        <v/>
      </c>
      <c r="N288" t="str">
        <f>IF(tblCalculo[[#This Row],[STATUS]]="TRAMITANDO",tblCalculo[[#This Row],[VALOR_TOTAL]],"")</f>
        <v/>
      </c>
      <c r="O288">
        <f>IF(tblCalculo[[#This Row],[STATUS]]="PERDIDO",tblCalculo[[#This Row],[VALOR_TOTAL]],"")</f>
        <v>11392.42</v>
      </c>
      <c r="P288" t="str">
        <f>IF(tblCalculo[[#This Row],[STATUS]]="CONCLUÍDO",tblCalculo[[#This Row],[VALOR_TOTAL]],"")</f>
        <v/>
      </c>
    </row>
    <row r="289" spans="1:16" x14ac:dyDescent="0.25">
      <c r="A289" t="str">
        <f>tblVendas[[#This Row],[NR_SIMULACAO]]</f>
        <v>SIM1279</v>
      </c>
      <c r="B289" s="34" t="str">
        <f>_xlfn.XLOOKUP(A289,tblVendas[[#This Row],[NR_SIMULACAO]],tblVendas[[#This Row],[NR_CNPJ]],"")</f>
        <v>29.789.831/0001-79</v>
      </c>
      <c r="C289" t="str">
        <f>_xlfn.XLOOKUP(A289,tblVendas[[#This Row],[NR_SIMULACAO]],tblVendas[[#This Row],[STATUS]],"")</f>
        <v>TRAMITANDO</v>
      </c>
      <c r="D289" t="str">
        <f>_xlfn.XLOOKUP(A289,tblVendas[[#This Row],[NR_SIMULACAO]],tblVendas[[#This Row],[MES]],"")</f>
        <v>Fevereiro</v>
      </c>
      <c r="E289">
        <f>SUM(_xlfn.XLOOKUP(tblCalculo[[#This Row],[NR_SIMULACAO]],tblVendas[[#This Row],[NR_SIMULACAO]],tblVendas[[#This Row],[VALOR_MOVEL]],""):_xlfn.XLOOKUP(tblCalculo[[#This Row],[NR_SIMULACAO]],tblVendas[[#This Row],[NR_SIMULACAO]],tblVendas[[#This Row],[VALOR_APARELHO]],""))</f>
        <v>11579.06</v>
      </c>
      <c r="F289">
        <f>IF(tblCalculo[[#This Row],[STATUS]]="CONCLUÍDO",_xlfn.XLOOKUP(tblCalculo[[#This Row],[NR_SIMULACAO]],tblVendas[[#This Row],[NR_SIMULACAO]],tblVendas[[#This Row],[VALOR_MOVEL]],""),0)</f>
        <v>0</v>
      </c>
      <c r="G289">
        <f>IF(tblCalculo[[#This Row],[STATUS]]="CONCLUÍDO",_xlfn.XLOOKUP(tblCalculo[[#This Row],[NR_SIMULACAO]],tblVendas[[#This Row],[NR_SIMULACAO]],tblVendas[[#This Row],[VALOR_AVANCADO]],""),0)</f>
        <v>0</v>
      </c>
      <c r="H289">
        <f>IF(tblCalculo[[#This Row],[STATUS]]="CONCLUÍDO",_xlfn.XLOOKUP(tblCalculo[[#This Row],[NR_SIMULACAO]],tblVendas[[#This Row],[NR_SIMULACAO]],tblVendas[[#This Row],[VALOR_FIXABASICA]],""),0)</f>
        <v>0</v>
      </c>
      <c r="I289">
        <f>IF(tblCalculo[[#This Row],[STATUS]]="CONCLUÍDO",_xlfn.XLOOKUP(tblCalculo[[#This Row],[NR_SIMULACAO]],tblVendas[[#This Row],[NR_SIMULACAO]],tblVendas[[#This Row],[VALOR_TI]],""),0)</f>
        <v>0</v>
      </c>
      <c r="J289">
        <f>IF(tblCalculo[[#This Row],[STATUS]]="CONCLUÍDO",_xlfn.XLOOKUP(tblCalculo[[#This Row],[NR_SIMULACAO]],tblVendas[[#This Row],[NR_SIMULACAO]],tblVendas[[#This Row],[VALOR_APARELHO]],""),0)</f>
        <v>0</v>
      </c>
      <c r="K289" t="str">
        <f>IF(tblCalculo[[#This Row],[STATUS]]="NEGOCIANDO",tblCalculo[[#This Row],[VALOR_TOTAL]],"")</f>
        <v/>
      </c>
      <c r="L289" t="str">
        <f>IF(tblCalculo[[#This Row],[STATUS]]="ALÇADA",tblCalculo[[#This Row],[VALOR_TOTAL]],"")</f>
        <v/>
      </c>
      <c r="M289" t="str">
        <f>IF(tblCalculo[[#This Row],[STATUS]]="EM ANÁLISE",tblCalculo[[#This Row],[VALOR_TOTAL]],"")</f>
        <v/>
      </c>
      <c r="N289">
        <f>IF(tblCalculo[[#This Row],[STATUS]]="TRAMITANDO",tblCalculo[[#This Row],[VALOR_TOTAL]],"")</f>
        <v>11579.06</v>
      </c>
      <c r="O289" t="str">
        <f>IF(tblCalculo[[#This Row],[STATUS]]="PERDIDO",tblCalculo[[#This Row],[VALOR_TOTAL]],"")</f>
        <v/>
      </c>
      <c r="P289" t="str">
        <f>IF(tblCalculo[[#This Row],[STATUS]]="CONCLUÍDO",tblCalculo[[#This Row],[VALOR_TOTAL]],"")</f>
        <v/>
      </c>
    </row>
    <row r="290" spans="1:16" x14ac:dyDescent="0.25">
      <c r="A290" t="str">
        <f>tblVendas[[#This Row],[NR_SIMULACAO]]</f>
        <v>SIM1280</v>
      </c>
      <c r="B290" s="34" t="str">
        <f>_xlfn.XLOOKUP(A290,tblVendas[[#This Row],[NR_SIMULACAO]],tblVendas[[#This Row],[NR_CNPJ]],"")</f>
        <v>80.274.394/0001-32</v>
      </c>
      <c r="C290" t="str">
        <f>_xlfn.XLOOKUP(A290,tblVendas[[#This Row],[NR_SIMULACAO]],tblVendas[[#This Row],[STATUS]],"")</f>
        <v>ALÇADA</v>
      </c>
      <c r="D290" t="str">
        <f>_xlfn.XLOOKUP(A290,tblVendas[[#This Row],[NR_SIMULACAO]],tblVendas[[#This Row],[MES]],"")</f>
        <v>Julho</v>
      </c>
      <c r="E290">
        <f>SUM(_xlfn.XLOOKUP(tblCalculo[[#This Row],[NR_SIMULACAO]],tblVendas[[#This Row],[NR_SIMULACAO]],tblVendas[[#This Row],[VALOR_MOVEL]],""):_xlfn.XLOOKUP(tblCalculo[[#This Row],[NR_SIMULACAO]],tblVendas[[#This Row],[NR_SIMULACAO]],tblVendas[[#This Row],[VALOR_APARELHO]],""))</f>
        <v>3620.65</v>
      </c>
      <c r="F290">
        <f>IF(tblCalculo[[#This Row],[STATUS]]="CONCLUÍDO",_xlfn.XLOOKUP(tblCalculo[[#This Row],[NR_SIMULACAO]],tblVendas[[#This Row],[NR_SIMULACAO]],tblVendas[[#This Row],[VALOR_MOVEL]],""),0)</f>
        <v>0</v>
      </c>
      <c r="G290">
        <f>IF(tblCalculo[[#This Row],[STATUS]]="CONCLUÍDO",_xlfn.XLOOKUP(tblCalculo[[#This Row],[NR_SIMULACAO]],tblVendas[[#This Row],[NR_SIMULACAO]],tblVendas[[#This Row],[VALOR_AVANCADO]],""),0)</f>
        <v>0</v>
      </c>
      <c r="H290">
        <f>IF(tblCalculo[[#This Row],[STATUS]]="CONCLUÍDO",_xlfn.XLOOKUP(tblCalculo[[#This Row],[NR_SIMULACAO]],tblVendas[[#This Row],[NR_SIMULACAO]],tblVendas[[#This Row],[VALOR_FIXABASICA]],""),0)</f>
        <v>0</v>
      </c>
      <c r="I290">
        <f>IF(tblCalculo[[#This Row],[STATUS]]="CONCLUÍDO",_xlfn.XLOOKUP(tblCalculo[[#This Row],[NR_SIMULACAO]],tblVendas[[#This Row],[NR_SIMULACAO]],tblVendas[[#This Row],[VALOR_TI]],""),0)</f>
        <v>0</v>
      </c>
      <c r="J290">
        <f>IF(tblCalculo[[#This Row],[STATUS]]="CONCLUÍDO",_xlfn.XLOOKUP(tblCalculo[[#This Row],[NR_SIMULACAO]],tblVendas[[#This Row],[NR_SIMULACAO]],tblVendas[[#This Row],[VALOR_APARELHO]],""),0)</f>
        <v>0</v>
      </c>
      <c r="K290" t="str">
        <f>IF(tblCalculo[[#This Row],[STATUS]]="NEGOCIANDO",tblCalculo[[#This Row],[VALOR_TOTAL]],"")</f>
        <v/>
      </c>
      <c r="L290">
        <f>IF(tblCalculo[[#This Row],[STATUS]]="ALÇADA",tblCalculo[[#This Row],[VALOR_TOTAL]],"")</f>
        <v>3620.65</v>
      </c>
      <c r="M290" t="str">
        <f>IF(tblCalculo[[#This Row],[STATUS]]="EM ANÁLISE",tblCalculo[[#This Row],[VALOR_TOTAL]],"")</f>
        <v/>
      </c>
      <c r="N290" t="str">
        <f>IF(tblCalculo[[#This Row],[STATUS]]="TRAMITANDO",tblCalculo[[#This Row],[VALOR_TOTAL]],"")</f>
        <v/>
      </c>
      <c r="O290" t="str">
        <f>IF(tblCalculo[[#This Row],[STATUS]]="PERDIDO",tblCalculo[[#This Row],[VALOR_TOTAL]],"")</f>
        <v/>
      </c>
      <c r="P290" t="str">
        <f>IF(tblCalculo[[#This Row],[STATUS]]="CONCLUÍDO",tblCalculo[[#This Row],[VALOR_TOTAL]],"")</f>
        <v/>
      </c>
    </row>
    <row r="291" spans="1:16" x14ac:dyDescent="0.25">
      <c r="A291" t="str">
        <f>tblVendas[[#This Row],[NR_SIMULACAO]]</f>
        <v>SIM1281</v>
      </c>
      <c r="B291" s="34" t="str">
        <f>_xlfn.XLOOKUP(A291,tblVendas[[#This Row],[NR_SIMULACAO]],tblVendas[[#This Row],[NR_CNPJ]],"")</f>
        <v>47.911.414/0001-75</v>
      </c>
      <c r="C291" t="str">
        <f>_xlfn.XLOOKUP(A291,tblVendas[[#This Row],[NR_SIMULACAO]],tblVendas[[#This Row],[STATUS]],"")</f>
        <v>CONCLUÍDO</v>
      </c>
      <c r="D291" t="str">
        <f>_xlfn.XLOOKUP(A291,tblVendas[[#This Row],[NR_SIMULACAO]],tblVendas[[#This Row],[MES]],"")</f>
        <v>Novembro</v>
      </c>
      <c r="E291">
        <f>SUM(_xlfn.XLOOKUP(tblCalculo[[#This Row],[NR_SIMULACAO]],tblVendas[[#This Row],[NR_SIMULACAO]],tblVendas[[#This Row],[VALOR_MOVEL]],""):_xlfn.XLOOKUP(tblCalculo[[#This Row],[NR_SIMULACAO]],tblVendas[[#This Row],[NR_SIMULACAO]],tblVendas[[#This Row],[VALOR_APARELHO]],""))</f>
        <v>16601.37</v>
      </c>
      <c r="F291">
        <f>IF(tblCalculo[[#This Row],[STATUS]]="CONCLUÍDO",_xlfn.XLOOKUP(tblCalculo[[#This Row],[NR_SIMULACAO]],tblVendas[[#This Row],[NR_SIMULACAO]],tblVendas[[#This Row],[VALOR_MOVEL]],""),0)</f>
        <v>0</v>
      </c>
      <c r="G291">
        <f>IF(tblCalculo[[#This Row],[STATUS]]="CONCLUÍDO",_xlfn.XLOOKUP(tblCalculo[[#This Row],[NR_SIMULACAO]],tblVendas[[#This Row],[NR_SIMULACAO]],tblVendas[[#This Row],[VALOR_AVANCADO]],""),0)</f>
        <v>4544.3599999999997</v>
      </c>
      <c r="H291">
        <f>IF(tblCalculo[[#This Row],[STATUS]]="CONCLUÍDO",_xlfn.XLOOKUP(tblCalculo[[#This Row],[NR_SIMULACAO]],tblVendas[[#This Row],[NR_SIMULACAO]],tblVendas[[#This Row],[VALOR_FIXABASICA]],""),0)</f>
        <v>704.45</v>
      </c>
      <c r="I291">
        <f>IF(tblCalculo[[#This Row],[STATUS]]="CONCLUÍDO",_xlfn.XLOOKUP(tblCalculo[[#This Row],[NR_SIMULACAO]],tblVendas[[#This Row],[NR_SIMULACAO]],tblVendas[[#This Row],[VALOR_TI]],""),0)</f>
        <v>11352.56</v>
      </c>
      <c r="J291">
        <f>IF(tblCalculo[[#This Row],[STATUS]]="CONCLUÍDO",_xlfn.XLOOKUP(tblCalculo[[#This Row],[NR_SIMULACAO]],tblVendas[[#This Row],[NR_SIMULACAO]],tblVendas[[#This Row],[VALOR_APARELHO]],""),0)</f>
        <v>0</v>
      </c>
      <c r="K291" t="str">
        <f>IF(tblCalculo[[#This Row],[STATUS]]="NEGOCIANDO",tblCalculo[[#This Row],[VALOR_TOTAL]],"")</f>
        <v/>
      </c>
      <c r="L291" t="str">
        <f>IF(tblCalculo[[#This Row],[STATUS]]="ALÇADA",tblCalculo[[#This Row],[VALOR_TOTAL]],"")</f>
        <v/>
      </c>
      <c r="M291" t="str">
        <f>IF(tblCalculo[[#This Row],[STATUS]]="EM ANÁLISE",tblCalculo[[#This Row],[VALOR_TOTAL]],"")</f>
        <v/>
      </c>
      <c r="N291" t="str">
        <f>IF(tblCalculo[[#This Row],[STATUS]]="TRAMITANDO",tblCalculo[[#This Row],[VALOR_TOTAL]],"")</f>
        <v/>
      </c>
      <c r="O291" t="str">
        <f>IF(tblCalculo[[#This Row],[STATUS]]="PERDIDO",tblCalculo[[#This Row],[VALOR_TOTAL]],"")</f>
        <v/>
      </c>
      <c r="P291">
        <f>IF(tblCalculo[[#This Row],[STATUS]]="CONCLUÍDO",tblCalculo[[#This Row],[VALOR_TOTAL]],"")</f>
        <v>16601.37</v>
      </c>
    </row>
    <row r="292" spans="1:16" x14ac:dyDescent="0.25">
      <c r="A292" t="str">
        <f>tblVendas[[#This Row],[NR_SIMULACAO]]</f>
        <v>SIM1282</v>
      </c>
      <c r="B292" s="34" t="str">
        <f>_xlfn.XLOOKUP(A292,tblVendas[[#This Row],[NR_SIMULACAO]],tblVendas[[#This Row],[NR_CNPJ]],"")</f>
        <v>78.270.952/0001-69</v>
      </c>
      <c r="C292" t="str">
        <f>_xlfn.XLOOKUP(A292,tblVendas[[#This Row],[NR_SIMULACAO]],tblVendas[[#This Row],[STATUS]],"")</f>
        <v>NEGOCIANDO</v>
      </c>
      <c r="D292" t="str">
        <f>_xlfn.XLOOKUP(A292,tblVendas[[#This Row],[NR_SIMULACAO]],tblVendas[[#This Row],[MES]],"")</f>
        <v>Agosto</v>
      </c>
      <c r="E292">
        <f>SUM(_xlfn.XLOOKUP(tblCalculo[[#This Row],[NR_SIMULACAO]],tblVendas[[#This Row],[NR_SIMULACAO]],tblVendas[[#This Row],[VALOR_MOVEL]],""):_xlfn.XLOOKUP(tblCalculo[[#This Row],[NR_SIMULACAO]],tblVendas[[#This Row],[NR_SIMULACAO]],tblVendas[[#This Row],[VALOR_APARELHO]],""))</f>
        <v>12226.52</v>
      </c>
      <c r="F292">
        <f>IF(tblCalculo[[#This Row],[STATUS]]="CONCLUÍDO",_xlfn.XLOOKUP(tblCalculo[[#This Row],[NR_SIMULACAO]],tblVendas[[#This Row],[NR_SIMULACAO]],tblVendas[[#This Row],[VALOR_MOVEL]],""),0)</f>
        <v>0</v>
      </c>
      <c r="G292">
        <f>IF(tblCalculo[[#This Row],[STATUS]]="CONCLUÍDO",_xlfn.XLOOKUP(tblCalculo[[#This Row],[NR_SIMULACAO]],tblVendas[[#This Row],[NR_SIMULACAO]],tblVendas[[#This Row],[VALOR_AVANCADO]],""),0)</f>
        <v>0</v>
      </c>
      <c r="H292">
        <f>IF(tblCalculo[[#This Row],[STATUS]]="CONCLUÍDO",_xlfn.XLOOKUP(tblCalculo[[#This Row],[NR_SIMULACAO]],tblVendas[[#This Row],[NR_SIMULACAO]],tblVendas[[#This Row],[VALOR_FIXABASICA]],""),0)</f>
        <v>0</v>
      </c>
      <c r="I292">
        <f>IF(tblCalculo[[#This Row],[STATUS]]="CONCLUÍDO",_xlfn.XLOOKUP(tblCalculo[[#This Row],[NR_SIMULACAO]],tblVendas[[#This Row],[NR_SIMULACAO]],tblVendas[[#This Row],[VALOR_TI]],""),0)</f>
        <v>0</v>
      </c>
      <c r="J292">
        <f>IF(tblCalculo[[#This Row],[STATUS]]="CONCLUÍDO",_xlfn.XLOOKUP(tblCalculo[[#This Row],[NR_SIMULACAO]],tblVendas[[#This Row],[NR_SIMULACAO]],tblVendas[[#This Row],[VALOR_APARELHO]],""),0)</f>
        <v>0</v>
      </c>
      <c r="K292">
        <f>IF(tblCalculo[[#This Row],[STATUS]]="NEGOCIANDO",tblCalculo[[#This Row],[VALOR_TOTAL]],"")</f>
        <v>12226.52</v>
      </c>
      <c r="L292" t="str">
        <f>IF(tblCalculo[[#This Row],[STATUS]]="ALÇADA",tblCalculo[[#This Row],[VALOR_TOTAL]],"")</f>
        <v/>
      </c>
      <c r="M292" t="str">
        <f>IF(tblCalculo[[#This Row],[STATUS]]="EM ANÁLISE",tblCalculo[[#This Row],[VALOR_TOTAL]],"")</f>
        <v/>
      </c>
      <c r="N292" t="str">
        <f>IF(tblCalculo[[#This Row],[STATUS]]="TRAMITANDO",tblCalculo[[#This Row],[VALOR_TOTAL]],"")</f>
        <v/>
      </c>
      <c r="O292" t="str">
        <f>IF(tblCalculo[[#This Row],[STATUS]]="PERDIDO",tblCalculo[[#This Row],[VALOR_TOTAL]],"")</f>
        <v/>
      </c>
      <c r="P292" t="str">
        <f>IF(tblCalculo[[#This Row],[STATUS]]="CONCLUÍDO",tblCalculo[[#This Row],[VALOR_TOTAL]],"")</f>
        <v/>
      </c>
    </row>
    <row r="293" spans="1:16" x14ac:dyDescent="0.25">
      <c r="A293" t="str">
        <f>tblVendas[[#This Row],[NR_SIMULACAO]]</f>
        <v>SIM1283</v>
      </c>
      <c r="B293" s="34" t="str">
        <f>_xlfn.XLOOKUP(A293,tblVendas[[#This Row],[NR_SIMULACAO]],tblVendas[[#This Row],[NR_CNPJ]],"")</f>
        <v>32.972.137/0001-96</v>
      </c>
      <c r="C293" t="str">
        <f>_xlfn.XLOOKUP(A293,tblVendas[[#This Row],[NR_SIMULACAO]],tblVendas[[#This Row],[STATUS]],"")</f>
        <v>TRAMITANDO</v>
      </c>
      <c r="D293" t="str">
        <f>_xlfn.XLOOKUP(A293,tblVendas[[#This Row],[NR_SIMULACAO]],tblVendas[[#This Row],[MES]],"")</f>
        <v>Março</v>
      </c>
      <c r="E293">
        <f>SUM(_xlfn.XLOOKUP(tblCalculo[[#This Row],[NR_SIMULACAO]],tblVendas[[#This Row],[NR_SIMULACAO]],tblVendas[[#This Row],[VALOR_MOVEL]],""):_xlfn.XLOOKUP(tblCalculo[[#This Row],[NR_SIMULACAO]],tblVendas[[#This Row],[NR_SIMULACAO]],tblVendas[[#This Row],[VALOR_APARELHO]],""))</f>
        <v>3177.4</v>
      </c>
      <c r="F293">
        <f>IF(tblCalculo[[#This Row],[STATUS]]="CONCLUÍDO",_xlfn.XLOOKUP(tblCalculo[[#This Row],[NR_SIMULACAO]],tblVendas[[#This Row],[NR_SIMULACAO]],tblVendas[[#This Row],[VALOR_MOVEL]],""),0)</f>
        <v>0</v>
      </c>
      <c r="G293">
        <f>IF(tblCalculo[[#This Row],[STATUS]]="CONCLUÍDO",_xlfn.XLOOKUP(tblCalculo[[#This Row],[NR_SIMULACAO]],tblVendas[[#This Row],[NR_SIMULACAO]],tblVendas[[#This Row],[VALOR_AVANCADO]],""),0)</f>
        <v>0</v>
      </c>
      <c r="H293">
        <f>IF(tblCalculo[[#This Row],[STATUS]]="CONCLUÍDO",_xlfn.XLOOKUP(tblCalculo[[#This Row],[NR_SIMULACAO]],tblVendas[[#This Row],[NR_SIMULACAO]],tblVendas[[#This Row],[VALOR_FIXABASICA]],""),0)</f>
        <v>0</v>
      </c>
      <c r="I293">
        <f>IF(tblCalculo[[#This Row],[STATUS]]="CONCLUÍDO",_xlfn.XLOOKUP(tblCalculo[[#This Row],[NR_SIMULACAO]],tblVendas[[#This Row],[NR_SIMULACAO]],tblVendas[[#This Row],[VALOR_TI]],""),0)</f>
        <v>0</v>
      </c>
      <c r="J293">
        <f>IF(tblCalculo[[#This Row],[STATUS]]="CONCLUÍDO",_xlfn.XLOOKUP(tblCalculo[[#This Row],[NR_SIMULACAO]],tblVendas[[#This Row],[NR_SIMULACAO]],tblVendas[[#This Row],[VALOR_APARELHO]],""),0)</f>
        <v>0</v>
      </c>
      <c r="K293" t="str">
        <f>IF(tblCalculo[[#This Row],[STATUS]]="NEGOCIANDO",tblCalculo[[#This Row],[VALOR_TOTAL]],"")</f>
        <v/>
      </c>
      <c r="L293" t="str">
        <f>IF(tblCalculo[[#This Row],[STATUS]]="ALÇADA",tblCalculo[[#This Row],[VALOR_TOTAL]],"")</f>
        <v/>
      </c>
      <c r="M293" t="str">
        <f>IF(tblCalculo[[#This Row],[STATUS]]="EM ANÁLISE",tblCalculo[[#This Row],[VALOR_TOTAL]],"")</f>
        <v/>
      </c>
      <c r="N293">
        <f>IF(tblCalculo[[#This Row],[STATUS]]="TRAMITANDO",tblCalculo[[#This Row],[VALOR_TOTAL]],"")</f>
        <v>3177.4</v>
      </c>
      <c r="O293" t="str">
        <f>IF(tblCalculo[[#This Row],[STATUS]]="PERDIDO",tblCalculo[[#This Row],[VALOR_TOTAL]],"")</f>
        <v/>
      </c>
      <c r="P293" t="str">
        <f>IF(tblCalculo[[#This Row],[STATUS]]="CONCLUÍDO",tblCalculo[[#This Row],[VALOR_TOTAL]],"")</f>
        <v/>
      </c>
    </row>
    <row r="294" spans="1:16" x14ac:dyDescent="0.25">
      <c r="A294" t="str">
        <f>tblVendas[[#This Row],[NR_SIMULACAO]]</f>
        <v>SIM1284</v>
      </c>
      <c r="B294" s="34" t="str">
        <f>_xlfn.XLOOKUP(A294,tblVendas[[#This Row],[NR_SIMULACAO]],tblVendas[[#This Row],[NR_CNPJ]],"")</f>
        <v>52.223.864/0001-64</v>
      </c>
      <c r="C294" t="str">
        <f>_xlfn.XLOOKUP(A294,tblVendas[[#This Row],[NR_SIMULACAO]],tblVendas[[#This Row],[STATUS]],"")</f>
        <v>PERDIDO</v>
      </c>
      <c r="D294" t="str">
        <f>_xlfn.XLOOKUP(A294,tblVendas[[#This Row],[NR_SIMULACAO]],tblVendas[[#This Row],[MES]],"")</f>
        <v>Agosto</v>
      </c>
      <c r="E294">
        <f>SUM(_xlfn.XLOOKUP(tblCalculo[[#This Row],[NR_SIMULACAO]],tblVendas[[#This Row],[NR_SIMULACAO]],tblVendas[[#This Row],[VALOR_MOVEL]],""):_xlfn.XLOOKUP(tblCalculo[[#This Row],[NR_SIMULACAO]],tblVendas[[#This Row],[NR_SIMULACAO]],tblVendas[[#This Row],[VALOR_APARELHO]],""))</f>
        <v>4025.12</v>
      </c>
      <c r="F294">
        <f>IF(tblCalculo[[#This Row],[STATUS]]="CONCLUÍDO",_xlfn.XLOOKUP(tblCalculo[[#This Row],[NR_SIMULACAO]],tblVendas[[#This Row],[NR_SIMULACAO]],tblVendas[[#This Row],[VALOR_MOVEL]],""),0)</f>
        <v>0</v>
      </c>
      <c r="G294">
        <f>IF(tblCalculo[[#This Row],[STATUS]]="CONCLUÍDO",_xlfn.XLOOKUP(tblCalculo[[#This Row],[NR_SIMULACAO]],tblVendas[[#This Row],[NR_SIMULACAO]],tblVendas[[#This Row],[VALOR_AVANCADO]],""),0)</f>
        <v>0</v>
      </c>
      <c r="H294">
        <f>IF(tblCalculo[[#This Row],[STATUS]]="CONCLUÍDO",_xlfn.XLOOKUP(tblCalculo[[#This Row],[NR_SIMULACAO]],tblVendas[[#This Row],[NR_SIMULACAO]],tblVendas[[#This Row],[VALOR_FIXABASICA]],""),0)</f>
        <v>0</v>
      </c>
      <c r="I294">
        <f>IF(tblCalculo[[#This Row],[STATUS]]="CONCLUÍDO",_xlfn.XLOOKUP(tblCalculo[[#This Row],[NR_SIMULACAO]],tblVendas[[#This Row],[NR_SIMULACAO]],tblVendas[[#This Row],[VALOR_TI]],""),0)</f>
        <v>0</v>
      </c>
      <c r="J294">
        <f>IF(tblCalculo[[#This Row],[STATUS]]="CONCLUÍDO",_xlfn.XLOOKUP(tblCalculo[[#This Row],[NR_SIMULACAO]],tblVendas[[#This Row],[NR_SIMULACAO]],tblVendas[[#This Row],[VALOR_APARELHO]],""),0)</f>
        <v>0</v>
      </c>
      <c r="K294" t="str">
        <f>IF(tblCalculo[[#This Row],[STATUS]]="NEGOCIANDO",tblCalculo[[#This Row],[VALOR_TOTAL]],"")</f>
        <v/>
      </c>
      <c r="L294" t="str">
        <f>IF(tblCalculo[[#This Row],[STATUS]]="ALÇADA",tblCalculo[[#This Row],[VALOR_TOTAL]],"")</f>
        <v/>
      </c>
      <c r="M294" t="str">
        <f>IF(tblCalculo[[#This Row],[STATUS]]="EM ANÁLISE",tblCalculo[[#This Row],[VALOR_TOTAL]],"")</f>
        <v/>
      </c>
      <c r="N294" t="str">
        <f>IF(tblCalculo[[#This Row],[STATUS]]="TRAMITANDO",tblCalculo[[#This Row],[VALOR_TOTAL]],"")</f>
        <v/>
      </c>
      <c r="O294">
        <f>IF(tblCalculo[[#This Row],[STATUS]]="PERDIDO",tblCalculo[[#This Row],[VALOR_TOTAL]],"")</f>
        <v>4025.12</v>
      </c>
      <c r="P294" t="str">
        <f>IF(tblCalculo[[#This Row],[STATUS]]="CONCLUÍDO",tblCalculo[[#This Row],[VALOR_TOTAL]],"")</f>
        <v/>
      </c>
    </row>
    <row r="295" spans="1:16" x14ac:dyDescent="0.25">
      <c r="A295" t="str">
        <f>tblVendas[[#This Row],[NR_SIMULACAO]]</f>
        <v>SIM1285</v>
      </c>
      <c r="B295" s="34" t="str">
        <f>_xlfn.XLOOKUP(A295,tblVendas[[#This Row],[NR_SIMULACAO]],tblVendas[[#This Row],[NR_CNPJ]],"")</f>
        <v>83.344.173/0001-67</v>
      </c>
      <c r="C295" t="str">
        <f>_xlfn.XLOOKUP(A295,tblVendas[[#This Row],[NR_SIMULACAO]],tblVendas[[#This Row],[STATUS]],"")</f>
        <v>ALÇADA</v>
      </c>
      <c r="D295" t="str">
        <f>_xlfn.XLOOKUP(A295,tblVendas[[#This Row],[NR_SIMULACAO]],tblVendas[[#This Row],[MES]],"")</f>
        <v>Junho</v>
      </c>
      <c r="E295">
        <f>SUM(_xlfn.XLOOKUP(tblCalculo[[#This Row],[NR_SIMULACAO]],tblVendas[[#This Row],[NR_SIMULACAO]],tblVendas[[#This Row],[VALOR_MOVEL]],""):_xlfn.XLOOKUP(tblCalculo[[#This Row],[NR_SIMULACAO]],tblVendas[[#This Row],[NR_SIMULACAO]],tblVendas[[#This Row],[VALOR_APARELHO]],""))</f>
        <v>10226.189999999999</v>
      </c>
      <c r="F295">
        <f>IF(tblCalculo[[#This Row],[STATUS]]="CONCLUÍDO",_xlfn.XLOOKUP(tblCalculo[[#This Row],[NR_SIMULACAO]],tblVendas[[#This Row],[NR_SIMULACAO]],tblVendas[[#This Row],[VALOR_MOVEL]],""),0)</f>
        <v>0</v>
      </c>
      <c r="G295">
        <f>IF(tblCalculo[[#This Row],[STATUS]]="CONCLUÍDO",_xlfn.XLOOKUP(tblCalculo[[#This Row],[NR_SIMULACAO]],tblVendas[[#This Row],[NR_SIMULACAO]],tblVendas[[#This Row],[VALOR_AVANCADO]],""),0)</f>
        <v>0</v>
      </c>
      <c r="H295">
        <f>IF(tblCalculo[[#This Row],[STATUS]]="CONCLUÍDO",_xlfn.XLOOKUP(tblCalculo[[#This Row],[NR_SIMULACAO]],tblVendas[[#This Row],[NR_SIMULACAO]],tblVendas[[#This Row],[VALOR_FIXABASICA]],""),0)</f>
        <v>0</v>
      </c>
      <c r="I295">
        <f>IF(tblCalculo[[#This Row],[STATUS]]="CONCLUÍDO",_xlfn.XLOOKUP(tblCalculo[[#This Row],[NR_SIMULACAO]],tblVendas[[#This Row],[NR_SIMULACAO]],tblVendas[[#This Row],[VALOR_TI]],""),0)</f>
        <v>0</v>
      </c>
      <c r="J295">
        <f>IF(tblCalculo[[#This Row],[STATUS]]="CONCLUÍDO",_xlfn.XLOOKUP(tblCalculo[[#This Row],[NR_SIMULACAO]],tblVendas[[#This Row],[NR_SIMULACAO]],tblVendas[[#This Row],[VALOR_APARELHO]],""),0)</f>
        <v>0</v>
      </c>
      <c r="K295" t="str">
        <f>IF(tblCalculo[[#This Row],[STATUS]]="NEGOCIANDO",tblCalculo[[#This Row],[VALOR_TOTAL]],"")</f>
        <v/>
      </c>
      <c r="L295">
        <f>IF(tblCalculo[[#This Row],[STATUS]]="ALÇADA",tblCalculo[[#This Row],[VALOR_TOTAL]],"")</f>
        <v>10226.189999999999</v>
      </c>
      <c r="M295" t="str">
        <f>IF(tblCalculo[[#This Row],[STATUS]]="EM ANÁLISE",tblCalculo[[#This Row],[VALOR_TOTAL]],"")</f>
        <v/>
      </c>
      <c r="N295" t="str">
        <f>IF(tblCalculo[[#This Row],[STATUS]]="TRAMITANDO",tblCalculo[[#This Row],[VALOR_TOTAL]],"")</f>
        <v/>
      </c>
      <c r="O295" t="str">
        <f>IF(tblCalculo[[#This Row],[STATUS]]="PERDIDO",tblCalculo[[#This Row],[VALOR_TOTAL]],"")</f>
        <v/>
      </c>
      <c r="P295" t="str">
        <f>IF(tblCalculo[[#This Row],[STATUS]]="CONCLUÍDO",tblCalculo[[#This Row],[VALOR_TOTAL]],"")</f>
        <v/>
      </c>
    </row>
    <row r="296" spans="1:16" x14ac:dyDescent="0.25">
      <c r="A296" t="str">
        <f>tblVendas[[#This Row],[NR_SIMULACAO]]</f>
        <v>SIM1286</v>
      </c>
      <c r="B296" s="34" t="str">
        <f>_xlfn.XLOOKUP(A296,tblVendas[[#This Row],[NR_SIMULACAO]],tblVendas[[#This Row],[NR_CNPJ]],"")</f>
        <v>16.737.214/0001-49</v>
      </c>
      <c r="C296" t="str">
        <f>_xlfn.XLOOKUP(A296,tblVendas[[#This Row],[NR_SIMULACAO]],tblVendas[[#This Row],[STATUS]],"")</f>
        <v>CONCLUÍDO</v>
      </c>
      <c r="D296" t="str">
        <f>_xlfn.XLOOKUP(A296,tblVendas[[#This Row],[NR_SIMULACAO]],tblVendas[[#This Row],[MES]],"")</f>
        <v>Outubro</v>
      </c>
      <c r="E296">
        <f>SUM(_xlfn.XLOOKUP(tblCalculo[[#This Row],[NR_SIMULACAO]],tblVendas[[#This Row],[NR_SIMULACAO]],tblVendas[[#This Row],[VALOR_MOVEL]],""):_xlfn.XLOOKUP(tblCalculo[[#This Row],[NR_SIMULACAO]],tblVendas[[#This Row],[NR_SIMULACAO]],tblVendas[[#This Row],[VALOR_APARELHO]],""))</f>
        <v>16313.4</v>
      </c>
      <c r="F296">
        <f>IF(tblCalculo[[#This Row],[STATUS]]="CONCLUÍDO",_xlfn.XLOOKUP(tblCalculo[[#This Row],[NR_SIMULACAO]],tblVendas[[#This Row],[NR_SIMULACAO]],tblVendas[[#This Row],[VALOR_MOVEL]],""),0)</f>
        <v>5010.7700000000004</v>
      </c>
      <c r="G296">
        <f>IF(tblCalculo[[#This Row],[STATUS]]="CONCLUÍDO",_xlfn.XLOOKUP(tblCalculo[[#This Row],[NR_SIMULACAO]],tblVendas[[#This Row],[NR_SIMULACAO]],tblVendas[[#This Row],[VALOR_AVANCADO]],""),0)</f>
        <v>0</v>
      </c>
      <c r="H296">
        <f>IF(tblCalculo[[#This Row],[STATUS]]="CONCLUÍDO",_xlfn.XLOOKUP(tblCalculo[[#This Row],[NR_SIMULACAO]],tblVendas[[#This Row],[NR_SIMULACAO]],tblVendas[[#This Row],[VALOR_FIXABASICA]],""),0)</f>
        <v>0</v>
      </c>
      <c r="I296">
        <f>IF(tblCalculo[[#This Row],[STATUS]]="CONCLUÍDO",_xlfn.XLOOKUP(tblCalculo[[#This Row],[NR_SIMULACAO]],tblVendas[[#This Row],[NR_SIMULACAO]],tblVendas[[#This Row],[VALOR_TI]],""),0)</f>
        <v>11302.63</v>
      </c>
      <c r="J296">
        <f>IF(tblCalculo[[#This Row],[STATUS]]="CONCLUÍDO",_xlfn.XLOOKUP(tblCalculo[[#This Row],[NR_SIMULACAO]],tblVendas[[#This Row],[NR_SIMULACAO]],tblVendas[[#This Row],[VALOR_APARELHO]],""),0)</f>
        <v>0</v>
      </c>
      <c r="K296" t="str">
        <f>IF(tblCalculo[[#This Row],[STATUS]]="NEGOCIANDO",tblCalculo[[#This Row],[VALOR_TOTAL]],"")</f>
        <v/>
      </c>
      <c r="L296" t="str">
        <f>IF(tblCalculo[[#This Row],[STATUS]]="ALÇADA",tblCalculo[[#This Row],[VALOR_TOTAL]],"")</f>
        <v/>
      </c>
      <c r="M296" t="str">
        <f>IF(tblCalculo[[#This Row],[STATUS]]="EM ANÁLISE",tblCalculo[[#This Row],[VALOR_TOTAL]],"")</f>
        <v/>
      </c>
      <c r="N296" t="str">
        <f>IF(tblCalculo[[#This Row],[STATUS]]="TRAMITANDO",tblCalculo[[#This Row],[VALOR_TOTAL]],"")</f>
        <v/>
      </c>
      <c r="O296" t="str">
        <f>IF(tblCalculo[[#This Row],[STATUS]]="PERDIDO",tblCalculo[[#This Row],[VALOR_TOTAL]],"")</f>
        <v/>
      </c>
      <c r="P296">
        <f>IF(tblCalculo[[#This Row],[STATUS]]="CONCLUÍDO",tblCalculo[[#This Row],[VALOR_TOTAL]],"")</f>
        <v>16313.4</v>
      </c>
    </row>
    <row r="297" spans="1:16" x14ac:dyDescent="0.25">
      <c r="A297" t="str">
        <f>tblVendas[[#This Row],[NR_SIMULACAO]]</f>
        <v>SIM1287</v>
      </c>
      <c r="B297" s="34" t="str">
        <f>_xlfn.XLOOKUP(A297,tblVendas[[#This Row],[NR_SIMULACAO]],tblVendas[[#This Row],[NR_CNPJ]],"")</f>
        <v>92.113.183/0001-40</v>
      </c>
      <c r="C297" t="str">
        <f>_xlfn.XLOOKUP(A297,tblVendas[[#This Row],[NR_SIMULACAO]],tblVendas[[#This Row],[STATUS]],"")</f>
        <v>TRAMITANDO</v>
      </c>
      <c r="D297" t="str">
        <f>_xlfn.XLOOKUP(A297,tblVendas[[#This Row],[NR_SIMULACAO]],tblVendas[[#This Row],[MES]],"")</f>
        <v>Agosto</v>
      </c>
      <c r="E297">
        <f>SUM(_xlfn.XLOOKUP(tblCalculo[[#This Row],[NR_SIMULACAO]],tblVendas[[#This Row],[NR_SIMULACAO]],tblVendas[[#This Row],[VALOR_MOVEL]],""):_xlfn.XLOOKUP(tblCalculo[[#This Row],[NR_SIMULACAO]],tblVendas[[#This Row],[NR_SIMULACAO]],tblVendas[[#This Row],[VALOR_APARELHO]],""))</f>
        <v>1235.73</v>
      </c>
      <c r="F297">
        <f>IF(tblCalculo[[#This Row],[STATUS]]="CONCLUÍDO",_xlfn.XLOOKUP(tblCalculo[[#This Row],[NR_SIMULACAO]],tblVendas[[#This Row],[NR_SIMULACAO]],tblVendas[[#This Row],[VALOR_MOVEL]],""),0)</f>
        <v>0</v>
      </c>
      <c r="G297">
        <f>IF(tblCalculo[[#This Row],[STATUS]]="CONCLUÍDO",_xlfn.XLOOKUP(tblCalculo[[#This Row],[NR_SIMULACAO]],tblVendas[[#This Row],[NR_SIMULACAO]],tblVendas[[#This Row],[VALOR_AVANCADO]],""),0)</f>
        <v>0</v>
      </c>
      <c r="H297">
        <f>IF(tblCalculo[[#This Row],[STATUS]]="CONCLUÍDO",_xlfn.XLOOKUP(tblCalculo[[#This Row],[NR_SIMULACAO]],tblVendas[[#This Row],[NR_SIMULACAO]],tblVendas[[#This Row],[VALOR_FIXABASICA]],""),0)</f>
        <v>0</v>
      </c>
      <c r="I297">
        <f>IF(tblCalculo[[#This Row],[STATUS]]="CONCLUÍDO",_xlfn.XLOOKUP(tblCalculo[[#This Row],[NR_SIMULACAO]],tblVendas[[#This Row],[NR_SIMULACAO]],tblVendas[[#This Row],[VALOR_TI]],""),0)</f>
        <v>0</v>
      </c>
      <c r="J297">
        <f>IF(tblCalculo[[#This Row],[STATUS]]="CONCLUÍDO",_xlfn.XLOOKUP(tblCalculo[[#This Row],[NR_SIMULACAO]],tblVendas[[#This Row],[NR_SIMULACAO]],tblVendas[[#This Row],[VALOR_APARELHO]],""),0)</f>
        <v>0</v>
      </c>
      <c r="K297" t="str">
        <f>IF(tblCalculo[[#This Row],[STATUS]]="NEGOCIANDO",tblCalculo[[#This Row],[VALOR_TOTAL]],"")</f>
        <v/>
      </c>
      <c r="L297" t="str">
        <f>IF(tblCalculo[[#This Row],[STATUS]]="ALÇADA",tblCalculo[[#This Row],[VALOR_TOTAL]],"")</f>
        <v/>
      </c>
      <c r="M297" t="str">
        <f>IF(tblCalculo[[#This Row],[STATUS]]="EM ANÁLISE",tblCalculo[[#This Row],[VALOR_TOTAL]],"")</f>
        <v/>
      </c>
      <c r="N297">
        <f>IF(tblCalculo[[#This Row],[STATUS]]="TRAMITANDO",tblCalculo[[#This Row],[VALOR_TOTAL]],"")</f>
        <v>1235.73</v>
      </c>
      <c r="O297" t="str">
        <f>IF(tblCalculo[[#This Row],[STATUS]]="PERDIDO",tblCalculo[[#This Row],[VALOR_TOTAL]],"")</f>
        <v/>
      </c>
      <c r="P297" t="str">
        <f>IF(tblCalculo[[#This Row],[STATUS]]="CONCLUÍDO",tblCalculo[[#This Row],[VALOR_TOTAL]],"")</f>
        <v/>
      </c>
    </row>
    <row r="298" spans="1:16" x14ac:dyDescent="0.25">
      <c r="A298" t="str">
        <f>tblVendas[[#This Row],[NR_SIMULACAO]]</f>
        <v>SIM1288</v>
      </c>
      <c r="B298" s="34" t="str">
        <f>_xlfn.XLOOKUP(A298,tblVendas[[#This Row],[NR_SIMULACAO]],tblVendas[[#This Row],[NR_CNPJ]],"")</f>
        <v>30.491.213/0001-72</v>
      </c>
      <c r="C298" t="str">
        <f>_xlfn.XLOOKUP(A298,tblVendas[[#This Row],[NR_SIMULACAO]],tblVendas[[#This Row],[STATUS]],"")</f>
        <v>PERDIDO</v>
      </c>
      <c r="D298" t="str">
        <f>_xlfn.XLOOKUP(A298,tblVendas[[#This Row],[NR_SIMULACAO]],tblVendas[[#This Row],[MES]],"")</f>
        <v>Junho</v>
      </c>
      <c r="E298">
        <f>SUM(_xlfn.XLOOKUP(tblCalculo[[#This Row],[NR_SIMULACAO]],tblVendas[[#This Row],[NR_SIMULACAO]],tblVendas[[#This Row],[VALOR_MOVEL]],""):_xlfn.XLOOKUP(tblCalculo[[#This Row],[NR_SIMULACAO]],tblVendas[[#This Row],[NR_SIMULACAO]],tblVendas[[#This Row],[VALOR_APARELHO]],""))</f>
        <v>2572.41</v>
      </c>
      <c r="F298">
        <f>IF(tblCalculo[[#This Row],[STATUS]]="CONCLUÍDO",_xlfn.XLOOKUP(tblCalculo[[#This Row],[NR_SIMULACAO]],tblVendas[[#This Row],[NR_SIMULACAO]],tblVendas[[#This Row],[VALOR_MOVEL]],""),0)</f>
        <v>0</v>
      </c>
      <c r="G298">
        <f>IF(tblCalculo[[#This Row],[STATUS]]="CONCLUÍDO",_xlfn.XLOOKUP(tblCalculo[[#This Row],[NR_SIMULACAO]],tblVendas[[#This Row],[NR_SIMULACAO]],tblVendas[[#This Row],[VALOR_AVANCADO]],""),0)</f>
        <v>0</v>
      </c>
      <c r="H298">
        <f>IF(tblCalculo[[#This Row],[STATUS]]="CONCLUÍDO",_xlfn.XLOOKUP(tblCalculo[[#This Row],[NR_SIMULACAO]],tblVendas[[#This Row],[NR_SIMULACAO]],tblVendas[[#This Row],[VALOR_FIXABASICA]],""),0)</f>
        <v>0</v>
      </c>
      <c r="I298">
        <f>IF(tblCalculo[[#This Row],[STATUS]]="CONCLUÍDO",_xlfn.XLOOKUP(tblCalculo[[#This Row],[NR_SIMULACAO]],tblVendas[[#This Row],[NR_SIMULACAO]],tblVendas[[#This Row],[VALOR_TI]],""),0)</f>
        <v>0</v>
      </c>
      <c r="J298">
        <f>IF(tblCalculo[[#This Row],[STATUS]]="CONCLUÍDO",_xlfn.XLOOKUP(tblCalculo[[#This Row],[NR_SIMULACAO]],tblVendas[[#This Row],[NR_SIMULACAO]],tblVendas[[#This Row],[VALOR_APARELHO]],""),0)</f>
        <v>0</v>
      </c>
      <c r="K298" t="str">
        <f>IF(tblCalculo[[#This Row],[STATUS]]="NEGOCIANDO",tblCalculo[[#This Row],[VALOR_TOTAL]],"")</f>
        <v/>
      </c>
      <c r="L298" t="str">
        <f>IF(tblCalculo[[#This Row],[STATUS]]="ALÇADA",tblCalculo[[#This Row],[VALOR_TOTAL]],"")</f>
        <v/>
      </c>
      <c r="M298" t="str">
        <f>IF(tblCalculo[[#This Row],[STATUS]]="EM ANÁLISE",tblCalculo[[#This Row],[VALOR_TOTAL]],"")</f>
        <v/>
      </c>
      <c r="N298" t="str">
        <f>IF(tblCalculo[[#This Row],[STATUS]]="TRAMITANDO",tblCalculo[[#This Row],[VALOR_TOTAL]],"")</f>
        <v/>
      </c>
      <c r="O298">
        <f>IF(tblCalculo[[#This Row],[STATUS]]="PERDIDO",tblCalculo[[#This Row],[VALOR_TOTAL]],"")</f>
        <v>2572.41</v>
      </c>
      <c r="P298" t="str">
        <f>IF(tblCalculo[[#This Row],[STATUS]]="CONCLUÍDO",tblCalculo[[#This Row],[VALOR_TOTAL]],"")</f>
        <v/>
      </c>
    </row>
    <row r="299" spans="1:16" x14ac:dyDescent="0.25">
      <c r="A299" t="str">
        <f>tblVendas[[#This Row],[NR_SIMULACAO]]</f>
        <v>SIM1289</v>
      </c>
      <c r="B299" s="34" t="str">
        <f>_xlfn.XLOOKUP(A299,tblVendas[[#This Row],[NR_SIMULACAO]],tblVendas[[#This Row],[NR_CNPJ]],"")</f>
        <v>75.114.137/0001-10</v>
      </c>
      <c r="C299" t="str">
        <f>_xlfn.XLOOKUP(A299,tblVendas[[#This Row],[NR_SIMULACAO]],tblVendas[[#This Row],[STATUS]],"")</f>
        <v>TRAMITANDO</v>
      </c>
      <c r="D299" t="str">
        <f>_xlfn.XLOOKUP(A299,tblVendas[[#This Row],[NR_SIMULACAO]],tblVendas[[#This Row],[MES]],"")</f>
        <v>Dezembro</v>
      </c>
      <c r="E299">
        <f>SUM(_xlfn.XLOOKUP(tblCalculo[[#This Row],[NR_SIMULACAO]],tblVendas[[#This Row],[NR_SIMULACAO]],tblVendas[[#This Row],[VALOR_MOVEL]],""):_xlfn.XLOOKUP(tblCalculo[[#This Row],[NR_SIMULACAO]],tblVendas[[#This Row],[NR_SIMULACAO]],tblVendas[[#This Row],[VALOR_APARELHO]],""))</f>
        <v>12089.85</v>
      </c>
      <c r="F299">
        <f>IF(tblCalculo[[#This Row],[STATUS]]="CONCLUÍDO",_xlfn.XLOOKUP(tblCalculo[[#This Row],[NR_SIMULACAO]],tblVendas[[#This Row],[NR_SIMULACAO]],tblVendas[[#This Row],[VALOR_MOVEL]],""),0)</f>
        <v>0</v>
      </c>
      <c r="G299">
        <f>IF(tblCalculo[[#This Row],[STATUS]]="CONCLUÍDO",_xlfn.XLOOKUP(tblCalculo[[#This Row],[NR_SIMULACAO]],tblVendas[[#This Row],[NR_SIMULACAO]],tblVendas[[#This Row],[VALOR_AVANCADO]],""),0)</f>
        <v>0</v>
      </c>
      <c r="H299">
        <f>IF(tblCalculo[[#This Row],[STATUS]]="CONCLUÍDO",_xlfn.XLOOKUP(tblCalculo[[#This Row],[NR_SIMULACAO]],tblVendas[[#This Row],[NR_SIMULACAO]],tblVendas[[#This Row],[VALOR_FIXABASICA]],""),0)</f>
        <v>0</v>
      </c>
      <c r="I299">
        <f>IF(tblCalculo[[#This Row],[STATUS]]="CONCLUÍDO",_xlfn.XLOOKUP(tblCalculo[[#This Row],[NR_SIMULACAO]],tblVendas[[#This Row],[NR_SIMULACAO]],tblVendas[[#This Row],[VALOR_TI]],""),0)</f>
        <v>0</v>
      </c>
      <c r="J299">
        <f>IF(tblCalculo[[#This Row],[STATUS]]="CONCLUÍDO",_xlfn.XLOOKUP(tblCalculo[[#This Row],[NR_SIMULACAO]],tblVendas[[#This Row],[NR_SIMULACAO]],tblVendas[[#This Row],[VALOR_APARELHO]],""),0)</f>
        <v>0</v>
      </c>
      <c r="K299" t="str">
        <f>IF(tblCalculo[[#This Row],[STATUS]]="NEGOCIANDO",tblCalculo[[#This Row],[VALOR_TOTAL]],"")</f>
        <v/>
      </c>
      <c r="L299" t="str">
        <f>IF(tblCalculo[[#This Row],[STATUS]]="ALÇADA",tblCalculo[[#This Row],[VALOR_TOTAL]],"")</f>
        <v/>
      </c>
      <c r="M299" t="str">
        <f>IF(tblCalculo[[#This Row],[STATUS]]="EM ANÁLISE",tblCalculo[[#This Row],[VALOR_TOTAL]],"")</f>
        <v/>
      </c>
      <c r="N299">
        <f>IF(tblCalculo[[#This Row],[STATUS]]="TRAMITANDO",tblCalculo[[#This Row],[VALOR_TOTAL]],"")</f>
        <v>12089.85</v>
      </c>
      <c r="O299" t="str">
        <f>IF(tblCalculo[[#This Row],[STATUS]]="PERDIDO",tblCalculo[[#This Row],[VALOR_TOTAL]],"")</f>
        <v/>
      </c>
      <c r="P299" t="str">
        <f>IF(tblCalculo[[#This Row],[STATUS]]="CONCLUÍDO",tblCalculo[[#This Row],[VALOR_TOTAL]],"")</f>
        <v/>
      </c>
    </row>
    <row r="300" spans="1:16" x14ac:dyDescent="0.25">
      <c r="A300" t="str">
        <f>tblVendas[[#This Row],[NR_SIMULACAO]]</f>
        <v>SIM1290</v>
      </c>
      <c r="B300" s="34" t="str">
        <f>_xlfn.XLOOKUP(A300,tblVendas[[#This Row],[NR_SIMULACAO]],tblVendas[[#This Row],[NR_CNPJ]],"")</f>
        <v>40.258.552/0001-91</v>
      </c>
      <c r="C300" t="str">
        <f>_xlfn.XLOOKUP(A300,tblVendas[[#This Row],[NR_SIMULACAO]],tblVendas[[#This Row],[STATUS]],"")</f>
        <v>CONCLUÍDO</v>
      </c>
      <c r="D300" t="str">
        <f>_xlfn.XLOOKUP(A300,tblVendas[[#This Row],[NR_SIMULACAO]],tblVendas[[#This Row],[MES]],"")</f>
        <v>Julho</v>
      </c>
      <c r="E300">
        <f>SUM(_xlfn.XLOOKUP(tblCalculo[[#This Row],[NR_SIMULACAO]],tblVendas[[#This Row],[NR_SIMULACAO]],tblVendas[[#This Row],[VALOR_MOVEL]],""):_xlfn.XLOOKUP(tblCalculo[[#This Row],[NR_SIMULACAO]],tblVendas[[#This Row],[NR_SIMULACAO]],tblVendas[[#This Row],[VALOR_APARELHO]],""))</f>
        <v>4820.7300000000005</v>
      </c>
      <c r="F300">
        <f>IF(tblCalculo[[#This Row],[STATUS]]="CONCLUÍDO",_xlfn.XLOOKUP(tblCalculo[[#This Row],[NR_SIMULACAO]],tblVendas[[#This Row],[NR_SIMULACAO]],tblVendas[[#This Row],[VALOR_MOVEL]],""),0)</f>
        <v>0</v>
      </c>
      <c r="G300">
        <f>IF(tblCalculo[[#This Row],[STATUS]]="CONCLUÍDO",_xlfn.XLOOKUP(tblCalculo[[#This Row],[NR_SIMULACAO]],tblVendas[[#This Row],[NR_SIMULACAO]],tblVendas[[#This Row],[VALOR_AVANCADO]],""),0)</f>
        <v>4237.18</v>
      </c>
      <c r="H300">
        <f>IF(tblCalculo[[#This Row],[STATUS]]="CONCLUÍDO",_xlfn.XLOOKUP(tblCalculo[[#This Row],[NR_SIMULACAO]],tblVendas[[#This Row],[NR_SIMULACAO]],tblVendas[[#This Row],[VALOR_FIXABASICA]],""),0)</f>
        <v>0</v>
      </c>
      <c r="I300">
        <f>IF(tblCalculo[[#This Row],[STATUS]]="CONCLUÍDO",_xlfn.XLOOKUP(tblCalculo[[#This Row],[NR_SIMULACAO]],tblVendas[[#This Row],[NR_SIMULACAO]],tblVendas[[#This Row],[VALOR_TI]],""),0)</f>
        <v>583.54999999999995</v>
      </c>
      <c r="J300">
        <f>IF(tblCalculo[[#This Row],[STATUS]]="CONCLUÍDO",_xlfn.XLOOKUP(tblCalculo[[#This Row],[NR_SIMULACAO]],tblVendas[[#This Row],[NR_SIMULACAO]],tblVendas[[#This Row],[VALOR_APARELHO]],""),0)</f>
        <v>0</v>
      </c>
      <c r="K300" t="str">
        <f>IF(tblCalculo[[#This Row],[STATUS]]="NEGOCIANDO",tblCalculo[[#This Row],[VALOR_TOTAL]],"")</f>
        <v/>
      </c>
      <c r="L300" t="str">
        <f>IF(tblCalculo[[#This Row],[STATUS]]="ALÇADA",tblCalculo[[#This Row],[VALOR_TOTAL]],"")</f>
        <v/>
      </c>
      <c r="M300" t="str">
        <f>IF(tblCalculo[[#This Row],[STATUS]]="EM ANÁLISE",tblCalculo[[#This Row],[VALOR_TOTAL]],"")</f>
        <v/>
      </c>
      <c r="N300" t="str">
        <f>IF(tblCalculo[[#This Row],[STATUS]]="TRAMITANDO",tblCalculo[[#This Row],[VALOR_TOTAL]],"")</f>
        <v/>
      </c>
      <c r="O300" t="str">
        <f>IF(tblCalculo[[#This Row],[STATUS]]="PERDIDO",tblCalculo[[#This Row],[VALOR_TOTAL]],"")</f>
        <v/>
      </c>
      <c r="P300">
        <f>IF(tblCalculo[[#This Row],[STATUS]]="CONCLUÍDO",tblCalculo[[#This Row],[VALOR_TOTAL]],"")</f>
        <v>4820.7300000000005</v>
      </c>
    </row>
    <row r="301" spans="1:16" x14ac:dyDescent="0.25">
      <c r="A301" t="str">
        <f>tblVendas[[#This Row],[NR_SIMULACAO]]</f>
        <v>SIM1291</v>
      </c>
      <c r="B301" s="34" t="str">
        <f>_xlfn.XLOOKUP(A301,tblVendas[[#This Row],[NR_SIMULACAO]],tblVendas[[#This Row],[NR_CNPJ]],"")</f>
        <v>90.158.361/0001-33</v>
      </c>
      <c r="C301" t="str">
        <f>_xlfn.XLOOKUP(A301,tblVendas[[#This Row],[NR_SIMULACAO]],tblVendas[[#This Row],[STATUS]],"")</f>
        <v>TRAMITANDO</v>
      </c>
      <c r="D301" t="str">
        <f>_xlfn.XLOOKUP(A301,tblVendas[[#This Row],[NR_SIMULACAO]],tblVendas[[#This Row],[MES]],"")</f>
        <v>Julho</v>
      </c>
      <c r="E301">
        <f>SUM(_xlfn.XLOOKUP(tblCalculo[[#This Row],[NR_SIMULACAO]],tblVendas[[#This Row],[NR_SIMULACAO]],tblVendas[[#This Row],[VALOR_MOVEL]],""):_xlfn.XLOOKUP(tblCalculo[[#This Row],[NR_SIMULACAO]],tblVendas[[#This Row],[NR_SIMULACAO]],tblVendas[[#This Row],[VALOR_APARELHO]],""))</f>
        <v>8694.8799999999992</v>
      </c>
      <c r="F301">
        <f>IF(tblCalculo[[#This Row],[STATUS]]="CONCLUÍDO",_xlfn.XLOOKUP(tblCalculo[[#This Row],[NR_SIMULACAO]],tblVendas[[#This Row],[NR_SIMULACAO]],tblVendas[[#This Row],[VALOR_MOVEL]],""),0)</f>
        <v>0</v>
      </c>
      <c r="G301">
        <f>IF(tblCalculo[[#This Row],[STATUS]]="CONCLUÍDO",_xlfn.XLOOKUP(tblCalculo[[#This Row],[NR_SIMULACAO]],tblVendas[[#This Row],[NR_SIMULACAO]],tblVendas[[#This Row],[VALOR_AVANCADO]],""),0)</f>
        <v>0</v>
      </c>
      <c r="H301">
        <f>IF(tblCalculo[[#This Row],[STATUS]]="CONCLUÍDO",_xlfn.XLOOKUP(tblCalculo[[#This Row],[NR_SIMULACAO]],tblVendas[[#This Row],[NR_SIMULACAO]],tblVendas[[#This Row],[VALOR_FIXABASICA]],""),0)</f>
        <v>0</v>
      </c>
      <c r="I301">
        <f>IF(tblCalculo[[#This Row],[STATUS]]="CONCLUÍDO",_xlfn.XLOOKUP(tblCalculo[[#This Row],[NR_SIMULACAO]],tblVendas[[#This Row],[NR_SIMULACAO]],tblVendas[[#This Row],[VALOR_TI]],""),0)</f>
        <v>0</v>
      </c>
      <c r="J301">
        <f>IF(tblCalculo[[#This Row],[STATUS]]="CONCLUÍDO",_xlfn.XLOOKUP(tblCalculo[[#This Row],[NR_SIMULACAO]],tblVendas[[#This Row],[NR_SIMULACAO]],tblVendas[[#This Row],[VALOR_APARELHO]],""),0)</f>
        <v>0</v>
      </c>
      <c r="K301" t="str">
        <f>IF(tblCalculo[[#This Row],[STATUS]]="NEGOCIANDO",tblCalculo[[#This Row],[VALOR_TOTAL]],"")</f>
        <v/>
      </c>
      <c r="L301" t="str">
        <f>IF(tblCalculo[[#This Row],[STATUS]]="ALÇADA",tblCalculo[[#This Row],[VALOR_TOTAL]],"")</f>
        <v/>
      </c>
      <c r="M301" t="str">
        <f>IF(tblCalculo[[#This Row],[STATUS]]="EM ANÁLISE",tblCalculo[[#This Row],[VALOR_TOTAL]],"")</f>
        <v/>
      </c>
      <c r="N301">
        <f>IF(tblCalculo[[#This Row],[STATUS]]="TRAMITANDO",tblCalculo[[#This Row],[VALOR_TOTAL]],"")</f>
        <v>8694.8799999999992</v>
      </c>
      <c r="O301" t="str">
        <f>IF(tblCalculo[[#This Row],[STATUS]]="PERDIDO",tblCalculo[[#This Row],[VALOR_TOTAL]],"")</f>
        <v/>
      </c>
      <c r="P301" t="str">
        <f>IF(tblCalculo[[#This Row],[STATUS]]="CONCLUÍDO",tblCalculo[[#This Row],[VALOR_TOTAL]],"")</f>
        <v/>
      </c>
    </row>
    <row r="302" spans="1:16" x14ac:dyDescent="0.25">
      <c r="A302" t="str">
        <f>tblVendas[[#This Row],[NR_SIMULACAO]]</f>
        <v>SIM1292</v>
      </c>
      <c r="B302" s="34" t="str">
        <f>_xlfn.XLOOKUP(A302,tblVendas[[#This Row],[NR_SIMULACAO]],tblVendas[[#This Row],[NR_CNPJ]],"")</f>
        <v>63.882.681/0001-28</v>
      </c>
      <c r="C302" t="str">
        <f>_xlfn.XLOOKUP(A302,tblVendas[[#This Row],[NR_SIMULACAO]],tblVendas[[#This Row],[STATUS]],"")</f>
        <v>ALÇADA</v>
      </c>
      <c r="D302" t="str">
        <f>_xlfn.XLOOKUP(A302,tblVendas[[#This Row],[NR_SIMULACAO]],tblVendas[[#This Row],[MES]],"")</f>
        <v>Agosto</v>
      </c>
      <c r="E302">
        <f>SUM(_xlfn.XLOOKUP(tblCalculo[[#This Row],[NR_SIMULACAO]],tblVendas[[#This Row],[NR_SIMULACAO]],tblVendas[[#This Row],[VALOR_MOVEL]],""):_xlfn.XLOOKUP(tblCalculo[[#This Row],[NR_SIMULACAO]],tblVendas[[#This Row],[NR_SIMULACAO]],tblVendas[[#This Row],[VALOR_APARELHO]],""))</f>
        <v>3201.65</v>
      </c>
      <c r="F302">
        <f>IF(tblCalculo[[#This Row],[STATUS]]="CONCLUÍDO",_xlfn.XLOOKUP(tblCalculo[[#This Row],[NR_SIMULACAO]],tblVendas[[#This Row],[NR_SIMULACAO]],tblVendas[[#This Row],[VALOR_MOVEL]],""),0)</f>
        <v>0</v>
      </c>
      <c r="G302">
        <f>IF(tblCalculo[[#This Row],[STATUS]]="CONCLUÍDO",_xlfn.XLOOKUP(tblCalculo[[#This Row],[NR_SIMULACAO]],tblVendas[[#This Row],[NR_SIMULACAO]],tblVendas[[#This Row],[VALOR_AVANCADO]],""),0)</f>
        <v>0</v>
      </c>
      <c r="H302">
        <f>IF(tblCalculo[[#This Row],[STATUS]]="CONCLUÍDO",_xlfn.XLOOKUP(tblCalculo[[#This Row],[NR_SIMULACAO]],tblVendas[[#This Row],[NR_SIMULACAO]],tblVendas[[#This Row],[VALOR_FIXABASICA]],""),0)</f>
        <v>0</v>
      </c>
      <c r="I302">
        <f>IF(tblCalculo[[#This Row],[STATUS]]="CONCLUÍDO",_xlfn.XLOOKUP(tblCalculo[[#This Row],[NR_SIMULACAO]],tblVendas[[#This Row],[NR_SIMULACAO]],tblVendas[[#This Row],[VALOR_TI]],""),0)</f>
        <v>0</v>
      </c>
      <c r="J302">
        <f>IF(tblCalculo[[#This Row],[STATUS]]="CONCLUÍDO",_xlfn.XLOOKUP(tblCalculo[[#This Row],[NR_SIMULACAO]],tblVendas[[#This Row],[NR_SIMULACAO]],tblVendas[[#This Row],[VALOR_APARELHO]],""),0)</f>
        <v>0</v>
      </c>
      <c r="K302" t="str">
        <f>IF(tblCalculo[[#This Row],[STATUS]]="NEGOCIANDO",tblCalculo[[#This Row],[VALOR_TOTAL]],"")</f>
        <v/>
      </c>
      <c r="L302">
        <f>IF(tblCalculo[[#This Row],[STATUS]]="ALÇADA",tblCalculo[[#This Row],[VALOR_TOTAL]],"")</f>
        <v>3201.65</v>
      </c>
      <c r="M302" t="str">
        <f>IF(tblCalculo[[#This Row],[STATUS]]="EM ANÁLISE",tblCalculo[[#This Row],[VALOR_TOTAL]],"")</f>
        <v/>
      </c>
      <c r="N302" t="str">
        <f>IF(tblCalculo[[#This Row],[STATUS]]="TRAMITANDO",tblCalculo[[#This Row],[VALOR_TOTAL]],"")</f>
        <v/>
      </c>
      <c r="O302" t="str">
        <f>IF(tblCalculo[[#This Row],[STATUS]]="PERDIDO",tblCalculo[[#This Row],[VALOR_TOTAL]],"")</f>
        <v/>
      </c>
      <c r="P302" t="str">
        <f>IF(tblCalculo[[#This Row],[STATUS]]="CONCLUÍDO",tblCalculo[[#This Row],[VALOR_TOTAL]],"")</f>
        <v/>
      </c>
    </row>
    <row r="303" spans="1:16" x14ac:dyDescent="0.25">
      <c r="A303" t="str">
        <f>tblVendas[[#This Row],[NR_SIMULACAO]]</f>
        <v>SIM1293</v>
      </c>
      <c r="B303" s="34" t="str">
        <f>_xlfn.XLOOKUP(A303,tblVendas[[#This Row],[NR_SIMULACAO]],tblVendas[[#This Row],[NR_CNPJ]],"")</f>
        <v>92.408.820/0001-54</v>
      </c>
      <c r="C303" t="str">
        <f>_xlfn.XLOOKUP(A303,tblVendas[[#This Row],[NR_SIMULACAO]],tblVendas[[#This Row],[STATUS]],"")</f>
        <v>ALÇADA</v>
      </c>
      <c r="D303" t="str">
        <f>_xlfn.XLOOKUP(A303,tblVendas[[#This Row],[NR_SIMULACAO]],tblVendas[[#This Row],[MES]],"")</f>
        <v>Julho</v>
      </c>
      <c r="E303">
        <f>SUM(_xlfn.XLOOKUP(tblCalculo[[#This Row],[NR_SIMULACAO]],tblVendas[[#This Row],[NR_SIMULACAO]],tblVendas[[#This Row],[VALOR_MOVEL]],""):_xlfn.XLOOKUP(tblCalculo[[#This Row],[NR_SIMULACAO]],tblVendas[[#This Row],[NR_SIMULACAO]],tblVendas[[#This Row],[VALOR_APARELHO]],""))</f>
        <v>2285.0699999999997</v>
      </c>
      <c r="F303">
        <f>IF(tblCalculo[[#This Row],[STATUS]]="CONCLUÍDO",_xlfn.XLOOKUP(tblCalculo[[#This Row],[NR_SIMULACAO]],tblVendas[[#This Row],[NR_SIMULACAO]],tblVendas[[#This Row],[VALOR_MOVEL]],""),0)</f>
        <v>0</v>
      </c>
      <c r="G303">
        <f>IF(tblCalculo[[#This Row],[STATUS]]="CONCLUÍDO",_xlfn.XLOOKUP(tblCalculo[[#This Row],[NR_SIMULACAO]],tblVendas[[#This Row],[NR_SIMULACAO]],tblVendas[[#This Row],[VALOR_AVANCADO]],""),0)</f>
        <v>0</v>
      </c>
      <c r="H303">
        <f>IF(tblCalculo[[#This Row],[STATUS]]="CONCLUÍDO",_xlfn.XLOOKUP(tblCalculo[[#This Row],[NR_SIMULACAO]],tblVendas[[#This Row],[NR_SIMULACAO]],tblVendas[[#This Row],[VALOR_FIXABASICA]],""),0)</f>
        <v>0</v>
      </c>
      <c r="I303">
        <f>IF(tblCalculo[[#This Row],[STATUS]]="CONCLUÍDO",_xlfn.XLOOKUP(tblCalculo[[#This Row],[NR_SIMULACAO]],tblVendas[[#This Row],[NR_SIMULACAO]],tblVendas[[#This Row],[VALOR_TI]],""),0)</f>
        <v>0</v>
      </c>
      <c r="J303">
        <f>IF(tblCalculo[[#This Row],[STATUS]]="CONCLUÍDO",_xlfn.XLOOKUP(tblCalculo[[#This Row],[NR_SIMULACAO]],tblVendas[[#This Row],[NR_SIMULACAO]],tblVendas[[#This Row],[VALOR_APARELHO]],""),0)</f>
        <v>0</v>
      </c>
      <c r="K303" t="str">
        <f>IF(tblCalculo[[#This Row],[STATUS]]="NEGOCIANDO",tblCalculo[[#This Row],[VALOR_TOTAL]],"")</f>
        <v/>
      </c>
      <c r="L303">
        <f>IF(tblCalculo[[#This Row],[STATUS]]="ALÇADA",tblCalculo[[#This Row],[VALOR_TOTAL]],"")</f>
        <v>2285.0699999999997</v>
      </c>
      <c r="M303" t="str">
        <f>IF(tblCalculo[[#This Row],[STATUS]]="EM ANÁLISE",tblCalculo[[#This Row],[VALOR_TOTAL]],"")</f>
        <v/>
      </c>
      <c r="N303" t="str">
        <f>IF(tblCalculo[[#This Row],[STATUS]]="TRAMITANDO",tblCalculo[[#This Row],[VALOR_TOTAL]],"")</f>
        <v/>
      </c>
      <c r="O303" t="str">
        <f>IF(tblCalculo[[#This Row],[STATUS]]="PERDIDO",tblCalculo[[#This Row],[VALOR_TOTAL]],"")</f>
        <v/>
      </c>
      <c r="P303" t="str">
        <f>IF(tblCalculo[[#This Row],[STATUS]]="CONCLUÍDO",tblCalculo[[#This Row],[VALOR_TOTAL]],"")</f>
        <v/>
      </c>
    </row>
    <row r="304" spans="1:16" x14ac:dyDescent="0.25">
      <c r="A304" t="str">
        <f>tblVendas[[#This Row],[NR_SIMULACAO]]</f>
        <v>SIM1294</v>
      </c>
      <c r="B304" s="34" t="str">
        <f>_xlfn.XLOOKUP(A304,tblVendas[[#This Row],[NR_SIMULACAO]],tblVendas[[#This Row],[NR_CNPJ]],"")</f>
        <v>43.622.789/0001-41</v>
      </c>
      <c r="C304" t="str">
        <f>_xlfn.XLOOKUP(A304,tblVendas[[#This Row],[NR_SIMULACAO]],tblVendas[[#This Row],[STATUS]],"")</f>
        <v>EM ANÁLISE</v>
      </c>
      <c r="D304" t="str">
        <f>_xlfn.XLOOKUP(A304,tblVendas[[#This Row],[NR_SIMULACAO]],tblVendas[[#This Row],[MES]],"")</f>
        <v>Julho</v>
      </c>
      <c r="E304">
        <f>SUM(_xlfn.XLOOKUP(tblCalculo[[#This Row],[NR_SIMULACAO]],tblVendas[[#This Row],[NR_SIMULACAO]],tblVendas[[#This Row],[VALOR_MOVEL]],""):_xlfn.XLOOKUP(tblCalculo[[#This Row],[NR_SIMULACAO]],tblVendas[[#This Row],[NR_SIMULACAO]],tblVendas[[#This Row],[VALOR_APARELHO]],""))</f>
        <v>974.97</v>
      </c>
      <c r="F304">
        <f>IF(tblCalculo[[#This Row],[STATUS]]="CONCLUÍDO",_xlfn.XLOOKUP(tblCalculo[[#This Row],[NR_SIMULACAO]],tblVendas[[#This Row],[NR_SIMULACAO]],tblVendas[[#This Row],[VALOR_MOVEL]],""),0)</f>
        <v>0</v>
      </c>
      <c r="G304">
        <f>IF(tblCalculo[[#This Row],[STATUS]]="CONCLUÍDO",_xlfn.XLOOKUP(tblCalculo[[#This Row],[NR_SIMULACAO]],tblVendas[[#This Row],[NR_SIMULACAO]],tblVendas[[#This Row],[VALOR_AVANCADO]],""),0)</f>
        <v>0</v>
      </c>
      <c r="H304">
        <f>IF(tblCalculo[[#This Row],[STATUS]]="CONCLUÍDO",_xlfn.XLOOKUP(tblCalculo[[#This Row],[NR_SIMULACAO]],tblVendas[[#This Row],[NR_SIMULACAO]],tblVendas[[#This Row],[VALOR_FIXABASICA]],""),0)</f>
        <v>0</v>
      </c>
      <c r="I304">
        <f>IF(tblCalculo[[#This Row],[STATUS]]="CONCLUÍDO",_xlfn.XLOOKUP(tblCalculo[[#This Row],[NR_SIMULACAO]],tblVendas[[#This Row],[NR_SIMULACAO]],tblVendas[[#This Row],[VALOR_TI]],""),0)</f>
        <v>0</v>
      </c>
      <c r="J304">
        <f>IF(tblCalculo[[#This Row],[STATUS]]="CONCLUÍDO",_xlfn.XLOOKUP(tblCalculo[[#This Row],[NR_SIMULACAO]],tblVendas[[#This Row],[NR_SIMULACAO]],tblVendas[[#This Row],[VALOR_APARELHO]],""),0)</f>
        <v>0</v>
      </c>
      <c r="K304" t="str">
        <f>IF(tblCalculo[[#This Row],[STATUS]]="NEGOCIANDO",tblCalculo[[#This Row],[VALOR_TOTAL]],"")</f>
        <v/>
      </c>
      <c r="L304" t="str">
        <f>IF(tblCalculo[[#This Row],[STATUS]]="ALÇADA",tblCalculo[[#This Row],[VALOR_TOTAL]],"")</f>
        <v/>
      </c>
      <c r="M304">
        <f>IF(tblCalculo[[#This Row],[STATUS]]="EM ANÁLISE",tblCalculo[[#This Row],[VALOR_TOTAL]],"")</f>
        <v>974.97</v>
      </c>
      <c r="N304" t="str">
        <f>IF(tblCalculo[[#This Row],[STATUS]]="TRAMITANDO",tblCalculo[[#This Row],[VALOR_TOTAL]],"")</f>
        <v/>
      </c>
      <c r="O304" t="str">
        <f>IF(tblCalculo[[#This Row],[STATUS]]="PERDIDO",tblCalculo[[#This Row],[VALOR_TOTAL]],"")</f>
        <v/>
      </c>
      <c r="P304" t="str">
        <f>IF(tblCalculo[[#This Row],[STATUS]]="CONCLUÍDO",tblCalculo[[#This Row],[VALOR_TOTAL]],"")</f>
        <v/>
      </c>
    </row>
    <row r="305" spans="1:16" x14ac:dyDescent="0.25">
      <c r="A305" t="str">
        <f>tblVendas[[#This Row],[NR_SIMULACAO]]</f>
        <v>SIM1295</v>
      </c>
      <c r="B305" s="34" t="str">
        <f>_xlfn.XLOOKUP(A305,tblVendas[[#This Row],[NR_SIMULACAO]],tblVendas[[#This Row],[NR_CNPJ]],"")</f>
        <v>31.836.986/0001-47</v>
      </c>
      <c r="C305" t="str">
        <f>_xlfn.XLOOKUP(A305,tblVendas[[#This Row],[NR_SIMULACAO]],tblVendas[[#This Row],[STATUS]],"")</f>
        <v>TRAMITANDO</v>
      </c>
      <c r="D305" t="str">
        <f>_xlfn.XLOOKUP(A305,tblVendas[[#This Row],[NR_SIMULACAO]],tblVendas[[#This Row],[MES]],"")</f>
        <v>Outubro</v>
      </c>
      <c r="E305">
        <f>SUM(_xlfn.XLOOKUP(tblCalculo[[#This Row],[NR_SIMULACAO]],tblVendas[[#This Row],[NR_SIMULACAO]],tblVendas[[#This Row],[VALOR_MOVEL]],""):_xlfn.XLOOKUP(tblCalculo[[#This Row],[NR_SIMULACAO]],tblVendas[[#This Row],[NR_SIMULACAO]],tblVendas[[#This Row],[VALOR_APARELHO]],""))</f>
        <v>4460.22</v>
      </c>
      <c r="F305">
        <f>IF(tblCalculo[[#This Row],[STATUS]]="CONCLUÍDO",_xlfn.XLOOKUP(tblCalculo[[#This Row],[NR_SIMULACAO]],tblVendas[[#This Row],[NR_SIMULACAO]],tblVendas[[#This Row],[VALOR_MOVEL]],""),0)</f>
        <v>0</v>
      </c>
      <c r="G305">
        <f>IF(tblCalculo[[#This Row],[STATUS]]="CONCLUÍDO",_xlfn.XLOOKUP(tblCalculo[[#This Row],[NR_SIMULACAO]],tblVendas[[#This Row],[NR_SIMULACAO]],tblVendas[[#This Row],[VALOR_AVANCADO]],""),0)</f>
        <v>0</v>
      </c>
      <c r="H305">
        <f>IF(tblCalculo[[#This Row],[STATUS]]="CONCLUÍDO",_xlfn.XLOOKUP(tblCalculo[[#This Row],[NR_SIMULACAO]],tblVendas[[#This Row],[NR_SIMULACAO]],tblVendas[[#This Row],[VALOR_FIXABASICA]],""),0)</f>
        <v>0</v>
      </c>
      <c r="I305">
        <f>IF(tblCalculo[[#This Row],[STATUS]]="CONCLUÍDO",_xlfn.XLOOKUP(tblCalculo[[#This Row],[NR_SIMULACAO]],tblVendas[[#This Row],[NR_SIMULACAO]],tblVendas[[#This Row],[VALOR_TI]],""),0)</f>
        <v>0</v>
      </c>
      <c r="J305">
        <f>IF(tblCalculo[[#This Row],[STATUS]]="CONCLUÍDO",_xlfn.XLOOKUP(tblCalculo[[#This Row],[NR_SIMULACAO]],tblVendas[[#This Row],[NR_SIMULACAO]],tblVendas[[#This Row],[VALOR_APARELHO]],""),0)</f>
        <v>0</v>
      </c>
      <c r="K305" t="str">
        <f>IF(tblCalculo[[#This Row],[STATUS]]="NEGOCIANDO",tblCalculo[[#This Row],[VALOR_TOTAL]],"")</f>
        <v/>
      </c>
      <c r="L305" t="str">
        <f>IF(tblCalculo[[#This Row],[STATUS]]="ALÇADA",tblCalculo[[#This Row],[VALOR_TOTAL]],"")</f>
        <v/>
      </c>
      <c r="M305" t="str">
        <f>IF(tblCalculo[[#This Row],[STATUS]]="EM ANÁLISE",tblCalculo[[#This Row],[VALOR_TOTAL]],"")</f>
        <v/>
      </c>
      <c r="N305">
        <f>IF(tblCalculo[[#This Row],[STATUS]]="TRAMITANDO",tblCalculo[[#This Row],[VALOR_TOTAL]],"")</f>
        <v>4460.22</v>
      </c>
      <c r="O305" t="str">
        <f>IF(tblCalculo[[#This Row],[STATUS]]="PERDIDO",tblCalculo[[#This Row],[VALOR_TOTAL]],"")</f>
        <v/>
      </c>
      <c r="P305" t="str">
        <f>IF(tblCalculo[[#This Row],[STATUS]]="CONCLUÍDO",tblCalculo[[#This Row],[VALOR_TOTAL]],"")</f>
        <v/>
      </c>
    </row>
    <row r="306" spans="1:16" x14ac:dyDescent="0.25">
      <c r="A306" t="str">
        <f>tblVendas[[#This Row],[NR_SIMULACAO]]</f>
        <v>SIM1296</v>
      </c>
      <c r="B306" s="34" t="str">
        <f>_xlfn.XLOOKUP(A306,tblVendas[[#This Row],[NR_SIMULACAO]],tblVendas[[#This Row],[NR_CNPJ]],"")</f>
        <v>54.617.343/0001-95</v>
      </c>
      <c r="C306" t="str">
        <f>_xlfn.XLOOKUP(A306,tblVendas[[#This Row],[NR_SIMULACAO]],tblVendas[[#This Row],[STATUS]],"")</f>
        <v>TRAMITANDO</v>
      </c>
      <c r="D306" t="str">
        <f>_xlfn.XLOOKUP(A306,tblVendas[[#This Row],[NR_SIMULACAO]],tblVendas[[#This Row],[MES]],"")</f>
        <v>Setembro</v>
      </c>
      <c r="E306">
        <f>SUM(_xlfn.XLOOKUP(tblCalculo[[#This Row],[NR_SIMULACAO]],tblVendas[[#This Row],[NR_SIMULACAO]],tblVendas[[#This Row],[VALOR_MOVEL]],""):_xlfn.XLOOKUP(tblCalculo[[#This Row],[NR_SIMULACAO]],tblVendas[[#This Row],[NR_SIMULACAO]],tblVendas[[#This Row],[VALOR_APARELHO]],""))</f>
        <v>15522.55</v>
      </c>
      <c r="F306">
        <f>IF(tblCalculo[[#This Row],[STATUS]]="CONCLUÍDO",_xlfn.XLOOKUP(tblCalculo[[#This Row],[NR_SIMULACAO]],tblVendas[[#This Row],[NR_SIMULACAO]],tblVendas[[#This Row],[VALOR_MOVEL]],""),0)</f>
        <v>0</v>
      </c>
      <c r="G306">
        <f>IF(tblCalculo[[#This Row],[STATUS]]="CONCLUÍDO",_xlfn.XLOOKUP(tblCalculo[[#This Row],[NR_SIMULACAO]],tblVendas[[#This Row],[NR_SIMULACAO]],tblVendas[[#This Row],[VALOR_AVANCADO]],""),0)</f>
        <v>0</v>
      </c>
      <c r="H306">
        <f>IF(tblCalculo[[#This Row],[STATUS]]="CONCLUÍDO",_xlfn.XLOOKUP(tblCalculo[[#This Row],[NR_SIMULACAO]],tblVendas[[#This Row],[NR_SIMULACAO]],tblVendas[[#This Row],[VALOR_FIXABASICA]],""),0)</f>
        <v>0</v>
      </c>
      <c r="I306">
        <f>IF(tblCalculo[[#This Row],[STATUS]]="CONCLUÍDO",_xlfn.XLOOKUP(tblCalculo[[#This Row],[NR_SIMULACAO]],tblVendas[[#This Row],[NR_SIMULACAO]],tblVendas[[#This Row],[VALOR_TI]],""),0)</f>
        <v>0</v>
      </c>
      <c r="J306">
        <f>IF(tblCalculo[[#This Row],[STATUS]]="CONCLUÍDO",_xlfn.XLOOKUP(tblCalculo[[#This Row],[NR_SIMULACAO]],tblVendas[[#This Row],[NR_SIMULACAO]],tblVendas[[#This Row],[VALOR_APARELHO]],""),0)</f>
        <v>0</v>
      </c>
      <c r="K306" t="str">
        <f>IF(tblCalculo[[#This Row],[STATUS]]="NEGOCIANDO",tblCalculo[[#This Row],[VALOR_TOTAL]],"")</f>
        <v/>
      </c>
      <c r="L306" t="str">
        <f>IF(tblCalculo[[#This Row],[STATUS]]="ALÇADA",tblCalculo[[#This Row],[VALOR_TOTAL]],"")</f>
        <v/>
      </c>
      <c r="M306" t="str">
        <f>IF(tblCalculo[[#This Row],[STATUS]]="EM ANÁLISE",tblCalculo[[#This Row],[VALOR_TOTAL]],"")</f>
        <v/>
      </c>
      <c r="N306">
        <f>IF(tblCalculo[[#This Row],[STATUS]]="TRAMITANDO",tblCalculo[[#This Row],[VALOR_TOTAL]],"")</f>
        <v>15522.55</v>
      </c>
      <c r="O306" t="str">
        <f>IF(tblCalculo[[#This Row],[STATUS]]="PERDIDO",tblCalculo[[#This Row],[VALOR_TOTAL]],"")</f>
        <v/>
      </c>
      <c r="P306" t="str">
        <f>IF(tblCalculo[[#This Row],[STATUS]]="CONCLUÍDO",tblCalculo[[#This Row],[VALOR_TOTAL]],"")</f>
        <v/>
      </c>
    </row>
    <row r="307" spans="1:16" x14ac:dyDescent="0.25">
      <c r="A307" t="str">
        <f>tblVendas[[#This Row],[NR_SIMULACAO]]</f>
        <v>SIM1297</v>
      </c>
      <c r="B307" s="34" t="str">
        <f>_xlfn.XLOOKUP(A307,tblVendas[[#This Row],[NR_SIMULACAO]],tblVendas[[#This Row],[NR_CNPJ]],"")</f>
        <v>48.364.480/0001-90</v>
      </c>
      <c r="C307" t="str">
        <f>_xlfn.XLOOKUP(A307,tblVendas[[#This Row],[NR_SIMULACAO]],tblVendas[[#This Row],[STATUS]],"")</f>
        <v>CONCLUÍDO</v>
      </c>
      <c r="D307" t="str">
        <f>_xlfn.XLOOKUP(A307,tblVendas[[#This Row],[NR_SIMULACAO]],tblVendas[[#This Row],[MES]],"")</f>
        <v>Fevereiro</v>
      </c>
      <c r="E307">
        <f>SUM(_xlfn.XLOOKUP(tblCalculo[[#This Row],[NR_SIMULACAO]],tblVendas[[#This Row],[NR_SIMULACAO]],tblVendas[[#This Row],[VALOR_MOVEL]],""):_xlfn.XLOOKUP(tblCalculo[[#This Row],[NR_SIMULACAO]],tblVendas[[#This Row],[NR_SIMULACAO]],tblVendas[[#This Row],[VALOR_APARELHO]],""))</f>
        <v>2715.3900000000003</v>
      </c>
      <c r="F307">
        <f>IF(tblCalculo[[#This Row],[STATUS]]="CONCLUÍDO",_xlfn.XLOOKUP(tblCalculo[[#This Row],[NR_SIMULACAO]],tblVendas[[#This Row],[NR_SIMULACAO]],tblVendas[[#This Row],[VALOR_MOVEL]],""),0)</f>
        <v>2343.7800000000002</v>
      </c>
      <c r="G307">
        <f>IF(tblCalculo[[#This Row],[STATUS]]="CONCLUÍDO",_xlfn.XLOOKUP(tblCalculo[[#This Row],[NR_SIMULACAO]],tblVendas[[#This Row],[NR_SIMULACAO]],tblVendas[[#This Row],[VALOR_AVANCADO]],""),0)</f>
        <v>371.61</v>
      </c>
      <c r="H307">
        <f>IF(tblCalculo[[#This Row],[STATUS]]="CONCLUÍDO",_xlfn.XLOOKUP(tblCalculo[[#This Row],[NR_SIMULACAO]],tblVendas[[#This Row],[NR_SIMULACAO]],tblVendas[[#This Row],[VALOR_FIXABASICA]],""),0)</f>
        <v>0</v>
      </c>
      <c r="I307">
        <f>IF(tblCalculo[[#This Row],[STATUS]]="CONCLUÍDO",_xlfn.XLOOKUP(tblCalculo[[#This Row],[NR_SIMULACAO]],tblVendas[[#This Row],[NR_SIMULACAO]],tblVendas[[#This Row],[VALOR_TI]],""),0)</f>
        <v>0</v>
      </c>
      <c r="J307">
        <f>IF(tblCalculo[[#This Row],[STATUS]]="CONCLUÍDO",_xlfn.XLOOKUP(tblCalculo[[#This Row],[NR_SIMULACAO]],tblVendas[[#This Row],[NR_SIMULACAO]],tblVendas[[#This Row],[VALOR_APARELHO]],""),0)</f>
        <v>0</v>
      </c>
      <c r="K307" t="str">
        <f>IF(tblCalculo[[#This Row],[STATUS]]="NEGOCIANDO",tblCalculo[[#This Row],[VALOR_TOTAL]],"")</f>
        <v/>
      </c>
      <c r="L307" t="str">
        <f>IF(tblCalculo[[#This Row],[STATUS]]="ALÇADA",tblCalculo[[#This Row],[VALOR_TOTAL]],"")</f>
        <v/>
      </c>
      <c r="M307" t="str">
        <f>IF(tblCalculo[[#This Row],[STATUS]]="EM ANÁLISE",tblCalculo[[#This Row],[VALOR_TOTAL]],"")</f>
        <v/>
      </c>
      <c r="N307" t="str">
        <f>IF(tblCalculo[[#This Row],[STATUS]]="TRAMITANDO",tblCalculo[[#This Row],[VALOR_TOTAL]],"")</f>
        <v/>
      </c>
      <c r="O307" t="str">
        <f>IF(tblCalculo[[#This Row],[STATUS]]="PERDIDO",tblCalculo[[#This Row],[VALOR_TOTAL]],"")</f>
        <v/>
      </c>
      <c r="P307">
        <f>IF(tblCalculo[[#This Row],[STATUS]]="CONCLUÍDO",tblCalculo[[#This Row],[VALOR_TOTAL]],"")</f>
        <v>2715.3900000000003</v>
      </c>
    </row>
    <row r="308" spans="1:16" x14ac:dyDescent="0.25">
      <c r="A308" t="str">
        <f>tblVendas[[#This Row],[NR_SIMULACAO]]</f>
        <v>SIM1298</v>
      </c>
      <c r="B308" s="34" t="str">
        <f>_xlfn.XLOOKUP(A308,tblVendas[[#This Row],[NR_SIMULACAO]],tblVendas[[#This Row],[NR_CNPJ]],"")</f>
        <v>90.243.847/0001-29</v>
      </c>
      <c r="C308" t="str">
        <f>_xlfn.XLOOKUP(A308,tblVendas[[#This Row],[NR_SIMULACAO]],tblVendas[[#This Row],[STATUS]],"")</f>
        <v>NEGOCIANDO</v>
      </c>
      <c r="D308" t="str">
        <f>_xlfn.XLOOKUP(A308,tblVendas[[#This Row],[NR_SIMULACAO]],tblVendas[[#This Row],[MES]],"")</f>
        <v>Setembro</v>
      </c>
      <c r="E308">
        <f>SUM(_xlfn.XLOOKUP(tblCalculo[[#This Row],[NR_SIMULACAO]],tblVendas[[#This Row],[NR_SIMULACAO]],tblVendas[[#This Row],[VALOR_MOVEL]],""):_xlfn.XLOOKUP(tblCalculo[[#This Row],[NR_SIMULACAO]],tblVendas[[#This Row],[NR_SIMULACAO]],tblVendas[[#This Row],[VALOR_APARELHO]],""))</f>
        <v>13655.49</v>
      </c>
      <c r="F308">
        <f>IF(tblCalculo[[#This Row],[STATUS]]="CONCLUÍDO",_xlfn.XLOOKUP(tblCalculo[[#This Row],[NR_SIMULACAO]],tblVendas[[#This Row],[NR_SIMULACAO]],tblVendas[[#This Row],[VALOR_MOVEL]],""),0)</f>
        <v>0</v>
      </c>
      <c r="G308">
        <f>IF(tblCalculo[[#This Row],[STATUS]]="CONCLUÍDO",_xlfn.XLOOKUP(tblCalculo[[#This Row],[NR_SIMULACAO]],tblVendas[[#This Row],[NR_SIMULACAO]],tblVendas[[#This Row],[VALOR_AVANCADO]],""),0)</f>
        <v>0</v>
      </c>
      <c r="H308">
        <f>IF(tblCalculo[[#This Row],[STATUS]]="CONCLUÍDO",_xlfn.XLOOKUP(tblCalculo[[#This Row],[NR_SIMULACAO]],tblVendas[[#This Row],[NR_SIMULACAO]],tblVendas[[#This Row],[VALOR_FIXABASICA]],""),0)</f>
        <v>0</v>
      </c>
      <c r="I308">
        <f>IF(tblCalculo[[#This Row],[STATUS]]="CONCLUÍDO",_xlfn.XLOOKUP(tblCalculo[[#This Row],[NR_SIMULACAO]],tblVendas[[#This Row],[NR_SIMULACAO]],tblVendas[[#This Row],[VALOR_TI]],""),0)</f>
        <v>0</v>
      </c>
      <c r="J308">
        <f>IF(tblCalculo[[#This Row],[STATUS]]="CONCLUÍDO",_xlfn.XLOOKUP(tblCalculo[[#This Row],[NR_SIMULACAO]],tblVendas[[#This Row],[NR_SIMULACAO]],tblVendas[[#This Row],[VALOR_APARELHO]],""),0)</f>
        <v>0</v>
      </c>
      <c r="K308">
        <f>IF(tblCalculo[[#This Row],[STATUS]]="NEGOCIANDO",tblCalculo[[#This Row],[VALOR_TOTAL]],"")</f>
        <v>13655.49</v>
      </c>
      <c r="L308" t="str">
        <f>IF(tblCalculo[[#This Row],[STATUS]]="ALÇADA",tblCalculo[[#This Row],[VALOR_TOTAL]],"")</f>
        <v/>
      </c>
      <c r="M308" t="str">
        <f>IF(tblCalculo[[#This Row],[STATUS]]="EM ANÁLISE",tblCalculo[[#This Row],[VALOR_TOTAL]],"")</f>
        <v/>
      </c>
      <c r="N308" t="str">
        <f>IF(tblCalculo[[#This Row],[STATUS]]="TRAMITANDO",tblCalculo[[#This Row],[VALOR_TOTAL]],"")</f>
        <v/>
      </c>
      <c r="O308" t="str">
        <f>IF(tblCalculo[[#This Row],[STATUS]]="PERDIDO",tblCalculo[[#This Row],[VALOR_TOTAL]],"")</f>
        <v/>
      </c>
      <c r="P308" t="str">
        <f>IF(tblCalculo[[#This Row],[STATUS]]="CONCLUÍDO",tblCalculo[[#This Row],[VALOR_TOTAL]],"")</f>
        <v/>
      </c>
    </row>
    <row r="309" spans="1:16" x14ac:dyDescent="0.25">
      <c r="A309" t="str">
        <f>tblVendas[[#This Row],[NR_SIMULACAO]]</f>
        <v>SIM1299</v>
      </c>
      <c r="B309" s="34" t="str">
        <f>_xlfn.XLOOKUP(A309,tblVendas[[#This Row],[NR_SIMULACAO]],tblVendas[[#This Row],[NR_CNPJ]],"")</f>
        <v>32.247.617/0001-21</v>
      </c>
      <c r="C309" t="str">
        <f>_xlfn.XLOOKUP(A309,tblVendas[[#This Row],[NR_SIMULACAO]],tblVendas[[#This Row],[STATUS]],"")</f>
        <v>NEGOCIANDO</v>
      </c>
      <c r="D309" t="str">
        <f>_xlfn.XLOOKUP(A309,tblVendas[[#This Row],[NR_SIMULACAO]],tblVendas[[#This Row],[MES]],"")</f>
        <v>Julho</v>
      </c>
      <c r="E309">
        <f>SUM(_xlfn.XLOOKUP(tblCalculo[[#This Row],[NR_SIMULACAO]],tblVendas[[#This Row],[NR_SIMULACAO]],tblVendas[[#This Row],[VALOR_MOVEL]],""):_xlfn.XLOOKUP(tblCalculo[[#This Row],[NR_SIMULACAO]],tblVendas[[#This Row],[NR_SIMULACAO]],tblVendas[[#This Row],[VALOR_APARELHO]],""))</f>
        <v>6207.4000000000005</v>
      </c>
      <c r="F309">
        <f>IF(tblCalculo[[#This Row],[STATUS]]="CONCLUÍDO",_xlfn.XLOOKUP(tblCalculo[[#This Row],[NR_SIMULACAO]],tblVendas[[#This Row],[NR_SIMULACAO]],tblVendas[[#This Row],[VALOR_MOVEL]],""),0)</f>
        <v>0</v>
      </c>
      <c r="G309">
        <f>IF(tblCalculo[[#This Row],[STATUS]]="CONCLUÍDO",_xlfn.XLOOKUP(tblCalculo[[#This Row],[NR_SIMULACAO]],tblVendas[[#This Row],[NR_SIMULACAO]],tblVendas[[#This Row],[VALOR_AVANCADO]],""),0)</f>
        <v>0</v>
      </c>
      <c r="H309">
        <f>IF(tblCalculo[[#This Row],[STATUS]]="CONCLUÍDO",_xlfn.XLOOKUP(tblCalculo[[#This Row],[NR_SIMULACAO]],tblVendas[[#This Row],[NR_SIMULACAO]],tblVendas[[#This Row],[VALOR_FIXABASICA]],""),0)</f>
        <v>0</v>
      </c>
      <c r="I309">
        <f>IF(tblCalculo[[#This Row],[STATUS]]="CONCLUÍDO",_xlfn.XLOOKUP(tblCalculo[[#This Row],[NR_SIMULACAO]],tblVendas[[#This Row],[NR_SIMULACAO]],tblVendas[[#This Row],[VALOR_TI]],""),0)</f>
        <v>0</v>
      </c>
      <c r="J309">
        <f>IF(tblCalculo[[#This Row],[STATUS]]="CONCLUÍDO",_xlfn.XLOOKUP(tblCalculo[[#This Row],[NR_SIMULACAO]],tblVendas[[#This Row],[NR_SIMULACAO]],tblVendas[[#This Row],[VALOR_APARELHO]],""),0)</f>
        <v>0</v>
      </c>
      <c r="K309">
        <f>IF(tblCalculo[[#This Row],[STATUS]]="NEGOCIANDO",tblCalculo[[#This Row],[VALOR_TOTAL]],"")</f>
        <v>6207.4000000000005</v>
      </c>
      <c r="L309" t="str">
        <f>IF(tblCalculo[[#This Row],[STATUS]]="ALÇADA",tblCalculo[[#This Row],[VALOR_TOTAL]],"")</f>
        <v/>
      </c>
      <c r="M309" t="str">
        <f>IF(tblCalculo[[#This Row],[STATUS]]="EM ANÁLISE",tblCalculo[[#This Row],[VALOR_TOTAL]],"")</f>
        <v/>
      </c>
      <c r="N309" t="str">
        <f>IF(tblCalculo[[#This Row],[STATUS]]="TRAMITANDO",tblCalculo[[#This Row],[VALOR_TOTAL]],"")</f>
        <v/>
      </c>
      <c r="O309" t="str">
        <f>IF(tblCalculo[[#This Row],[STATUS]]="PERDIDO",tblCalculo[[#This Row],[VALOR_TOTAL]],"")</f>
        <v/>
      </c>
      <c r="P309" t="str">
        <f>IF(tblCalculo[[#This Row],[STATUS]]="CONCLUÍDO",tblCalculo[[#This Row],[VALOR_TOTAL]],"")</f>
        <v/>
      </c>
    </row>
    <row r="310" spans="1:16" x14ac:dyDescent="0.25">
      <c r="A310" t="str">
        <f>tblVendas[[#This Row],[NR_SIMULACAO]]</f>
        <v>SIM1300</v>
      </c>
      <c r="B310" s="34" t="str">
        <f>_xlfn.XLOOKUP(A310,tblVendas[[#This Row],[NR_SIMULACAO]],tblVendas[[#This Row],[NR_CNPJ]],"")</f>
        <v>37.783.152/0001-80</v>
      </c>
      <c r="C310" t="str">
        <f>_xlfn.XLOOKUP(A310,tblVendas[[#This Row],[NR_SIMULACAO]],tblVendas[[#This Row],[STATUS]],"")</f>
        <v>TRAMITANDO</v>
      </c>
      <c r="D310" t="str">
        <f>_xlfn.XLOOKUP(A310,tblVendas[[#This Row],[NR_SIMULACAO]],tblVendas[[#This Row],[MES]],"")</f>
        <v>Março</v>
      </c>
      <c r="E310">
        <f>SUM(_xlfn.XLOOKUP(tblCalculo[[#This Row],[NR_SIMULACAO]],tblVendas[[#This Row],[NR_SIMULACAO]],tblVendas[[#This Row],[VALOR_MOVEL]],""):_xlfn.XLOOKUP(tblCalculo[[#This Row],[NR_SIMULACAO]],tblVendas[[#This Row],[NR_SIMULACAO]],tblVendas[[#This Row],[VALOR_APARELHO]],""))</f>
        <v>2862.73</v>
      </c>
      <c r="F310">
        <f>IF(tblCalculo[[#This Row],[STATUS]]="CONCLUÍDO",_xlfn.XLOOKUP(tblCalculo[[#This Row],[NR_SIMULACAO]],tblVendas[[#This Row],[NR_SIMULACAO]],tblVendas[[#This Row],[VALOR_MOVEL]],""),0)</f>
        <v>0</v>
      </c>
      <c r="G310">
        <f>IF(tblCalculo[[#This Row],[STATUS]]="CONCLUÍDO",_xlfn.XLOOKUP(tblCalculo[[#This Row],[NR_SIMULACAO]],tblVendas[[#This Row],[NR_SIMULACAO]],tblVendas[[#This Row],[VALOR_AVANCADO]],""),0)</f>
        <v>0</v>
      </c>
      <c r="H310">
        <f>IF(tblCalculo[[#This Row],[STATUS]]="CONCLUÍDO",_xlfn.XLOOKUP(tblCalculo[[#This Row],[NR_SIMULACAO]],tblVendas[[#This Row],[NR_SIMULACAO]],tblVendas[[#This Row],[VALOR_FIXABASICA]],""),0)</f>
        <v>0</v>
      </c>
      <c r="I310">
        <f>IF(tblCalculo[[#This Row],[STATUS]]="CONCLUÍDO",_xlfn.XLOOKUP(tblCalculo[[#This Row],[NR_SIMULACAO]],tblVendas[[#This Row],[NR_SIMULACAO]],tblVendas[[#This Row],[VALOR_TI]],""),0)</f>
        <v>0</v>
      </c>
      <c r="J310">
        <f>IF(tblCalculo[[#This Row],[STATUS]]="CONCLUÍDO",_xlfn.XLOOKUP(tblCalculo[[#This Row],[NR_SIMULACAO]],tblVendas[[#This Row],[NR_SIMULACAO]],tblVendas[[#This Row],[VALOR_APARELHO]],""),0)</f>
        <v>0</v>
      </c>
      <c r="K310" t="str">
        <f>IF(tblCalculo[[#This Row],[STATUS]]="NEGOCIANDO",tblCalculo[[#This Row],[VALOR_TOTAL]],"")</f>
        <v/>
      </c>
      <c r="L310" t="str">
        <f>IF(tblCalculo[[#This Row],[STATUS]]="ALÇADA",tblCalculo[[#This Row],[VALOR_TOTAL]],"")</f>
        <v/>
      </c>
      <c r="M310" t="str">
        <f>IF(tblCalculo[[#This Row],[STATUS]]="EM ANÁLISE",tblCalculo[[#This Row],[VALOR_TOTAL]],"")</f>
        <v/>
      </c>
      <c r="N310">
        <f>IF(tblCalculo[[#This Row],[STATUS]]="TRAMITANDO",tblCalculo[[#This Row],[VALOR_TOTAL]],"")</f>
        <v>2862.73</v>
      </c>
      <c r="O310" t="str">
        <f>IF(tblCalculo[[#This Row],[STATUS]]="PERDIDO",tblCalculo[[#This Row],[VALOR_TOTAL]],"")</f>
        <v/>
      </c>
      <c r="P310" t="str">
        <f>IF(tblCalculo[[#This Row],[STATUS]]="CONCLUÍDO",tblCalculo[[#This Row],[VALOR_TOTAL]],"")</f>
        <v/>
      </c>
    </row>
    <row r="311" spans="1:16" x14ac:dyDescent="0.25">
      <c r="A311" t="str">
        <f>tblVendas[[#This Row],[NR_SIMULACAO]]</f>
        <v>SIM1301</v>
      </c>
      <c r="B311" s="34" t="str">
        <f>_xlfn.XLOOKUP(A311,tblVendas[[#This Row],[NR_SIMULACAO]],tblVendas[[#This Row],[NR_CNPJ]],"")</f>
        <v>20.804.325/0001-34</v>
      </c>
      <c r="C311" t="str">
        <f>_xlfn.XLOOKUP(A311,tblVendas[[#This Row],[NR_SIMULACAO]],tblVendas[[#This Row],[STATUS]],"")</f>
        <v>ALÇADA</v>
      </c>
      <c r="D311" t="str">
        <f>_xlfn.XLOOKUP(A311,tblVendas[[#This Row],[NR_SIMULACAO]],tblVendas[[#This Row],[MES]],"")</f>
        <v>Agosto</v>
      </c>
      <c r="E311">
        <f>SUM(_xlfn.XLOOKUP(tblCalculo[[#This Row],[NR_SIMULACAO]],tblVendas[[#This Row],[NR_SIMULACAO]],tblVendas[[#This Row],[VALOR_MOVEL]],""):_xlfn.XLOOKUP(tblCalculo[[#This Row],[NR_SIMULACAO]],tblVendas[[#This Row],[NR_SIMULACAO]],tblVendas[[#This Row],[VALOR_APARELHO]],""))</f>
        <v>6458.82</v>
      </c>
      <c r="F311">
        <f>IF(tblCalculo[[#This Row],[STATUS]]="CONCLUÍDO",_xlfn.XLOOKUP(tblCalculo[[#This Row],[NR_SIMULACAO]],tblVendas[[#This Row],[NR_SIMULACAO]],tblVendas[[#This Row],[VALOR_MOVEL]],""),0)</f>
        <v>0</v>
      </c>
      <c r="G311">
        <f>IF(tblCalculo[[#This Row],[STATUS]]="CONCLUÍDO",_xlfn.XLOOKUP(tblCalculo[[#This Row],[NR_SIMULACAO]],tblVendas[[#This Row],[NR_SIMULACAO]],tblVendas[[#This Row],[VALOR_AVANCADO]],""),0)</f>
        <v>0</v>
      </c>
      <c r="H311">
        <f>IF(tblCalculo[[#This Row],[STATUS]]="CONCLUÍDO",_xlfn.XLOOKUP(tblCalculo[[#This Row],[NR_SIMULACAO]],tblVendas[[#This Row],[NR_SIMULACAO]],tblVendas[[#This Row],[VALOR_FIXABASICA]],""),0)</f>
        <v>0</v>
      </c>
      <c r="I311">
        <f>IF(tblCalculo[[#This Row],[STATUS]]="CONCLUÍDO",_xlfn.XLOOKUP(tblCalculo[[#This Row],[NR_SIMULACAO]],tblVendas[[#This Row],[NR_SIMULACAO]],tblVendas[[#This Row],[VALOR_TI]],""),0)</f>
        <v>0</v>
      </c>
      <c r="J311">
        <f>IF(tblCalculo[[#This Row],[STATUS]]="CONCLUÍDO",_xlfn.XLOOKUP(tblCalculo[[#This Row],[NR_SIMULACAO]],tblVendas[[#This Row],[NR_SIMULACAO]],tblVendas[[#This Row],[VALOR_APARELHO]],""),0)</f>
        <v>0</v>
      </c>
      <c r="K311" t="str">
        <f>IF(tblCalculo[[#This Row],[STATUS]]="NEGOCIANDO",tblCalculo[[#This Row],[VALOR_TOTAL]],"")</f>
        <v/>
      </c>
      <c r="L311">
        <f>IF(tblCalculo[[#This Row],[STATUS]]="ALÇADA",tblCalculo[[#This Row],[VALOR_TOTAL]],"")</f>
        <v>6458.82</v>
      </c>
      <c r="M311" t="str">
        <f>IF(tblCalculo[[#This Row],[STATUS]]="EM ANÁLISE",tblCalculo[[#This Row],[VALOR_TOTAL]],"")</f>
        <v/>
      </c>
      <c r="N311" t="str">
        <f>IF(tblCalculo[[#This Row],[STATUS]]="TRAMITANDO",tblCalculo[[#This Row],[VALOR_TOTAL]],"")</f>
        <v/>
      </c>
      <c r="O311" t="str">
        <f>IF(tblCalculo[[#This Row],[STATUS]]="PERDIDO",tblCalculo[[#This Row],[VALOR_TOTAL]],"")</f>
        <v/>
      </c>
      <c r="P311" t="str">
        <f>IF(tblCalculo[[#This Row],[STATUS]]="CONCLUÍDO",tblCalculo[[#This Row],[VALOR_TOTAL]],"")</f>
        <v/>
      </c>
    </row>
    <row r="312" spans="1:16" x14ac:dyDescent="0.25">
      <c r="A312" t="str">
        <f>tblVendas[[#This Row],[NR_SIMULACAO]]</f>
        <v>SIM1302</v>
      </c>
      <c r="B312" s="34" t="str">
        <f>_xlfn.XLOOKUP(A312,tblVendas[[#This Row],[NR_SIMULACAO]],tblVendas[[#This Row],[NR_CNPJ]],"")</f>
        <v>87.810.566/0001-64</v>
      </c>
      <c r="C312" t="str">
        <f>_xlfn.XLOOKUP(A312,tblVendas[[#This Row],[NR_SIMULACAO]],tblVendas[[#This Row],[STATUS]],"")</f>
        <v>EM ANÁLISE</v>
      </c>
      <c r="D312" t="str">
        <f>_xlfn.XLOOKUP(A312,tblVendas[[#This Row],[NR_SIMULACAO]],tblVendas[[#This Row],[MES]],"")</f>
        <v>Julho</v>
      </c>
      <c r="E312">
        <f>SUM(_xlfn.XLOOKUP(tblCalculo[[#This Row],[NR_SIMULACAO]],tblVendas[[#This Row],[NR_SIMULACAO]],tblVendas[[#This Row],[VALOR_MOVEL]],""):_xlfn.XLOOKUP(tblCalculo[[#This Row],[NR_SIMULACAO]],tblVendas[[#This Row],[NR_SIMULACAO]],tblVendas[[#This Row],[VALOR_APARELHO]],""))</f>
        <v>8634.61</v>
      </c>
      <c r="F312">
        <f>IF(tblCalculo[[#This Row],[STATUS]]="CONCLUÍDO",_xlfn.XLOOKUP(tblCalculo[[#This Row],[NR_SIMULACAO]],tblVendas[[#This Row],[NR_SIMULACAO]],tblVendas[[#This Row],[VALOR_MOVEL]],""),0)</f>
        <v>0</v>
      </c>
      <c r="G312">
        <f>IF(tblCalculo[[#This Row],[STATUS]]="CONCLUÍDO",_xlfn.XLOOKUP(tblCalculo[[#This Row],[NR_SIMULACAO]],tblVendas[[#This Row],[NR_SIMULACAO]],tblVendas[[#This Row],[VALOR_AVANCADO]],""),0)</f>
        <v>0</v>
      </c>
      <c r="H312">
        <f>IF(tblCalculo[[#This Row],[STATUS]]="CONCLUÍDO",_xlfn.XLOOKUP(tblCalculo[[#This Row],[NR_SIMULACAO]],tblVendas[[#This Row],[NR_SIMULACAO]],tblVendas[[#This Row],[VALOR_FIXABASICA]],""),0)</f>
        <v>0</v>
      </c>
      <c r="I312">
        <f>IF(tblCalculo[[#This Row],[STATUS]]="CONCLUÍDO",_xlfn.XLOOKUP(tblCalculo[[#This Row],[NR_SIMULACAO]],tblVendas[[#This Row],[NR_SIMULACAO]],tblVendas[[#This Row],[VALOR_TI]],""),0)</f>
        <v>0</v>
      </c>
      <c r="J312">
        <f>IF(tblCalculo[[#This Row],[STATUS]]="CONCLUÍDO",_xlfn.XLOOKUP(tblCalculo[[#This Row],[NR_SIMULACAO]],tblVendas[[#This Row],[NR_SIMULACAO]],tblVendas[[#This Row],[VALOR_APARELHO]],""),0)</f>
        <v>0</v>
      </c>
      <c r="K312" t="str">
        <f>IF(tblCalculo[[#This Row],[STATUS]]="NEGOCIANDO",tblCalculo[[#This Row],[VALOR_TOTAL]],"")</f>
        <v/>
      </c>
      <c r="L312" t="str">
        <f>IF(tblCalculo[[#This Row],[STATUS]]="ALÇADA",tblCalculo[[#This Row],[VALOR_TOTAL]],"")</f>
        <v/>
      </c>
      <c r="M312">
        <f>IF(tblCalculo[[#This Row],[STATUS]]="EM ANÁLISE",tblCalculo[[#This Row],[VALOR_TOTAL]],"")</f>
        <v>8634.61</v>
      </c>
      <c r="N312" t="str">
        <f>IF(tblCalculo[[#This Row],[STATUS]]="TRAMITANDO",tblCalculo[[#This Row],[VALOR_TOTAL]],"")</f>
        <v/>
      </c>
      <c r="O312" t="str">
        <f>IF(tblCalculo[[#This Row],[STATUS]]="PERDIDO",tblCalculo[[#This Row],[VALOR_TOTAL]],"")</f>
        <v/>
      </c>
      <c r="P312" t="str">
        <f>IF(tblCalculo[[#This Row],[STATUS]]="CONCLUÍDO",tblCalculo[[#This Row],[VALOR_TOTAL]],"")</f>
        <v/>
      </c>
    </row>
    <row r="313" spans="1:16" x14ac:dyDescent="0.25">
      <c r="A313" t="str">
        <f>tblVendas[[#This Row],[NR_SIMULACAO]]</f>
        <v>SIM1303</v>
      </c>
      <c r="B313" s="34" t="str">
        <f>_xlfn.XLOOKUP(A313,tblVendas[[#This Row],[NR_SIMULACAO]],tblVendas[[#This Row],[NR_CNPJ]],"")</f>
        <v>51.221.605/0001-60</v>
      </c>
      <c r="C313" t="str">
        <f>_xlfn.XLOOKUP(A313,tblVendas[[#This Row],[NR_SIMULACAO]],tblVendas[[#This Row],[STATUS]],"")</f>
        <v>PERDIDO</v>
      </c>
      <c r="D313" t="str">
        <f>_xlfn.XLOOKUP(A313,tblVendas[[#This Row],[NR_SIMULACAO]],tblVendas[[#This Row],[MES]],"")</f>
        <v>Novembro</v>
      </c>
      <c r="E313">
        <f>SUM(_xlfn.XLOOKUP(tblCalculo[[#This Row],[NR_SIMULACAO]],tblVendas[[#This Row],[NR_SIMULACAO]],tblVendas[[#This Row],[VALOR_MOVEL]],""):_xlfn.XLOOKUP(tblCalculo[[#This Row],[NR_SIMULACAO]],tblVendas[[#This Row],[NR_SIMULACAO]],tblVendas[[#This Row],[VALOR_APARELHO]],""))</f>
        <v>690.94</v>
      </c>
      <c r="F313">
        <f>IF(tblCalculo[[#This Row],[STATUS]]="CONCLUÍDO",_xlfn.XLOOKUP(tblCalculo[[#This Row],[NR_SIMULACAO]],tblVendas[[#This Row],[NR_SIMULACAO]],tblVendas[[#This Row],[VALOR_MOVEL]],""),0)</f>
        <v>0</v>
      </c>
      <c r="G313">
        <f>IF(tblCalculo[[#This Row],[STATUS]]="CONCLUÍDO",_xlfn.XLOOKUP(tblCalculo[[#This Row],[NR_SIMULACAO]],tblVendas[[#This Row],[NR_SIMULACAO]],tblVendas[[#This Row],[VALOR_AVANCADO]],""),0)</f>
        <v>0</v>
      </c>
      <c r="H313">
        <f>IF(tblCalculo[[#This Row],[STATUS]]="CONCLUÍDO",_xlfn.XLOOKUP(tblCalculo[[#This Row],[NR_SIMULACAO]],tblVendas[[#This Row],[NR_SIMULACAO]],tblVendas[[#This Row],[VALOR_FIXABASICA]],""),0)</f>
        <v>0</v>
      </c>
      <c r="I313">
        <f>IF(tblCalculo[[#This Row],[STATUS]]="CONCLUÍDO",_xlfn.XLOOKUP(tblCalculo[[#This Row],[NR_SIMULACAO]],tblVendas[[#This Row],[NR_SIMULACAO]],tblVendas[[#This Row],[VALOR_TI]],""),0)</f>
        <v>0</v>
      </c>
      <c r="J313">
        <f>IF(tblCalculo[[#This Row],[STATUS]]="CONCLUÍDO",_xlfn.XLOOKUP(tblCalculo[[#This Row],[NR_SIMULACAO]],tblVendas[[#This Row],[NR_SIMULACAO]],tblVendas[[#This Row],[VALOR_APARELHO]],""),0)</f>
        <v>0</v>
      </c>
      <c r="K313" t="str">
        <f>IF(tblCalculo[[#This Row],[STATUS]]="NEGOCIANDO",tblCalculo[[#This Row],[VALOR_TOTAL]],"")</f>
        <v/>
      </c>
      <c r="L313" t="str">
        <f>IF(tblCalculo[[#This Row],[STATUS]]="ALÇADA",tblCalculo[[#This Row],[VALOR_TOTAL]],"")</f>
        <v/>
      </c>
      <c r="M313" t="str">
        <f>IF(tblCalculo[[#This Row],[STATUS]]="EM ANÁLISE",tblCalculo[[#This Row],[VALOR_TOTAL]],"")</f>
        <v/>
      </c>
      <c r="N313" t="str">
        <f>IF(tblCalculo[[#This Row],[STATUS]]="TRAMITANDO",tblCalculo[[#This Row],[VALOR_TOTAL]],"")</f>
        <v/>
      </c>
      <c r="O313">
        <f>IF(tblCalculo[[#This Row],[STATUS]]="PERDIDO",tblCalculo[[#This Row],[VALOR_TOTAL]],"")</f>
        <v>690.94</v>
      </c>
      <c r="P313" t="str">
        <f>IF(tblCalculo[[#This Row],[STATUS]]="CONCLUÍDO",tblCalculo[[#This Row],[VALOR_TOTAL]],"")</f>
        <v/>
      </c>
    </row>
    <row r="314" spans="1:16" x14ac:dyDescent="0.25">
      <c r="A314" t="str">
        <f>tblVendas[[#This Row],[NR_SIMULACAO]]</f>
        <v>SIM1304</v>
      </c>
      <c r="B314" s="34" t="str">
        <f>_xlfn.XLOOKUP(A314,tblVendas[[#This Row],[NR_SIMULACAO]],tblVendas[[#This Row],[NR_CNPJ]],"")</f>
        <v>86.234.733/0001-79</v>
      </c>
      <c r="C314" t="str">
        <f>_xlfn.XLOOKUP(A314,tblVendas[[#This Row],[NR_SIMULACAO]],tblVendas[[#This Row],[STATUS]],"")</f>
        <v>CONCLUÍDO</v>
      </c>
      <c r="D314" t="str">
        <f>_xlfn.XLOOKUP(A314,tblVendas[[#This Row],[NR_SIMULACAO]],tblVendas[[#This Row],[MES]],"")</f>
        <v>Maio</v>
      </c>
      <c r="E314">
        <f>SUM(_xlfn.XLOOKUP(tblCalculo[[#This Row],[NR_SIMULACAO]],tblVendas[[#This Row],[NR_SIMULACAO]],tblVendas[[#This Row],[VALOR_MOVEL]],""):_xlfn.XLOOKUP(tblCalculo[[#This Row],[NR_SIMULACAO]],tblVendas[[#This Row],[NR_SIMULACAO]],tblVendas[[#This Row],[VALOR_APARELHO]],""))</f>
        <v>12915.029999999999</v>
      </c>
      <c r="F314">
        <f>IF(tblCalculo[[#This Row],[STATUS]]="CONCLUÍDO",_xlfn.XLOOKUP(tblCalculo[[#This Row],[NR_SIMULACAO]],tblVendas[[#This Row],[NR_SIMULACAO]],tblVendas[[#This Row],[VALOR_MOVEL]],""),0)</f>
        <v>0</v>
      </c>
      <c r="G314">
        <f>IF(tblCalculo[[#This Row],[STATUS]]="CONCLUÍDO",_xlfn.XLOOKUP(tblCalculo[[#This Row],[NR_SIMULACAO]],tblVendas[[#This Row],[NR_SIMULACAO]],tblVendas[[#This Row],[VALOR_AVANCADO]],""),0)</f>
        <v>4858.17</v>
      </c>
      <c r="H314">
        <f>IF(tblCalculo[[#This Row],[STATUS]]="CONCLUÍDO",_xlfn.XLOOKUP(tblCalculo[[#This Row],[NR_SIMULACAO]],tblVendas[[#This Row],[NR_SIMULACAO]],tblVendas[[#This Row],[VALOR_FIXABASICA]],""),0)</f>
        <v>324.13</v>
      </c>
      <c r="I314">
        <f>IF(tblCalculo[[#This Row],[STATUS]]="CONCLUÍDO",_xlfn.XLOOKUP(tblCalculo[[#This Row],[NR_SIMULACAO]],tblVendas[[#This Row],[NR_SIMULACAO]],tblVendas[[#This Row],[VALOR_TI]],""),0)</f>
        <v>0</v>
      </c>
      <c r="J314">
        <f>IF(tblCalculo[[#This Row],[STATUS]]="CONCLUÍDO",_xlfn.XLOOKUP(tblCalculo[[#This Row],[NR_SIMULACAO]],tblVendas[[#This Row],[NR_SIMULACAO]],tblVendas[[#This Row],[VALOR_APARELHO]],""),0)</f>
        <v>7732.73</v>
      </c>
      <c r="K314" t="str">
        <f>IF(tblCalculo[[#This Row],[STATUS]]="NEGOCIANDO",tblCalculo[[#This Row],[VALOR_TOTAL]],"")</f>
        <v/>
      </c>
      <c r="L314" t="str">
        <f>IF(tblCalculo[[#This Row],[STATUS]]="ALÇADA",tblCalculo[[#This Row],[VALOR_TOTAL]],"")</f>
        <v/>
      </c>
      <c r="M314" t="str">
        <f>IF(tblCalculo[[#This Row],[STATUS]]="EM ANÁLISE",tblCalculo[[#This Row],[VALOR_TOTAL]],"")</f>
        <v/>
      </c>
      <c r="N314" t="str">
        <f>IF(tblCalculo[[#This Row],[STATUS]]="TRAMITANDO",tblCalculo[[#This Row],[VALOR_TOTAL]],"")</f>
        <v/>
      </c>
      <c r="O314" t="str">
        <f>IF(tblCalculo[[#This Row],[STATUS]]="PERDIDO",tblCalculo[[#This Row],[VALOR_TOTAL]],"")</f>
        <v/>
      </c>
      <c r="P314">
        <f>IF(tblCalculo[[#This Row],[STATUS]]="CONCLUÍDO",tblCalculo[[#This Row],[VALOR_TOTAL]],"")</f>
        <v>12915.029999999999</v>
      </c>
    </row>
    <row r="315" spans="1:16" x14ac:dyDescent="0.25">
      <c r="A315" t="str">
        <f>tblVendas[[#This Row],[NR_SIMULACAO]]</f>
        <v>SIM1305</v>
      </c>
      <c r="B315" s="34" t="str">
        <f>_xlfn.XLOOKUP(A315,tblVendas[[#This Row],[NR_SIMULACAO]],tblVendas[[#This Row],[NR_CNPJ]],"")</f>
        <v>36.133.264/0001-27</v>
      </c>
      <c r="C315" t="str">
        <f>_xlfn.XLOOKUP(A315,tblVendas[[#This Row],[NR_SIMULACAO]],tblVendas[[#This Row],[STATUS]],"")</f>
        <v>CONCLUÍDO</v>
      </c>
      <c r="D315" t="str">
        <f>_xlfn.XLOOKUP(A315,tblVendas[[#This Row],[NR_SIMULACAO]],tblVendas[[#This Row],[MES]],"")</f>
        <v>Março</v>
      </c>
      <c r="E315">
        <f>SUM(_xlfn.XLOOKUP(tblCalculo[[#This Row],[NR_SIMULACAO]],tblVendas[[#This Row],[NR_SIMULACAO]],tblVendas[[#This Row],[VALOR_MOVEL]],""):_xlfn.XLOOKUP(tblCalculo[[#This Row],[NR_SIMULACAO]],tblVendas[[#This Row],[NR_SIMULACAO]],tblVendas[[#This Row],[VALOR_APARELHO]],""))</f>
        <v>7352.9000000000005</v>
      </c>
      <c r="F315">
        <f>IF(tblCalculo[[#This Row],[STATUS]]="CONCLUÍDO",_xlfn.XLOOKUP(tblCalculo[[#This Row],[NR_SIMULACAO]],tblVendas[[#This Row],[NR_SIMULACAO]],tblVendas[[#This Row],[VALOR_MOVEL]],""),0)</f>
        <v>0</v>
      </c>
      <c r="G315">
        <f>IF(tblCalculo[[#This Row],[STATUS]]="CONCLUÍDO",_xlfn.XLOOKUP(tblCalculo[[#This Row],[NR_SIMULACAO]],tblVendas[[#This Row],[NR_SIMULACAO]],tblVendas[[#This Row],[VALOR_AVANCADO]],""),0)</f>
        <v>353.18</v>
      </c>
      <c r="H315">
        <f>IF(tblCalculo[[#This Row],[STATUS]]="CONCLUÍDO",_xlfn.XLOOKUP(tblCalculo[[#This Row],[NR_SIMULACAO]],tblVendas[[#This Row],[NR_SIMULACAO]],tblVendas[[#This Row],[VALOR_FIXABASICA]],""),0)</f>
        <v>0</v>
      </c>
      <c r="I315">
        <f>IF(tblCalculo[[#This Row],[STATUS]]="CONCLUÍDO",_xlfn.XLOOKUP(tblCalculo[[#This Row],[NR_SIMULACAO]],tblVendas[[#This Row],[NR_SIMULACAO]],tblVendas[[#This Row],[VALOR_TI]],""),0)</f>
        <v>0</v>
      </c>
      <c r="J315">
        <f>IF(tblCalculo[[#This Row],[STATUS]]="CONCLUÍDO",_xlfn.XLOOKUP(tblCalculo[[#This Row],[NR_SIMULACAO]],tblVendas[[#This Row],[NR_SIMULACAO]],tblVendas[[#This Row],[VALOR_APARELHO]],""),0)</f>
        <v>6999.72</v>
      </c>
      <c r="K315" t="str">
        <f>IF(tblCalculo[[#This Row],[STATUS]]="NEGOCIANDO",tblCalculo[[#This Row],[VALOR_TOTAL]],"")</f>
        <v/>
      </c>
      <c r="L315" t="str">
        <f>IF(tblCalculo[[#This Row],[STATUS]]="ALÇADA",tblCalculo[[#This Row],[VALOR_TOTAL]],"")</f>
        <v/>
      </c>
      <c r="M315" t="str">
        <f>IF(tblCalculo[[#This Row],[STATUS]]="EM ANÁLISE",tblCalculo[[#This Row],[VALOR_TOTAL]],"")</f>
        <v/>
      </c>
      <c r="N315" t="str">
        <f>IF(tblCalculo[[#This Row],[STATUS]]="TRAMITANDO",tblCalculo[[#This Row],[VALOR_TOTAL]],"")</f>
        <v/>
      </c>
      <c r="O315" t="str">
        <f>IF(tblCalculo[[#This Row],[STATUS]]="PERDIDO",tblCalculo[[#This Row],[VALOR_TOTAL]],"")</f>
        <v/>
      </c>
      <c r="P315">
        <f>IF(tblCalculo[[#This Row],[STATUS]]="CONCLUÍDO",tblCalculo[[#This Row],[VALOR_TOTAL]],"")</f>
        <v>7352.9000000000005</v>
      </c>
    </row>
    <row r="316" spans="1:16" x14ac:dyDescent="0.25">
      <c r="A316" t="str">
        <f>tblVendas[[#This Row],[NR_SIMULACAO]]</f>
        <v>SIM1306</v>
      </c>
      <c r="B316" s="34" t="str">
        <f>_xlfn.XLOOKUP(A316,tblVendas[[#This Row],[NR_SIMULACAO]],tblVendas[[#This Row],[NR_CNPJ]],"")</f>
        <v>84.632.645/0001-79</v>
      </c>
      <c r="C316" t="str">
        <f>_xlfn.XLOOKUP(A316,tblVendas[[#This Row],[NR_SIMULACAO]],tblVendas[[#This Row],[STATUS]],"")</f>
        <v>TRAMITANDO</v>
      </c>
      <c r="D316" t="str">
        <f>_xlfn.XLOOKUP(A316,tblVendas[[#This Row],[NR_SIMULACAO]],tblVendas[[#This Row],[MES]],"")</f>
        <v>Julho</v>
      </c>
      <c r="E316">
        <f>SUM(_xlfn.XLOOKUP(tblCalculo[[#This Row],[NR_SIMULACAO]],tblVendas[[#This Row],[NR_SIMULACAO]],tblVendas[[#This Row],[VALOR_MOVEL]],""):_xlfn.XLOOKUP(tblCalculo[[#This Row],[NR_SIMULACAO]],tblVendas[[#This Row],[NR_SIMULACAO]],tblVendas[[#This Row],[VALOR_APARELHO]],""))</f>
        <v>20252.760000000002</v>
      </c>
      <c r="F316">
        <f>IF(tblCalculo[[#This Row],[STATUS]]="CONCLUÍDO",_xlfn.XLOOKUP(tblCalculo[[#This Row],[NR_SIMULACAO]],tblVendas[[#This Row],[NR_SIMULACAO]],tblVendas[[#This Row],[VALOR_MOVEL]],""),0)</f>
        <v>0</v>
      </c>
      <c r="G316">
        <f>IF(tblCalculo[[#This Row],[STATUS]]="CONCLUÍDO",_xlfn.XLOOKUP(tblCalculo[[#This Row],[NR_SIMULACAO]],tblVendas[[#This Row],[NR_SIMULACAO]],tblVendas[[#This Row],[VALOR_AVANCADO]],""),0)</f>
        <v>0</v>
      </c>
      <c r="H316">
        <f>IF(tblCalculo[[#This Row],[STATUS]]="CONCLUÍDO",_xlfn.XLOOKUP(tblCalculo[[#This Row],[NR_SIMULACAO]],tblVendas[[#This Row],[NR_SIMULACAO]],tblVendas[[#This Row],[VALOR_FIXABASICA]],""),0)</f>
        <v>0</v>
      </c>
      <c r="I316">
        <f>IF(tblCalculo[[#This Row],[STATUS]]="CONCLUÍDO",_xlfn.XLOOKUP(tblCalculo[[#This Row],[NR_SIMULACAO]],tblVendas[[#This Row],[NR_SIMULACAO]],tblVendas[[#This Row],[VALOR_TI]],""),0)</f>
        <v>0</v>
      </c>
      <c r="J316">
        <f>IF(tblCalculo[[#This Row],[STATUS]]="CONCLUÍDO",_xlfn.XLOOKUP(tblCalculo[[#This Row],[NR_SIMULACAO]],tblVendas[[#This Row],[NR_SIMULACAO]],tblVendas[[#This Row],[VALOR_APARELHO]],""),0)</f>
        <v>0</v>
      </c>
      <c r="K316" t="str">
        <f>IF(tblCalculo[[#This Row],[STATUS]]="NEGOCIANDO",tblCalculo[[#This Row],[VALOR_TOTAL]],"")</f>
        <v/>
      </c>
      <c r="L316" t="str">
        <f>IF(tblCalculo[[#This Row],[STATUS]]="ALÇADA",tblCalculo[[#This Row],[VALOR_TOTAL]],"")</f>
        <v/>
      </c>
      <c r="M316" t="str">
        <f>IF(tblCalculo[[#This Row],[STATUS]]="EM ANÁLISE",tblCalculo[[#This Row],[VALOR_TOTAL]],"")</f>
        <v/>
      </c>
      <c r="N316">
        <f>IF(tblCalculo[[#This Row],[STATUS]]="TRAMITANDO",tblCalculo[[#This Row],[VALOR_TOTAL]],"")</f>
        <v>20252.760000000002</v>
      </c>
      <c r="O316" t="str">
        <f>IF(tblCalculo[[#This Row],[STATUS]]="PERDIDO",tblCalculo[[#This Row],[VALOR_TOTAL]],"")</f>
        <v/>
      </c>
      <c r="P316" t="str">
        <f>IF(tblCalculo[[#This Row],[STATUS]]="CONCLUÍDO",tblCalculo[[#This Row],[VALOR_TOTAL]],"")</f>
        <v/>
      </c>
    </row>
    <row r="317" spans="1:16" x14ac:dyDescent="0.25">
      <c r="A317" t="str">
        <f>tblVendas[[#This Row],[NR_SIMULACAO]]</f>
        <v>SIM1307</v>
      </c>
      <c r="B317" s="34" t="str">
        <f>_xlfn.XLOOKUP(A317,tblVendas[[#This Row],[NR_SIMULACAO]],tblVendas[[#This Row],[NR_CNPJ]],"")</f>
        <v>48.994.447/0001-98</v>
      </c>
      <c r="C317" t="str">
        <f>_xlfn.XLOOKUP(A317,tblVendas[[#This Row],[NR_SIMULACAO]],tblVendas[[#This Row],[STATUS]],"")</f>
        <v>EM ANÁLISE</v>
      </c>
      <c r="D317" t="str">
        <f>_xlfn.XLOOKUP(A317,tblVendas[[#This Row],[NR_SIMULACAO]],tblVendas[[#This Row],[MES]],"")</f>
        <v>Julho</v>
      </c>
      <c r="E317">
        <f>SUM(_xlfn.XLOOKUP(tblCalculo[[#This Row],[NR_SIMULACAO]],tblVendas[[#This Row],[NR_SIMULACAO]],tblVendas[[#This Row],[VALOR_MOVEL]],""):_xlfn.XLOOKUP(tblCalculo[[#This Row],[NR_SIMULACAO]],tblVendas[[#This Row],[NR_SIMULACAO]],tblVendas[[#This Row],[VALOR_APARELHO]],""))</f>
        <v>11871.809999999998</v>
      </c>
      <c r="F317">
        <f>IF(tblCalculo[[#This Row],[STATUS]]="CONCLUÍDO",_xlfn.XLOOKUP(tblCalculo[[#This Row],[NR_SIMULACAO]],tblVendas[[#This Row],[NR_SIMULACAO]],tblVendas[[#This Row],[VALOR_MOVEL]],""),0)</f>
        <v>0</v>
      </c>
      <c r="G317">
        <f>IF(tblCalculo[[#This Row],[STATUS]]="CONCLUÍDO",_xlfn.XLOOKUP(tblCalculo[[#This Row],[NR_SIMULACAO]],tblVendas[[#This Row],[NR_SIMULACAO]],tblVendas[[#This Row],[VALOR_AVANCADO]],""),0)</f>
        <v>0</v>
      </c>
      <c r="H317">
        <f>IF(tblCalculo[[#This Row],[STATUS]]="CONCLUÍDO",_xlfn.XLOOKUP(tblCalculo[[#This Row],[NR_SIMULACAO]],tblVendas[[#This Row],[NR_SIMULACAO]],tblVendas[[#This Row],[VALOR_FIXABASICA]],""),0)</f>
        <v>0</v>
      </c>
      <c r="I317">
        <f>IF(tblCalculo[[#This Row],[STATUS]]="CONCLUÍDO",_xlfn.XLOOKUP(tblCalculo[[#This Row],[NR_SIMULACAO]],tblVendas[[#This Row],[NR_SIMULACAO]],tblVendas[[#This Row],[VALOR_TI]],""),0)</f>
        <v>0</v>
      </c>
      <c r="J317">
        <f>IF(tblCalculo[[#This Row],[STATUS]]="CONCLUÍDO",_xlfn.XLOOKUP(tblCalculo[[#This Row],[NR_SIMULACAO]],tblVendas[[#This Row],[NR_SIMULACAO]],tblVendas[[#This Row],[VALOR_APARELHO]],""),0)</f>
        <v>0</v>
      </c>
      <c r="K317" t="str">
        <f>IF(tblCalculo[[#This Row],[STATUS]]="NEGOCIANDO",tblCalculo[[#This Row],[VALOR_TOTAL]],"")</f>
        <v/>
      </c>
      <c r="L317" t="str">
        <f>IF(tblCalculo[[#This Row],[STATUS]]="ALÇADA",tblCalculo[[#This Row],[VALOR_TOTAL]],"")</f>
        <v/>
      </c>
      <c r="M317">
        <f>IF(tblCalculo[[#This Row],[STATUS]]="EM ANÁLISE",tblCalculo[[#This Row],[VALOR_TOTAL]],"")</f>
        <v>11871.809999999998</v>
      </c>
      <c r="N317" t="str">
        <f>IF(tblCalculo[[#This Row],[STATUS]]="TRAMITANDO",tblCalculo[[#This Row],[VALOR_TOTAL]],"")</f>
        <v/>
      </c>
      <c r="O317" t="str">
        <f>IF(tblCalculo[[#This Row],[STATUS]]="PERDIDO",tblCalculo[[#This Row],[VALOR_TOTAL]],"")</f>
        <v/>
      </c>
      <c r="P317" t="str">
        <f>IF(tblCalculo[[#This Row],[STATUS]]="CONCLUÍDO",tblCalculo[[#This Row],[VALOR_TOTAL]],"")</f>
        <v/>
      </c>
    </row>
    <row r="318" spans="1:16" x14ac:dyDescent="0.25">
      <c r="A318" t="str">
        <f>tblVendas[[#This Row],[NR_SIMULACAO]]</f>
        <v>SIM1308</v>
      </c>
      <c r="B318" s="34" t="str">
        <f>_xlfn.XLOOKUP(A318,tblVendas[[#This Row],[NR_SIMULACAO]],tblVendas[[#This Row],[NR_CNPJ]],"")</f>
        <v>85.588.780/0001-42</v>
      </c>
      <c r="C318" t="str">
        <f>_xlfn.XLOOKUP(A318,tblVendas[[#This Row],[NR_SIMULACAO]],tblVendas[[#This Row],[STATUS]],"")</f>
        <v>NEGOCIANDO</v>
      </c>
      <c r="D318" t="str">
        <f>_xlfn.XLOOKUP(A318,tblVendas[[#This Row],[NR_SIMULACAO]],tblVendas[[#This Row],[MES]],"")</f>
        <v>Janeiro</v>
      </c>
      <c r="E318">
        <f>SUM(_xlfn.XLOOKUP(tblCalculo[[#This Row],[NR_SIMULACAO]],tblVendas[[#This Row],[NR_SIMULACAO]],tblVendas[[#This Row],[VALOR_MOVEL]],""):_xlfn.XLOOKUP(tblCalculo[[#This Row],[NR_SIMULACAO]],tblVendas[[#This Row],[NR_SIMULACAO]],tblVendas[[#This Row],[VALOR_APARELHO]],""))</f>
        <v>7443.9699999999993</v>
      </c>
      <c r="F318">
        <f>IF(tblCalculo[[#This Row],[STATUS]]="CONCLUÍDO",_xlfn.XLOOKUP(tblCalculo[[#This Row],[NR_SIMULACAO]],tblVendas[[#This Row],[NR_SIMULACAO]],tblVendas[[#This Row],[VALOR_MOVEL]],""),0)</f>
        <v>0</v>
      </c>
      <c r="G318">
        <f>IF(tblCalculo[[#This Row],[STATUS]]="CONCLUÍDO",_xlfn.XLOOKUP(tblCalculo[[#This Row],[NR_SIMULACAO]],tblVendas[[#This Row],[NR_SIMULACAO]],tblVendas[[#This Row],[VALOR_AVANCADO]],""),0)</f>
        <v>0</v>
      </c>
      <c r="H318">
        <f>IF(tblCalculo[[#This Row],[STATUS]]="CONCLUÍDO",_xlfn.XLOOKUP(tblCalculo[[#This Row],[NR_SIMULACAO]],tblVendas[[#This Row],[NR_SIMULACAO]],tblVendas[[#This Row],[VALOR_FIXABASICA]],""),0)</f>
        <v>0</v>
      </c>
      <c r="I318">
        <f>IF(tblCalculo[[#This Row],[STATUS]]="CONCLUÍDO",_xlfn.XLOOKUP(tblCalculo[[#This Row],[NR_SIMULACAO]],tblVendas[[#This Row],[NR_SIMULACAO]],tblVendas[[#This Row],[VALOR_TI]],""),0)</f>
        <v>0</v>
      </c>
      <c r="J318">
        <f>IF(tblCalculo[[#This Row],[STATUS]]="CONCLUÍDO",_xlfn.XLOOKUP(tblCalculo[[#This Row],[NR_SIMULACAO]],tblVendas[[#This Row],[NR_SIMULACAO]],tblVendas[[#This Row],[VALOR_APARELHO]],""),0)</f>
        <v>0</v>
      </c>
      <c r="K318">
        <f>IF(tblCalculo[[#This Row],[STATUS]]="NEGOCIANDO",tblCalculo[[#This Row],[VALOR_TOTAL]],"")</f>
        <v>7443.9699999999993</v>
      </c>
      <c r="L318" t="str">
        <f>IF(tblCalculo[[#This Row],[STATUS]]="ALÇADA",tblCalculo[[#This Row],[VALOR_TOTAL]],"")</f>
        <v/>
      </c>
      <c r="M318" t="str">
        <f>IF(tblCalculo[[#This Row],[STATUS]]="EM ANÁLISE",tblCalculo[[#This Row],[VALOR_TOTAL]],"")</f>
        <v/>
      </c>
      <c r="N318" t="str">
        <f>IF(tblCalculo[[#This Row],[STATUS]]="TRAMITANDO",tblCalculo[[#This Row],[VALOR_TOTAL]],"")</f>
        <v/>
      </c>
      <c r="O318" t="str">
        <f>IF(tblCalculo[[#This Row],[STATUS]]="PERDIDO",tblCalculo[[#This Row],[VALOR_TOTAL]],"")</f>
        <v/>
      </c>
      <c r="P318" t="str">
        <f>IF(tblCalculo[[#This Row],[STATUS]]="CONCLUÍDO",tblCalculo[[#This Row],[VALOR_TOTAL]],"")</f>
        <v/>
      </c>
    </row>
    <row r="319" spans="1:16" x14ac:dyDescent="0.25">
      <c r="A319" t="str">
        <f>tblVendas[[#This Row],[NR_SIMULACAO]]</f>
        <v>SIM1309</v>
      </c>
      <c r="B319" s="34" t="str">
        <f>_xlfn.XLOOKUP(A319,tblVendas[[#This Row],[NR_SIMULACAO]],tblVendas[[#This Row],[NR_CNPJ]],"")</f>
        <v>88.236.453/0001-12</v>
      </c>
      <c r="C319" t="str">
        <f>_xlfn.XLOOKUP(A319,tblVendas[[#This Row],[NR_SIMULACAO]],tblVendas[[#This Row],[STATUS]],"")</f>
        <v>EM ANÁLISE</v>
      </c>
      <c r="D319" t="str">
        <f>_xlfn.XLOOKUP(A319,tblVendas[[#This Row],[NR_SIMULACAO]],tblVendas[[#This Row],[MES]],"")</f>
        <v>Abril</v>
      </c>
      <c r="E319">
        <f>SUM(_xlfn.XLOOKUP(tblCalculo[[#This Row],[NR_SIMULACAO]],tblVendas[[#This Row],[NR_SIMULACAO]],tblVendas[[#This Row],[VALOR_MOVEL]],""):_xlfn.XLOOKUP(tblCalculo[[#This Row],[NR_SIMULACAO]],tblVendas[[#This Row],[NR_SIMULACAO]],tblVendas[[#This Row],[VALOR_APARELHO]],""))</f>
        <v>407.6</v>
      </c>
      <c r="F319">
        <f>IF(tblCalculo[[#This Row],[STATUS]]="CONCLUÍDO",_xlfn.XLOOKUP(tblCalculo[[#This Row],[NR_SIMULACAO]],tblVendas[[#This Row],[NR_SIMULACAO]],tblVendas[[#This Row],[VALOR_MOVEL]],""),0)</f>
        <v>0</v>
      </c>
      <c r="G319">
        <f>IF(tblCalculo[[#This Row],[STATUS]]="CONCLUÍDO",_xlfn.XLOOKUP(tblCalculo[[#This Row],[NR_SIMULACAO]],tblVendas[[#This Row],[NR_SIMULACAO]],tblVendas[[#This Row],[VALOR_AVANCADO]],""),0)</f>
        <v>0</v>
      </c>
      <c r="H319">
        <f>IF(tblCalculo[[#This Row],[STATUS]]="CONCLUÍDO",_xlfn.XLOOKUP(tblCalculo[[#This Row],[NR_SIMULACAO]],tblVendas[[#This Row],[NR_SIMULACAO]],tblVendas[[#This Row],[VALOR_FIXABASICA]],""),0)</f>
        <v>0</v>
      </c>
      <c r="I319">
        <f>IF(tblCalculo[[#This Row],[STATUS]]="CONCLUÍDO",_xlfn.XLOOKUP(tblCalculo[[#This Row],[NR_SIMULACAO]],tblVendas[[#This Row],[NR_SIMULACAO]],tblVendas[[#This Row],[VALOR_TI]],""),0)</f>
        <v>0</v>
      </c>
      <c r="J319">
        <f>IF(tblCalculo[[#This Row],[STATUS]]="CONCLUÍDO",_xlfn.XLOOKUP(tblCalculo[[#This Row],[NR_SIMULACAO]],tblVendas[[#This Row],[NR_SIMULACAO]],tblVendas[[#This Row],[VALOR_APARELHO]],""),0)</f>
        <v>0</v>
      </c>
      <c r="K319" t="str">
        <f>IF(tblCalculo[[#This Row],[STATUS]]="NEGOCIANDO",tblCalculo[[#This Row],[VALOR_TOTAL]],"")</f>
        <v/>
      </c>
      <c r="L319" t="str">
        <f>IF(tblCalculo[[#This Row],[STATUS]]="ALÇADA",tblCalculo[[#This Row],[VALOR_TOTAL]],"")</f>
        <v/>
      </c>
      <c r="M319">
        <f>IF(tblCalculo[[#This Row],[STATUS]]="EM ANÁLISE",tblCalculo[[#This Row],[VALOR_TOTAL]],"")</f>
        <v>407.6</v>
      </c>
      <c r="N319" t="str">
        <f>IF(tblCalculo[[#This Row],[STATUS]]="TRAMITANDO",tblCalculo[[#This Row],[VALOR_TOTAL]],"")</f>
        <v/>
      </c>
      <c r="O319" t="str">
        <f>IF(tblCalculo[[#This Row],[STATUS]]="PERDIDO",tblCalculo[[#This Row],[VALOR_TOTAL]],"")</f>
        <v/>
      </c>
      <c r="P319" t="str">
        <f>IF(tblCalculo[[#This Row],[STATUS]]="CONCLUÍDO",tblCalculo[[#This Row],[VALOR_TOTAL]],"")</f>
        <v/>
      </c>
    </row>
    <row r="320" spans="1:16" x14ac:dyDescent="0.25">
      <c r="A320" t="str">
        <f>tblVendas[[#This Row],[NR_SIMULACAO]]</f>
        <v>SIM1310</v>
      </c>
      <c r="B320" s="34" t="str">
        <f>_xlfn.XLOOKUP(A320,tblVendas[[#This Row],[NR_SIMULACAO]],tblVendas[[#This Row],[NR_CNPJ]],"")</f>
        <v>10.364.211/0001-39</v>
      </c>
      <c r="C320" t="str">
        <f>_xlfn.XLOOKUP(A320,tblVendas[[#This Row],[NR_SIMULACAO]],tblVendas[[#This Row],[STATUS]],"")</f>
        <v>ALÇADA</v>
      </c>
      <c r="D320" t="str">
        <f>_xlfn.XLOOKUP(A320,tblVendas[[#This Row],[NR_SIMULACAO]],tblVendas[[#This Row],[MES]],"")</f>
        <v>Outubro</v>
      </c>
      <c r="E320">
        <f>SUM(_xlfn.XLOOKUP(tblCalculo[[#This Row],[NR_SIMULACAO]],tblVendas[[#This Row],[NR_SIMULACAO]],tblVendas[[#This Row],[VALOR_MOVEL]],""):_xlfn.XLOOKUP(tblCalculo[[#This Row],[NR_SIMULACAO]],tblVendas[[#This Row],[NR_SIMULACAO]],tblVendas[[#This Row],[VALOR_APARELHO]],""))</f>
        <v>17779.509999999998</v>
      </c>
      <c r="F320">
        <f>IF(tblCalculo[[#This Row],[STATUS]]="CONCLUÍDO",_xlfn.XLOOKUP(tblCalculo[[#This Row],[NR_SIMULACAO]],tblVendas[[#This Row],[NR_SIMULACAO]],tblVendas[[#This Row],[VALOR_MOVEL]],""),0)</f>
        <v>0</v>
      </c>
      <c r="G320">
        <f>IF(tblCalculo[[#This Row],[STATUS]]="CONCLUÍDO",_xlfn.XLOOKUP(tblCalculo[[#This Row],[NR_SIMULACAO]],tblVendas[[#This Row],[NR_SIMULACAO]],tblVendas[[#This Row],[VALOR_AVANCADO]],""),0)</f>
        <v>0</v>
      </c>
      <c r="H320">
        <f>IF(tblCalculo[[#This Row],[STATUS]]="CONCLUÍDO",_xlfn.XLOOKUP(tblCalculo[[#This Row],[NR_SIMULACAO]],tblVendas[[#This Row],[NR_SIMULACAO]],tblVendas[[#This Row],[VALOR_FIXABASICA]],""),0)</f>
        <v>0</v>
      </c>
      <c r="I320">
        <f>IF(tblCalculo[[#This Row],[STATUS]]="CONCLUÍDO",_xlfn.XLOOKUP(tblCalculo[[#This Row],[NR_SIMULACAO]],tblVendas[[#This Row],[NR_SIMULACAO]],tblVendas[[#This Row],[VALOR_TI]],""),0)</f>
        <v>0</v>
      </c>
      <c r="J320">
        <f>IF(tblCalculo[[#This Row],[STATUS]]="CONCLUÍDO",_xlfn.XLOOKUP(tblCalculo[[#This Row],[NR_SIMULACAO]],tblVendas[[#This Row],[NR_SIMULACAO]],tblVendas[[#This Row],[VALOR_APARELHO]],""),0)</f>
        <v>0</v>
      </c>
      <c r="K320" t="str">
        <f>IF(tblCalculo[[#This Row],[STATUS]]="NEGOCIANDO",tblCalculo[[#This Row],[VALOR_TOTAL]],"")</f>
        <v/>
      </c>
      <c r="L320">
        <f>IF(tblCalculo[[#This Row],[STATUS]]="ALÇADA",tblCalculo[[#This Row],[VALOR_TOTAL]],"")</f>
        <v>17779.509999999998</v>
      </c>
      <c r="M320" t="str">
        <f>IF(tblCalculo[[#This Row],[STATUS]]="EM ANÁLISE",tblCalculo[[#This Row],[VALOR_TOTAL]],"")</f>
        <v/>
      </c>
      <c r="N320" t="str">
        <f>IF(tblCalculo[[#This Row],[STATUS]]="TRAMITANDO",tblCalculo[[#This Row],[VALOR_TOTAL]],"")</f>
        <v/>
      </c>
      <c r="O320" t="str">
        <f>IF(tblCalculo[[#This Row],[STATUS]]="PERDIDO",tblCalculo[[#This Row],[VALOR_TOTAL]],"")</f>
        <v/>
      </c>
      <c r="P320" t="str">
        <f>IF(tblCalculo[[#This Row],[STATUS]]="CONCLUÍDO",tblCalculo[[#This Row],[VALOR_TOTAL]],"")</f>
        <v/>
      </c>
    </row>
    <row r="321" spans="1:16" x14ac:dyDescent="0.25">
      <c r="A321" t="str">
        <f>tblVendas[[#This Row],[NR_SIMULACAO]]</f>
        <v>SIM1311</v>
      </c>
      <c r="B321" s="34" t="str">
        <f>_xlfn.XLOOKUP(A321,tblVendas[[#This Row],[NR_SIMULACAO]],tblVendas[[#This Row],[NR_CNPJ]],"")</f>
        <v>68.524.187/0001-75</v>
      </c>
      <c r="C321" t="str">
        <f>_xlfn.XLOOKUP(A321,tblVendas[[#This Row],[NR_SIMULACAO]],tblVendas[[#This Row],[STATUS]],"")</f>
        <v>CONCLUÍDO</v>
      </c>
      <c r="D321" t="str">
        <f>_xlfn.XLOOKUP(A321,tblVendas[[#This Row],[NR_SIMULACAO]],tblVendas[[#This Row],[MES]],"")</f>
        <v>Abril</v>
      </c>
      <c r="E321">
        <f>SUM(_xlfn.XLOOKUP(tblCalculo[[#This Row],[NR_SIMULACAO]],tblVendas[[#This Row],[NR_SIMULACAO]],tblVendas[[#This Row],[VALOR_MOVEL]],""):_xlfn.XLOOKUP(tblCalculo[[#This Row],[NR_SIMULACAO]],tblVendas[[#This Row],[NR_SIMULACAO]],tblVendas[[#This Row],[VALOR_APARELHO]],""))</f>
        <v>5695.15</v>
      </c>
      <c r="F321">
        <f>IF(tblCalculo[[#This Row],[STATUS]]="CONCLUÍDO",_xlfn.XLOOKUP(tblCalculo[[#This Row],[NR_SIMULACAO]],tblVendas[[#This Row],[NR_SIMULACAO]],tblVendas[[#This Row],[VALOR_MOVEL]],""),0)</f>
        <v>0</v>
      </c>
      <c r="G321">
        <f>IF(tblCalculo[[#This Row],[STATUS]]="CONCLUÍDO",_xlfn.XLOOKUP(tblCalculo[[#This Row],[NR_SIMULACAO]],tblVendas[[#This Row],[NR_SIMULACAO]],tblVendas[[#This Row],[VALOR_AVANCADO]],""),0)</f>
        <v>0</v>
      </c>
      <c r="H321">
        <f>IF(tblCalculo[[#This Row],[STATUS]]="CONCLUÍDO",_xlfn.XLOOKUP(tblCalculo[[#This Row],[NR_SIMULACAO]],tblVendas[[#This Row],[NR_SIMULACAO]],tblVendas[[#This Row],[VALOR_FIXABASICA]],""),0)</f>
        <v>2772.3</v>
      </c>
      <c r="I321">
        <f>IF(tblCalculo[[#This Row],[STATUS]]="CONCLUÍDO",_xlfn.XLOOKUP(tblCalculo[[#This Row],[NR_SIMULACAO]],tblVendas[[#This Row],[NR_SIMULACAO]],tblVendas[[#This Row],[VALOR_TI]],""),0)</f>
        <v>0</v>
      </c>
      <c r="J321">
        <f>IF(tblCalculo[[#This Row],[STATUS]]="CONCLUÍDO",_xlfn.XLOOKUP(tblCalculo[[#This Row],[NR_SIMULACAO]],tblVendas[[#This Row],[NR_SIMULACAO]],tblVendas[[#This Row],[VALOR_APARELHO]],""),0)</f>
        <v>2922.85</v>
      </c>
      <c r="K321" t="str">
        <f>IF(tblCalculo[[#This Row],[STATUS]]="NEGOCIANDO",tblCalculo[[#This Row],[VALOR_TOTAL]],"")</f>
        <v/>
      </c>
      <c r="L321" t="str">
        <f>IF(tblCalculo[[#This Row],[STATUS]]="ALÇADA",tblCalculo[[#This Row],[VALOR_TOTAL]],"")</f>
        <v/>
      </c>
      <c r="M321" t="str">
        <f>IF(tblCalculo[[#This Row],[STATUS]]="EM ANÁLISE",tblCalculo[[#This Row],[VALOR_TOTAL]],"")</f>
        <v/>
      </c>
      <c r="N321" t="str">
        <f>IF(tblCalculo[[#This Row],[STATUS]]="TRAMITANDO",tblCalculo[[#This Row],[VALOR_TOTAL]],"")</f>
        <v/>
      </c>
      <c r="O321" t="str">
        <f>IF(tblCalculo[[#This Row],[STATUS]]="PERDIDO",tblCalculo[[#This Row],[VALOR_TOTAL]],"")</f>
        <v/>
      </c>
      <c r="P321">
        <f>IF(tblCalculo[[#This Row],[STATUS]]="CONCLUÍDO",tblCalculo[[#This Row],[VALOR_TOTAL]],"")</f>
        <v>5695.15</v>
      </c>
    </row>
    <row r="322" spans="1:16" x14ac:dyDescent="0.25">
      <c r="A322" t="str">
        <f>tblVendas[[#This Row],[NR_SIMULACAO]]</f>
        <v>SIM1312</v>
      </c>
      <c r="B322" s="34" t="str">
        <f>_xlfn.XLOOKUP(A322,tblVendas[[#This Row],[NR_SIMULACAO]],tblVendas[[#This Row],[NR_CNPJ]],"")</f>
        <v>86.888.822/0001-12</v>
      </c>
      <c r="C322" t="str">
        <f>_xlfn.XLOOKUP(A322,tblVendas[[#This Row],[NR_SIMULACAO]],tblVendas[[#This Row],[STATUS]],"")</f>
        <v>TRAMITANDO</v>
      </c>
      <c r="D322" t="str">
        <f>_xlfn.XLOOKUP(A322,tblVendas[[#This Row],[NR_SIMULACAO]],tblVendas[[#This Row],[MES]],"")</f>
        <v>Março</v>
      </c>
      <c r="E322">
        <f>SUM(_xlfn.XLOOKUP(tblCalculo[[#This Row],[NR_SIMULACAO]],tblVendas[[#This Row],[NR_SIMULACAO]],tblVendas[[#This Row],[VALOR_MOVEL]],""):_xlfn.XLOOKUP(tblCalculo[[#This Row],[NR_SIMULACAO]],tblVendas[[#This Row],[NR_SIMULACAO]],tblVendas[[#This Row],[VALOR_APARELHO]],""))</f>
        <v>5534.93</v>
      </c>
      <c r="F322">
        <f>IF(tblCalculo[[#This Row],[STATUS]]="CONCLUÍDO",_xlfn.XLOOKUP(tblCalculo[[#This Row],[NR_SIMULACAO]],tblVendas[[#This Row],[NR_SIMULACAO]],tblVendas[[#This Row],[VALOR_MOVEL]],""),0)</f>
        <v>0</v>
      </c>
      <c r="G322">
        <f>IF(tblCalculo[[#This Row],[STATUS]]="CONCLUÍDO",_xlfn.XLOOKUP(tblCalculo[[#This Row],[NR_SIMULACAO]],tblVendas[[#This Row],[NR_SIMULACAO]],tblVendas[[#This Row],[VALOR_AVANCADO]],""),0)</f>
        <v>0</v>
      </c>
      <c r="H322">
        <f>IF(tblCalculo[[#This Row],[STATUS]]="CONCLUÍDO",_xlfn.XLOOKUP(tblCalculo[[#This Row],[NR_SIMULACAO]],tblVendas[[#This Row],[NR_SIMULACAO]],tblVendas[[#This Row],[VALOR_FIXABASICA]],""),0)</f>
        <v>0</v>
      </c>
      <c r="I322">
        <f>IF(tblCalculo[[#This Row],[STATUS]]="CONCLUÍDO",_xlfn.XLOOKUP(tblCalculo[[#This Row],[NR_SIMULACAO]],tblVendas[[#This Row],[NR_SIMULACAO]],tblVendas[[#This Row],[VALOR_TI]],""),0)</f>
        <v>0</v>
      </c>
      <c r="J322">
        <f>IF(tblCalculo[[#This Row],[STATUS]]="CONCLUÍDO",_xlfn.XLOOKUP(tblCalculo[[#This Row],[NR_SIMULACAO]],tblVendas[[#This Row],[NR_SIMULACAO]],tblVendas[[#This Row],[VALOR_APARELHO]],""),0)</f>
        <v>0</v>
      </c>
      <c r="K322" t="str">
        <f>IF(tblCalculo[[#This Row],[STATUS]]="NEGOCIANDO",tblCalculo[[#This Row],[VALOR_TOTAL]],"")</f>
        <v/>
      </c>
      <c r="L322" t="str">
        <f>IF(tblCalculo[[#This Row],[STATUS]]="ALÇADA",tblCalculo[[#This Row],[VALOR_TOTAL]],"")</f>
        <v/>
      </c>
      <c r="M322" t="str">
        <f>IF(tblCalculo[[#This Row],[STATUS]]="EM ANÁLISE",tblCalculo[[#This Row],[VALOR_TOTAL]],"")</f>
        <v/>
      </c>
      <c r="N322">
        <f>IF(tblCalculo[[#This Row],[STATUS]]="TRAMITANDO",tblCalculo[[#This Row],[VALOR_TOTAL]],"")</f>
        <v>5534.93</v>
      </c>
      <c r="O322" t="str">
        <f>IF(tblCalculo[[#This Row],[STATUS]]="PERDIDO",tblCalculo[[#This Row],[VALOR_TOTAL]],"")</f>
        <v/>
      </c>
      <c r="P322" t="str">
        <f>IF(tblCalculo[[#This Row],[STATUS]]="CONCLUÍDO",tblCalculo[[#This Row],[VALOR_TOTAL]],"")</f>
        <v/>
      </c>
    </row>
    <row r="323" spans="1:16" x14ac:dyDescent="0.25">
      <c r="A323" t="str">
        <f>tblVendas[[#This Row],[NR_SIMULACAO]]</f>
        <v>SIM1313</v>
      </c>
      <c r="B323" s="34" t="str">
        <f>_xlfn.XLOOKUP(A323,tblVendas[[#This Row],[NR_SIMULACAO]],tblVendas[[#This Row],[NR_CNPJ]],"")</f>
        <v>19.868.196/0001-39</v>
      </c>
      <c r="C323" t="str">
        <f>_xlfn.XLOOKUP(A323,tblVendas[[#This Row],[NR_SIMULACAO]],tblVendas[[#This Row],[STATUS]],"")</f>
        <v>ALÇADA</v>
      </c>
      <c r="D323" t="str">
        <f>_xlfn.XLOOKUP(A323,tblVendas[[#This Row],[NR_SIMULACAO]],tblVendas[[#This Row],[MES]],"")</f>
        <v>Dezembro</v>
      </c>
      <c r="E323">
        <f>SUM(_xlfn.XLOOKUP(tblCalculo[[#This Row],[NR_SIMULACAO]],tblVendas[[#This Row],[NR_SIMULACAO]],tblVendas[[#This Row],[VALOR_MOVEL]],""):_xlfn.XLOOKUP(tblCalculo[[#This Row],[NR_SIMULACAO]],tblVendas[[#This Row],[NR_SIMULACAO]],tblVendas[[#This Row],[VALOR_APARELHO]],""))</f>
        <v>21200.29</v>
      </c>
      <c r="F323">
        <f>IF(tblCalculo[[#This Row],[STATUS]]="CONCLUÍDO",_xlfn.XLOOKUP(tblCalculo[[#This Row],[NR_SIMULACAO]],tblVendas[[#This Row],[NR_SIMULACAO]],tblVendas[[#This Row],[VALOR_MOVEL]],""),0)</f>
        <v>0</v>
      </c>
      <c r="G323">
        <f>IF(tblCalculo[[#This Row],[STATUS]]="CONCLUÍDO",_xlfn.XLOOKUP(tblCalculo[[#This Row],[NR_SIMULACAO]],tblVendas[[#This Row],[NR_SIMULACAO]],tblVendas[[#This Row],[VALOR_AVANCADO]],""),0)</f>
        <v>0</v>
      </c>
      <c r="H323">
        <f>IF(tblCalculo[[#This Row],[STATUS]]="CONCLUÍDO",_xlfn.XLOOKUP(tblCalculo[[#This Row],[NR_SIMULACAO]],tblVendas[[#This Row],[NR_SIMULACAO]],tblVendas[[#This Row],[VALOR_FIXABASICA]],""),0)</f>
        <v>0</v>
      </c>
      <c r="I323">
        <f>IF(tblCalculo[[#This Row],[STATUS]]="CONCLUÍDO",_xlfn.XLOOKUP(tblCalculo[[#This Row],[NR_SIMULACAO]],tblVendas[[#This Row],[NR_SIMULACAO]],tblVendas[[#This Row],[VALOR_TI]],""),0)</f>
        <v>0</v>
      </c>
      <c r="J323">
        <f>IF(tblCalculo[[#This Row],[STATUS]]="CONCLUÍDO",_xlfn.XLOOKUP(tblCalculo[[#This Row],[NR_SIMULACAO]],tblVendas[[#This Row],[NR_SIMULACAO]],tblVendas[[#This Row],[VALOR_APARELHO]],""),0)</f>
        <v>0</v>
      </c>
      <c r="K323" t="str">
        <f>IF(tblCalculo[[#This Row],[STATUS]]="NEGOCIANDO",tblCalculo[[#This Row],[VALOR_TOTAL]],"")</f>
        <v/>
      </c>
      <c r="L323">
        <f>IF(tblCalculo[[#This Row],[STATUS]]="ALÇADA",tblCalculo[[#This Row],[VALOR_TOTAL]],"")</f>
        <v>21200.29</v>
      </c>
      <c r="M323" t="str">
        <f>IF(tblCalculo[[#This Row],[STATUS]]="EM ANÁLISE",tblCalculo[[#This Row],[VALOR_TOTAL]],"")</f>
        <v/>
      </c>
      <c r="N323" t="str">
        <f>IF(tblCalculo[[#This Row],[STATUS]]="TRAMITANDO",tblCalculo[[#This Row],[VALOR_TOTAL]],"")</f>
        <v/>
      </c>
      <c r="O323" t="str">
        <f>IF(tblCalculo[[#This Row],[STATUS]]="PERDIDO",tblCalculo[[#This Row],[VALOR_TOTAL]],"")</f>
        <v/>
      </c>
      <c r="P323" t="str">
        <f>IF(tblCalculo[[#This Row],[STATUS]]="CONCLUÍDO",tblCalculo[[#This Row],[VALOR_TOTAL]],"")</f>
        <v/>
      </c>
    </row>
    <row r="324" spans="1:16" x14ac:dyDescent="0.25">
      <c r="A324" t="str">
        <f>tblVendas[[#This Row],[NR_SIMULACAO]]</f>
        <v>SIM1314</v>
      </c>
      <c r="B324" s="34" t="str">
        <f>_xlfn.XLOOKUP(A324,tblVendas[[#This Row],[NR_SIMULACAO]],tblVendas[[#This Row],[NR_CNPJ]],"")</f>
        <v>66.636.849/0001-51</v>
      </c>
      <c r="C324" t="str">
        <f>_xlfn.XLOOKUP(A324,tblVendas[[#This Row],[NR_SIMULACAO]],tblVendas[[#This Row],[STATUS]],"")</f>
        <v>CONCLUÍDO</v>
      </c>
      <c r="D324" t="str">
        <f>_xlfn.XLOOKUP(A324,tblVendas[[#This Row],[NR_SIMULACAO]],tblVendas[[#This Row],[MES]],"")</f>
        <v>Setembro</v>
      </c>
      <c r="E324">
        <f>SUM(_xlfn.XLOOKUP(tblCalculo[[#This Row],[NR_SIMULACAO]],tblVendas[[#This Row],[NR_SIMULACAO]],tblVendas[[#This Row],[VALOR_MOVEL]],""):_xlfn.XLOOKUP(tblCalculo[[#This Row],[NR_SIMULACAO]],tblVendas[[#This Row],[NR_SIMULACAO]],tblVendas[[#This Row],[VALOR_APARELHO]],""))</f>
        <v>444.58</v>
      </c>
      <c r="F324">
        <f>IF(tblCalculo[[#This Row],[STATUS]]="CONCLUÍDO",_xlfn.XLOOKUP(tblCalculo[[#This Row],[NR_SIMULACAO]],tblVendas[[#This Row],[NR_SIMULACAO]],tblVendas[[#This Row],[VALOR_MOVEL]],""),0)</f>
        <v>0</v>
      </c>
      <c r="G324">
        <f>IF(tblCalculo[[#This Row],[STATUS]]="CONCLUÍDO",_xlfn.XLOOKUP(tblCalculo[[#This Row],[NR_SIMULACAO]],tblVendas[[#This Row],[NR_SIMULACAO]],tblVendas[[#This Row],[VALOR_AVANCADO]],""),0)</f>
        <v>0</v>
      </c>
      <c r="H324">
        <f>IF(tblCalculo[[#This Row],[STATUS]]="CONCLUÍDO",_xlfn.XLOOKUP(tblCalculo[[#This Row],[NR_SIMULACAO]],tblVendas[[#This Row],[NR_SIMULACAO]],tblVendas[[#This Row],[VALOR_FIXABASICA]],""),0)</f>
        <v>0</v>
      </c>
      <c r="I324">
        <f>IF(tblCalculo[[#This Row],[STATUS]]="CONCLUÍDO",_xlfn.XLOOKUP(tblCalculo[[#This Row],[NR_SIMULACAO]],tblVendas[[#This Row],[NR_SIMULACAO]],tblVendas[[#This Row],[VALOR_TI]],""),0)</f>
        <v>0</v>
      </c>
      <c r="J324">
        <f>IF(tblCalculo[[#This Row],[STATUS]]="CONCLUÍDO",_xlfn.XLOOKUP(tblCalculo[[#This Row],[NR_SIMULACAO]],tblVendas[[#This Row],[NR_SIMULACAO]],tblVendas[[#This Row],[VALOR_APARELHO]],""),0)</f>
        <v>444.58</v>
      </c>
      <c r="K324" t="str">
        <f>IF(tblCalculo[[#This Row],[STATUS]]="NEGOCIANDO",tblCalculo[[#This Row],[VALOR_TOTAL]],"")</f>
        <v/>
      </c>
      <c r="L324" t="str">
        <f>IF(tblCalculo[[#This Row],[STATUS]]="ALÇADA",tblCalculo[[#This Row],[VALOR_TOTAL]],"")</f>
        <v/>
      </c>
      <c r="M324" t="str">
        <f>IF(tblCalculo[[#This Row],[STATUS]]="EM ANÁLISE",tblCalculo[[#This Row],[VALOR_TOTAL]],"")</f>
        <v/>
      </c>
      <c r="N324" t="str">
        <f>IF(tblCalculo[[#This Row],[STATUS]]="TRAMITANDO",tblCalculo[[#This Row],[VALOR_TOTAL]],"")</f>
        <v/>
      </c>
      <c r="O324" t="str">
        <f>IF(tblCalculo[[#This Row],[STATUS]]="PERDIDO",tblCalculo[[#This Row],[VALOR_TOTAL]],"")</f>
        <v/>
      </c>
      <c r="P324">
        <f>IF(tblCalculo[[#This Row],[STATUS]]="CONCLUÍDO",tblCalculo[[#This Row],[VALOR_TOTAL]],"")</f>
        <v>444.58</v>
      </c>
    </row>
    <row r="325" spans="1:16" x14ac:dyDescent="0.25">
      <c r="A325" t="str">
        <f>tblVendas[[#This Row],[NR_SIMULACAO]]</f>
        <v>SIM1315</v>
      </c>
      <c r="B325" s="34" t="str">
        <f>_xlfn.XLOOKUP(A325,tblVendas[[#This Row],[NR_SIMULACAO]],tblVendas[[#This Row],[NR_CNPJ]],"")</f>
        <v>32.996.345/0001-59</v>
      </c>
      <c r="C325" t="str">
        <f>_xlfn.XLOOKUP(A325,tblVendas[[#This Row],[NR_SIMULACAO]],tblVendas[[#This Row],[STATUS]],"")</f>
        <v>TRAMITANDO</v>
      </c>
      <c r="D325" t="str">
        <f>_xlfn.XLOOKUP(A325,tblVendas[[#This Row],[NR_SIMULACAO]],tblVendas[[#This Row],[MES]],"")</f>
        <v>Maio</v>
      </c>
      <c r="E325">
        <f>SUM(_xlfn.XLOOKUP(tblCalculo[[#This Row],[NR_SIMULACAO]],tblVendas[[#This Row],[NR_SIMULACAO]],tblVendas[[#This Row],[VALOR_MOVEL]],""):_xlfn.XLOOKUP(tblCalculo[[#This Row],[NR_SIMULACAO]],tblVendas[[#This Row],[NR_SIMULACAO]],tblVendas[[#This Row],[VALOR_APARELHO]],""))</f>
        <v>11630.78</v>
      </c>
      <c r="F325">
        <f>IF(tblCalculo[[#This Row],[STATUS]]="CONCLUÍDO",_xlfn.XLOOKUP(tblCalculo[[#This Row],[NR_SIMULACAO]],tblVendas[[#This Row],[NR_SIMULACAO]],tblVendas[[#This Row],[VALOR_MOVEL]],""),0)</f>
        <v>0</v>
      </c>
      <c r="G325">
        <f>IF(tblCalculo[[#This Row],[STATUS]]="CONCLUÍDO",_xlfn.XLOOKUP(tblCalculo[[#This Row],[NR_SIMULACAO]],tblVendas[[#This Row],[NR_SIMULACAO]],tblVendas[[#This Row],[VALOR_AVANCADO]],""),0)</f>
        <v>0</v>
      </c>
      <c r="H325">
        <f>IF(tblCalculo[[#This Row],[STATUS]]="CONCLUÍDO",_xlfn.XLOOKUP(tblCalculo[[#This Row],[NR_SIMULACAO]],tblVendas[[#This Row],[NR_SIMULACAO]],tblVendas[[#This Row],[VALOR_FIXABASICA]],""),0)</f>
        <v>0</v>
      </c>
      <c r="I325">
        <f>IF(tblCalculo[[#This Row],[STATUS]]="CONCLUÍDO",_xlfn.XLOOKUP(tblCalculo[[#This Row],[NR_SIMULACAO]],tblVendas[[#This Row],[NR_SIMULACAO]],tblVendas[[#This Row],[VALOR_TI]],""),0)</f>
        <v>0</v>
      </c>
      <c r="J325">
        <f>IF(tblCalculo[[#This Row],[STATUS]]="CONCLUÍDO",_xlfn.XLOOKUP(tblCalculo[[#This Row],[NR_SIMULACAO]],tblVendas[[#This Row],[NR_SIMULACAO]],tblVendas[[#This Row],[VALOR_APARELHO]],""),0)</f>
        <v>0</v>
      </c>
      <c r="K325" t="str">
        <f>IF(tblCalculo[[#This Row],[STATUS]]="NEGOCIANDO",tblCalculo[[#This Row],[VALOR_TOTAL]],"")</f>
        <v/>
      </c>
      <c r="L325" t="str">
        <f>IF(tblCalculo[[#This Row],[STATUS]]="ALÇADA",tblCalculo[[#This Row],[VALOR_TOTAL]],"")</f>
        <v/>
      </c>
      <c r="M325" t="str">
        <f>IF(tblCalculo[[#This Row],[STATUS]]="EM ANÁLISE",tblCalculo[[#This Row],[VALOR_TOTAL]],"")</f>
        <v/>
      </c>
      <c r="N325">
        <f>IF(tblCalculo[[#This Row],[STATUS]]="TRAMITANDO",tblCalculo[[#This Row],[VALOR_TOTAL]],"")</f>
        <v>11630.78</v>
      </c>
      <c r="O325" t="str">
        <f>IF(tblCalculo[[#This Row],[STATUS]]="PERDIDO",tblCalculo[[#This Row],[VALOR_TOTAL]],"")</f>
        <v/>
      </c>
      <c r="P325" t="str">
        <f>IF(tblCalculo[[#This Row],[STATUS]]="CONCLUÍDO",tblCalculo[[#This Row],[VALOR_TOTAL]],"")</f>
        <v/>
      </c>
    </row>
    <row r="326" spans="1:16" x14ac:dyDescent="0.25">
      <c r="A326" t="str">
        <f>tblVendas[[#This Row],[NR_SIMULACAO]]</f>
        <v>SIM1316</v>
      </c>
      <c r="B326" s="34" t="str">
        <f>_xlfn.XLOOKUP(A326,tblVendas[[#This Row],[NR_SIMULACAO]],tblVendas[[#This Row],[NR_CNPJ]],"")</f>
        <v>70.827.603/0001-28</v>
      </c>
      <c r="C326" t="str">
        <f>_xlfn.XLOOKUP(A326,tblVendas[[#This Row],[NR_SIMULACAO]],tblVendas[[#This Row],[STATUS]],"")</f>
        <v>PERDIDO</v>
      </c>
      <c r="D326" t="str">
        <f>_xlfn.XLOOKUP(A326,tblVendas[[#This Row],[NR_SIMULACAO]],tblVendas[[#This Row],[MES]],"")</f>
        <v>Julho</v>
      </c>
      <c r="E326">
        <f>SUM(_xlfn.XLOOKUP(tblCalculo[[#This Row],[NR_SIMULACAO]],tblVendas[[#This Row],[NR_SIMULACAO]],tblVendas[[#This Row],[VALOR_MOVEL]],""):_xlfn.XLOOKUP(tblCalculo[[#This Row],[NR_SIMULACAO]],tblVendas[[#This Row],[NR_SIMULACAO]],tblVendas[[#This Row],[VALOR_APARELHO]],""))</f>
        <v>678.6</v>
      </c>
      <c r="F326">
        <f>IF(tblCalculo[[#This Row],[STATUS]]="CONCLUÍDO",_xlfn.XLOOKUP(tblCalculo[[#This Row],[NR_SIMULACAO]],tblVendas[[#This Row],[NR_SIMULACAO]],tblVendas[[#This Row],[VALOR_MOVEL]],""),0)</f>
        <v>0</v>
      </c>
      <c r="G326">
        <f>IF(tblCalculo[[#This Row],[STATUS]]="CONCLUÍDO",_xlfn.XLOOKUP(tblCalculo[[#This Row],[NR_SIMULACAO]],tblVendas[[#This Row],[NR_SIMULACAO]],tblVendas[[#This Row],[VALOR_AVANCADO]],""),0)</f>
        <v>0</v>
      </c>
      <c r="H326">
        <f>IF(tblCalculo[[#This Row],[STATUS]]="CONCLUÍDO",_xlfn.XLOOKUP(tblCalculo[[#This Row],[NR_SIMULACAO]],tblVendas[[#This Row],[NR_SIMULACAO]],tblVendas[[#This Row],[VALOR_FIXABASICA]],""),0)</f>
        <v>0</v>
      </c>
      <c r="I326">
        <f>IF(tblCalculo[[#This Row],[STATUS]]="CONCLUÍDO",_xlfn.XLOOKUP(tblCalculo[[#This Row],[NR_SIMULACAO]],tblVendas[[#This Row],[NR_SIMULACAO]],tblVendas[[#This Row],[VALOR_TI]],""),0)</f>
        <v>0</v>
      </c>
      <c r="J326">
        <f>IF(tblCalculo[[#This Row],[STATUS]]="CONCLUÍDO",_xlfn.XLOOKUP(tblCalculo[[#This Row],[NR_SIMULACAO]],tblVendas[[#This Row],[NR_SIMULACAO]],tblVendas[[#This Row],[VALOR_APARELHO]],""),0)</f>
        <v>0</v>
      </c>
      <c r="K326" t="str">
        <f>IF(tblCalculo[[#This Row],[STATUS]]="NEGOCIANDO",tblCalculo[[#This Row],[VALOR_TOTAL]],"")</f>
        <v/>
      </c>
      <c r="L326" t="str">
        <f>IF(tblCalculo[[#This Row],[STATUS]]="ALÇADA",tblCalculo[[#This Row],[VALOR_TOTAL]],"")</f>
        <v/>
      </c>
      <c r="M326" t="str">
        <f>IF(tblCalculo[[#This Row],[STATUS]]="EM ANÁLISE",tblCalculo[[#This Row],[VALOR_TOTAL]],"")</f>
        <v/>
      </c>
      <c r="N326" t="str">
        <f>IF(tblCalculo[[#This Row],[STATUS]]="TRAMITANDO",tblCalculo[[#This Row],[VALOR_TOTAL]],"")</f>
        <v/>
      </c>
      <c r="O326">
        <f>IF(tblCalculo[[#This Row],[STATUS]]="PERDIDO",tblCalculo[[#This Row],[VALOR_TOTAL]],"")</f>
        <v>678.6</v>
      </c>
      <c r="P326" t="str">
        <f>IF(tblCalculo[[#This Row],[STATUS]]="CONCLUÍDO",tblCalculo[[#This Row],[VALOR_TOTAL]],"")</f>
        <v/>
      </c>
    </row>
    <row r="327" spans="1:16" x14ac:dyDescent="0.25">
      <c r="A327" t="str">
        <f>tblVendas[[#This Row],[NR_SIMULACAO]]</f>
        <v>SIM1317</v>
      </c>
      <c r="B327" s="34" t="str">
        <f>_xlfn.XLOOKUP(A327,tblVendas[[#This Row],[NR_SIMULACAO]],tblVendas[[#This Row],[NR_CNPJ]],"")</f>
        <v>43.962.423/0001-35</v>
      </c>
      <c r="C327" t="str">
        <f>_xlfn.XLOOKUP(A327,tblVendas[[#This Row],[NR_SIMULACAO]],tblVendas[[#This Row],[STATUS]],"")</f>
        <v>EM ANÁLISE</v>
      </c>
      <c r="D327" t="str">
        <f>_xlfn.XLOOKUP(A327,tblVendas[[#This Row],[NR_SIMULACAO]],tblVendas[[#This Row],[MES]],"")</f>
        <v>Janeiro</v>
      </c>
      <c r="E327">
        <f>SUM(_xlfn.XLOOKUP(tblCalculo[[#This Row],[NR_SIMULACAO]],tblVendas[[#This Row],[NR_SIMULACAO]],tblVendas[[#This Row],[VALOR_MOVEL]],""):_xlfn.XLOOKUP(tblCalculo[[#This Row],[NR_SIMULACAO]],tblVendas[[#This Row],[NR_SIMULACAO]],tblVendas[[#This Row],[VALOR_APARELHO]],""))</f>
        <v>229.68</v>
      </c>
      <c r="F327">
        <f>IF(tblCalculo[[#This Row],[STATUS]]="CONCLUÍDO",_xlfn.XLOOKUP(tblCalculo[[#This Row],[NR_SIMULACAO]],tblVendas[[#This Row],[NR_SIMULACAO]],tblVendas[[#This Row],[VALOR_MOVEL]],""),0)</f>
        <v>0</v>
      </c>
      <c r="G327">
        <f>IF(tblCalculo[[#This Row],[STATUS]]="CONCLUÍDO",_xlfn.XLOOKUP(tblCalculo[[#This Row],[NR_SIMULACAO]],tblVendas[[#This Row],[NR_SIMULACAO]],tblVendas[[#This Row],[VALOR_AVANCADO]],""),0)</f>
        <v>0</v>
      </c>
      <c r="H327">
        <f>IF(tblCalculo[[#This Row],[STATUS]]="CONCLUÍDO",_xlfn.XLOOKUP(tblCalculo[[#This Row],[NR_SIMULACAO]],tblVendas[[#This Row],[NR_SIMULACAO]],tblVendas[[#This Row],[VALOR_FIXABASICA]],""),0)</f>
        <v>0</v>
      </c>
      <c r="I327">
        <f>IF(tblCalculo[[#This Row],[STATUS]]="CONCLUÍDO",_xlfn.XLOOKUP(tblCalculo[[#This Row],[NR_SIMULACAO]],tblVendas[[#This Row],[NR_SIMULACAO]],tblVendas[[#This Row],[VALOR_TI]],""),0)</f>
        <v>0</v>
      </c>
      <c r="J327">
        <f>IF(tblCalculo[[#This Row],[STATUS]]="CONCLUÍDO",_xlfn.XLOOKUP(tblCalculo[[#This Row],[NR_SIMULACAO]],tblVendas[[#This Row],[NR_SIMULACAO]],tblVendas[[#This Row],[VALOR_APARELHO]],""),0)</f>
        <v>0</v>
      </c>
      <c r="K327" t="str">
        <f>IF(tblCalculo[[#This Row],[STATUS]]="NEGOCIANDO",tblCalculo[[#This Row],[VALOR_TOTAL]],"")</f>
        <v/>
      </c>
      <c r="L327" t="str">
        <f>IF(tblCalculo[[#This Row],[STATUS]]="ALÇADA",tblCalculo[[#This Row],[VALOR_TOTAL]],"")</f>
        <v/>
      </c>
      <c r="M327">
        <f>IF(tblCalculo[[#This Row],[STATUS]]="EM ANÁLISE",tblCalculo[[#This Row],[VALOR_TOTAL]],"")</f>
        <v>229.68</v>
      </c>
      <c r="N327" t="str">
        <f>IF(tblCalculo[[#This Row],[STATUS]]="TRAMITANDO",tblCalculo[[#This Row],[VALOR_TOTAL]],"")</f>
        <v/>
      </c>
      <c r="O327" t="str">
        <f>IF(tblCalculo[[#This Row],[STATUS]]="PERDIDO",tblCalculo[[#This Row],[VALOR_TOTAL]],"")</f>
        <v/>
      </c>
      <c r="P327" t="str">
        <f>IF(tblCalculo[[#This Row],[STATUS]]="CONCLUÍDO",tblCalculo[[#This Row],[VALOR_TOTAL]],"")</f>
        <v/>
      </c>
    </row>
    <row r="328" spans="1:16" x14ac:dyDescent="0.25">
      <c r="A328" t="str">
        <f>tblVendas[[#This Row],[NR_SIMULACAO]]</f>
        <v>SIM1318</v>
      </c>
      <c r="B328" s="34" t="str">
        <f>_xlfn.XLOOKUP(A328,tblVendas[[#This Row],[NR_SIMULACAO]],tblVendas[[#This Row],[NR_CNPJ]],"")</f>
        <v>57.186.318/0001-30</v>
      </c>
      <c r="C328" t="str">
        <f>_xlfn.XLOOKUP(A328,tblVendas[[#This Row],[NR_SIMULACAO]],tblVendas[[#This Row],[STATUS]],"")</f>
        <v>EM ANÁLISE</v>
      </c>
      <c r="D328" t="str">
        <f>_xlfn.XLOOKUP(A328,tblVendas[[#This Row],[NR_SIMULACAO]],tblVendas[[#This Row],[MES]],"")</f>
        <v>Maio</v>
      </c>
      <c r="E328">
        <f>SUM(_xlfn.XLOOKUP(tblCalculo[[#This Row],[NR_SIMULACAO]],tblVendas[[#This Row],[NR_SIMULACAO]],tblVendas[[#This Row],[VALOR_MOVEL]],""):_xlfn.XLOOKUP(tblCalculo[[#This Row],[NR_SIMULACAO]],tblVendas[[#This Row],[NR_SIMULACAO]],tblVendas[[#This Row],[VALOR_APARELHO]],""))</f>
        <v>3235.86</v>
      </c>
      <c r="F328">
        <f>IF(tblCalculo[[#This Row],[STATUS]]="CONCLUÍDO",_xlfn.XLOOKUP(tblCalculo[[#This Row],[NR_SIMULACAO]],tblVendas[[#This Row],[NR_SIMULACAO]],tblVendas[[#This Row],[VALOR_MOVEL]],""),0)</f>
        <v>0</v>
      </c>
      <c r="G328">
        <f>IF(tblCalculo[[#This Row],[STATUS]]="CONCLUÍDO",_xlfn.XLOOKUP(tblCalculo[[#This Row],[NR_SIMULACAO]],tblVendas[[#This Row],[NR_SIMULACAO]],tblVendas[[#This Row],[VALOR_AVANCADO]],""),0)</f>
        <v>0</v>
      </c>
      <c r="H328">
        <f>IF(tblCalculo[[#This Row],[STATUS]]="CONCLUÍDO",_xlfn.XLOOKUP(tblCalculo[[#This Row],[NR_SIMULACAO]],tblVendas[[#This Row],[NR_SIMULACAO]],tblVendas[[#This Row],[VALOR_FIXABASICA]],""),0)</f>
        <v>0</v>
      </c>
      <c r="I328">
        <f>IF(tblCalculo[[#This Row],[STATUS]]="CONCLUÍDO",_xlfn.XLOOKUP(tblCalculo[[#This Row],[NR_SIMULACAO]],tblVendas[[#This Row],[NR_SIMULACAO]],tblVendas[[#This Row],[VALOR_TI]],""),0)</f>
        <v>0</v>
      </c>
      <c r="J328">
        <f>IF(tblCalculo[[#This Row],[STATUS]]="CONCLUÍDO",_xlfn.XLOOKUP(tblCalculo[[#This Row],[NR_SIMULACAO]],tblVendas[[#This Row],[NR_SIMULACAO]],tblVendas[[#This Row],[VALOR_APARELHO]],""),0)</f>
        <v>0</v>
      </c>
      <c r="K328" t="str">
        <f>IF(tblCalculo[[#This Row],[STATUS]]="NEGOCIANDO",tblCalculo[[#This Row],[VALOR_TOTAL]],"")</f>
        <v/>
      </c>
      <c r="L328" t="str">
        <f>IF(tblCalculo[[#This Row],[STATUS]]="ALÇADA",tblCalculo[[#This Row],[VALOR_TOTAL]],"")</f>
        <v/>
      </c>
      <c r="M328">
        <f>IF(tblCalculo[[#This Row],[STATUS]]="EM ANÁLISE",tblCalculo[[#This Row],[VALOR_TOTAL]],"")</f>
        <v>3235.86</v>
      </c>
      <c r="N328" t="str">
        <f>IF(tblCalculo[[#This Row],[STATUS]]="TRAMITANDO",tblCalculo[[#This Row],[VALOR_TOTAL]],"")</f>
        <v/>
      </c>
      <c r="O328" t="str">
        <f>IF(tblCalculo[[#This Row],[STATUS]]="PERDIDO",tblCalculo[[#This Row],[VALOR_TOTAL]],"")</f>
        <v/>
      </c>
      <c r="P328" t="str">
        <f>IF(tblCalculo[[#This Row],[STATUS]]="CONCLUÍDO",tblCalculo[[#This Row],[VALOR_TOTAL]],"")</f>
        <v/>
      </c>
    </row>
    <row r="329" spans="1:16" x14ac:dyDescent="0.25">
      <c r="A329" t="str">
        <f>tblVendas[[#This Row],[NR_SIMULACAO]]</f>
        <v>SIM1319</v>
      </c>
      <c r="B329" s="34" t="str">
        <f>_xlfn.XLOOKUP(A329,tblVendas[[#This Row],[NR_SIMULACAO]],tblVendas[[#This Row],[NR_CNPJ]],"")</f>
        <v>67.250.720/0001-59</v>
      </c>
      <c r="C329" t="str">
        <f>_xlfn.XLOOKUP(A329,tblVendas[[#This Row],[NR_SIMULACAO]],tblVendas[[#This Row],[STATUS]],"")</f>
        <v>NEGOCIANDO</v>
      </c>
      <c r="D329" t="str">
        <f>_xlfn.XLOOKUP(A329,tblVendas[[#This Row],[NR_SIMULACAO]],tblVendas[[#This Row],[MES]],"")</f>
        <v>Novembro</v>
      </c>
      <c r="E329">
        <f>SUM(_xlfn.XLOOKUP(tblCalculo[[#This Row],[NR_SIMULACAO]],tblVendas[[#This Row],[NR_SIMULACAO]],tblVendas[[#This Row],[VALOR_MOVEL]],""):_xlfn.XLOOKUP(tblCalculo[[#This Row],[NR_SIMULACAO]],tblVendas[[#This Row],[NR_SIMULACAO]],tblVendas[[#This Row],[VALOR_APARELHO]],""))</f>
        <v>14227.970000000001</v>
      </c>
      <c r="F329">
        <f>IF(tblCalculo[[#This Row],[STATUS]]="CONCLUÍDO",_xlfn.XLOOKUP(tblCalculo[[#This Row],[NR_SIMULACAO]],tblVendas[[#This Row],[NR_SIMULACAO]],tblVendas[[#This Row],[VALOR_MOVEL]],""),0)</f>
        <v>0</v>
      </c>
      <c r="G329">
        <f>IF(tblCalculo[[#This Row],[STATUS]]="CONCLUÍDO",_xlfn.XLOOKUP(tblCalculo[[#This Row],[NR_SIMULACAO]],tblVendas[[#This Row],[NR_SIMULACAO]],tblVendas[[#This Row],[VALOR_AVANCADO]],""),0)</f>
        <v>0</v>
      </c>
      <c r="H329">
        <f>IF(tblCalculo[[#This Row],[STATUS]]="CONCLUÍDO",_xlfn.XLOOKUP(tblCalculo[[#This Row],[NR_SIMULACAO]],tblVendas[[#This Row],[NR_SIMULACAO]],tblVendas[[#This Row],[VALOR_FIXABASICA]],""),0)</f>
        <v>0</v>
      </c>
      <c r="I329">
        <f>IF(tblCalculo[[#This Row],[STATUS]]="CONCLUÍDO",_xlfn.XLOOKUP(tblCalculo[[#This Row],[NR_SIMULACAO]],tblVendas[[#This Row],[NR_SIMULACAO]],tblVendas[[#This Row],[VALOR_TI]],""),0)</f>
        <v>0</v>
      </c>
      <c r="J329">
        <f>IF(tblCalculo[[#This Row],[STATUS]]="CONCLUÍDO",_xlfn.XLOOKUP(tblCalculo[[#This Row],[NR_SIMULACAO]],tblVendas[[#This Row],[NR_SIMULACAO]],tblVendas[[#This Row],[VALOR_APARELHO]],""),0)</f>
        <v>0</v>
      </c>
      <c r="K329">
        <f>IF(tblCalculo[[#This Row],[STATUS]]="NEGOCIANDO",tblCalculo[[#This Row],[VALOR_TOTAL]],"")</f>
        <v>14227.970000000001</v>
      </c>
      <c r="L329" t="str">
        <f>IF(tblCalculo[[#This Row],[STATUS]]="ALÇADA",tblCalculo[[#This Row],[VALOR_TOTAL]],"")</f>
        <v/>
      </c>
      <c r="M329" t="str">
        <f>IF(tblCalculo[[#This Row],[STATUS]]="EM ANÁLISE",tblCalculo[[#This Row],[VALOR_TOTAL]],"")</f>
        <v/>
      </c>
      <c r="N329" t="str">
        <f>IF(tblCalculo[[#This Row],[STATUS]]="TRAMITANDO",tblCalculo[[#This Row],[VALOR_TOTAL]],"")</f>
        <v/>
      </c>
      <c r="O329" t="str">
        <f>IF(tblCalculo[[#This Row],[STATUS]]="PERDIDO",tblCalculo[[#This Row],[VALOR_TOTAL]],"")</f>
        <v/>
      </c>
      <c r="P329" t="str">
        <f>IF(tblCalculo[[#This Row],[STATUS]]="CONCLUÍDO",tblCalculo[[#This Row],[VALOR_TOTAL]],"")</f>
        <v/>
      </c>
    </row>
    <row r="330" spans="1:16" x14ac:dyDescent="0.25">
      <c r="A330" t="str">
        <f>tblVendas[[#This Row],[NR_SIMULACAO]]</f>
        <v>SIM1320</v>
      </c>
      <c r="B330" s="34" t="str">
        <f>_xlfn.XLOOKUP(A330,tblVendas[[#This Row],[NR_SIMULACAO]],tblVendas[[#This Row],[NR_CNPJ]],"")</f>
        <v>83.191.393/0001-19</v>
      </c>
      <c r="C330" t="str">
        <f>_xlfn.XLOOKUP(A330,tblVendas[[#This Row],[NR_SIMULACAO]],tblVendas[[#This Row],[STATUS]],"")</f>
        <v>NEGOCIANDO</v>
      </c>
      <c r="D330" t="str">
        <f>_xlfn.XLOOKUP(A330,tblVendas[[#This Row],[NR_SIMULACAO]],tblVendas[[#This Row],[MES]],"")</f>
        <v>Março</v>
      </c>
      <c r="E330">
        <f>SUM(_xlfn.XLOOKUP(tblCalculo[[#This Row],[NR_SIMULACAO]],tblVendas[[#This Row],[NR_SIMULACAO]],tblVendas[[#This Row],[VALOR_MOVEL]],""):_xlfn.XLOOKUP(tblCalculo[[#This Row],[NR_SIMULACAO]],tblVendas[[#This Row],[NR_SIMULACAO]],tblVendas[[#This Row],[VALOR_APARELHO]],""))</f>
        <v>20588.2</v>
      </c>
      <c r="F330">
        <f>IF(tblCalculo[[#This Row],[STATUS]]="CONCLUÍDO",_xlfn.XLOOKUP(tblCalculo[[#This Row],[NR_SIMULACAO]],tblVendas[[#This Row],[NR_SIMULACAO]],tblVendas[[#This Row],[VALOR_MOVEL]],""),0)</f>
        <v>0</v>
      </c>
      <c r="G330">
        <f>IF(tblCalculo[[#This Row],[STATUS]]="CONCLUÍDO",_xlfn.XLOOKUP(tblCalculo[[#This Row],[NR_SIMULACAO]],tblVendas[[#This Row],[NR_SIMULACAO]],tblVendas[[#This Row],[VALOR_AVANCADO]],""),0)</f>
        <v>0</v>
      </c>
      <c r="H330">
        <f>IF(tblCalculo[[#This Row],[STATUS]]="CONCLUÍDO",_xlfn.XLOOKUP(tblCalculo[[#This Row],[NR_SIMULACAO]],tblVendas[[#This Row],[NR_SIMULACAO]],tblVendas[[#This Row],[VALOR_FIXABASICA]],""),0)</f>
        <v>0</v>
      </c>
      <c r="I330">
        <f>IF(tblCalculo[[#This Row],[STATUS]]="CONCLUÍDO",_xlfn.XLOOKUP(tblCalculo[[#This Row],[NR_SIMULACAO]],tblVendas[[#This Row],[NR_SIMULACAO]],tblVendas[[#This Row],[VALOR_TI]],""),0)</f>
        <v>0</v>
      </c>
      <c r="J330">
        <f>IF(tblCalculo[[#This Row],[STATUS]]="CONCLUÍDO",_xlfn.XLOOKUP(tblCalculo[[#This Row],[NR_SIMULACAO]],tblVendas[[#This Row],[NR_SIMULACAO]],tblVendas[[#This Row],[VALOR_APARELHO]],""),0)</f>
        <v>0</v>
      </c>
      <c r="K330">
        <f>IF(tblCalculo[[#This Row],[STATUS]]="NEGOCIANDO",tblCalculo[[#This Row],[VALOR_TOTAL]],"")</f>
        <v>20588.2</v>
      </c>
      <c r="L330" t="str">
        <f>IF(tblCalculo[[#This Row],[STATUS]]="ALÇADA",tblCalculo[[#This Row],[VALOR_TOTAL]],"")</f>
        <v/>
      </c>
      <c r="M330" t="str">
        <f>IF(tblCalculo[[#This Row],[STATUS]]="EM ANÁLISE",tblCalculo[[#This Row],[VALOR_TOTAL]],"")</f>
        <v/>
      </c>
      <c r="N330" t="str">
        <f>IF(tblCalculo[[#This Row],[STATUS]]="TRAMITANDO",tblCalculo[[#This Row],[VALOR_TOTAL]],"")</f>
        <v/>
      </c>
      <c r="O330" t="str">
        <f>IF(tblCalculo[[#This Row],[STATUS]]="PERDIDO",tblCalculo[[#This Row],[VALOR_TOTAL]],"")</f>
        <v/>
      </c>
      <c r="P330" t="str">
        <f>IF(tblCalculo[[#This Row],[STATUS]]="CONCLUÍDO",tblCalculo[[#This Row],[VALOR_TOTAL]],"")</f>
        <v/>
      </c>
    </row>
    <row r="331" spans="1:16" x14ac:dyDescent="0.25">
      <c r="A331" t="str">
        <f>tblVendas[[#This Row],[NR_SIMULACAO]]</f>
        <v>SIM1321</v>
      </c>
      <c r="B331" s="34" t="str">
        <f>_xlfn.XLOOKUP(A331,tblVendas[[#This Row],[NR_SIMULACAO]],tblVendas[[#This Row],[NR_CNPJ]],"")</f>
        <v>67.626.421/0001-45</v>
      </c>
      <c r="C331" t="str">
        <f>_xlfn.XLOOKUP(A331,tblVendas[[#This Row],[NR_SIMULACAO]],tblVendas[[#This Row],[STATUS]],"")</f>
        <v>EM ANÁLISE</v>
      </c>
      <c r="D331" t="str">
        <f>_xlfn.XLOOKUP(A331,tblVendas[[#This Row],[NR_SIMULACAO]],tblVendas[[#This Row],[MES]],"")</f>
        <v>Agosto</v>
      </c>
      <c r="E331">
        <f>SUM(_xlfn.XLOOKUP(tblCalculo[[#This Row],[NR_SIMULACAO]],tblVendas[[#This Row],[NR_SIMULACAO]],tblVendas[[#This Row],[VALOR_MOVEL]],""):_xlfn.XLOOKUP(tblCalculo[[#This Row],[NR_SIMULACAO]],tblVendas[[#This Row],[NR_SIMULACAO]],tblVendas[[#This Row],[VALOR_APARELHO]],""))</f>
        <v>213.49</v>
      </c>
      <c r="F331">
        <f>IF(tblCalculo[[#This Row],[STATUS]]="CONCLUÍDO",_xlfn.XLOOKUP(tblCalculo[[#This Row],[NR_SIMULACAO]],tblVendas[[#This Row],[NR_SIMULACAO]],tblVendas[[#This Row],[VALOR_MOVEL]],""),0)</f>
        <v>0</v>
      </c>
      <c r="G331">
        <f>IF(tblCalculo[[#This Row],[STATUS]]="CONCLUÍDO",_xlfn.XLOOKUP(tblCalculo[[#This Row],[NR_SIMULACAO]],tblVendas[[#This Row],[NR_SIMULACAO]],tblVendas[[#This Row],[VALOR_AVANCADO]],""),0)</f>
        <v>0</v>
      </c>
      <c r="H331">
        <f>IF(tblCalculo[[#This Row],[STATUS]]="CONCLUÍDO",_xlfn.XLOOKUP(tblCalculo[[#This Row],[NR_SIMULACAO]],tblVendas[[#This Row],[NR_SIMULACAO]],tblVendas[[#This Row],[VALOR_FIXABASICA]],""),0)</f>
        <v>0</v>
      </c>
      <c r="I331">
        <f>IF(tblCalculo[[#This Row],[STATUS]]="CONCLUÍDO",_xlfn.XLOOKUP(tblCalculo[[#This Row],[NR_SIMULACAO]],tblVendas[[#This Row],[NR_SIMULACAO]],tblVendas[[#This Row],[VALOR_TI]],""),0)</f>
        <v>0</v>
      </c>
      <c r="J331">
        <f>IF(tblCalculo[[#This Row],[STATUS]]="CONCLUÍDO",_xlfn.XLOOKUP(tblCalculo[[#This Row],[NR_SIMULACAO]],tblVendas[[#This Row],[NR_SIMULACAO]],tblVendas[[#This Row],[VALOR_APARELHO]],""),0)</f>
        <v>0</v>
      </c>
      <c r="K331" t="str">
        <f>IF(tblCalculo[[#This Row],[STATUS]]="NEGOCIANDO",tblCalculo[[#This Row],[VALOR_TOTAL]],"")</f>
        <v/>
      </c>
      <c r="L331" t="str">
        <f>IF(tblCalculo[[#This Row],[STATUS]]="ALÇADA",tblCalculo[[#This Row],[VALOR_TOTAL]],"")</f>
        <v/>
      </c>
      <c r="M331">
        <f>IF(tblCalculo[[#This Row],[STATUS]]="EM ANÁLISE",tblCalculo[[#This Row],[VALOR_TOTAL]],"")</f>
        <v>213.49</v>
      </c>
      <c r="N331" t="str">
        <f>IF(tblCalculo[[#This Row],[STATUS]]="TRAMITANDO",tblCalculo[[#This Row],[VALOR_TOTAL]],"")</f>
        <v/>
      </c>
      <c r="O331" t="str">
        <f>IF(tblCalculo[[#This Row],[STATUS]]="PERDIDO",tblCalculo[[#This Row],[VALOR_TOTAL]],"")</f>
        <v/>
      </c>
      <c r="P331" t="str">
        <f>IF(tblCalculo[[#This Row],[STATUS]]="CONCLUÍDO",tblCalculo[[#This Row],[VALOR_TOTAL]],"")</f>
        <v/>
      </c>
    </row>
    <row r="332" spans="1:16" x14ac:dyDescent="0.25">
      <c r="A332" t="str">
        <f>tblVendas[[#This Row],[NR_SIMULACAO]]</f>
        <v>SIM1322</v>
      </c>
      <c r="B332" s="34" t="str">
        <f>_xlfn.XLOOKUP(A332,tblVendas[[#This Row],[NR_SIMULACAO]],tblVendas[[#This Row],[NR_CNPJ]],"")</f>
        <v>56.632.121/0001-38</v>
      </c>
      <c r="C332" t="str">
        <f>_xlfn.XLOOKUP(A332,tblVendas[[#This Row],[NR_SIMULACAO]],tblVendas[[#This Row],[STATUS]],"")</f>
        <v>EM ANÁLISE</v>
      </c>
      <c r="D332" t="str">
        <f>_xlfn.XLOOKUP(A332,tblVendas[[#This Row],[NR_SIMULACAO]],tblVendas[[#This Row],[MES]],"")</f>
        <v>Outubro</v>
      </c>
      <c r="E332">
        <f>SUM(_xlfn.XLOOKUP(tblCalculo[[#This Row],[NR_SIMULACAO]],tblVendas[[#This Row],[NR_SIMULACAO]],tblVendas[[#This Row],[VALOR_MOVEL]],""):_xlfn.XLOOKUP(tblCalculo[[#This Row],[NR_SIMULACAO]],tblVendas[[#This Row],[NR_SIMULACAO]],tblVendas[[#This Row],[VALOR_APARELHO]],""))</f>
        <v>1712.43</v>
      </c>
      <c r="F332">
        <f>IF(tblCalculo[[#This Row],[STATUS]]="CONCLUÍDO",_xlfn.XLOOKUP(tblCalculo[[#This Row],[NR_SIMULACAO]],tblVendas[[#This Row],[NR_SIMULACAO]],tblVendas[[#This Row],[VALOR_MOVEL]],""),0)</f>
        <v>0</v>
      </c>
      <c r="G332">
        <f>IF(tblCalculo[[#This Row],[STATUS]]="CONCLUÍDO",_xlfn.XLOOKUP(tblCalculo[[#This Row],[NR_SIMULACAO]],tblVendas[[#This Row],[NR_SIMULACAO]],tblVendas[[#This Row],[VALOR_AVANCADO]],""),0)</f>
        <v>0</v>
      </c>
      <c r="H332">
        <f>IF(tblCalculo[[#This Row],[STATUS]]="CONCLUÍDO",_xlfn.XLOOKUP(tblCalculo[[#This Row],[NR_SIMULACAO]],tblVendas[[#This Row],[NR_SIMULACAO]],tblVendas[[#This Row],[VALOR_FIXABASICA]],""),0)</f>
        <v>0</v>
      </c>
      <c r="I332">
        <f>IF(tblCalculo[[#This Row],[STATUS]]="CONCLUÍDO",_xlfn.XLOOKUP(tblCalculo[[#This Row],[NR_SIMULACAO]],tblVendas[[#This Row],[NR_SIMULACAO]],tblVendas[[#This Row],[VALOR_TI]],""),0)</f>
        <v>0</v>
      </c>
      <c r="J332">
        <f>IF(tblCalculo[[#This Row],[STATUS]]="CONCLUÍDO",_xlfn.XLOOKUP(tblCalculo[[#This Row],[NR_SIMULACAO]],tblVendas[[#This Row],[NR_SIMULACAO]],tblVendas[[#This Row],[VALOR_APARELHO]],""),0)</f>
        <v>0</v>
      </c>
      <c r="K332" t="str">
        <f>IF(tblCalculo[[#This Row],[STATUS]]="NEGOCIANDO",tblCalculo[[#This Row],[VALOR_TOTAL]],"")</f>
        <v/>
      </c>
      <c r="L332" t="str">
        <f>IF(tblCalculo[[#This Row],[STATUS]]="ALÇADA",tblCalculo[[#This Row],[VALOR_TOTAL]],"")</f>
        <v/>
      </c>
      <c r="M332">
        <f>IF(tblCalculo[[#This Row],[STATUS]]="EM ANÁLISE",tblCalculo[[#This Row],[VALOR_TOTAL]],"")</f>
        <v>1712.43</v>
      </c>
      <c r="N332" t="str">
        <f>IF(tblCalculo[[#This Row],[STATUS]]="TRAMITANDO",tblCalculo[[#This Row],[VALOR_TOTAL]],"")</f>
        <v/>
      </c>
      <c r="O332" t="str">
        <f>IF(tblCalculo[[#This Row],[STATUS]]="PERDIDO",tblCalculo[[#This Row],[VALOR_TOTAL]],"")</f>
        <v/>
      </c>
      <c r="P332" t="str">
        <f>IF(tblCalculo[[#This Row],[STATUS]]="CONCLUÍDO",tblCalculo[[#This Row],[VALOR_TOTAL]],"")</f>
        <v/>
      </c>
    </row>
    <row r="333" spans="1:16" x14ac:dyDescent="0.25">
      <c r="A333" t="str">
        <f>tblVendas[[#This Row],[NR_SIMULACAO]]</f>
        <v>SIM1323</v>
      </c>
      <c r="B333" s="34" t="str">
        <f>_xlfn.XLOOKUP(A333,tblVendas[[#This Row],[NR_SIMULACAO]],tblVendas[[#This Row],[NR_CNPJ]],"")</f>
        <v>99.291.443/0001-91</v>
      </c>
      <c r="C333" t="str">
        <f>_xlfn.XLOOKUP(A333,tblVendas[[#This Row],[NR_SIMULACAO]],tblVendas[[#This Row],[STATUS]],"")</f>
        <v>TRAMITANDO</v>
      </c>
      <c r="D333" t="str">
        <f>_xlfn.XLOOKUP(A333,tblVendas[[#This Row],[NR_SIMULACAO]],tblVendas[[#This Row],[MES]],"")</f>
        <v>Agosto</v>
      </c>
      <c r="E333">
        <f>SUM(_xlfn.XLOOKUP(tblCalculo[[#This Row],[NR_SIMULACAO]],tblVendas[[#This Row],[NR_SIMULACAO]],tblVendas[[#This Row],[VALOR_MOVEL]],""):_xlfn.XLOOKUP(tblCalculo[[#This Row],[NR_SIMULACAO]],tblVendas[[#This Row],[NR_SIMULACAO]],tblVendas[[#This Row],[VALOR_APARELHO]],""))</f>
        <v>4010.52</v>
      </c>
      <c r="F333">
        <f>IF(tblCalculo[[#This Row],[STATUS]]="CONCLUÍDO",_xlfn.XLOOKUP(tblCalculo[[#This Row],[NR_SIMULACAO]],tblVendas[[#This Row],[NR_SIMULACAO]],tblVendas[[#This Row],[VALOR_MOVEL]],""),0)</f>
        <v>0</v>
      </c>
      <c r="G333">
        <f>IF(tblCalculo[[#This Row],[STATUS]]="CONCLUÍDO",_xlfn.XLOOKUP(tblCalculo[[#This Row],[NR_SIMULACAO]],tblVendas[[#This Row],[NR_SIMULACAO]],tblVendas[[#This Row],[VALOR_AVANCADO]],""),0)</f>
        <v>0</v>
      </c>
      <c r="H333">
        <f>IF(tblCalculo[[#This Row],[STATUS]]="CONCLUÍDO",_xlfn.XLOOKUP(tblCalculo[[#This Row],[NR_SIMULACAO]],tblVendas[[#This Row],[NR_SIMULACAO]],tblVendas[[#This Row],[VALOR_FIXABASICA]],""),0)</f>
        <v>0</v>
      </c>
      <c r="I333">
        <f>IF(tblCalculo[[#This Row],[STATUS]]="CONCLUÍDO",_xlfn.XLOOKUP(tblCalculo[[#This Row],[NR_SIMULACAO]],tblVendas[[#This Row],[NR_SIMULACAO]],tblVendas[[#This Row],[VALOR_TI]],""),0)</f>
        <v>0</v>
      </c>
      <c r="J333">
        <f>IF(tblCalculo[[#This Row],[STATUS]]="CONCLUÍDO",_xlfn.XLOOKUP(tblCalculo[[#This Row],[NR_SIMULACAO]],tblVendas[[#This Row],[NR_SIMULACAO]],tblVendas[[#This Row],[VALOR_APARELHO]],""),0)</f>
        <v>0</v>
      </c>
      <c r="K333" t="str">
        <f>IF(tblCalculo[[#This Row],[STATUS]]="NEGOCIANDO",tblCalculo[[#This Row],[VALOR_TOTAL]],"")</f>
        <v/>
      </c>
      <c r="L333" t="str">
        <f>IF(tblCalculo[[#This Row],[STATUS]]="ALÇADA",tblCalculo[[#This Row],[VALOR_TOTAL]],"")</f>
        <v/>
      </c>
      <c r="M333" t="str">
        <f>IF(tblCalculo[[#This Row],[STATUS]]="EM ANÁLISE",tblCalculo[[#This Row],[VALOR_TOTAL]],"")</f>
        <v/>
      </c>
      <c r="N333">
        <f>IF(tblCalculo[[#This Row],[STATUS]]="TRAMITANDO",tblCalculo[[#This Row],[VALOR_TOTAL]],"")</f>
        <v>4010.52</v>
      </c>
      <c r="O333" t="str">
        <f>IF(tblCalculo[[#This Row],[STATUS]]="PERDIDO",tblCalculo[[#This Row],[VALOR_TOTAL]],"")</f>
        <v/>
      </c>
      <c r="P333" t="str">
        <f>IF(tblCalculo[[#This Row],[STATUS]]="CONCLUÍDO",tblCalculo[[#This Row],[VALOR_TOTAL]],"")</f>
        <v/>
      </c>
    </row>
    <row r="334" spans="1:16" x14ac:dyDescent="0.25">
      <c r="A334" t="str">
        <f>tblVendas[[#This Row],[NR_SIMULACAO]]</f>
        <v>SIM1324</v>
      </c>
      <c r="B334" s="34" t="str">
        <f>_xlfn.XLOOKUP(A334,tblVendas[[#This Row],[NR_SIMULACAO]],tblVendas[[#This Row],[NR_CNPJ]],"")</f>
        <v>58.407.205/0001-37</v>
      </c>
      <c r="C334" t="str">
        <f>_xlfn.XLOOKUP(A334,tblVendas[[#This Row],[NR_SIMULACAO]],tblVendas[[#This Row],[STATUS]],"")</f>
        <v>EM ANÁLISE</v>
      </c>
      <c r="D334" t="str">
        <f>_xlfn.XLOOKUP(A334,tblVendas[[#This Row],[NR_SIMULACAO]],tblVendas[[#This Row],[MES]],"")</f>
        <v>Abril</v>
      </c>
      <c r="E334">
        <f>SUM(_xlfn.XLOOKUP(tblCalculo[[#This Row],[NR_SIMULACAO]],tblVendas[[#This Row],[NR_SIMULACAO]],tblVendas[[#This Row],[VALOR_MOVEL]],""):_xlfn.XLOOKUP(tblCalculo[[#This Row],[NR_SIMULACAO]],tblVendas[[#This Row],[NR_SIMULACAO]],tblVendas[[#This Row],[VALOR_APARELHO]],""))</f>
        <v>13295.35</v>
      </c>
      <c r="F334">
        <f>IF(tblCalculo[[#This Row],[STATUS]]="CONCLUÍDO",_xlfn.XLOOKUP(tblCalculo[[#This Row],[NR_SIMULACAO]],tblVendas[[#This Row],[NR_SIMULACAO]],tblVendas[[#This Row],[VALOR_MOVEL]],""),0)</f>
        <v>0</v>
      </c>
      <c r="G334">
        <f>IF(tblCalculo[[#This Row],[STATUS]]="CONCLUÍDO",_xlfn.XLOOKUP(tblCalculo[[#This Row],[NR_SIMULACAO]],tblVendas[[#This Row],[NR_SIMULACAO]],tblVendas[[#This Row],[VALOR_AVANCADO]],""),0)</f>
        <v>0</v>
      </c>
      <c r="H334">
        <f>IF(tblCalculo[[#This Row],[STATUS]]="CONCLUÍDO",_xlfn.XLOOKUP(tblCalculo[[#This Row],[NR_SIMULACAO]],tblVendas[[#This Row],[NR_SIMULACAO]],tblVendas[[#This Row],[VALOR_FIXABASICA]],""),0)</f>
        <v>0</v>
      </c>
      <c r="I334">
        <f>IF(tblCalculo[[#This Row],[STATUS]]="CONCLUÍDO",_xlfn.XLOOKUP(tblCalculo[[#This Row],[NR_SIMULACAO]],tblVendas[[#This Row],[NR_SIMULACAO]],tblVendas[[#This Row],[VALOR_TI]],""),0)</f>
        <v>0</v>
      </c>
      <c r="J334">
        <f>IF(tblCalculo[[#This Row],[STATUS]]="CONCLUÍDO",_xlfn.XLOOKUP(tblCalculo[[#This Row],[NR_SIMULACAO]],tblVendas[[#This Row],[NR_SIMULACAO]],tblVendas[[#This Row],[VALOR_APARELHO]],""),0)</f>
        <v>0</v>
      </c>
      <c r="K334" t="str">
        <f>IF(tblCalculo[[#This Row],[STATUS]]="NEGOCIANDO",tblCalculo[[#This Row],[VALOR_TOTAL]],"")</f>
        <v/>
      </c>
      <c r="L334" t="str">
        <f>IF(tblCalculo[[#This Row],[STATUS]]="ALÇADA",tblCalculo[[#This Row],[VALOR_TOTAL]],"")</f>
        <v/>
      </c>
      <c r="M334">
        <f>IF(tblCalculo[[#This Row],[STATUS]]="EM ANÁLISE",tblCalculo[[#This Row],[VALOR_TOTAL]],"")</f>
        <v>13295.35</v>
      </c>
      <c r="N334" t="str">
        <f>IF(tblCalculo[[#This Row],[STATUS]]="TRAMITANDO",tblCalculo[[#This Row],[VALOR_TOTAL]],"")</f>
        <v/>
      </c>
      <c r="O334" t="str">
        <f>IF(tblCalculo[[#This Row],[STATUS]]="PERDIDO",tblCalculo[[#This Row],[VALOR_TOTAL]],"")</f>
        <v/>
      </c>
      <c r="P334" t="str">
        <f>IF(tblCalculo[[#This Row],[STATUS]]="CONCLUÍDO",tblCalculo[[#This Row],[VALOR_TOTAL]],"")</f>
        <v/>
      </c>
    </row>
    <row r="335" spans="1:16" x14ac:dyDescent="0.25">
      <c r="A335" t="str">
        <f>tblVendas[[#This Row],[NR_SIMULACAO]]</f>
        <v>SIM1325</v>
      </c>
      <c r="B335" s="34" t="str">
        <f>_xlfn.XLOOKUP(A335,tblVendas[[#This Row],[NR_SIMULACAO]],tblVendas[[#This Row],[NR_CNPJ]],"")</f>
        <v>94.501.735/0001-79</v>
      </c>
      <c r="C335" t="str">
        <f>_xlfn.XLOOKUP(A335,tblVendas[[#This Row],[NR_SIMULACAO]],tblVendas[[#This Row],[STATUS]],"")</f>
        <v>EM ANÁLISE</v>
      </c>
      <c r="D335" t="str">
        <f>_xlfn.XLOOKUP(A335,tblVendas[[#This Row],[NR_SIMULACAO]],tblVendas[[#This Row],[MES]],"")</f>
        <v>Novembro</v>
      </c>
      <c r="E335">
        <f>SUM(_xlfn.XLOOKUP(tblCalculo[[#This Row],[NR_SIMULACAO]],tblVendas[[#This Row],[NR_SIMULACAO]],tblVendas[[#This Row],[VALOR_MOVEL]],""):_xlfn.XLOOKUP(tblCalculo[[#This Row],[NR_SIMULACAO]],tblVendas[[#This Row],[NR_SIMULACAO]],tblVendas[[#This Row],[VALOR_APARELHO]],""))</f>
        <v>2008.62</v>
      </c>
      <c r="F335">
        <f>IF(tblCalculo[[#This Row],[STATUS]]="CONCLUÍDO",_xlfn.XLOOKUP(tblCalculo[[#This Row],[NR_SIMULACAO]],tblVendas[[#This Row],[NR_SIMULACAO]],tblVendas[[#This Row],[VALOR_MOVEL]],""),0)</f>
        <v>0</v>
      </c>
      <c r="G335">
        <f>IF(tblCalculo[[#This Row],[STATUS]]="CONCLUÍDO",_xlfn.XLOOKUP(tblCalculo[[#This Row],[NR_SIMULACAO]],tblVendas[[#This Row],[NR_SIMULACAO]],tblVendas[[#This Row],[VALOR_AVANCADO]],""),0)</f>
        <v>0</v>
      </c>
      <c r="H335">
        <f>IF(tblCalculo[[#This Row],[STATUS]]="CONCLUÍDO",_xlfn.XLOOKUP(tblCalculo[[#This Row],[NR_SIMULACAO]],tblVendas[[#This Row],[NR_SIMULACAO]],tblVendas[[#This Row],[VALOR_FIXABASICA]],""),0)</f>
        <v>0</v>
      </c>
      <c r="I335">
        <f>IF(tblCalculo[[#This Row],[STATUS]]="CONCLUÍDO",_xlfn.XLOOKUP(tblCalculo[[#This Row],[NR_SIMULACAO]],tblVendas[[#This Row],[NR_SIMULACAO]],tblVendas[[#This Row],[VALOR_TI]],""),0)</f>
        <v>0</v>
      </c>
      <c r="J335">
        <f>IF(tblCalculo[[#This Row],[STATUS]]="CONCLUÍDO",_xlfn.XLOOKUP(tblCalculo[[#This Row],[NR_SIMULACAO]],tblVendas[[#This Row],[NR_SIMULACAO]],tblVendas[[#This Row],[VALOR_APARELHO]],""),0)</f>
        <v>0</v>
      </c>
      <c r="K335" t="str">
        <f>IF(tblCalculo[[#This Row],[STATUS]]="NEGOCIANDO",tblCalculo[[#This Row],[VALOR_TOTAL]],"")</f>
        <v/>
      </c>
      <c r="L335" t="str">
        <f>IF(tblCalculo[[#This Row],[STATUS]]="ALÇADA",tblCalculo[[#This Row],[VALOR_TOTAL]],"")</f>
        <v/>
      </c>
      <c r="M335">
        <f>IF(tblCalculo[[#This Row],[STATUS]]="EM ANÁLISE",tblCalculo[[#This Row],[VALOR_TOTAL]],"")</f>
        <v>2008.62</v>
      </c>
      <c r="N335" t="str">
        <f>IF(tblCalculo[[#This Row],[STATUS]]="TRAMITANDO",tblCalculo[[#This Row],[VALOR_TOTAL]],"")</f>
        <v/>
      </c>
      <c r="O335" t="str">
        <f>IF(tblCalculo[[#This Row],[STATUS]]="PERDIDO",tblCalculo[[#This Row],[VALOR_TOTAL]],"")</f>
        <v/>
      </c>
      <c r="P335" t="str">
        <f>IF(tblCalculo[[#This Row],[STATUS]]="CONCLUÍDO",tblCalculo[[#This Row],[VALOR_TOTAL]],"")</f>
        <v/>
      </c>
    </row>
    <row r="336" spans="1:16" x14ac:dyDescent="0.25">
      <c r="A336" t="str">
        <f>tblVendas[[#This Row],[NR_SIMULACAO]]</f>
        <v>SIM1326</v>
      </c>
      <c r="B336" s="34" t="str">
        <f>_xlfn.XLOOKUP(A336,tblVendas[[#This Row],[NR_SIMULACAO]],tblVendas[[#This Row],[NR_CNPJ]],"")</f>
        <v>76.489.810/0001-11</v>
      </c>
      <c r="C336" t="str">
        <f>_xlfn.XLOOKUP(A336,tblVendas[[#This Row],[NR_SIMULACAO]],tblVendas[[#This Row],[STATUS]],"")</f>
        <v>NEGOCIANDO</v>
      </c>
      <c r="D336" t="str">
        <f>_xlfn.XLOOKUP(A336,tblVendas[[#This Row],[NR_SIMULACAO]],tblVendas[[#This Row],[MES]],"")</f>
        <v>Novembro</v>
      </c>
      <c r="E336">
        <f>SUM(_xlfn.XLOOKUP(tblCalculo[[#This Row],[NR_SIMULACAO]],tblVendas[[#This Row],[NR_SIMULACAO]],tblVendas[[#This Row],[VALOR_MOVEL]],""):_xlfn.XLOOKUP(tblCalculo[[#This Row],[NR_SIMULACAO]],tblVendas[[#This Row],[NR_SIMULACAO]],tblVendas[[#This Row],[VALOR_APARELHO]],""))</f>
        <v>15992.73</v>
      </c>
      <c r="F336">
        <f>IF(tblCalculo[[#This Row],[STATUS]]="CONCLUÍDO",_xlfn.XLOOKUP(tblCalculo[[#This Row],[NR_SIMULACAO]],tblVendas[[#This Row],[NR_SIMULACAO]],tblVendas[[#This Row],[VALOR_MOVEL]],""),0)</f>
        <v>0</v>
      </c>
      <c r="G336">
        <f>IF(tblCalculo[[#This Row],[STATUS]]="CONCLUÍDO",_xlfn.XLOOKUP(tblCalculo[[#This Row],[NR_SIMULACAO]],tblVendas[[#This Row],[NR_SIMULACAO]],tblVendas[[#This Row],[VALOR_AVANCADO]],""),0)</f>
        <v>0</v>
      </c>
      <c r="H336">
        <f>IF(tblCalculo[[#This Row],[STATUS]]="CONCLUÍDO",_xlfn.XLOOKUP(tblCalculo[[#This Row],[NR_SIMULACAO]],tblVendas[[#This Row],[NR_SIMULACAO]],tblVendas[[#This Row],[VALOR_FIXABASICA]],""),0)</f>
        <v>0</v>
      </c>
      <c r="I336">
        <f>IF(tblCalculo[[#This Row],[STATUS]]="CONCLUÍDO",_xlfn.XLOOKUP(tblCalculo[[#This Row],[NR_SIMULACAO]],tblVendas[[#This Row],[NR_SIMULACAO]],tblVendas[[#This Row],[VALOR_TI]],""),0)</f>
        <v>0</v>
      </c>
      <c r="J336">
        <f>IF(tblCalculo[[#This Row],[STATUS]]="CONCLUÍDO",_xlfn.XLOOKUP(tblCalculo[[#This Row],[NR_SIMULACAO]],tblVendas[[#This Row],[NR_SIMULACAO]],tblVendas[[#This Row],[VALOR_APARELHO]],""),0)</f>
        <v>0</v>
      </c>
      <c r="K336">
        <f>IF(tblCalculo[[#This Row],[STATUS]]="NEGOCIANDO",tblCalculo[[#This Row],[VALOR_TOTAL]],"")</f>
        <v>15992.73</v>
      </c>
      <c r="L336" t="str">
        <f>IF(tblCalculo[[#This Row],[STATUS]]="ALÇADA",tblCalculo[[#This Row],[VALOR_TOTAL]],"")</f>
        <v/>
      </c>
      <c r="M336" t="str">
        <f>IF(tblCalculo[[#This Row],[STATUS]]="EM ANÁLISE",tblCalculo[[#This Row],[VALOR_TOTAL]],"")</f>
        <v/>
      </c>
      <c r="N336" t="str">
        <f>IF(tblCalculo[[#This Row],[STATUS]]="TRAMITANDO",tblCalculo[[#This Row],[VALOR_TOTAL]],"")</f>
        <v/>
      </c>
      <c r="O336" t="str">
        <f>IF(tblCalculo[[#This Row],[STATUS]]="PERDIDO",tblCalculo[[#This Row],[VALOR_TOTAL]],"")</f>
        <v/>
      </c>
      <c r="P336" t="str">
        <f>IF(tblCalculo[[#This Row],[STATUS]]="CONCLUÍDO",tblCalculo[[#This Row],[VALOR_TOTAL]],"")</f>
        <v/>
      </c>
    </row>
    <row r="337" spans="1:16" x14ac:dyDescent="0.25">
      <c r="A337" t="str">
        <f>tblVendas[[#This Row],[NR_SIMULACAO]]</f>
        <v>SIM1327</v>
      </c>
      <c r="B337" s="34" t="str">
        <f>_xlfn.XLOOKUP(A337,tblVendas[[#This Row],[NR_SIMULACAO]],tblVendas[[#This Row],[NR_CNPJ]],"")</f>
        <v>14.619.860/0001-13</v>
      </c>
      <c r="C337" t="str">
        <f>_xlfn.XLOOKUP(A337,tblVendas[[#This Row],[NR_SIMULACAO]],tblVendas[[#This Row],[STATUS]],"")</f>
        <v>TRAMITANDO</v>
      </c>
      <c r="D337" t="str">
        <f>_xlfn.XLOOKUP(A337,tblVendas[[#This Row],[NR_SIMULACAO]],tblVendas[[#This Row],[MES]],"")</f>
        <v>Novembro</v>
      </c>
      <c r="E337">
        <f>SUM(_xlfn.XLOOKUP(tblCalculo[[#This Row],[NR_SIMULACAO]],tblVendas[[#This Row],[NR_SIMULACAO]],tblVendas[[#This Row],[VALOR_MOVEL]],""):_xlfn.XLOOKUP(tblCalculo[[#This Row],[NR_SIMULACAO]],tblVendas[[#This Row],[NR_SIMULACAO]],tblVendas[[#This Row],[VALOR_APARELHO]],""))</f>
        <v>24556.03</v>
      </c>
      <c r="F337">
        <f>IF(tblCalculo[[#This Row],[STATUS]]="CONCLUÍDO",_xlfn.XLOOKUP(tblCalculo[[#This Row],[NR_SIMULACAO]],tblVendas[[#This Row],[NR_SIMULACAO]],tblVendas[[#This Row],[VALOR_MOVEL]],""),0)</f>
        <v>0</v>
      </c>
      <c r="G337">
        <f>IF(tblCalculo[[#This Row],[STATUS]]="CONCLUÍDO",_xlfn.XLOOKUP(tblCalculo[[#This Row],[NR_SIMULACAO]],tblVendas[[#This Row],[NR_SIMULACAO]],tblVendas[[#This Row],[VALOR_AVANCADO]],""),0)</f>
        <v>0</v>
      </c>
      <c r="H337">
        <f>IF(tblCalculo[[#This Row],[STATUS]]="CONCLUÍDO",_xlfn.XLOOKUP(tblCalculo[[#This Row],[NR_SIMULACAO]],tblVendas[[#This Row],[NR_SIMULACAO]],tblVendas[[#This Row],[VALOR_FIXABASICA]],""),0)</f>
        <v>0</v>
      </c>
      <c r="I337">
        <f>IF(tblCalculo[[#This Row],[STATUS]]="CONCLUÍDO",_xlfn.XLOOKUP(tblCalculo[[#This Row],[NR_SIMULACAO]],tblVendas[[#This Row],[NR_SIMULACAO]],tblVendas[[#This Row],[VALOR_TI]],""),0)</f>
        <v>0</v>
      </c>
      <c r="J337">
        <f>IF(tblCalculo[[#This Row],[STATUS]]="CONCLUÍDO",_xlfn.XLOOKUP(tblCalculo[[#This Row],[NR_SIMULACAO]],tblVendas[[#This Row],[NR_SIMULACAO]],tblVendas[[#This Row],[VALOR_APARELHO]],""),0)</f>
        <v>0</v>
      </c>
      <c r="K337" t="str">
        <f>IF(tblCalculo[[#This Row],[STATUS]]="NEGOCIANDO",tblCalculo[[#This Row],[VALOR_TOTAL]],"")</f>
        <v/>
      </c>
      <c r="L337" t="str">
        <f>IF(tblCalculo[[#This Row],[STATUS]]="ALÇADA",tblCalculo[[#This Row],[VALOR_TOTAL]],"")</f>
        <v/>
      </c>
      <c r="M337" t="str">
        <f>IF(tblCalculo[[#This Row],[STATUS]]="EM ANÁLISE",tblCalculo[[#This Row],[VALOR_TOTAL]],"")</f>
        <v/>
      </c>
      <c r="N337">
        <f>IF(tblCalculo[[#This Row],[STATUS]]="TRAMITANDO",tblCalculo[[#This Row],[VALOR_TOTAL]],"")</f>
        <v>24556.03</v>
      </c>
      <c r="O337" t="str">
        <f>IF(tblCalculo[[#This Row],[STATUS]]="PERDIDO",tblCalculo[[#This Row],[VALOR_TOTAL]],"")</f>
        <v/>
      </c>
      <c r="P337" t="str">
        <f>IF(tblCalculo[[#This Row],[STATUS]]="CONCLUÍDO",tblCalculo[[#This Row],[VALOR_TOTAL]],"")</f>
        <v/>
      </c>
    </row>
    <row r="338" spans="1:16" x14ac:dyDescent="0.25">
      <c r="A338" t="str">
        <f>tblVendas[[#This Row],[NR_SIMULACAO]]</f>
        <v>SIM1328</v>
      </c>
      <c r="B338" s="34" t="str">
        <f>_xlfn.XLOOKUP(A338,tblVendas[[#This Row],[NR_SIMULACAO]],tblVendas[[#This Row],[NR_CNPJ]],"")</f>
        <v>25.555.979/0001-69</v>
      </c>
      <c r="C338" t="str">
        <f>_xlfn.XLOOKUP(A338,tblVendas[[#This Row],[NR_SIMULACAO]],tblVendas[[#This Row],[STATUS]],"")</f>
        <v>NEGOCIANDO</v>
      </c>
      <c r="D338" t="str">
        <f>_xlfn.XLOOKUP(A338,tblVendas[[#This Row],[NR_SIMULACAO]],tblVendas[[#This Row],[MES]],"")</f>
        <v>Outubro</v>
      </c>
      <c r="E338">
        <f>SUM(_xlfn.XLOOKUP(tblCalculo[[#This Row],[NR_SIMULACAO]],tblVendas[[#This Row],[NR_SIMULACAO]],tblVendas[[#This Row],[VALOR_MOVEL]],""):_xlfn.XLOOKUP(tblCalculo[[#This Row],[NR_SIMULACAO]],tblVendas[[#This Row],[NR_SIMULACAO]],tblVendas[[#This Row],[VALOR_APARELHO]],""))</f>
        <v>18008.98</v>
      </c>
      <c r="F338">
        <f>IF(tblCalculo[[#This Row],[STATUS]]="CONCLUÍDO",_xlfn.XLOOKUP(tblCalculo[[#This Row],[NR_SIMULACAO]],tblVendas[[#This Row],[NR_SIMULACAO]],tblVendas[[#This Row],[VALOR_MOVEL]],""),0)</f>
        <v>0</v>
      </c>
      <c r="G338">
        <f>IF(tblCalculo[[#This Row],[STATUS]]="CONCLUÍDO",_xlfn.XLOOKUP(tblCalculo[[#This Row],[NR_SIMULACAO]],tblVendas[[#This Row],[NR_SIMULACAO]],tblVendas[[#This Row],[VALOR_AVANCADO]],""),0)</f>
        <v>0</v>
      </c>
      <c r="H338">
        <f>IF(tblCalculo[[#This Row],[STATUS]]="CONCLUÍDO",_xlfn.XLOOKUP(tblCalculo[[#This Row],[NR_SIMULACAO]],tblVendas[[#This Row],[NR_SIMULACAO]],tblVendas[[#This Row],[VALOR_FIXABASICA]],""),0)</f>
        <v>0</v>
      </c>
      <c r="I338">
        <f>IF(tblCalculo[[#This Row],[STATUS]]="CONCLUÍDO",_xlfn.XLOOKUP(tblCalculo[[#This Row],[NR_SIMULACAO]],tblVendas[[#This Row],[NR_SIMULACAO]],tblVendas[[#This Row],[VALOR_TI]],""),0)</f>
        <v>0</v>
      </c>
      <c r="J338">
        <f>IF(tblCalculo[[#This Row],[STATUS]]="CONCLUÍDO",_xlfn.XLOOKUP(tblCalculo[[#This Row],[NR_SIMULACAO]],tblVendas[[#This Row],[NR_SIMULACAO]],tblVendas[[#This Row],[VALOR_APARELHO]],""),0)</f>
        <v>0</v>
      </c>
      <c r="K338">
        <f>IF(tblCalculo[[#This Row],[STATUS]]="NEGOCIANDO",tblCalculo[[#This Row],[VALOR_TOTAL]],"")</f>
        <v>18008.98</v>
      </c>
      <c r="L338" t="str">
        <f>IF(tblCalculo[[#This Row],[STATUS]]="ALÇADA",tblCalculo[[#This Row],[VALOR_TOTAL]],"")</f>
        <v/>
      </c>
      <c r="M338" t="str">
        <f>IF(tblCalculo[[#This Row],[STATUS]]="EM ANÁLISE",tblCalculo[[#This Row],[VALOR_TOTAL]],"")</f>
        <v/>
      </c>
      <c r="N338" t="str">
        <f>IF(tblCalculo[[#This Row],[STATUS]]="TRAMITANDO",tblCalculo[[#This Row],[VALOR_TOTAL]],"")</f>
        <v/>
      </c>
      <c r="O338" t="str">
        <f>IF(tblCalculo[[#This Row],[STATUS]]="PERDIDO",tblCalculo[[#This Row],[VALOR_TOTAL]],"")</f>
        <v/>
      </c>
      <c r="P338" t="str">
        <f>IF(tblCalculo[[#This Row],[STATUS]]="CONCLUÍDO",tblCalculo[[#This Row],[VALOR_TOTAL]],"")</f>
        <v/>
      </c>
    </row>
    <row r="339" spans="1:16" x14ac:dyDescent="0.25">
      <c r="A339" t="str">
        <f>tblVendas[[#This Row],[NR_SIMULACAO]]</f>
        <v>SIM1329</v>
      </c>
      <c r="B339" s="34" t="str">
        <f>_xlfn.XLOOKUP(A339,tblVendas[[#This Row],[NR_SIMULACAO]],tblVendas[[#This Row],[NR_CNPJ]],"")</f>
        <v>90.224.797/0001-53</v>
      </c>
      <c r="C339" t="str">
        <f>_xlfn.XLOOKUP(A339,tblVendas[[#This Row],[NR_SIMULACAO]],tblVendas[[#This Row],[STATUS]],"")</f>
        <v>PERDIDO</v>
      </c>
      <c r="D339" t="str">
        <f>_xlfn.XLOOKUP(A339,tblVendas[[#This Row],[NR_SIMULACAO]],tblVendas[[#This Row],[MES]],"")</f>
        <v>Setembro</v>
      </c>
      <c r="E339">
        <f>SUM(_xlfn.XLOOKUP(tblCalculo[[#This Row],[NR_SIMULACAO]],tblVendas[[#This Row],[NR_SIMULACAO]],tblVendas[[#This Row],[VALOR_MOVEL]],""):_xlfn.XLOOKUP(tblCalculo[[#This Row],[NR_SIMULACAO]],tblVendas[[#This Row],[NR_SIMULACAO]],tblVendas[[#This Row],[VALOR_APARELHO]],""))</f>
        <v>26510.230000000003</v>
      </c>
      <c r="F339">
        <f>IF(tblCalculo[[#This Row],[STATUS]]="CONCLUÍDO",_xlfn.XLOOKUP(tblCalculo[[#This Row],[NR_SIMULACAO]],tblVendas[[#This Row],[NR_SIMULACAO]],tblVendas[[#This Row],[VALOR_MOVEL]],""),0)</f>
        <v>0</v>
      </c>
      <c r="G339">
        <f>IF(tblCalculo[[#This Row],[STATUS]]="CONCLUÍDO",_xlfn.XLOOKUP(tblCalculo[[#This Row],[NR_SIMULACAO]],tblVendas[[#This Row],[NR_SIMULACAO]],tblVendas[[#This Row],[VALOR_AVANCADO]],""),0)</f>
        <v>0</v>
      </c>
      <c r="H339">
        <f>IF(tblCalculo[[#This Row],[STATUS]]="CONCLUÍDO",_xlfn.XLOOKUP(tblCalculo[[#This Row],[NR_SIMULACAO]],tblVendas[[#This Row],[NR_SIMULACAO]],tblVendas[[#This Row],[VALOR_FIXABASICA]],""),0)</f>
        <v>0</v>
      </c>
      <c r="I339">
        <f>IF(tblCalculo[[#This Row],[STATUS]]="CONCLUÍDO",_xlfn.XLOOKUP(tblCalculo[[#This Row],[NR_SIMULACAO]],tblVendas[[#This Row],[NR_SIMULACAO]],tblVendas[[#This Row],[VALOR_TI]],""),0)</f>
        <v>0</v>
      </c>
      <c r="J339">
        <f>IF(tblCalculo[[#This Row],[STATUS]]="CONCLUÍDO",_xlfn.XLOOKUP(tblCalculo[[#This Row],[NR_SIMULACAO]],tblVendas[[#This Row],[NR_SIMULACAO]],tblVendas[[#This Row],[VALOR_APARELHO]],""),0)</f>
        <v>0</v>
      </c>
      <c r="K339" t="str">
        <f>IF(tblCalculo[[#This Row],[STATUS]]="NEGOCIANDO",tblCalculo[[#This Row],[VALOR_TOTAL]],"")</f>
        <v/>
      </c>
      <c r="L339" t="str">
        <f>IF(tblCalculo[[#This Row],[STATUS]]="ALÇADA",tblCalculo[[#This Row],[VALOR_TOTAL]],"")</f>
        <v/>
      </c>
      <c r="M339" t="str">
        <f>IF(tblCalculo[[#This Row],[STATUS]]="EM ANÁLISE",tblCalculo[[#This Row],[VALOR_TOTAL]],"")</f>
        <v/>
      </c>
      <c r="N339" t="str">
        <f>IF(tblCalculo[[#This Row],[STATUS]]="TRAMITANDO",tblCalculo[[#This Row],[VALOR_TOTAL]],"")</f>
        <v/>
      </c>
      <c r="O339">
        <f>IF(tblCalculo[[#This Row],[STATUS]]="PERDIDO",tblCalculo[[#This Row],[VALOR_TOTAL]],"")</f>
        <v>26510.230000000003</v>
      </c>
      <c r="P339" t="str">
        <f>IF(tblCalculo[[#This Row],[STATUS]]="CONCLUÍDO",tblCalculo[[#This Row],[VALOR_TOTAL]],"")</f>
        <v/>
      </c>
    </row>
    <row r="340" spans="1:16" x14ac:dyDescent="0.25">
      <c r="A340" t="str">
        <f>tblVendas[[#This Row],[NR_SIMULACAO]]</f>
        <v>SIM1330</v>
      </c>
      <c r="B340" s="34" t="str">
        <f>_xlfn.XLOOKUP(A340,tblVendas[[#This Row],[NR_SIMULACAO]],tblVendas[[#This Row],[NR_CNPJ]],"")</f>
        <v>19.395.745/0001-55</v>
      </c>
      <c r="C340" t="str">
        <f>_xlfn.XLOOKUP(A340,tblVendas[[#This Row],[NR_SIMULACAO]],tblVendas[[#This Row],[STATUS]],"")</f>
        <v>ALÇADA</v>
      </c>
      <c r="D340" t="str">
        <f>_xlfn.XLOOKUP(A340,tblVendas[[#This Row],[NR_SIMULACAO]],tblVendas[[#This Row],[MES]],"")</f>
        <v>Fevereiro</v>
      </c>
      <c r="E340">
        <f>SUM(_xlfn.XLOOKUP(tblCalculo[[#This Row],[NR_SIMULACAO]],tblVendas[[#This Row],[NR_SIMULACAO]],tblVendas[[#This Row],[VALOR_MOVEL]],""):_xlfn.XLOOKUP(tblCalculo[[#This Row],[NR_SIMULACAO]],tblVendas[[#This Row],[NR_SIMULACAO]],tblVendas[[#This Row],[VALOR_APARELHO]],""))</f>
        <v>9405.7000000000007</v>
      </c>
      <c r="F340">
        <f>IF(tblCalculo[[#This Row],[STATUS]]="CONCLUÍDO",_xlfn.XLOOKUP(tblCalculo[[#This Row],[NR_SIMULACAO]],tblVendas[[#This Row],[NR_SIMULACAO]],tblVendas[[#This Row],[VALOR_MOVEL]],""),0)</f>
        <v>0</v>
      </c>
      <c r="G340">
        <f>IF(tblCalculo[[#This Row],[STATUS]]="CONCLUÍDO",_xlfn.XLOOKUP(tblCalculo[[#This Row],[NR_SIMULACAO]],tblVendas[[#This Row],[NR_SIMULACAO]],tblVendas[[#This Row],[VALOR_AVANCADO]],""),0)</f>
        <v>0</v>
      </c>
      <c r="H340">
        <f>IF(tblCalculo[[#This Row],[STATUS]]="CONCLUÍDO",_xlfn.XLOOKUP(tblCalculo[[#This Row],[NR_SIMULACAO]],tblVendas[[#This Row],[NR_SIMULACAO]],tblVendas[[#This Row],[VALOR_FIXABASICA]],""),0)</f>
        <v>0</v>
      </c>
      <c r="I340">
        <f>IF(tblCalculo[[#This Row],[STATUS]]="CONCLUÍDO",_xlfn.XLOOKUP(tblCalculo[[#This Row],[NR_SIMULACAO]],tblVendas[[#This Row],[NR_SIMULACAO]],tblVendas[[#This Row],[VALOR_TI]],""),0)</f>
        <v>0</v>
      </c>
      <c r="J340">
        <f>IF(tblCalculo[[#This Row],[STATUS]]="CONCLUÍDO",_xlfn.XLOOKUP(tblCalculo[[#This Row],[NR_SIMULACAO]],tblVendas[[#This Row],[NR_SIMULACAO]],tblVendas[[#This Row],[VALOR_APARELHO]],""),0)</f>
        <v>0</v>
      </c>
      <c r="K340" t="str">
        <f>IF(tblCalculo[[#This Row],[STATUS]]="NEGOCIANDO",tblCalculo[[#This Row],[VALOR_TOTAL]],"")</f>
        <v/>
      </c>
      <c r="L340">
        <f>IF(tblCalculo[[#This Row],[STATUS]]="ALÇADA",tblCalculo[[#This Row],[VALOR_TOTAL]],"")</f>
        <v>9405.7000000000007</v>
      </c>
      <c r="M340" t="str">
        <f>IF(tblCalculo[[#This Row],[STATUS]]="EM ANÁLISE",tblCalculo[[#This Row],[VALOR_TOTAL]],"")</f>
        <v/>
      </c>
      <c r="N340" t="str">
        <f>IF(tblCalculo[[#This Row],[STATUS]]="TRAMITANDO",tblCalculo[[#This Row],[VALOR_TOTAL]],"")</f>
        <v/>
      </c>
      <c r="O340" t="str">
        <f>IF(tblCalculo[[#This Row],[STATUS]]="PERDIDO",tblCalculo[[#This Row],[VALOR_TOTAL]],"")</f>
        <v/>
      </c>
      <c r="P340" t="str">
        <f>IF(tblCalculo[[#This Row],[STATUS]]="CONCLUÍDO",tblCalculo[[#This Row],[VALOR_TOTAL]],"")</f>
        <v/>
      </c>
    </row>
    <row r="341" spans="1:16" x14ac:dyDescent="0.25">
      <c r="A341" t="str">
        <f>tblVendas[[#This Row],[NR_SIMULACAO]]</f>
        <v>SIM1331</v>
      </c>
      <c r="B341" s="34" t="str">
        <f>_xlfn.XLOOKUP(A341,tblVendas[[#This Row],[NR_SIMULACAO]],tblVendas[[#This Row],[NR_CNPJ]],"")</f>
        <v>38.624.935/0001-49</v>
      </c>
      <c r="C341" t="str">
        <f>_xlfn.XLOOKUP(A341,tblVendas[[#This Row],[NR_SIMULACAO]],tblVendas[[#This Row],[STATUS]],"")</f>
        <v>EM ANÁLISE</v>
      </c>
      <c r="D341" t="str">
        <f>_xlfn.XLOOKUP(A341,tblVendas[[#This Row],[NR_SIMULACAO]],tblVendas[[#This Row],[MES]],"")</f>
        <v>Março</v>
      </c>
      <c r="E341">
        <f>SUM(_xlfn.XLOOKUP(tblCalculo[[#This Row],[NR_SIMULACAO]],tblVendas[[#This Row],[NR_SIMULACAO]],tblVendas[[#This Row],[VALOR_MOVEL]],""):_xlfn.XLOOKUP(tblCalculo[[#This Row],[NR_SIMULACAO]],tblVendas[[#This Row],[NR_SIMULACAO]],tblVendas[[#This Row],[VALOR_APARELHO]],""))</f>
        <v>7748.97</v>
      </c>
      <c r="F341">
        <f>IF(tblCalculo[[#This Row],[STATUS]]="CONCLUÍDO",_xlfn.XLOOKUP(tblCalculo[[#This Row],[NR_SIMULACAO]],tblVendas[[#This Row],[NR_SIMULACAO]],tblVendas[[#This Row],[VALOR_MOVEL]],""),0)</f>
        <v>0</v>
      </c>
      <c r="G341">
        <f>IF(tblCalculo[[#This Row],[STATUS]]="CONCLUÍDO",_xlfn.XLOOKUP(tblCalculo[[#This Row],[NR_SIMULACAO]],tblVendas[[#This Row],[NR_SIMULACAO]],tblVendas[[#This Row],[VALOR_AVANCADO]],""),0)</f>
        <v>0</v>
      </c>
      <c r="H341">
        <f>IF(tblCalculo[[#This Row],[STATUS]]="CONCLUÍDO",_xlfn.XLOOKUP(tblCalculo[[#This Row],[NR_SIMULACAO]],tblVendas[[#This Row],[NR_SIMULACAO]],tblVendas[[#This Row],[VALOR_FIXABASICA]],""),0)</f>
        <v>0</v>
      </c>
      <c r="I341">
        <f>IF(tblCalculo[[#This Row],[STATUS]]="CONCLUÍDO",_xlfn.XLOOKUP(tblCalculo[[#This Row],[NR_SIMULACAO]],tblVendas[[#This Row],[NR_SIMULACAO]],tblVendas[[#This Row],[VALOR_TI]],""),0)</f>
        <v>0</v>
      </c>
      <c r="J341">
        <f>IF(tblCalculo[[#This Row],[STATUS]]="CONCLUÍDO",_xlfn.XLOOKUP(tblCalculo[[#This Row],[NR_SIMULACAO]],tblVendas[[#This Row],[NR_SIMULACAO]],tblVendas[[#This Row],[VALOR_APARELHO]],""),0)</f>
        <v>0</v>
      </c>
      <c r="K341" t="str">
        <f>IF(tblCalculo[[#This Row],[STATUS]]="NEGOCIANDO",tblCalculo[[#This Row],[VALOR_TOTAL]],"")</f>
        <v/>
      </c>
      <c r="L341" t="str">
        <f>IF(tblCalculo[[#This Row],[STATUS]]="ALÇADA",tblCalculo[[#This Row],[VALOR_TOTAL]],"")</f>
        <v/>
      </c>
      <c r="M341">
        <f>IF(tblCalculo[[#This Row],[STATUS]]="EM ANÁLISE",tblCalculo[[#This Row],[VALOR_TOTAL]],"")</f>
        <v>7748.97</v>
      </c>
      <c r="N341" t="str">
        <f>IF(tblCalculo[[#This Row],[STATUS]]="TRAMITANDO",tblCalculo[[#This Row],[VALOR_TOTAL]],"")</f>
        <v/>
      </c>
      <c r="O341" t="str">
        <f>IF(tblCalculo[[#This Row],[STATUS]]="PERDIDO",tblCalculo[[#This Row],[VALOR_TOTAL]],"")</f>
        <v/>
      </c>
      <c r="P341" t="str">
        <f>IF(tblCalculo[[#This Row],[STATUS]]="CONCLUÍDO",tblCalculo[[#This Row],[VALOR_TOTAL]],"")</f>
        <v/>
      </c>
    </row>
    <row r="342" spans="1:16" x14ac:dyDescent="0.25">
      <c r="A342" t="str">
        <f>tblVendas[[#This Row],[NR_SIMULACAO]]</f>
        <v>SIM1332</v>
      </c>
      <c r="B342" s="34" t="str">
        <f>_xlfn.XLOOKUP(A342,tblVendas[[#This Row],[NR_SIMULACAO]],tblVendas[[#This Row],[NR_CNPJ]],"")</f>
        <v>40.420.509/0001-34</v>
      </c>
      <c r="C342" t="str">
        <f>_xlfn.XLOOKUP(A342,tblVendas[[#This Row],[NR_SIMULACAO]],tblVendas[[#This Row],[STATUS]],"")</f>
        <v>PERDIDO</v>
      </c>
      <c r="D342" t="str">
        <f>_xlfn.XLOOKUP(A342,tblVendas[[#This Row],[NR_SIMULACAO]],tblVendas[[#This Row],[MES]],"")</f>
        <v>Março</v>
      </c>
      <c r="E342">
        <f>SUM(_xlfn.XLOOKUP(tblCalculo[[#This Row],[NR_SIMULACAO]],tblVendas[[#This Row],[NR_SIMULACAO]],tblVendas[[#This Row],[VALOR_MOVEL]],""):_xlfn.XLOOKUP(tblCalculo[[#This Row],[NR_SIMULACAO]],tblVendas[[#This Row],[NR_SIMULACAO]],tblVendas[[#This Row],[VALOR_APARELHO]],""))</f>
        <v>8494.89</v>
      </c>
      <c r="F342">
        <f>IF(tblCalculo[[#This Row],[STATUS]]="CONCLUÍDO",_xlfn.XLOOKUP(tblCalculo[[#This Row],[NR_SIMULACAO]],tblVendas[[#This Row],[NR_SIMULACAO]],tblVendas[[#This Row],[VALOR_MOVEL]],""),0)</f>
        <v>0</v>
      </c>
      <c r="G342">
        <f>IF(tblCalculo[[#This Row],[STATUS]]="CONCLUÍDO",_xlfn.XLOOKUP(tblCalculo[[#This Row],[NR_SIMULACAO]],tblVendas[[#This Row],[NR_SIMULACAO]],tblVendas[[#This Row],[VALOR_AVANCADO]],""),0)</f>
        <v>0</v>
      </c>
      <c r="H342">
        <f>IF(tblCalculo[[#This Row],[STATUS]]="CONCLUÍDO",_xlfn.XLOOKUP(tblCalculo[[#This Row],[NR_SIMULACAO]],tblVendas[[#This Row],[NR_SIMULACAO]],tblVendas[[#This Row],[VALOR_FIXABASICA]],""),0)</f>
        <v>0</v>
      </c>
      <c r="I342">
        <f>IF(tblCalculo[[#This Row],[STATUS]]="CONCLUÍDO",_xlfn.XLOOKUP(tblCalculo[[#This Row],[NR_SIMULACAO]],tblVendas[[#This Row],[NR_SIMULACAO]],tblVendas[[#This Row],[VALOR_TI]],""),0)</f>
        <v>0</v>
      </c>
      <c r="J342">
        <f>IF(tblCalculo[[#This Row],[STATUS]]="CONCLUÍDO",_xlfn.XLOOKUP(tblCalculo[[#This Row],[NR_SIMULACAO]],tblVendas[[#This Row],[NR_SIMULACAO]],tblVendas[[#This Row],[VALOR_APARELHO]],""),0)</f>
        <v>0</v>
      </c>
      <c r="K342" t="str">
        <f>IF(tblCalculo[[#This Row],[STATUS]]="NEGOCIANDO",tblCalculo[[#This Row],[VALOR_TOTAL]],"")</f>
        <v/>
      </c>
      <c r="L342" t="str">
        <f>IF(tblCalculo[[#This Row],[STATUS]]="ALÇADA",tblCalculo[[#This Row],[VALOR_TOTAL]],"")</f>
        <v/>
      </c>
      <c r="M342" t="str">
        <f>IF(tblCalculo[[#This Row],[STATUS]]="EM ANÁLISE",tblCalculo[[#This Row],[VALOR_TOTAL]],"")</f>
        <v/>
      </c>
      <c r="N342" t="str">
        <f>IF(tblCalculo[[#This Row],[STATUS]]="TRAMITANDO",tblCalculo[[#This Row],[VALOR_TOTAL]],"")</f>
        <v/>
      </c>
      <c r="O342">
        <f>IF(tblCalculo[[#This Row],[STATUS]]="PERDIDO",tblCalculo[[#This Row],[VALOR_TOTAL]],"")</f>
        <v>8494.89</v>
      </c>
      <c r="P342" t="str">
        <f>IF(tblCalculo[[#This Row],[STATUS]]="CONCLUÍDO",tblCalculo[[#This Row],[VALOR_TOTAL]],"")</f>
        <v/>
      </c>
    </row>
    <row r="343" spans="1:16" x14ac:dyDescent="0.25">
      <c r="A343" t="str">
        <f>tblVendas[[#This Row],[NR_SIMULACAO]]</f>
        <v>SIM1333</v>
      </c>
      <c r="B343" s="34" t="str">
        <f>_xlfn.XLOOKUP(A343,tblVendas[[#This Row],[NR_SIMULACAO]],tblVendas[[#This Row],[NR_CNPJ]],"")</f>
        <v>53.103.882/0001-27</v>
      </c>
      <c r="C343" t="str">
        <f>_xlfn.XLOOKUP(A343,tblVendas[[#This Row],[NR_SIMULACAO]],tblVendas[[#This Row],[STATUS]],"")</f>
        <v>PERDIDO</v>
      </c>
      <c r="D343" t="str">
        <f>_xlfn.XLOOKUP(A343,tblVendas[[#This Row],[NR_SIMULACAO]],tblVendas[[#This Row],[MES]],"")</f>
        <v>Agosto</v>
      </c>
      <c r="E343">
        <f>SUM(_xlfn.XLOOKUP(tblCalculo[[#This Row],[NR_SIMULACAO]],tblVendas[[#This Row],[NR_SIMULACAO]],tblVendas[[#This Row],[VALOR_MOVEL]],""):_xlfn.XLOOKUP(tblCalculo[[#This Row],[NR_SIMULACAO]],tblVendas[[#This Row],[NR_SIMULACAO]],tblVendas[[#This Row],[VALOR_APARELHO]],""))</f>
        <v>19653.330000000002</v>
      </c>
      <c r="F343">
        <f>IF(tblCalculo[[#This Row],[STATUS]]="CONCLUÍDO",_xlfn.XLOOKUP(tblCalculo[[#This Row],[NR_SIMULACAO]],tblVendas[[#This Row],[NR_SIMULACAO]],tblVendas[[#This Row],[VALOR_MOVEL]],""),0)</f>
        <v>0</v>
      </c>
      <c r="G343">
        <f>IF(tblCalculo[[#This Row],[STATUS]]="CONCLUÍDO",_xlfn.XLOOKUP(tblCalculo[[#This Row],[NR_SIMULACAO]],tblVendas[[#This Row],[NR_SIMULACAO]],tblVendas[[#This Row],[VALOR_AVANCADO]],""),0)</f>
        <v>0</v>
      </c>
      <c r="H343">
        <f>IF(tblCalculo[[#This Row],[STATUS]]="CONCLUÍDO",_xlfn.XLOOKUP(tblCalculo[[#This Row],[NR_SIMULACAO]],tblVendas[[#This Row],[NR_SIMULACAO]],tblVendas[[#This Row],[VALOR_FIXABASICA]],""),0)</f>
        <v>0</v>
      </c>
      <c r="I343">
        <f>IF(tblCalculo[[#This Row],[STATUS]]="CONCLUÍDO",_xlfn.XLOOKUP(tblCalculo[[#This Row],[NR_SIMULACAO]],tblVendas[[#This Row],[NR_SIMULACAO]],tblVendas[[#This Row],[VALOR_TI]],""),0)</f>
        <v>0</v>
      </c>
      <c r="J343">
        <f>IF(tblCalculo[[#This Row],[STATUS]]="CONCLUÍDO",_xlfn.XLOOKUP(tblCalculo[[#This Row],[NR_SIMULACAO]],tblVendas[[#This Row],[NR_SIMULACAO]],tblVendas[[#This Row],[VALOR_APARELHO]],""),0)</f>
        <v>0</v>
      </c>
      <c r="K343" t="str">
        <f>IF(tblCalculo[[#This Row],[STATUS]]="NEGOCIANDO",tblCalculo[[#This Row],[VALOR_TOTAL]],"")</f>
        <v/>
      </c>
      <c r="L343" t="str">
        <f>IF(tblCalculo[[#This Row],[STATUS]]="ALÇADA",tblCalculo[[#This Row],[VALOR_TOTAL]],"")</f>
        <v/>
      </c>
      <c r="M343" t="str">
        <f>IF(tblCalculo[[#This Row],[STATUS]]="EM ANÁLISE",tblCalculo[[#This Row],[VALOR_TOTAL]],"")</f>
        <v/>
      </c>
      <c r="N343" t="str">
        <f>IF(tblCalculo[[#This Row],[STATUS]]="TRAMITANDO",tblCalculo[[#This Row],[VALOR_TOTAL]],"")</f>
        <v/>
      </c>
      <c r="O343">
        <f>IF(tblCalculo[[#This Row],[STATUS]]="PERDIDO",tblCalculo[[#This Row],[VALOR_TOTAL]],"")</f>
        <v>19653.330000000002</v>
      </c>
      <c r="P343" t="str">
        <f>IF(tblCalculo[[#This Row],[STATUS]]="CONCLUÍDO",tblCalculo[[#This Row],[VALOR_TOTAL]],"")</f>
        <v/>
      </c>
    </row>
    <row r="344" spans="1:16" x14ac:dyDescent="0.25">
      <c r="A344" t="str">
        <f>tblVendas[[#This Row],[NR_SIMULACAO]]</f>
        <v>SIM1334</v>
      </c>
      <c r="B344" s="34" t="str">
        <f>_xlfn.XLOOKUP(A344,tblVendas[[#This Row],[NR_SIMULACAO]],tblVendas[[#This Row],[NR_CNPJ]],"")</f>
        <v>60.560.653/0001-66</v>
      </c>
      <c r="C344" t="str">
        <f>_xlfn.XLOOKUP(A344,tblVendas[[#This Row],[NR_SIMULACAO]],tblVendas[[#This Row],[STATUS]],"")</f>
        <v>NEGOCIANDO</v>
      </c>
      <c r="D344" t="str">
        <f>_xlfn.XLOOKUP(A344,tblVendas[[#This Row],[NR_SIMULACAO]],tblVendas[[#This Row],[MES]],"")</f>
        <v>Junho</v>
      </c>
      <c r="E344">
        <f>SUM(_xlfn.XLOOKUP(tblCalculo[[#This Row],[NR_SIMULACAO]],tblVendas[[#This Row],[NR_SIMULACAO]],tblVendas[[#This Row],[VALOR_MOVEL]],""):_xlfn.XLOOKUP(tblCalculo[[#This Row],[NR_SIMULACAO]],tblVendas[[#This Row],[NR_SIMULACAO]],tblVendas[[#This Row],[VALOR_APARELHO]],""))</f>
        <v>23721.54</v>
      </c>
      <c r="F344">
        <f>IF(tblCalculo[[#This Row],[STATUS]]="CONCLUÍDO",_xlfn.XLOOKUP(tblCalculo[[#This Row],[NR_SIMULACAO]],tblVendas[[#This Row],[NR_SIMULACAO]],tblVendas[[#This Row],[VALOR_MOVEL]],""),0)</f>
        <v>0</v>
      </c>
      <c r="G344">
        <f>IF(tblCalculo[[#This Row],[STATUS]]="CONCLUÍDO",_xlfn.XLOOKUP(tblCalculo[[#This Row],[NR_SIMULACAO]],tblVendas[[#This Row],[NR_SIMULACAO]],tblVendas[[#This Row],[VALOR_AVANCADO]],""),0)</f>
        <v>0</v>
      </c>
      <c r="H344">
        <f>IF(tblCalculo[[#This Row],[STATUS]]="CONCLUÍDO",_xlfn.XLOOKUP(tblCalculo[[#This Row],[NR_SIMULACAO]],tblVendas[[#This Row],[NR_SIMULACAO]],tblVendas[[#This Row],[VALOR_FIXABASICA]],""),0)</f>
        <v>0</v>
      </c>
      <c r="I344">
        <f>IF(tblCalculo[[#This Row],[STATUS]]="CONCLUÍDO",_xlfn.XLOOKUP(tblCalculo[[#This Row],[NR_SIMULACAO]],tblVendas[[#This Row],[NR_SIMULACAO]],tblVendas[[#This Row],[VALOR_TI]],""),0)</f>
        <v>0</v>
      </c>
      <c r="J344">
        <f>IF(tblCalculo[[#This Row],[STATUS]]="CONCLUÍDO",_xlfn.XLOOKUP(tblCalculo[[#This Row],[NR_SIMULACAO]],tblVendas[[#This Row],[NR_SIMULACAO]],tblVendas[[#This Row],[VALOR_APARELHO]],""),0)</f>
        <v>0</v>
      </c>
      <c r="K344">
        <f>IF(tblCalculo[[#This Row],[STATUS]]="NEGOCIANDO",tblCalculo[[#This Row],[VALOR_TOTAL]],"")</f>
        <v>23721.54</v>
      </c>
      <c r="L344" t="str">
        <f>IF(tblCalculo[[#This Row],[STATUS]]="ALÇADA",tblCalculo[[#This Row],[VALOR_TOTAL]],"")</f>
        <v/>
      </c>
      <c r="M344" t="str">
        <f>IF(tblCalculo[[#This Row],[STATUS]]="EM ANÁLISE",tblCalculo[[#This Row],[VALOR_TOTAL]],"")</f>
        <v/>
      </c>
      <c r="N344" t="str">
        <f>IF(tblCalculo[[#This Row],[STATUS]]="TRAMITANDO",tblCalculo[[#This Row],[VALOR_TOTAL]],"")</f>
        <v/>
      </c>
      <c r="O344" t="str">
        <f>IF(tblCalculo[[#This Row],[STATUS]]="PERDIDO",tblCalculo[[#This Row],[VALOR_TOTAL]],"")</f>
        <v/>
      </c>
      <c r="P344" t="str">
        <f>IF(tblCalculo[[#This Row],[STATUS]]="CONCLUÍDO",tblCalculo[[#This Row],[VALOR_TOTAL]],"")</f>
        <v/>
      </c>
    </row>
    <row r="345" spans="1:16" x14ac:dyDescent="0.25">
      <c r="A345" t="str">
        <f>tblVendas[[#This Row],[NR_SIMULACAO]]</f>
        <v>SIM1335</v>
      </c>
      <c r="B345" s="34" t="str">
        <f>_xlfn.XLOOKUP(A345,tblVendas[[#This Row],[NR_SIMULACAO]],tblVendas[[#This Row],[NR_CNPJ]],"")</f>
        <v>29.498.981/0001-16</v>
      </c>
      <c r="C345" t="str">
        <f>_xlfn.XLOOKUP(A345,tblVendas[[#This Row],[NR_SIMULACAO]],tblVendas[[#This Row],[STATUS]],"")</f>
        <v>EM ANÁLISE</v>
      </c>
      <c r="D345" t="str">
        <f>_xlfn.XLOOKUP(A345,tblVendas[[#This Row],[NR_SIMULACAO]],tblVendas[[#This Row],[MES]],"")</f>
        <v>Março</v>
      </c>
      <c r="E345">
        <f>SUM(_xlfn.XLOOKUP(tblCalculo[[#This Row],[NR_SIMULACAO]],tblVendas[[#This Row],[NR_SIMULACAO]],tblVendas[[#This Row],[VALOR_MOVEL]],""):_xlfn.XLOOKUP(tblCalculo[[#This Row],[NR_SIMULACAO]],tblVendas[[#This Row],[NR_SIMULACAO]],tblVendas[[#This Row],[VALOR_APARELHO]],""))</f>
        <v>7984.31</v>
      </c>
      <c r="F345">
        <f>IF(tblCalculo[[#This Row],[STATUS]]="CONCLUÍDO",_xlfn.XLOOKUP(tblCalculo[[#This Row],[NR_SIMULACAO]],tblVendas[[#This Row],[NR_SIMULACAO]],tblVendas[[#This Row],[VALOR_MOVEL]],""),0)</f>
        <v>0</v>
      </c>
      <c r="G345">
        <f>IF(tblCalculo[[#This Row],[STATUS]]="CONCLUÍDO",_xlfn.XLOOKUP(tblCalculo[[#This Row],[NR_SIMULACAO]],tblVendas[[#This Row],[NR_SIMULACAO]],tblVendas[[#This Row],[VALOR_AVANCADO]],""),0)</f>
        <v>0</v>
      </c>
      <c r="H345">
        <f>IF(tblCalculo[[#This Row],[STATUS]]="CONCLUÍDO",_xlfn.XLOOKUP(tblCalculo[[#This Row],[NR_SIMULACAO]],tblVendas[[#This Row],[NR_SIMULACAO]],tblVendas[[#This Row],[VALOR_FIXABASICA]],""),0)</f>
        <v>0</v>
      </c>
      <c r="I345">
        <f>IF(tblCalculo[[#This Row],[STATUS]]="CONCLUÍDO",_xlfn.XLOOKUP(tblCalculo[[#This Row],[NR_SIMULACAO]],tblVendas[[#This Row],[NR_SIMULACAO]],tblVendas[[#This Row],[VALOR_TI]],""),0)</f>
        <v>0</v>
      </c>
      <c r="J345">
        <f>IF(tblCalculo[[#This Row],[STATUS]]="CONCLUÍDO",_xlfn.XLOOKUP(tblCalculo[[#This Row],[NR_SIMULACAO]],tblVendas[[#This Row],[NR_SIMULACAO]],tblVendas[[#This Row],[VALOR_APARELHO]],""),0)</f>
        <v>0</v>
      </c>
      <c r="K345" t="str">
        <f>IF(tblCalculo[[#This Row],[STATUS]]="NEGOCIANDO",tblCalculo[[#This Row],[VALOR_TOTAL]],"")</f>
        <v/>
      </c>
      <c r="L345" t="str">
        <f>IF(tblCalculo[[#This Row],[STATUS]]="ALÇADA",tblCalculo[[#This Row],[VALOR_TOTAL]],"")</f>
        <v/>
      </c>
      <c r="M345">
        <f>IF(tblCalculo[[#This Row],[STATUS]]="EM ANÁLISE",tblCalculo[[#This Row],[VALOR_TOTAL]],"")</f>
        <v>7984.31</v>
      </c>
      <c r="N345" t="str">
        <f>IF(tblCalculo[[#This Row],[STATUS]]="TRAMITANDO",tblCalculo[[#This Row],[VALOR_TOTAL]],"")</f>
        <v/>
      </c>
      <c r="O345" t="str">
        <f>IF(tblCalculo[[#This Row],[STATUS]]="PERDIDO",tblCalculo[[#This Row],[VALOR_TOTAL]],"")</f>
        <v/>
      </c>
      <c r="P345" t="str">
        <f>IF(tblCalculo[[#This Row],[STATUS]]="CONCLUÍDO",tblCalculo[[#This Row],[VALOR_TOTAL]],"")</f>
        <v/>
      </c>
    </row>
    <row r="346" spans="1:16" x14ac:dyDescent="0.25">
      <c r="A346" t="str">
        <f>tblVendas[[#This Row],[NR_SIMULACAO]]</f>
        <v>SIM1336</v>
      </c>
      <c r="B346" s="34" t="str">
        <f>_xlfn.XLOOKUP(A346,tblVendas[[#This Row],[NR_SIMULACAO]],tblVendas[[#This Row],[NR_CNPJ]],"")</f>
        <v>41.103.285/0001-10</v>
      </c>
      <c r="C346" t="str">
        <f>_xlfn.XLOOKUP(A346,tblVendas[[#This Row],[NR_SIMULACAO]],tblVendas[[#This Row],[STATUS]],"")</f>
        <v>NEGOCIANDO</v>
      </c>
      <c r="D346" t="str">
        <f>_xlfn.XLOOKUP(A346,tblVendas[[#This Row],[NR_SIMULACAO]],tblVendas[[#This Row],[MES]],"")</f>
        <v>Junho</v>
      </c>
      <c r="E346">
        <f>SUM(_xlfn.XLOOKUP(tblCalculo[[#This Row],[NR_SIMULACAO]],tblVendas[[#This Row],[NR_SIMULACAO]],tblVendas[[#This Row],[VALOR_MOVEL]],""):_xlfn.XLOOKUP(tblCalculo[[#This Row],[NR_SIMULACAO]],tblVendas[[#This Row],[NR_SIMULACAO]],tblVendas[[#This Row],[VALOR_APARELHO]],""))</f>
        <v>1941.53</v>
      </c>
      <c r="F346">
        <f>IF(tblCalculo[[#This Row],[STATUS]]="CONCLUÍDO",_xlfn.XLOOKUP(tblCalculo[[#This Row],[NR_SIMULACAO]],tblVendas[[#This Row],[NR_SIMULACAO]],tblVendas[[#This Row],[VALOR_MOVEL]],""),0)</f>
        <v>0</v>
      </c>
      <c r="G346">
        <f>IF(tblCalculo[[#This Row],[STATUS]]="CONCLUÍDO",_xlfn.XLOOKUP(tblCalculo[[#This Row],[NR_SIMULACAO]],tblVendas[[#This Row],[NR_SIMULACAO]],tblVendas[[#This Row],[VALOR_AVANCADO]],""),0)</f>
        <v>0</v>
      </c>
      <c r="H346">
        <f>IF(tblCalculo[[#This Row],[STATUS]]="CONCLUÍDO",_xlfn.XLOOKUP(tblCalculo[[#This Row],[NR_SIMULACAO]],tblVendas[[#This Row],[NR_SIMULACAO]],tblVendas[[#This Row],[VALOR_FIXABASICA]],""),0)</f>
        <v>0</v>
      </c>
      <c r="I346">
        <f>IF(tblCalculo[[#This Row],[STATUS]]="CONCLUÍDO",_xlfn.XLOOKUP(tblCalculo[[#This Row],[NR_SIMULACAO]],tblVendas[[#This Row],[NR_SIMULACAO]],tblVendas[[#This Row],[VALOR_TI]],""),0)</f>
        <v>0</v>
      </c>
      <c r="J346">
        <f>IF(tblCalculo[[#This Row],[STATUS]]="CONCLUÍDO",_xlfn.XLOOKUP(tblCalculo[[#This Row],[NR_SIMULACAO]],tblVendas[[#This Row],[NR_SIMULACAO]],tblVendas[[#This Row],[VALOR_APARELHO]],""),0)</f>
        <v>0</v>
      </c>
      <c r="K346">
        <f>IF(tblCalculo[[#This Row],[STATUS]]="NEGOCIANDO",tblCalculo[[#This Row],[VALOR_TOTAL]],"")</f>
        <v>1941.53</v>
      </c>
      <c r="L346" t="str">
        <f>IF(tblCalculo[[#This Row],[STATUS]]="ALÇADA",tblCalculo[[#This Row],[VALOR_TOTAL]],"")</f>
        <v/>
      </c>
      <c r="M346" t="str">
        <f>IF(tblCalculo[[#This Row],[STATUS]]="EM ANÁLISE",tblCalculo[[#This Row],[VALOR_TOTAL]],"")</f>
        <v/>
      </c>
      <c r="N346" t="str">
        <f>IF(tblCalculo[[#This Row],[STATUS]]="TRAMITANDO",tblCalculo[[#This Row],[VALOR_TOTAL]],"")</f>
        <v/>
      </c>
      <c r="O346" t="str">
        <f>IF(tblCalculo[[#This Row],[STATUS]]="PERDIDO",tblCalculo[[#This Row],[VALOR_TOTAL]],"")</f>
        <v/>
      </c>
      <c r="P346" t="str">
        <f>IF(tblCalculo[[#This Row],[STATUS]]="CONCLUÍDO",tblCalculo[[#This Row],[VALOR_TOTAL]],"")</f>
        <v/>
      </c>
    </row>
    <row r="347" spans="1:16" x14ac:dyDescent="0.25">
      <c r="A347" t="str">
        <f>tblVendas[[#This Row],[NR_SIMULACAO]]</f>
        <v>SIM1337</v>
      </c>
      <c r="B347" s="34" t="str">
        <f>_xlfn.XLOOKUP(A347,tblVendas[[#This Row],[NR_SIMULACAO]],tblVendas[[#This Row],[NR_CNPJ]],"")</f>
        <v>50.143.456/0001-61</v>
      </c>
      <c r="C347" t="str">
        <f>_xlfn.XLOOKUP(A347,tblVendas[[#This Row],[NR_SIMULACAO]],tblVendas[[#This Row],[STATUS]],"")</f>
        <v>ALÇADA</v>
      </c>
      <c r="D347" t="str">
        <f>_xlfn.XLOOKUP(A347,tblVendas[[#This Row],[NR_SIMULACAO]],tblVendas[[#This Row],[MES]],"")</f>
        <v>Agosto</v>
      </c>
      <c r="E347">
        <f>SUM(_xlfn.XLOOKUP(tblCalculo[[#This Row],[NR_SIMULACAO]],tblVendas[[#This Row],[NR_SIMULACAO]],tblVendas[[#This Row],[VALOR_MOVEL]],""):_xlfn.XLOOKUP(tblCalculo[[#This Row],[NR_SIMULACAO]],tblVendas[[#This Row],[NR_SIMULACAO]],tblVendas[[#This Row],[VALOR_APARELHO]],""))</f>
        <v>2912.64</v>
      </c>
      <c r="F347">
        <f>IF(tblCalculo[[#This Row],[STATUS]]="CONCLUÍDO",_xlfn.XLOOKUP(tblCalculo[[#This Row],[NR_SIMULACAO]],tblVendas[[#This Row],[NR_SIMULACAO]],tblVendas[[#This Row],[VALOR_MOVEL]],""),0)</f>
        <v>0</v>
      </c>
      <c r="G347">
        <f>IF(tblCalculo[[#This Row],[STATUS]]="CONCLUÍDO",_xlfn.XLOOKUP(tblCalculo[[#This Row],[NR_SIMULACAO]],tblVendas[[#This Row],[NR_SIMULACAO]],tblVendas[[#This Row],[VALOR_AVANCADO]],""),0)</f>
        <v>0</v>
      </c>
      <c r="H347">
        <f>IF(tblCalculo[[#This Row],[STATUS]]="CONCLUÍDO",_xlfn.XLOOKUP(tblCalculo[[#This Row],[NR_SIMULACAO]],tblVendas[[#This Row],[NR_SIMULACAO]],tblVendas[[#This Row],[VALOR_FIXABASICA]],""),0)</f>
        <v>0</v>
      </c>
      <c r="I347">
        <f>IF(tblCalculo[[#This Row],[STATUS]]="CONCLUÍDO",_xlfn.XLOOKUP(tblCalculo[[#This Row],[NR_SIMULACAO]],tblVendas[[#This Row],[NR_SIMULACAO]],tblVendas[[#This Row],[VALOR_TI]],""),0)</f>
        <v>0</v>
      </c>
      <c r="J347">
        <f>IF(tblCalculo[[#This Row],[STATUS]]="CONCLUÍDO",_xlfn.XLOOKUP(tblCalculo[[#This Row],[NR_SIMULACAO]],tblVendas[[#This Row],[NR_SIMULACAO]],tblVendas[[#This Row],[VALOR_APARELHO]],""),0)</f>
        <v>0</v>
      </c>
      <c r="K347" t="str">
        <f>IF(tblCalculo[[#This Row],[STATUS]]="NEGOCIANDO",tblCalculo[[#This Row],[VALOR_TOTAL]],"")</f>
        <v/>
      </c>
      <c r="L347">
        <f>IF(tblCalculo[[#This Row],[STATUS]]="ALÇADA",tblCalculo[[#This Row],[VALOR_TOTAL]],"")</f>
        <v>2912.64</v>
      </c>
      <c r="M347" t="str">
        <f>IF(tblCalculo[[#This Row],[STATUS]]="EM ANÁLISE",tblCalculo[[#This Row],[VALOR_TOTAL]],"")</f>
        <v/>
      </c>
      <c r="N347" t="str">
        <f>IF(tblCalculo[[#This Row],[STATUS]]="TRAMITANDO",tblCalculo[[#This Row],[VALOR_TOTAL]],"")</f>
        <v/>
      </c>
      <c r="O347" t="str">
        <f>IF(tblCalculo[[#This Row],[STATUS]]="PERDIDO",tblCalculo[[#This Row],[VALOR_TOTAL]],"")</f>
        <v/>
      </c>
      <c r="P347" t="str">
        <f>IF(tblCalculo[[#This Row],[STATUS]]="CONCLUÍDO",tblCalculo[[#This Row],[VALOR_TOTAL]],"")</f>
        <v/>
      </c>
    </row>
    <row r="348" spans="1:16" x14ac:dyDescent="0.25">
      <c r="A348" t="str">
        <f>tblVendas[[#This Row],[NR_SIMULACAO]]</f>
        <v>SIM1338</v>
      </c>
      <c r="B348" s="34" t="str">
        <f>_xlfn.XLOOKUP(A348,tblVendas[[#This Row],[NR_SIMULACAO]],tblVendas[[#This Row],[NR_CNPJ]],"")</f>
        <v>55.419.947/0001-63</v>
      </c>
      <c r="C348" t="str">
        <f>_xlfn.XLOOKUP(A348,tblVendas[[#This Row],[NR_SIMULACAO]],tblVendas[[#This Row],[STATUS]],"")</f>
        <v>ALÇADA</v>
      </c>
      <c r="D348" t="str">
        <f>_xlfn.XLOOKUP(A348,tblVendas[[#This Row],[NR_SIMULACAO]],tblVendas[[#This Row],[MES]],"")</f>
        <v>Novembro</v>
      </c>
      <c r="E348">
        <f>SUM(_xlfn.XLOOKUP(tblCalculo[[#This Row],[NR_SIMULACAO]],tblVendas[[#This Row],[NR_SIMULACAO]],tblVendas[[#This Row],[VALOR_MOVEL]],""):_xlfn.XLOOKUP(tblCalculo[[#This Row],[NR_SIMULACAO]],tblVendas[[#This Row],[NR_SIMULACAO]],tblVendas[[#This Row],[VALOR_APARELHO]],""))</f>
        <v>11582.27</v>
      </c>
      <c r="F348">
        <f>IF(tblCalculo[[#This Row],[STATUS]]="CONCLUÍDO",_xlfn.XLOOKUP(tblCalculo[[#This Row],[NR_SIMULACAO]],tblVendas[[#This Row],[NR_SIMULACAO]],tblVendas[[#This Row],[VALOR_MOVEL]],""),0)</f>
        <v>0</v>
      </c>
      <c r="G348">
        <f>IF(tblCalculo[[#This Row],[STATUS]]="CONCLUÍDO",_xlfn.XLOOKUP(tblCalculo[[#This Row],[NR_SIMULACAO]],tblVendas[[#This Row],[NR_SIMULACAO]],tblVendas[[#This Row],[VALOR_AVANCADO]],""),0)</f>
        <v>0</v>
      </c>
      <c r="H348">
        <f>IF(tblCalculo[[#This Row],[STATUS]]="CONCLUÍDO",_xlfn.XLOOKUP(tblCalculo[[#This Row],[NR_SIMULACAO]],tblVendas[[#This Row],[NR_SIMULACAO]],tblVendas[[#This Row],[VALOR_FIXABASICA]],""),0)</f>
        <v>0</v>
      </c>
      <c r="I348">
        <f>IF(tblCalculo[[#This Row],[STATUS]]="CONCLUÍDO",_xlfn.XLOOKUP(tblCalculo[[#This Row],[NR_SIMULACAO]],tblVendas[[#This Row],[NR_SIMULACAO]],tblVendas[[#This Row],[VALOR_TI]],""),0)</f>
        <v>0</v>
      </c>
      <c r="J348">
        <f>IF(tblCalculo[[#This Row],[STATUS]]="CONCLUÍDO",_xlfn.XLOOKUP(tblCalculo[[#This Row],[NR_SIMULACAO]],tblVendas[[#This Row],[NR_SIMULACAO]],tblVendas[[#This Row],[VALOR_APARELHO]],""),0)</f>
        <v>0</v>
      </c>
      <c r="K348" t="str">
        <f>IF(tblCalculo[[#This Row],[STATUS]]="NEGOCIANDO",tblCalculo[[#This Row],[VALOR_TOTAL]],"")</f>
        <v/>
      </c>
      <c r="L348">
        <f>IF(tblCalculo[[#This Row],[STATUS]]="ALÇADA",tblCalculo[[#This Row],[VALOR_TOTAL]],"")</f>
        <v>11582.27</v>
      </c>
      <c r="M348" t="str">
        <f>IF(tblCalculo[[#This Row],[STATUS]]="EM ANÁLISE",tblCalculo[[#This Row],[VALOR_TOTAL]],"")</f>
        <v/>
      </c>
      <c r="N348" t="str">
        <f>IF(tblCalculo[[#This Row],[STATUS]]="TRAMITANDO",tblCalculo[[#This Row],[VALOR_TOTAL]],"")</f>
        <v/>
      </c>
      <c r="O348" t="str">
        <f>IF(tblCalculo[[#This Row],[STATUS]]="PERDIDO",tblCalculo[[#This Row],[VALOR_TOTAL]],"")</f>
        <v/>
      </c>
      <c r="P348" t="str">
        <f>IF(tblCalculo[[#This Row],[STATUS]]="CONCLUÍDO",tblCalculo[[#This Row],[VALOR_TOTAL]],"")</f>
        <v/>
      </c>
    </row>
    <row r="349" spans="1:16" x14ac:dyDescent="0.25">
      <c r="A349" t="str">
        <f>tblVendas[[#This Row],[NR_SIMULACAO]]</f>
        <v>SIM1339</v>
      </c>
      <c r="B349" s="34" t="str">
        <f>_xlfn.XLOOKUP(A349,tblVendas[[#This Row],[NR_SIMULACAO]],tblVendas[[#This Row],[NR_CNPJ]],"")</f>
        <v>31.716.963/0001-72</v>
      </c>
      <c r="C349" t="str">
        <f>_xlfn.XLOOKUP(A349,tblVendas[[#This Row],[NR_SIMULACAO]],tblVendas[[#This Row],[STATUS]],"")</f>
        <v>CONCLUÍDO</v>
      </c>
      <c r="D349" t="str">
        <f>_xlfn.XLOOKUP(A349,tblVendas[[#This Row],[NR_SIMULACAO]],tblVendas[[#This Row],[MES]],"")</f>
        <v>Novembro</v>
      </c>
      <c r="E349">
        <f>SUM(_xlfn.XLOOKUP(tblCalculo[[#This Row],[NR_SIMULACAO]],tblVendas[[#This Row],[NR_SIMULACAO]],tblVendas[[#This Row],[VALOR_MOVEL]],""):_xlfn.XLOOKUP(tblCalculo[[#This Row],[NR_SIMULACAO]],tblVendas[[#This Row],[NR_SIMULACAO]],tblVendas[[#This Row],[VALOR_APARELHO]],""))</f>
        <v>5534.07</v>
      </c>
      <c r="F349">
        <f>IF(tblCalculo[[#This Row],[STATUS]]="CONCLUÍDO",_xlfn.XLOOKUP(tblCalculo[[#This Row],[NR_SIMULACAO]],tblVendas[[#This Row],[NR_SIMULACAO]],tblVendas[[#This Row],[VALOR_MOVEL]],""),0)</f>
        <v>0</v>
      </c>
      <c r="G349">
        <f>IF(tblCalculo[[#This Row],[STATUS]]="CONCLUÍDO",_xlfn.XLOOKUP(tblCalculo[[#This Row],[NR_SIMULACAO]],tblVendas[[#This Row],[NR_SIMULACAO]],tblVendas[[#This Row],[VALOR_AVANCADO]],""),0)</f>
        <v>0</v>
      </c>
      <c r="H349">
        <f>IF(tblCalculo[[#This Row],[STATUS]]="CONCLUÍDO",_xlfn.XLOOKUP(tblCalculo[[#This Row],[NR_SIMULACAO]],tblVendas[[#This Row],[NR_SIMULACAO]],tblVendas[[#This Row],[VALOR_FIXABASICA]],""),0)</f>
        <v>0</v>
      </c>
      <c r="I349">
        <f>IF(tblCalculo[[#This Row],[STATUS]]="CONCLUÍDO",_xlfn.XLOOKUP(tblCalculo[[#This Row],[NR_SIMULACAO]],tblVendas[[#This Row],[NR_SIMULACAO]],tblVendas[[#This Row],[VALOR_TI]],""),0)</f>
        <v>0</v>
      </c>
      <c r="J349">
        <f>IF(tblCalculo[[#This Row],[STATUS]]="CONCLUÍDO",_xlfn.XLOOKUP(tblCalculo[[#This Row],[NR_SIMULACAO]],tblVendas[[#This Row],[NR_SIMULACAO]],tblVendas[[#This Row],[VALOR_APARELHO]],""),0)</f>
        <v>5534.07</v>
      </c>
      <c r="K349" t="str">
        <f>IF(tblCalculo[[#This Row],[STATUS]]="NEGOCIANDO",tblCalculo[[#This Row],[VALOR_TOTAL]],"")</f>
        <v/>
      </c>
      <c r="L349" t="str">
        <f>IF(tblCalculo[[#This Row],[STATUS]]="ALÇADA",tblCalculo[[#This Row],[VALOR_TOTAL]],"")</f>
        <v/>
      </c>
      <c r="M349" t="str">
        <f>IF(tblCalculo[[#This Row],[STATUS]]="EM ANÁLISE",tblCalculo[[#This Row],[VALOR_TOTAL]],"")</f>
        <v/>
      </c>
      <c r="N349" t="str">
        <f>IF(tblCalculo[[#This Row],[STATUS]]="TRAMITANDO",tblCalculo[[#This Row],[VALOR_TOTAL]],"")</f>
        <v/>
      </c>
      <c r="O349" t="str">
        <f>IF(tblCalculo[[#This Row],[STATUS]]="PERDIDO",tblCalculo[[#This Row],[VALOR_TOTAL]],"")</f>
        <v/>
      </c>
      <c r="P349">
        <f>IF(tblCalculo[[#This Row],[STATUS]]="CONCLUÍDO",tblCalculo[[#This Row],[VALOR_TOTAL]],"")</f>
        <v>5534.07</v>
      </c>
    </row>
    <row r="350" spans="1:16" x14ac:dyDescent="0.25">
      <c r="A350" t="str">
        <f>tblVendas[[#This Row],[NR_SIMULACAO]]</f>
        <v>SIM1340</v>
      </c>
      <c r="B350" s="34" t="str">
        <f>_xlfn.XLOOKUP(A350,tblVendas[[#This Row],[NR_SIMULACAO]],tblVendas[[#This Row],[NR_CNPJ]],"")</f>
        <v>53.246.564/0001-45</v>
      </c>
      <c r="C350" t="str">
        <f>_xlfn.XLOOKUP(A350,tblVendas[[#This Row],[NR_SIMULACAO]],tblVendas[[#This Row],[STATUS]],"")</f>
        <v>ALÇADA</v>
      </c>
      <c r="D350" t="str">
        <f>_xlfn.XLOOKUP(A350,tblVendas[[#This Row],[NR_SIMULACAO]],tblVendas[[#This Row],[MES]],"")</f>
        <v>Junho</v>
      </c>
      <c r="E350">
        <f>SUM(_xlfn.XLOOKUP(tblCalculo[[#This Row],[NR_SIMULACAO]],tblVendas[[#This Row],[NR_SIMULACAO]],tblVendas[[#This Row],[VALOR_MOVEL]],""):_xlfn.XLOOKUP(tblCalculo[[#This Row],[NR_SIMULACAO]],tblVendas[[#This Row],[NR_SIMULACAO]],tblVendas[[#This Row],[VALOR_APARELHO]],""))</f>
        <v>2606.23</v>
      </c>
      <c r="F350">
        <f>IF(tblCalculo[[#This Row],[STATUS]]="CONCLUÍDO",_xlfn.XLOOKUP(tblCalculo[[#This Row],[NR_SIMULACAO]],tblVendas[[#This Row],[NR_SIMULACAO]],tblVendas[[#This Row],[VALOR_MOVEL]],""),0)</f>
        <v>0</v>
      </c>
      <c r="G350">
        <f>IF(tblCalculo[[#This Row],[STATUS]]="CONCLUÍDO",_xlfn.XLOOKUP(tblCalculo[[#This Row],[NR_SIMULACAO]],tblVendas[[#This Row],[NR_SIMULACAO]],tblVendas[[#This Row],[VALOR_AVANCADO]],""),0)</f>
        <v>0</v>
      </c>
      <c r="H350">
        <f>IF(tblCalculo[[#This Row],[STATUS]]="CONCLUÍDO",_xlfn.XLOOKUP(tblCalculo[[#This Row],[NR_SIMULACAO]],tblVendas[[#This Row],[NR_SIMULACAO]],tblVendas[[#This Row],[VALOR_FIXABASICA]],""),0)</f>
        <v>0</v>
      </c>
      <c r="I350">
        <f>IF(tblCalculo[[#This Row],[STATUS]]="CONCLUÍDO",_xlfn.XLOOKUP(tblCalculo[[#This Row],[NR_SIMULACAO]],tblVendas[[#This Row],[NR_SIMULACAO]],tblVendas[[#This Row],[VALOR_TI]],""),0)</f>
        <v>0</v>
      </c>
      <c r="J350">
        <f>IF(tblCalculo[[#This Row],[STATUS]]="CONCLUÍDO",_xlfn.XLOOKUP(tblCalculo[[#This Row],[NR_SIMULACAO]],tblVendas[[#This Row],[NR_SIMULACAO]],tblVendas[[#This Row],[VALOR_APARELHO]],""),0)</f>
        <v>0</v>
      </c>
      <c r="K350" t="str">
        <f>IF(tblCalculo[[#This Row],[STATUS]]="NEGOCIANDO",tblCalculo[[#This Row],[VALOR_TOTAL]],"")</f>
        <v/>
      </c>
      <c r="L350">
        <f>IF(tblCalculo[[#This Row],[STATUS]]="ALÇADA",tblCalculo[[#This Row],[VALOR_TOTAL]],"")</f>
        <v>2606.23</v>
      </c>
      <c r="M350" t="str">
        <f>IF(tblCalculo[[#This Row],[STATUS]]="EM ANÁLISE",tblCalculo[[#This Row],[VALOR_TOTAL]],"")</f>
        <v/>
      </c>
      <c r="N350" t="str">
        <f>IF(tblCalculo[[#This Row],[STATUS]]="TRAMITANDO",tblCalculo[[#This Row],[VALOR_TOTAL]],"")</f>
        <v/>
      </c>
      <c r="O350" t="str">
        <f>IF(tblCalculo[[#This Row],[STATUS]]="PERDIDO",tblCalculo[[#This Row],[VALOR_TOTAL]],"")</f>
        <v/>
      </c>
      <c r="P350" t="str">
        <f>IF(tblCalculo[[#This Row],[STATUS]]="CONCLUÍDO",tblCalculo[[#This Row],[VALOR_TOTAL]],"")</f>
        <v/>
      </c>
    </row>
    <row r="351" spans="1:16" x14ac:dyDescent="0.25">
      <c r="A351" t="str">
        <f>tblVendas[[#This Row],[NR_SIMULACAO]]</f>
        <v>SIM1341</v>
      </c>
      <c r="B351" s="34" t="str">
        <f>_xlfn.XLOOKUP(A351,tblVendas[[#This Row],[NR_SIMULACAO]],tblVendas[[#This Row],[NR_CNPJ]],"")</f>
        <v>51.404.592/0001-19</v>
      </c>
      <c r="C351" t="str">
        <f>_xlfn.XLOOKUP(A351,tblVendas[[#This Row],[NR_SIMULACAO]],tblVendas[[#This Row],[STATUS]],"")</f>
        <v>NEGOCIANDO</v>
      </c>
      <c r="D351" t="str">
        <f>_xlfn.XLOOKUP(A351,tblVendas[[#This Row],[NR_SIMULACAO]],tblVendas[[#This Row],[MES]],"")</f>
        <v>Dezembro</v>
      </c>
      <c r="E351">
        <f>SUM(_xlfn.XLOOKUP(tblCalculo[[#This Row],[NR_SIMULACAO]],tblVendas[[#This Row],[NR_SIMULACAO]],tblVendas[[#This Row],[VALOR_MOVEL]],""):_xlfn.XLOOKUP(tblCalculo[[#This Row],[NR_SIMULACAO]],tblVendas[[#This Row],[NR_SIMULACAO]],tblVendas[[#This Row],[VALOR_APARELHO]],""))</f>
        <v>9247.4500000000007</v>
      </c>
      <c r="F351">
        <f>IF(tblCalculo[[#This Row],[STATUS]]="CONCLUÍDO",_xlfn.XLOOKUP(tblCalculo[[#This Row],[NR_SIMULACAO]],tblVendas[[#This Row],[NR_SIMULACAO]],tblVendas[[#This Row],[VALOR_MOVEL]],""),0)</f>
        <v>0</v>
      </c>
      <c r="G351">
        <f>IF(tblCalculo[[#This Row],[STATUS]]="CONCLUÍDO",_xlfn.XLOOKUP(tblCalculo[[#This Row],[NR_SIMULACAO]],tblVendas[[#This Row],[NR_SIMULACAO]],tblVendas[[#This Row],[VALOR_AVANCADO]],""),0)</f>
        <v>0</v>
      </c>
      <c r="H351">
        <f>IF(tblCalculo[[#This Row],[STATUS]]="CONCLUÍDO",_xlfn.XLOOKUP(tblCalculo[[#This Row],[NR_SIMULACAO]],tblVendas[[#This Row],[NR_SIMULACAO]],tblVendas[[#This Row],[VALOR_FIXABASICA]],""),0)</f>
        <v>0</v>
      </c>
      <c r="I351">
        <f>IF(tblCalculo[[#This Row],[STATUS]]="CONCLUÍDO",_xlfn.XLOOKUP(tblCalculo[[#This Row],[NR_SIMULACAO]],tblVendas[[#This Row],[NR_SIMULACAO]],tblVendas[[#This Row],[VALOR_TI]],""),0)</f>
        <v>0</v>
      </c>
      <c r="J351">
        <f>IF(tblCalculo[[#This Row],[STATUS]]="CONCLUÍDO",_xlfn.XLOOKUP(tblCalculo[[#This Row],[NR_SIMULACAO]],tblVendas[[#This Row],[NR_SIMULACAO]],tblVendas[[#This Row],[VALOR_APARELHO]],""),0)</f>
        <v>0</v>
      </c>
      <c r="K351">
        <f>IF(tblCalculo[[#This Row],[STATUS]]="NEGOCIANDO",tblCalculo[[#This Row],[VALOR_TOTAL]],"")</f>
        <v>9247.4500000000007</v>
      </c>
      <c r="L351" t="str">
        <f>IF(tblCalculo[[#This Row],[STATUS]]="ALÇADA",tblCalculo[[#This Row],[VALOR_TOTAL]],"")</f>
        <v/>
      </c>
      <c r="M351" t="str">
        <f>IF(tblCalculo[[#This Row],[STATUS]]="EM ANÁLISE",tblCalculo[[#This Row],[VALOR_TOTAL]],"")</f>
        <v/>
      </c>
      <c r="N351" t="str">
        <f>IF(tblCalculo[[#This Row],[STATUS]]="TRAMITANDO",tblCalculo[[#This Row],[VALOR_TOTAL]],"")</f>
        <v/>
      </c>
      <c r="O351" t="str">
        <f>IF(tblCalculo[[#This Row],[STATUS]]="PERDIDO",tblCalculo[[#This Row],[VALOR_TOTAL]],"")</f>
        <v/>
      </c>
      <c r="P351" t="str">
        <f>IF(tblCalculo[[#This Row],[STATUS]]="CONCLUÍDO",tblCalculo[[#This Row],[VALOR_TOTAL]],"")</f>
        <v/>
      </c>
    </row>
    <row r="352" spans="1:16" x14ac:dyDescent="0.25">
      <c r="A352" t="str">
        <f>tblVendas[[#This Row],[NR_SIMULACAO]]</f>
        <v>SIM1342</v>
      </c>
      <c r="B352" s="34" t="str">
        <f>_xlfn.XLOOKUP(A352,tblVendas[[#This Row],[NR_SIMULACAO]],tblVendas[[#This Row],[NR_CNPJ]],"")</f>
        <v>69.401.264/0001-22</v>
      </c>
      <c r="C352" t="str">
        <f>_xlfn.XLOOKUP(A352,tblVendas[[#This Row],[NR_SIMULACAO]],tblVendas[[#This Row],[STATUS]],"")</f>
        <v>EM ANÁLISE</v>
      </c>
      <c r="D352" t="str">
        <f>_xlfn.XLOOKUP(A352,tblVendas[[#This Row],[NR_SIMULACAO]],tblVendas[[#This Row],[MES]],"")</f>
        <v>Maio</v>
      </c>
      <c r="E352">
        <f>SUM(_xlfn.XLOOKUP(tblCalculo[[#This Row],[NR_SIMULACAO]],tblVendas[[#This Row],[NR_SIMULACAO]],tblVendas[[#This Row],[VALOR_MOVEL]],""):_xlfn.XLOOKUP(tblCalculo[[#This Row],[NR_SIMULACAO]],tblVendas[[#This Row],[NR_SIMULACAO]],tblVendas[[#This Row],[VALOR_APARELHO]],""))</f>
        <v>6728.74</v>
      </c>
      <c r="F352">
        <f>IF(tblCalculo[[#This Row],[STATUS]]="CONCLUÍDO",_xlfn.XLOOKUP(tblCalculo[[#This Row],[NR_SIMULACAO]],tblVendas[[#This Row],[NR_SIMULACAO]],tblVendas[[#This Row],[VALOR_MOVEL]],""),0)</f>
        <v>0</v>
      </c>
      <c r="G352">
        <f>IF(tblCalculo[[#This Row],[STATUS]]="CONCLUÍDO",_xlfn.XLOOKUP(tblCalculo[[#This Row],[NR_SIMULACAO]],tblVendas[[#This Row],[NR_SIMULACAO]],tblVendas[[#This Row],[VALOR_AVANCADO]],""),0)</f>
        <v>0</v>
      </c>
      <c r="H352">
        <f>IF(tblCalculo[[#This Row],[STATUS]]="CONCLUÍDO",_xlfn.XLOOKUP(tblCalculo[[#This Row],[NR_SIMULACAO]],tblVendas[[#This Row],[NR_SIMULACAO]],tblVendas[[#This Row],[VALOR_FIXABASICA]],""),0)</f>
        <v>0</v>
      </c>
      <c r="I352">
        <f>IF(tblCalculo[[#This Row],[STATUS]]="CONCLUÍDO",_xlfn.XLOOKUP(tblCalculo[[#This Row],[NR_SIMULACAO]],tblVendas[[#This Row],[NR_SIMULACAO]],tblVendas[[#This Row],[VALOR_TI]],""),0)</f>
        <v>0</v>
      </c>
      <c r="J352">
        <f>IF(tblCalculo[[#This Row],[STATUS]]="CONCLUÍDO",_xlfn.XLOOKUP(tblCalculo[[#This Row],[NR_SIMULACAO]],tblVendas[[#This Row],[NR_SIMULACAO]],tblVendas[[#This Row],[VALOR_APARELHO]],""),0)</f>
        <v>0</v>
      </c>
      <c r="K352" t="str">
        <f>IF(tblCalculo[[#This Row],[STATUS]]="NEGOCIANDO",tblCalculo[[#This Row],[VALOR_TOTAL]],"")</f>
        <v/>
      </c>
      <c r="L352" t="str">
        <f>IF(tblCalculo[[#This Row],[STATUS]]="ALÇADA",tblCalculo[[#This Row],[VALOR_TOTAL]],"")</f>
        <v/>
      </c>
      <c r="M352">
        <f>IF(tblCalculo[[#This Row],[STATUS]]="EM ANÁLISE",tblCalculo[[#This Row],[VALOR_TOTAL]],"")</f>
        <v>6728.74</v>
      </c>
      <c r="N352" t="str">
        <f>IF(tblCalculo[[#This Row],[STATUS]]="TRAMITANDO",tblCalculo[[#This Row],[VALOR_TOTAL]],"")</f>
        <v/>
      </c>
      <c r="O352" t="str">
        <f>IF(tblCalculo[[#This Row],[STATUS]]="PERDIDO",tblCalculo[[#This Row],[VALOR_TOTAL]],"")</f>
        <v/>
      </c>
      <c r="P352" t="str">
        <f>IF(tblCalculo[[#This Row],[STATUS]]="CONCLUÍDO",tblCalculo[[#This Row],[VALOR_TOTAL]],"")</f>
        <v/>
      </c>
    </row>
    <row r="353" spans="1:16" x14ac:dyDescent="0.25">
      <c r="A353" t="str">
        <f>tblVendas[[#This Row],[NR_SIMULACAO]]</f>
        <v>SIM1343</v>
      </c>
      <c r="B353" s="34" t="str">
        <f>_xlfn.XLOOKUP(A353,tblVendas[[#This Row],[NR_SIMULACAO]],tblVendas[[#This Row],[NR_CNPJ]],"")</f>
        <v>39.802.742/0001-87</v>
      </c>
      <c r="C353" t="str">
        <f>_xlfn.XLOOKUP(A353,tblVendas[[#This Row],[NR_SIMULACAO]],tblVendas[[#This Row],[STATUS]],"")</f>
        <v>NEGOCIANDO</v>
      </c>
      <c r="D353" t="str">
        <f>_xlfn.XLOOKUP(A353,tblVendas[[#This Row],[NR_SIMULACAO]],tblVendas[[#This Row],[MES]],"")</f>
        <v>Dezembro</v>
      </c>
      <c r="E353">
        <f>SUM(_xlfn.XLOOKUP(tblCalculo[[#This Row],[NR_SIMULACAO]],tblVendas[[#This Row],[NR_SIMULACAO]],tblVendas[[#This Row],[VALOR_MOVEL]],""):_xlfn.XLOOKUP(tblCalculo[[#This Row],[NR_SIMULACAO]],tblVendas[[#This Row],[NR_SIMULACAO]],tblVendas[[#This Row],[VALOR_APARELHO]],""))</f>
        <v>3980.63</v>
      </c>
      <c r="F353">
        <f>IF(tblCalculo[[#This Row],[STATUS]]="CONCLUÍDO",_xlfn.XLOOKUP(tblCalculo[[#This Row],[NR_SIMULACAO]],tblVendas[[#This Row],[NR_SIMULACAO]],tblVendas[[#This Row],[VALOR_MOVEL]],""),0)</f>
        <v>0</v>
      </c>
      <c r="G353">
        <f>IF(tblCalculo[[#This Row],[STATUS]]="CONCLUÍDO",_xlfn.XLOOKUP(tblCalculo[[#This Row],[NR_SIMULACAO]],tblVendas[[#This Row],[NR_SIMULACAO]],tblVendas[[#This Row],[VALOR_AVANCADO]],""),0)</f>
        <v>0</v>
      </c>
      <c r="H353">
        <f>IF(tblCalculo[[#This Row],[STATUS]]="CONCLUÍDO",_xlfn.XLOOKUP(tblCalculo[[#This Row],[NR_SIMULACAO]],tblVendas[[#This Row],[NR_SIMULACAO]],tblVendas[[#This Row],[VALOR_FIXABASICA]],""),0)</f>
        <v>0</v>
      </c>
      <c r="I353">
        <f>IF(tblCalculo[[#This Row],[STATUS]]="CONCLUÍDO",_xlfn.XLOOKUP(tblCalculo[[#This Row],[NR_SIMULACAO]],tblVendas[[#This Row],[NR_SIMULACAO]],tblVendas[[#This Row],[VALOR_TI]],""),0)</f>
        <v>0</v>
      </c>
      <c r="J353">
        <f>IF(tblCalculo[[#This Row],[STATUS]]="CONCLUÍDO",_xlfn.XLOOKUP(tblCalculo[[#This Row],[NR_SIMULACAO]],tblVendas[[#This Row],[NR_SIMULACAO]],tblVendas[[#This Row],[VALOR_APARELHO]],""),0)</f>
        <v>0</v>
      </c>
      <c r="K353">
        <f>IF(tblCalculo[[#This Row],[STATUS]]="NEGOCIANDO",tblCalculo[[#This Row],[VALOR_TOTAL]],"")</f>
        <v>3980.63</v>
      </c>
      <c r="L353" t="str">
        <f>IF(tblCalculo[[#This Row],[STATUS]]="ALÇADA",tblCalculo[[#This Row],[VALOR_TOTAL]],"")</f>
        <v/>
      </c>
      <c r="M353" t="str">
        <f>IF(tblCalculo[[#This Row],[STATUS]]="EM ANÁLISE",tblCalculo[[#This Row],[VALOR_TOTAL]],"")</f>
        <v/>
      </c>
      <c r="N353" t="str">
        <f>IF(tblCalculo[[#This Row],[STATUS]]="TRAMITANDO",tblCalculo[[#This Row],[VALOR_TOTAL]],"")</f>
        <v/>
      </c>
      <c r="O353" t="str">
        <f>IF(tblCalculo[[#This Row],[STATUS]]="PERDIDO",tblCalculo[[#This Row],[VALOR_TOTAL]],"")</f>
        <v/>
      </c>
      <c r="P353" t="str">
        <f>IF(tblCalculo[[#This Row],[STATUS]]="CONCLUÍDO",tblCalculo[[#This Row],[VALOR_TOTAL]],"")</f>
        <v/>
      </c>
    </row>
    <row r="354" spans="1:16" x14ac:dyDescent="0.25">
      <c r="A354" t="str">
        <f>tblVendas[[#This Row],[NR_SIMULACAO]]</f>
        <v>SIM1344</v>
      </c>
      <c r="B354" s="34" t="str">
        <f>_xlfn.XLOOKUP(A354,tblVendas[[#This Row],[NR_SIMULACAO]],tblVendas[[#This Row],[NR_CNPJ]],"")</f>
        <v>55.503.385/0001-74</v>
      </c>
      <c r="C354" t="str">
        <f>_xlfn.XLOOKUP(A354,tblVendas[[#This Row],[NR_SIMULACAO]],tblVendas[[#This Row],[STATUS]],"")</f>
        <v>PERDIDO</v>
      </c>
      <c r="D354" t="str">
        <f>_xlfn.XLOOKUP(A354,tblVendas[[#This Row],[NR_SIMULACAO]],tblVendas[[#This Row],[MES]],"")</f>
        <v>Setembro</v>
      </c>
      <c r="E354">
        <f>SUM(_xlfn.XLOOKUP(tblCalculo[[#This Row],[NR_SIMULACAO]],tblVendas[[#This Row],[NR_SIMULACAO]],tblVendas[[#This Row],[VALOR_MOVEL]],""):_xlfn.XLOOKUP(tblCalculo[[#This Row],[NR_SIMULACAO]],tblVendas[[#This Row],[NR_SIMULACAO]],tblVendas[[#This Row],[VALOR_APARELHO]],""))</f>
        <v>3124.76</v>
      </c>
      <c r="F354">
        <f>IF(tblCalculo[[#This Row],[STATUS]]="CONCLUÍDO",_xlfn.XLOOKUP(tblCalculo[[#This Row],[NR_SIMULACAO]],tblVendas[[#This Row],[NR_SIMULACAO]],tblVendas[[#This Row],[VALOR_MOVEL]],""),0)</f>
        <v>0</v>
      </c>
      <c r="G354">
        <f>IF(tblCalculo[[#This Row],[STATUS]]="CONCLUÍDO",_xlfn.XLOOKUP(tblCalculo[[#This Row],[NR_SIMULACAO]],tblVendas[[#This Row],[NR_SIMULACAO]],tblVendas[[#This Row],[VALOR_AVANCADO]],""),0)</f>
        <v>0</v>
      </c>
      <c r="H354">
        <f>IF(tblCalculo[[#This Row],[STATUS]]="CONCLUÍDO",_xlfn.XLOOKUP(tblCalculo[[#This Row],[NR_SIMULACAO]],tblVendas[[#This Row],[NR_SIMULACAO]],tblVendas[[#This Row],[VALOR_FIXABASICA]],""),0)</f>
        <v>0</v>
      </c>
      <c r="I354">
        <f>IF(tblCalculo[[#This Row],[STATUS]]="CONCLUÍDO",_xlfn.XLOOKUP(tblCalculo[[#This Row],[NR_SIMULACAO]],tblVendas[[#This Row],[NR_SIMULACAO]],tblVendas[[#This Row],[VALOR_TI]],""),0)</f>
        <v>0</v>
      </c>
      <c r="J354">
        <f>IF(tblCalculo[[#This Row],[STATUS]]="CONCLUÍDO",_xlfn.XLOOKUP(tblCalculo[[#This Row],[NR_SIMULACAO]],tblVendas[[#This Row],[NR_SIMULACAO]],tblVendas[[#This Row],[VALOR_APARELHO]],""),0)</f>
        <v>0</v>
      </c>
      <c r="K354" t="str">
        <f>IF(tblCalculo[[#This Row],[STATUS]]="NEGOCIANDO",tblCalculo[[#This Row],[VALOR_TOTAL]],"")</f>
        <v/>
      </c>
      <c r="L354" t="str">
        <f>IF(tblCalculo[[#This Row],[STATUS]]="ALÇADA",tblCalculo[[#This Row],[VALOR_TOTAL]],"")</f>
        <v/>
      </c>
      <c r="M354" t="str">
        <f>IF(tblCalculo[[#This Row],[STATUS]]="EM ANÁLISE",tblCalculo[[#This Row],[VALOR_TOTAL]],"")</f>
        <v/>
      </c>
      <c r="N354" t="str">
        <f>IF(tblCalculo[[#This Row],[STATUS]]="TRAMITANDO",tblCalculo[[#This Row],[VALOR_TOTAL]],"")</f>
        <v/>
      </c>
      <c r="O354">
        <f>IF(tblCalculo[[#This Row],[STATUS]]="PERDIDO",tblCalculo[[#This Row],[VALOR_TOTAL]],"")</f>
        <v>3124.76</v>
      </c>
      <c r="P354" t="str">
        <f>IF(tblCalculo[[#This Row],[STATUS]]="CONCLUÍDO",tblCalculo[[#This Row],[VALOR_TOTAL]],"")</f>
        <v/>
      </c>
    </row>
    <row r="355" spans="1:16" x14ac:dyDescent="0.25">
      <c r="A355" t="str">
        <f>tblVendas[[#This Row],[NR_SIMULACAO]]</f>
        <v>SIM1345</v>
      </c>
      <c r="B355" s="34" t="str">
        <f>_xlfn.XLOOKUP(A355,tblVendas[[#This Row],[NR_SIMULACAO]],tblVendas[[#This Row],[NR_CNPJ]],"")</f>
        <v>67.179.621/0001-71</v>
      </c>
      <c r="C355" t="str">
        <f>_xlfn.XLOOKUP(A355,tblVendas[[#This Row],[NR_SIMULACAO]],tblVendas[[#This Row],[STATUS]],"")</f>
        <v>ALÇADA</v>
      </c>
      <c r="D355" t="str">
        <f>_xlfn.XLOOKUP(A355,tblVendas[[#This Row],[NR_SIMULACAO]],tblVendas[[#This Row],[MES]],"")</f>
        <v>Junho</v>
      </c>
      <c r="E355">
        <f>SUM(_xlfn.XLOOKUP(tblCalculo[[#This Row],[NR_SIMULACAO]],tblVendas[[#This Row],[NR_SIMULACAO]],tblVendas[[#This Row],[VALOR_MOVEL]],""):_xlfn.XLOOKUP(tblCalculo[[#This Row],[NR_SIMULACAO]],tblVendas[[#This Row],[NR_SIMULACAO]],tblVendas[[#This Row],[VALOR_APARELHO]],""))</f>
        <v>299.22000000000003</v>
      </c>
      <c r="F355">
        <f>IF(tblCalculo[[#This Row],[STATUS]]="CONCLUÍDO",_xlfn.XLOOKUP(tblCalculo[[#This Row],[NR_SIMULACAO]],tblVendas[[#This Row],[NR_SIMULACAO]],tblVendas[[#This Row],[VALOR_MOVEL]],""),0)</f>
        <v>0</v>
      </c>
      <c r="G355">
        <f>IF(tblCalculo[[#This Row],[STATUS]]="CONCLUÍDO",_xlfn.XLOOKUP(tblCalculo[[#This Row],[NR_SIMULACAO]],tblVendas[[#This Row],[NR_SIMULACAO]],tblVendas[[#This Row],[VALOR_AVANCADO]],""),0)</f>
        <v>0</v>
      </c>
      <c r="H355">
        <f>IF(tblCalculo[[#This Row],[STATUS]]="CONCLUÍDO",_xlfn.XLOOKUP(tblCalculo[[#This Row],[NR_SIMULACAO]],tblVendas[[#This Row],[NR_SIMULACAO]],tblVendas[[#This Row],[VALOR_FIXABASICA]],""),0)</f>
        <v>0</v>
      </c>
      <c r="I355">
        <f>IF(tblCalculo[[#This Row],[STATUS]]="CONCLUÍDO",_xlfn.XLOOKUP(tblCalculo[[#This Row],[NR_SIMULACAO]],tblVendas[[#This Row],[NR_SIMULACAO]],tblVendas[[#This Row],[VALOR_TI]],""),0)</f>
        <v>0</v>
      </c>
      <c r="J355">
        <f>IF(tblCalculo[[#This Row],[STATUS]]="CONCLUÍDO",_xlfn.XLOOKUP(tblCalculo[[#This Row],[NR_SIMULACAO]],tblVendas[[#This Row],[NR_SIMULACAO]],tblVendas[[#This Row],[VALOR_APARELHO]],""),0)</f>
        <v>0</v>
      </c>
      <c r="K355" t="str">
        <f>IF(tblCalculo[[#This Row],[STATUS]]="NEGOCIANDO",tblCalculo[[#This Row],[VALOR_TOTAL]],"")</f>
        <v/>
      </c>
      <c r="L355">
        <f>IF(tblCalculo[[#This Row],[STATUS]]="ALÇADA",tblCalculo[[#This Row],[VALOR_TOTAL]],"")</f>
        <v>299.22000000000003</v>
      </c>
      <c r="M355" t="str">
        <f>IF(tblCalculo[[#This Row],[STATUS]]="EM ANÁLISE",tblCalculo[[#This Row],[VALOR_TOTAL]],"")</f>
        <v/>
      </c>
      <c r="N355" t="str">
        <f>IF(tblCalculo[[#This Row],[STATUS]]="TRAMITANDO",tblCalculo[[#This Row],[VALOR_TOTAL]],"")</f>
        <v/>
      </c>
      <c r="O355" t="str">
        <f>IF(tblCalculo[[#This Row],[STATUS]]="PERDIDO",tblCalculo[[#This Row],[VALOR_TOTAL]],"")</f>
        <v/>
      </c>
      <c r="P355" t="str">
        <f>IF(tblCalculo[[#This Row],[STATUS]]="CONCLUÍDO",tblCalculo[[#This Row],[VALOR_TOTAL]],"")</f>
        <v/>
      </c>
    </row>
    <row r="356" spans="1:16" x14ac:dyDescent="0.25">
      <c r="A356" t="str">
        <f>tblVendas[[#This Row],[NR_SIMULACAO]]</f>
        <v>SIM1346</v>
      </c>
      <c r="B356" s="34" t="str">
        <f>_xlfn.XLOOKUP(A356,tblVendas[[#This Row],[NR_SIMULACAO]],tblVendas[[#This Row],[NR_CNPJ]],"")</f>
        <v>44.483.128/0001-75</v>
      </c>
      <c r="C356" t="str">
        <f>_xlfn.XLOOKUP(A356,tblVendas[[#This Row],[NR_SIMULACAO]],tblVendas[[#This Row],[STATUS]],"")</f>
        <v>CONCLUÍDO</v>
      </c>
      <c r="D356" t="str">
        <f>_xlfn.XLOOKUP(A356,tblVendas[[#This Row],[NR_SIMULACAO]],tblVendas[[#This Row],[MES]],"")</f>
        <v>Fevereiro</v>
      </c>
      <c r="E356">
        <f>SUM(_xlfn.XLOOKUP(tblCalculo[[#This Row],[NR_SIMULACAO]],tblVendas[[#This Row],[NR_SIMULACAO]],tblVendas[[#This Row],[VALOR_MOVEL]],""):_xlfn.XLOOKUP(tblCalculo[[#This Row],[NR_SIMULACAO]],tblVendas[[#This Row],[NR_SIMULACAO]],tblVendas[[#This Row],[VALOR_APARELHO]],""))</f>
        <v>11235.33</v>
      </c>
      <c r="F356">
        <f>IF(tblCalculo[[#This Row],[STATUS]]="CONCLUÍDO",_xlfn.XLOOKUP(tblCalculo[[#This Row],[NR_SIMULACAO]],tblVendas[[#This Row],[NR_SIMULACAO]],tblVendas[[#This Row],[VALOR_MOVEL]],""),0)</f>
        <v>0</v>
      </c>
      <c r="G356">
        <f>IF(tblCalculo[[#This Row],[STATUS]]="CONCLUÍDO",_xlfn.XLOOKUP(tblCalculo[[#This Row],[NR_SIMULACAO]],tblVendas[[#This Row],[NR_SIMULACAO]],tblVendas[[#This Row],[VALOR_AVANCADO]],""),0)</f>
        <v>0</v>
      </c>
      <c r="H356">
        <f>IF(tblCalculo[[#This Row],[STATUS]]="CONCLUÍDO",_xlfn.XLOOKUP(tblCalculo[[#This Row],[NR_SIMULACAO]],tblVendas[[#This Row],[NR_SIMULACAO]],tblVendas[[#This Row],[VALOR_FIXABASICA]],""),0)</f>
        <v>954.79</v>
      </c>
      <c r="I356">
        <f>IF(tblCalculo[[#This Row],[STATUS]]="CONCLUÍDO",_xlfn.XLOOKUP(tblCalculo[[#This Row],[NR_SIMULACAO]],tblVendas[[#This Row],[NR_SIMULACAO]],tblVendas[[#This Row],[VALOR_TI]],""),0)</f>
        <v>3303.33</v>
      </c>
      <c r="J356">
        <f>IF(tblCalculo[[#This Row],[STATUS]]="CONCLUÍDO",_xlfn.XLOOKUP(tblCalculo[[#This Row],[NR_SIMULACAO]],tblVendas[[#This Row],[NR_SIMULACAO]],tblVendas[[#This Row],[VALOR_APARELHO]],""),0)</f>
        <v>6977.21</v>
      </c>
      <c r="K356" t="str">
        <f>IF(tblCalculo[[#This Row],[STATUS]]="NEGOCIANDO",tblCalculo[[#This Row],[VALOR_TOTAL]],"")</f>
        <v/>
      </c>
      <c r="L356" t="str">
        <f>IF(tblCalculo[[#This Row],[STATUS]]="ALÇADA",tblCalculo[[#This Row],[VALOR_TOTAL]],"")</f>
        <v/>
      </c>
      <c r="M356" t="str">
        <f>IF(tblCalculo[[#This Row],[STATUS]]="EM ANÁLISE",tblCalculo[[#This Row],[VALOR_TOTAL]],"")</f>
        <v/>
      </c>
      <c r="N356" t="str">
        <f>IF(tblCalculo[[#This Row],[STATUS]]="TRAMITANDO",tblCalculo[[#This Row],[VALOR_TOTAL]],"")</f>
        <v/>
      </c>
      <c r="O356" t="str">
        <f>IF(tblCalculo[[#This Row],[STATUS]]="PERDIDO",tblCalculo[[#This Row],[VALOR_TOTAL]],"")</f>
        <v/>
      </c>
      <c r="P356">
        <f>IF(tblCalculo[[#This Row],[STATUS]]="CONCLUÍDO",tblCalculo[[#This Row],[VALOR_TOTAL]],"")</f>
        <v>11235.33</v>
      </c>
    </row>
    <row r="357" spans="1:16" x14ac:dyDescent="0.25">
      <c r="A357" t="str">
        <f>tblVendas[[#This Row],[NR_SIMULACAO]]</f>
        <v>SIM1347</v>
      </c>
      <c r="B357" s="34" t="str">
        <f>_xlfn.XLOOKUP(A357,tblVendas[[#This Row],[NR_SIMULACAO]],tblVendas[[#This Row],[NR_CNPJ]],"")</f>
        <v>25.638.581/0001-49</v>
      </c>
      <c r="C357" t="str">
        <f>_xlfn.XLOOKUP(A357,tblVendas[[#This Row],[NR_SIMULACAO]],tblVendas[[#This Row],[STATUS]],"")</f>
        <v>TRAMITANDO</v>
      </c>
      <c r="D357" t="str">
        <f>_xlfn.XLOOKUP(A357,tblVendas[[#This Row],[NR_SIMULACAO]],tblVendas[[#This Row],[MES]],"")</f>
        <v>Janeiro</v>
      </c>
      <c r="E357">
        <f>SUM(_xlfn.XLOOKUP(tblCalculo[[#This Row],[NR_SIMULACAO]],tblVendas[[#This Row],[NR_SIMULACAO]],tblVendas[[#This Row],[VALOR_MOVEL]],""):_xlfn.XLOOKUP(tblCalculo[[#This Row],[NR_SIMULACAO]],tblVendas[[#This Row],[NR_SIMULACAO]],tblVendas[[#This Row],[VALOR_APARELHO]],""))</f>
        <v>7518.51</v>
      </c>
      <c r="F357">
        <f>IF(tblCalculo[[#This Row],[STATUS]]="CONCLUÍDO",_xlfn.XLOOKUP(tblCalculo[[#This Row],[NR_SIMULACAO]],tblVendas[[#This Row],[NR_SIMULACAO]],tblVendas[[#This Row],[VALOR_MOVEL]],""),0)</f>
        <v>0</v>
      </c>
      <c r="G357">
        <f>IF(tblCalculo[[#This Row],[STATUS]]="CONCLUÍDO",_xlfn.XLOOKUP(tblCalculo[[#This Row],[NR_SIMULACAO]],tblVendas[[#This Row],[NR_SIMULACAO]],tblVendas[[#This Row],[VALOR_AVANCADO]],""),0)</f>
        <v>0</v>
      </c>
      <c r="H357">
        <f>IF(tblCalculo[[#This Row],[STATUS]]="CONCLUÍDO",_xlfn.XLOOKUP(tblCalculo[[#This Row],[NR_SIMULACAO]],tblVendas[[#This Row],[NR_SIMULACAO]],tblVendas[[#This Row],[VALOR_FIXABASICA]],""),0)</f>
        <v>0</v>
      </c>
      <c r="I357">
        <f>IF(tblCalculo[[#This Row],[STATUS]]="CONCLUÍDO",_xlfn.XLOOKUP(tblCalculo[[#This Row],[NR_SIMULACAO]],tblVendas[[#This Row],[NR_SIMULACAO]],tblVendas[[#This Row],[VALOR_TI]],""),0)</f>
        <v>0</v>
      </c>
      <c r="J357">
        <f>IF(tblCalculo[[#This Row],[STATUS]]="CONCLUÍDO",_xlfn.XLOOKUP(tblCalculo[[#This Row],[NR_SIMULACAO]],tblVendas[[#This Row],[NR_SIMULACAO]],tblVendas[[#This Row],[VALOR_APARELHO]],""),0)</f>
        <v>0</v>
      </c>
      <c r="K357" t="str">
        <f>IF(tblCalculo[[#This Row],[STATUS]]="NEGOCIANDO",tblCalculo[[#This Row],[VALOR_TOTAL]],"")</f>
        <v/>
      </c>
      <c r="L357" t="str">
        <f>IF(tblCalculo[[#This Row],[STATUS]]="ALÇADA",tblCalculo[[#This Row],[VALOR_TOTAL]],"")</f>
        <v/>
      </c>
      <c r="M357" t="str">
        <f>IF(tblCalculo[[#This Row],[STATUS]]="EM ANÁLISE",tblCalculo[[#This Row],[VALOR_TOTAL]],"")</f>
        <v/>
      </c>
      <c r="N357">
        <f>IF(tblCalculo[[#This Row],[STATUS]]="TRAMITANDO",tblCalculo[[#This Row],[VALOR_TOTAL]],"")</f>
        <v>7518.51</v>
      </c>
      <c r="O357" t="str">
        <f>IF(tblCalculo[[#This Row],[STATUS]]="PERDIDO",tblCalculo[[#This Row],[VALOR_TOTAL]],"")</f>
        <v/>
      </c>
      <c r="P357" t="str">
        <f>IF(tblCalculo[[#This Row],[STATUS]]="CONCLUÍDO",tblCalculo[[#This Row],[VALOR_TOTAL]],"")</f>
        <v/>
      </c>
    </row>
    <row r="358" spans="1:16" x14ac:dyDescent="0.25">
      <c r="A358" t="str">
        <f>tblVendas[[#This Row],[NR_SIMULACAO]]</f>
        <v>SIM1348</v>
      </c>
      <c r="B358" s="34" t="str">
        <f>_xlfn.XLOOKUP(A358,tblVendas[[#This Row],[NR_SIMULACAO]],tblVendas[[#This Row],[NR_CNPJ]],"")</f>
        <v>72.732.606/0001-15</v>
      </c>
      <c r="C358" t="str">
        <f>_xlfn.XLOOKUP(A358,tblVendas[[#This Row],[NR_SIMULACAO]],tblVendas[[#This Row],[STATUS]],"")</f>
        <v>CONCLUÍDO</v>
      </c>
      <c r="D358" t="str">
        <f>_xlfn.XLOOKUP(A358,tblVendas[[#This Row],[NR_SIMULACAO]],tblVendas[[#This Row],[MES]],"")</f>
        <v>Junho</v>
      </c>
      <c r="E358">
        <f>SUM(_xlfn.XLOOKUP(tblCalculo[[#This Row],[NR_SIMULACAO]],tblVendas[[#This Row],[NR_SIMULACAO]],tblVendas[[#This Row],[VALOR_MOVEL]],""):_xlfn.XLOOKUP(tblCalculo[[#This Row],[NR_SIMULACAO]],tblVendas[[#This Row],[NR_SIMULACAO]],tblVendas[[#This Row],[VALOR_APARELHO]],""))</f>
        <v>8779.74</v>
      </c>
      <c r="F358">
        <f>IF(tblCalculo[[#This Row],[STATUS]]="CONCLUÍDO",_xlfn.XLOOKUP(tblCalculo[[#This Row],[NR_SIMULACAO]],tblVendas[[#This Row],[NR_SIMULACAO]],tblVendas[[#This Row],[VALOR_MOVEL]],""),0)</f>
        <v>918.25</v>
      </c>
      <c r="G358">
        <f>IF(tblCalculo[[#This Row],[STATUS]]="CONCLUÍDO",_xlfn.XLOOKUP(tblCalculo[[#This Row],[NR_SIMULACAO]],tblVendas[[#This Row],[NR_SIMULACAO]],tblVendas[[#This Row],[VALOR_AVANCADO]],""),0)</f>
        <v>1342.64</v>
      </c>
      <c r="H358">
        <f>IF(tblCalculo[[#This Row],[STATUS]]="CONCLUÍDO",_xlfn.XLOOKUP(tblCalculo[[#This Row],[NR_SIMULACAO]],tblVendas[[#This Row],[NR_SIMULACAO]],tblVendas[[#This Row],[VALOR_FIXABASICA]],""),0)</f>
        <v>953.67</v>
      </c>
      <c r="I358">
        <f>IF(tblCalculo[[#This Row],[STATUS]]="CONCLUÍDO",_xlfn.XLOOKUP(tblCalculo[[#This Row],[NR_SIMULACAO]],tblVendas[[#This Row],[NR_SIMULACAO]],tblVendas[[#This Row],[VALOR_TI]],""),0)</f>
        <v>2946.41</v>
      </c>
      <c r="J358">
        <f>IF(tblCalculo[[#This Row],[STATUS]]="CONCLUÍDO",_xlfn.XLOOKUP(tblCalculo[[#This Row],[NR_SIMULACAO]],tblVendas[[#This Row],[NR_SIMULACAO]],tblVendas[[#This Row],[VALOR_APARELHO]],""),0)</f>
        <v>2618.77</v>
      </c>
      <c r="K358" t="str">
        <f>IF(tblCalculo[[#This Row],[STATUS]]="NEGOCIANDO",tblCalculo[[#This Row],[VALOR_TOTAL]],"")</f>
        <v/>
      </c>
      <c r="L358" t="str">
        <f>IF(tblCalculo[[#This Row],[STATUS]]="ALÇADA",tblCalculo[[#This Row],[VALOR_TOTAL]],"")</f>
        <v/>
      </c>
      <c r="M358" t="str">
        <f>IF(tblCalculo[[#This Row],[STATUS]]="EM ANÁLISE",tblCalculo[[#This Row],[VALOR_TOTAL]],"")</f>
        <v/>
      </c>
      <c r="N358" t="str">
        <f>IF(tblCalculo[[#This Row],[STATUS]]="TRAMITANDO",tblCalculo[[#This Row],[VALOR_TOTAL]],"")</f>
        <v/>
      </c>
      <c r="O358" t="str">
        <f>IF(tblCalculo[[#This Row],[STATUS]]="PERDIDO",tblCalculo[[#This Row],[VALOR_TOTAL]],"")</f>
        <v/>
      </c>
      <c r="P358">
        <f>IF(tblCalculo[[#This Row],[STATUS]]="CONCLUÍDO",tblCalculo[[#This Row],[VALOR_TOTAL]],"")</f>
        <v>8779.74</v>
      </c>
    </row>
    <row r="359" spans="1:16" x14ac:dyDescent="0.25">
      <c r="A359" t="str">
        <f>tblVendas[[#This Row],[NR_SIMULACAO]]</f>
        <v>SIM1349</v>
      </c>
      <c r="B359" s="34" t="str">
        <f>_xlfn.XLOOKUP(A359,tblVendas[[#This Row],[NR_SIMULACAO]],tblVendas[[#This Row],[NR_CNPJ]],"")</f>
        <v>39.804.384/0001-31</v>
      </c>
      <c r="C359" t="str">
        <f>_xlfn.XLOOKUP(A359,tblVendas[[#This Row],[NR_SIMULACAO]],tblVendas[[#This Row],[STATUS]],"")</f>
        <v>EM ANÁLISE</v>
      </c>
      <c r="D359" t="str">
        <f>_xlfn.XLOOKUP(A359,tblVendas[[#This Row],[NR_SIMULACAO]],tblVendas[[#This Row],[MES]],"")</f>
        <v>Outubro</v>
      </c>
      <c r="E359">
        <f>SUM(_xlfn.XLOOKUP(tblCalculo[[#This Row],[NR_SIMULACAO]],tblVendas[[#This Row],[NR_SIMULACAO]],tblVendas[[#This Row],[VALOR_MOVEL]],""):_xlfn.XLOOKUP(tblCalculo[[#This Row],[NR_SIMULACAO]],tblVendas[[#This Row],[NR_SIMULACAO]],tblVendas[[#This Row],[VALOR_APARELHO]],""))</f>
        <v>4201.57</v>
      </c>
      <c r="F359">
        <f>IF(tblCalculo[[#This Row],[STATUS]]="CONCLUÍDO",_xlfn.XLOOKUP(tblCalculo[[#This Row],[NR_SIMULACAO]],tblVendas[[#This Row],[NR_SIMULACAO]],tblVendas[[#This Row],[VALOR_MOVEL]],""),0)</f>
        <v>0</v>
      </c>
      <c r="G359">
        <f>IF(tblCalculo[[#This Row],[STATUS]]="CONCLUÍDO",_xlfn.XLOOKUP(tblCalculo[[#This Row],[NR_SIMULACAO]],tblVendas[[#This Row],[NR_SIMULACAO]],tblVendas[[#This Row],[VALOR_AVANCADO]],""),0)</f>
        <v>0</v>
      </c>
      <c r="H359">
        <f>IF(tblCalculo[[#This Row],[STATUS]]="CONCLUÍDO",_xlfn.XLOOKUP(tblCalculo[[#This Row],[NR_SIMULACAO]],tblVendas[[#This Row],[NR_SIMULACAO]],tblVendas[[#This Row],[VALOR_FIXABASICA]],""),0)</f>
        <v>0</v>
      </c>
      <c r="I359">
        <f>IF(tblCalculo[[#This Row],[STATUS]]="CONCLUÍDO",_xlfn.XLOOKUP(tblCalculo[[#This Row],[NR_SIMULACAO]],tblVendas[[#This Row],[NR_SIMULACAO]],tblVendas[[#This Row],[VALOR_TI]],""),0)</f>
        <v>0</v>
      </c>
      <c r="J359">
        <f>IF(tblCalculo[[#This Row],[STATUS]]="CONCLUÍDO",_xlfn.XLOOKUP(tblCalculo[[#This Row],[NR_SIMULACAO]],tblVendas[[#This Row],[NR_SIMULACAO]],tblVendas[[#This Row],[VALOR_APARELHO]],""),0)</f>
        <v>0</v>
      </c>
      <c r="K359" t="str">
        <f>IF(tblCalculo[[#This Row],[STATUS]]="NEGOCIANDO",tblCalculo[[#This Row],[VALOR_TOTAL]],"")</f>
        <v/>
      </c>
      <c r="L359" t="str">
        <f>IF(tblCalculo[[#This Row],[STATUS]]="ALÇADA",tblCalculo[[#This Row],[VALOR_TOTAL]],"")</f>
        <v/>
      </c>
      <c r="M359">
        <f>IF(tblCalculo[[#This Row],[STATUS]]="EM ANÁLISE",tblCalculo[[#This Row],[VALOR_TOTAL]],"")</f>
        <v>4201.57</v>
      </c>
      <c r="N359" t="str">
        <f>IF(tblCalculo[[#This Row],[STATUS]]="TRAMITANDO",tblCalculo[[#This Row],[VALOR_TOTAL]],"")</f>
        <v/>
      </c>
      <c r="O359" t="str">
        <f>IF(tblCalculo[[#This Row],[STATUS]]="PERDIDO",tblCalculo[[#This Row],[VALOR_TOTAL]],"")</f>
        <v/>
      </c>
      <c r="P359" t="str">
        <f>IF(tblCalculo[[#This Row],[STATUS]]="CONCLUÍDO",tblCalculo[[#This Row],[VALOR_TOTAL]],"")</f>
        <v/>
      </c>
    </row>
    <row r="360" spans="1:16" x14ac:dyDescent="0.25">
      <c r="A360" t="str">
        <f>tblVendas[[#This Row],[NR_SIMULACAO]]</f>
        <v>SIM1350</v>
      </c>
      <c r="B360" s="34" t="str">
        <f>_xlfn.XLOOKUP(A360,tblVendas[[#This Row],[NR_SIMULACAO]],tblVendas[[#This Row],[NR_CNPJ]],"")</f>
        <v>36.210.522/0001-65</v>
      </c>
      <c r="C360" t="str">
        <f>_xlfn.XLOOKUP(A360,tblVendas[[#This Row],[NR_SIMULACAO]],tblVendas[[#This Row],[STATUS]],"")</f>
        <v>NEGOCIANDO</v>
      </c>
      <c r="D360" t="str">
        <f>_xlfn.XLOOKUP(A360,tblVendas[[#This Row],[NR_SIMULACAO]],tblVendas[[#This Row],[MES]],"")</f>
        <v>Setembro</v>
      </c>
      <c r="E360">
        <f>SUM(_xlfn.XLOOKUP(tblCalculo[[#This Row],[NR_SIMULACAO]],tblVendas[[#This Row],[NR_SIMULACAO]],tblVendas[[#This Row],[VALOR_MOVEL]],""):_xlfn.XLOOKUP(tblCalculo[[#This Row],[NR_SIMULACAO]],tblVendas[[#This Row],[NR_SIMULACAO]],tblVendas[[#This Row],[VALOR_APARELHO]],""))</f>
        <v>1688.93</v>
      </c>
      <c r="F360">
        <f>IF(tblCalculo[[#This Row],[STATUS]]="CONCLUÍDO",_xlfn.XLOOKUP(tblCalculo[[#This Row],[NR_SIMULACAO]],tblVendas[[#This Row],[NR_SIMULACAO]],tblVendas[[#This Row],[VALOR_MOVEL]],""),0)</f>
        <v>0</v>
      </c>
      <c r="G360">
        <f>IF(tblCalculo[[#This Row],[STATUS]]="CONCLUÍDO",_xlfn.XLOOKUP(tblCalculo[[#This Row],[NR_SIMULACAO]],tblVendas[[#This Row],[NR_SIMULACAO]],tblVendas[[#This Row],[VALOR_AVANCADO]],""),0)</f>
        <v>0</v>
      </c>
      <c r="H360">
        <f>IF(tblCalculo[[#This Row],[STATUS]]="CONCLUÍDO",_xlfn.XLOOKUP(tblCalculo[[#This Row],[NR_SIMULACAO]],tblVendas[[#This Row],[NR_SIMULACAO]],tblVendas[[#This Row],[VALOR_FIXABASICA]],""),0)</f>
        <v>0</v>
      </c>
      <c r="I360">
        <f>IF(tblCalculo[[#This Row],[STATUS]]="CONCLUÍDO",_xlfn.XLOOKUP(tblCalculo[[#This Row],[NR_SIMULACAO]],tblVendas[[#This Row],[NR_SIMULACAO]],tblVendas[[#This Row],[VALOR_TI]],""),0)</f>
        <v>0</v>
      </c>
      <c r="J360">
        <f>IF(tblCalculo[[#This Row],[STATUS]]="CONCLUÍDO",_xlfn.XLOOKUP(tblCalculo[[#This Row],[NR_SIMULACAO]],tblVendas[[#This Row],[NR_SIMULACAO]],tblVendas[[#This Row],[VALOR_APARELHO]],""),0)</f>
        <v>0</v>
      </c>
      <c r="K360">
        <f>IF(tblCalculo[[#This Row],[STATUS]]="NEGOCIANDO",tblCalculo[[#This Row],[VALOR_TOTAL]],"")</f>
        <v>1688.93</v>
      </c>
      <c r="L360" t="str">
        <f>IF(tblCalculo[[#This Row],[STATUS]]="ALÇADA",tblCalculo[[#This Row],[VALOR_TOTAL]],"")</f>
        <v/>
      </c>
      <c r="M360" t="str">
        <f>IF(tblCalculo[[#This Row],[STATUS]]="EM ANÁLISE",tblCalculo[[#This Row],[VALOR_TOTAL]],"")</f>
        <v/>
      </c>
      <c r="N360" t="str">
        <f>IF(tblCalculo[[#This Row],[STATUS]]="TRAMITANDO",tblCalculo[[#This Row],[VALOR_TOTAL]],"")</f>
        <v/>
      </c>
      <c r="O360" t="str">
        <f>IF(tblCalculo[[#This Row],[STATUS]]="PERDIDO",tblCalculo[[#This Row],[VALOR_TOTAL]],"")</f>
        <v/>
      </c>
      <c r="P360" t="str">
        <f>IF(tblCalculo[[#This Row],[STATUS]]="CONCLUÍDO",tblCalculo[[#This Row],[VALOR_TOTAL]],"")</f>
        <v/>
      </c>
    </row>
    <row r="361" spans="1:16" x14ac:dyDescent="0.25">
      <c r="A361" t="str">
        <f>tblVendas[[#This Row],[NR_SIMULACAO]]</f>
        <v>SIM1351</v>
      </c>
      <c r="B361" s="34" t="str">
        <f>_xlfn.XLOOKUP(A361,tblVendas[[#This Row],[NR_SIMULACAO]],tblVendas[[#This Row],[NR_CNPJ]],"")</f>
        <v>51.411.481/0001-44</v>
      </c>
      <c r="C361" t="str">
        <f>_xlfn.XLOOKUP(A361,tblVendas[[#This Row],[NR_SIMULACAO]],tblVendas[[#This Row],[STATUS]],"")</f>
        <v>ALÇADA</v>
      </c>
      <c r="D361" t="str">
        <f>_xlfn.XLOOKUP(A361,tblVendas[[#This Row],[NR_SIMULACAO]],tblVendas[[#This Row],[MES]],"")</f>
        <v>Novembro</v>
      </c>
      <c r="E361">
        <f>SUM(_xlfn.XLOOKUP(tblCalculo[[#This Row],[NR_SIMULACAO]],tblVendas[[#This Row],[NR_SIMULACAO]],tblVendas[[#This Row],[VALOR_MOVEL]],""):_xlfn.XLOOKUP(tblCalculo[[#This Row],[NR_SIMULACAO]],tblVendas[[#This Row],[NR_SIMULACAO]],tblVendas[[#This Row],[VALOR_APARELHO]],""))</f>
        <v>20070.800000000003</v>
      </c>
      <c r="F361">
        <f>IF(tblCalculo[[#This Row],[STATUS]]="CONCLUÍDO",_xlfn.XLOOKUP(tblCalculo[[#This Row],[NR_SIMULACAO]],tblVendas[[#This Row],[NR_SIMULACAO]],tblVendas[[#This Row],[VALOR_MOVEL]],""),0)</f>
        <v>0</v>
      </c>
      <c r="G361">
        <f>IF(tblCalculo[[#This Row],[STATUS]]="CONCLUÍDO",_xlfn.XLOOKUP(tblCalculo[[#This Row],[NR_SIMULACAO]],tblVendas[[#This Row],[NR_SIMULACAO]],tblVendas[[#This Row],[VALOR_AVANCADO]],""),0)</f>
        <v>0</v>
      </c>
      <c r="H361">
        <f>IF(tblCalculo[[#This Row],[STATUS]]="CONCLUÍDO",_xlfn.XLOOKUP(tblCalculo[[#This Row],[NR_SIMULACAO]],tblVendas[[#This Row],[NR_SIMULACAO]],tblVendas[[#This Row],[VALOR_FIXABASICA]],""),0)</f>
        <v>0</v>
      </c>
      <c r="I361">
        <f>IF(tblCalculo[[#This Row],[STATUS]]="CONCLUÍDO",_xlfn.XLOOKUP(tblCalculo[[#This Row],[NR_SIMULACAO]],tblVendas[[#This Row],[NR_SIMULACAO]],tblVendas[[#This Row],[VALOR_TI]],""),0)</f>
        <v>0</v>
      </c>
      <c r="J361">
        <f>IF(tblCalculo[[#This Row],[STATUS]]="CONCLUÍDO",_xlfn.XLOOKUP(tblCalculo[[#This Row],[NR_SIMULACAO]],tblVendas[[#This Row],[NR_SIMULACAO]],tblVendas[[#This Row],[VALOR_APARELHO]],""),0)</f>
        <v>0</v>
      </c>
      <c r="K361" t="str">
        <f>IF(tblCalculo[[#This Row],[STATUS]]="NEGOCIANDO",tblCalculo[[#This Row],[VALOR_TOTAL]],"")</f>
        <v/>
      </c>
      <c r="L361">
        <f>IF(tblCalculo[[#This Row],[STATUS]]="ALÇADA",tblCalculo[[#This Row],[VALOR_TOTAL]],"")</f>
        <v>20070.800000000003</v>
      </c>
      <c r="M361" t="str">
        <f>IF(tblCalculo[[#This Row],[STATUS]]="EM ANÁLISE",tblCalculo[[#This Row],[VALOR_TOTAL]],"")</f>
        <v/>
      </c>
      <c r="N361" t="str">
        <f>IF(tblCalculo[[#This Row],[STATUS]]="TRAMITANDO",tblCalculo[[#This Row],[VALOR_TOTAL]],"")</f>
        <v/>
      </c>
      <c r="O361" t="str">
        <f>IF(tblCalculo[[#This Row],[STATUS]]="PERDIDO",tblCalculo[[#This Row],[VALOR_TOTAL]],"")</f>
        <v/>
      </c>
      <c r="P361" t="str">
        <f>IF(tblCalculo[[#This Row],[STATUS]]="CONCLUÍDO",tblCalculo[[#This Row],[VALOR_TOTAL]],"")</f>
        <v/>
      </c>
    </row>
    <row r="362" spans="1:16" x14ac:dyDescent="0.25">
      <c r="A362" t="str">
        <f>tblVendas[[#This Row],[NR_SIMULACAO]]</f>
        <v>SIM1352</v>
      </c>
      <c r="B362" s="34" t="str">
        <f>_xlfn.XLOOKUP(A362,tblVendas[[#This Row],[NR_SIMULACAO]],tblVendas[[#This Row],[NR_CNPJ]],"")</f>
        <v>20.102.776/0001-39</v>
      </c>
      <c r="C362" t="str">
        <f>_xlfn.XLOOKUP(A362,tblVendas[[#This Row],[NR_SIMULACAO]],tblVendas[[#This Row],[STATUS]],"")</f>
        <v>EM ANÁLISE</v>
      </c>
      <c r="D362" t="str">
        <f>_xlfn.XLOOKUP(A362,tblVendas[[#This Row],[NR_SIMULACAO]],tblVendas[[#This Row],[MES]],"")</f>
        <v>Dezembro</v>
      </c>
      <c r="E362">
        <f>SUM(_xlfn.XLOOKUP(tblCalculo[[#This Row],[NR_SIMULACAO]],tblVendas[[#This Row],[NR_SIMULACAO]],tblVendas[[#This Row],[VALOR_MOVEL]],""):_xlfn.XLOOKUP(tblCalculo[[#This Row],[NR_SIMULACAO]],tblVendas[[#This Row],[NR_SIMULACAO]],tblVendas[[#This Row],[VALOR_APARELHO]],""))</f>
        <v>11416.27</v>
      </c>
      <c r="F362">
        <f>IF(tblCalculo[[#This Row],[STATUS]]="CONCLUÍDO",_xlfn.XLOOKUP(tblCalculo[[#This Row],[NR_SIMULACAO]],tblVendas[[#This Row],[NR_SIMULACAO]],tblVendas[[#This Row],[VALOR_MOVEL]],""),0)</f>
        <v>0</v>
      </c>
      <c r="G362">
        <f>IF(tblCalculo[[#This Row],[STATUS]]="CONCLUÍDO",_xlfn.XLOOKUP(tblCalculo[[#This Row],[NR_SIMULACAO]],tblVendas[[#This Row],[NR_SIMULACAO]],tblVendas[[#This Row],[VALOR_AVANCADO]],""),0)</f>
        <v>0</v>
      </c>
      <c r="H362">
        <f>IF(tblCalculo[[#This Row],[STATUS]]="CONCLUÍDO",_xlfn.XLOOKUP(tblCalculo[[#This Row],[NR_SIMULACAO]],tblVendas[[#This Row],[NR_SIMULACAO]],tblVendas[[#This Row],[VALOR_FIXABASICA]],""),0)</f>
        <v>0</v>
      </c>
      <c r="I362">
        <f>IF(tblCalculo[[#This Row],[STATUS]]="CONCLUÍDO",_xlfn.XLOOKUP(tblCalculo[[#This Row],[NR_SIMULACAO]],tblVendas[[#This Row],[NR_SIMULACAO]],tblVendas[[#This Row],[VALOR_TI]],""),0)</f>
        <v>0</v>
      </c>
      <c r="J362">
        <f>IF(tblCalculo[[#This Row],[STATUS]]="CONCLUÍDO",_xlfn.XLOOKUP(tblCalculo[[#This Row],[NR_SIMULACAO]],tblVendas[[#This Row],[NR_SIMULACAO]],tblVendas[[#This Row],[VALOR_APARELHO]],""),0)</f>
        <v>0</v>
      </c>
      <c r="K362" t="str">
        <f>IF(tblCalculo[[#This Row],[STATUS]]="NEGOCIANDO",tblCalculo[[#This Row],[VALOR_TOTAL]],"")</f>
        <v/>
      </c>
      <c r="L362" t="str">
        <f>IF(tblCalculo[[#This Row],[STATUS]]="ALÇADA",tblCalculo[[#This Row],[VALOR_TOTAL]],"")</f>
        <v/>
      </c>
      <c r="M362">
        <f>IF(tblCalculo[[#This Row],[STATUS]]="EM ANÁLISE",tblCalculo[[#This Row],[VALOR_TOTAL]],"")</f>
        <v>11416.27</v>
      </c>
      <c r="N362" t="str">
        <f>IF(tblCalculo[[#This Row],[STATUS]]="TRAMITANDO",tblCalculo[[#This Row],[VALOR_TOTAL]],"")</f>
        <v/>
      </c>
      <c r="O362" t="str">
        <f>IF(tblCalculo[[#This Row],[STATUS]]="PERDIDO",tblCalculo[[#This Row],[VALOR_TOTAL]],"")</f>
        <v/>
      </c>
      <c r="P362" t="str">
        <f>IF(tblCalculo[[#This Row],[STATUS]]="CONCLUÍDO",tblCalculo[[#This Row],[VALOR_TOTAL]],"")</f>
        <v/>
      </c>
    </row>
    <row r="363" spans="1:16" x14ac:dyDescent="0.25">
      <c r="A363" t="str">
        <f>tblVendas[[#This Row],[NR_SIMULACAO]]</f>
        <v>SIM1353</v>
      </c>
      <c r="B363" s="34" t="str">
        <f>_xlfn.XLOOKUP(A363,tblVendas[[#This Row],[NR_SIMULACAO]],tblVendas[[#This Row],[NR_CNPJ]],"")</f>
        <v>93.350.674/0001-20</v>
      </c>
      <c r="C363" t="str">
        <f>_xlfn.XLOOKUP(A363,tblVendas[[#This Row],[NR_SIMULACAO]],tblVendas[[#This Row],[STATUS]],"")</f>
        <v>PERDIDO</v>
      </c>
      <c r="D363" t="str">
        <f>_xlfn.XLOOKUP(A363,tblVendas[[#This Row],[NR_SIMULACAO]],tblVendas[[#This Row],[MES]],"")</f>
        <v>Outubro</v>
      </c>
      <c r="E363">
        <f>SUM(_xlfn.XLOOKUP(tblCalculo[[#This Row],[NR_SIMULACAO]],tblVendas[[#This Row],[NR_SIMULACAO]],tblVendas[[#This Row],[VALOR_MOVEL]],""):_xlfn.XLOOKUP(tblCalculo[[#This Row],[NR_SIMULACAO]],tblVendas[[#This Row],[NR_SIMULACAO]],tblVendas[[#This Row],[VALOR_APARELHO]],""))</f>
        <v>3667.76</v>
      </c>
      <c r="F363">
        <f>IF(tblCalculo[[#This Row],[STATUS]]="CONCLUÍDO",_xlfn.XLOOKUP(tblCalculo[[#This Row],[NR_SIMULACAO]],tblVendas[[#This Row],[NR_SIMULACAO]],tblVendas[[#This Row],[VALOR_MOVEL]],""),0)</f>
        <v>0</v>
      </c>
      <c r="G363">
        <f>IF(tblCalculo[[#This Row],[STATUS]]="CONCLUÍDO",_xlfn.XLOOKUP(tblCalculo[[#This Row],[NR_SIMULACAO]],tblVendas[[#This Row],[NR_SIMULACAO]],tblVendas[[#This Row],[VALOR_AVANCADO]],""),0)</f>
        <v>0</v>
      </c>
      <c r="H363">
        <f>IF(tblCalculo[[#This Row],[STATUS]]="CONCLUÍDO",_xlfn.XLOOKUP(tblCalculo[[#This Row],[NR_SIMULACAO]],tblVendas[[#This Row],[NR_SIMULACAO]],tblVendas[[#This Row],[VALOR_FIXABASICA]],""),0)</f>
        <v>0</v>
      </c>
      <c r="I363">
        <f>IF(tblCalculo[[#This Row],[STATUS]]="CONCLUÍDO",_xlfn.XLOOKUP(tblCalculo[[#This Row],[NR_SIMULACAO]],tblVendas[[#This Row],[NR_SIMULACAO]],tblVendas[[#This Row],[VALOR_TI]],""),0)</f>
        <v>0</v>
      </c>
      <c r="J363">
        <f>IF(tblCalculo[[#This Row],[STATUS]]="CONCLUÍDO",_xlfn.XLOOKUP(tblCalculo[[#This Row],[NR_SIMULACAO]],tblVendas[[#This Row],[NR_SIMULACAO]],tblVendas[[#This Row],[VALOR_APARELHO]],""),0)</f>
        <v>0</v>
      </c>
      <c r="K363" t="str">
        <f>IF(tblCalculo[[#This Row],[STATUS]]="NEGOCIANDO",tblCalculo[[#This Row],[VALOR_TOTAL]],"")</f>
        <v/>
      </c>
      <c r="L363" t="str">
        <f>IF(tblCalculo[[#This Row],[STATUS]]="ALÇADA",tblCalculo[[#This Row],[VALOR_TOTAL]],"")</f>
        <v/>
      </c>
      <c r="M363" t="str">
        <f>IF(tblCalculo[[#This Row],[STATUS]]="EM ANÁLISE",tblCalculo[[#This Row],[VALOR_TOTAL]],"")</f>
        <v/>
      </c>
      <c r="N363" t="str">
        <f>IF(tblCalculo[[#This Row],[STATUS]]="TRAMITANDO",tblCalculo[[#This Row],[VALOR_TOTAL]],"")</f>
        <v/>
      </c>
      <c r="O363">
        <f>IF(tblCalculo[[#This Row],[STATUS]]="PERDIDO",tblCalculo[[#This Row],[VALOR_TOTAL]],"")</f>
        <v>3667.76</v>
      </c>
      <c r="P363" t="str">
        <f>IF(tblCalculo[[#This Row],[STATUS]]="CONCLUÍDO",tblCalculo[[#This Row],[VALOR_TOTAL]],"")</f>
        <v/>
      </c>
    </row>
    <row r="364" spans="1:16" x14ac:dyDescent="0.25">
      <c r="A364" t="str">
        <f>tblVendas[[#This Row],[NR_SIMULACAO]]</f>
        <v>SIM1354</v>
      </c>
      <c r="B364" s="34" t="str">
        <f>_xlfn.XLOOKUP(A364,tblVendas[[#This Row],[NR_SIMULACAO]],tblVendas[[#This Row],[NR_CNPJ]],"")</f>
        <v>22.423.988/0001-88</v>
      </c>
      <c r="C364" t="str">
        <f>_xlfn.XLOOKUP(A364,tblVendas[[#This Row],[NR_SIMULACAO]],tblVendas[[#This Row],[STATUS]],"")</f>
        <v>TRAMITANDO</v>
      </c>
      <c r="D364" t="str">
        <f>_xlfn.XLOOKUP(A364,tblVendas[[#This Row],[NR_SIMULACAO]],tblVendas[[#This Row],[MES]],"")</f>
        <v>Agosto</v>
      </c>
      <c r="E364">
        <f>SUM(_xlfn.XLOOKUP(tblCalculo[[#This Row],[NR_SIMULACAO]],tblVendas[[#This Row],[NR_SIMULACAO]],tblVendas[[#This Row],[VALOR_MOVEL]],""):_xlfn.XLOOKUP(tblCalculo[[#This Row],[NR_SIMULACAO]],tblVendas[[#This Row],[NR_SIMULACAO]],tblVendas[[#This Row],[VALOR_APARELHO]],""))</f>
        <v>10992.07</v>
      </c>
      <c r="F364">
        <f>IF(tblCalculo[[#This Row],[STATUS]]="CONCLUÍDO",_xlfn.XLOOKUP(tblCalculo[[#This Row],[NR_SIMULACAO]],tblVendas[[#This Row],[NR_SIMULACAO]],tblVendas[[#This Row],[VALOR_MOVEL]],""),0)</f>
        <v>0</v>
      </c>
      <c r="G364">
        <f>IF(tblCalculo[[#This Row],[STATUS]]="CONCLUÍDO",_xlfn.XLOOKUP(tblCalculo[[#This Row],[NR_SIMULACAO]],tblVendas[[#This Row],[NR_SIMULACAO]],tblVendas[[#This Row],[VALOR_AVANCADO]],""),0)</f>
        <v>0</v>
      </c>
      <c r="H364">
        <f>IF(tblCalculo[[#This Row],[STATUS]]="CONCLUÍDO",_xlfn.XLOOKUP(tblCalculo[[#This Row],[NR_SIMULACAO]],tblVendas[[#This Row],[NR_SIMULACAO]],tblVendas[[#This Row],[VALOR_FIXABASICA]],""),0)</f>
        <v>0</v>
      </c>
      <c r="I364">
        <f>IF(tblCalculo[[#This Row],[STATUS]]="CONCLUÍDO",_xlfn.XLOOKUP(tblCalculo[[#This Row],[NR_SIMULACAO]],tblVendas[[#This Row],[NR_SIMULACAO]],tblVendas[[#This Row],[VALOR_TI]],""),0)</f>
        <v>0</v>
      </c>
      <c r="J364">
        <f>IF(tblCalculo[[#This Row],[STATUS]]="CONCLUÍDO",_xlfn.XLOOKUP(tblCalculo[[#This Row],[NR_SIMULACAO]],tblVendas[[#This Row],[NR_SIMULACAO]],tblVendas[[#This Row],[VALOR_APARELHO]],""),0)</f>
        <v>0</v>
      </c>
      <c r="K364" t="str">
        <f>IF(tblCalculo[[#This Row],[STATUS]]="NEGOCIANDO",tblCalculo[[#This Row],[VALOR_TOTAL]],"")</f>
        <v/>
      </c>
      <c r="L364" t="str">
        <f>IF(tblCalculo[[#This Row],[STATUS]]="ALÇADA",tblCalculo[[#This Row],[VALOR_TOTAL]],"")</f>
        <v/>
      </c>
      <c r="M364" t="str">
        <f>IF(tblCalculo[[#This Row],[STATUS]]="EM ANÁLISE",tblCalculo[[#This Row],[VALOR_TOTAL]],"")</f>
        <v/>
      </c>
      <c r="N364">
        <f>IF(tblCalculo[[#This Row],[STATUS]]="TRAMITANDO",tblCalculo[[#This Row],[VALOR_TOTAL]],"")</f>
        <v>10992.07</v>
      </c>
      <c r="O364" t="str">
        <f>IF(tblCalculo[[#This Row],[STATUS]]="PERDIDO",tblCalculo[[#This Row],[VALOR_TOTAL]],"")</f>
        <v/>
      </c>
      <c r="P364" t="str">
        <f>IF(tblCalculo[[#This Row],[STATUS]]="CONCLUÍDO",tblCalculo[[#This Row],[VALOR_TOTAL]],"")</f>
        <v/>
      </c>
    </row>
    <row r="365" spans="1:16" x14ac:dyDescent="0.25">
      <c r="A365" t="str">
        <f>tblVendas[[#This Row],[NR_SIMULACAO]]</f>
        <v>SIM1355</v>
      </c>
      <c r="B365" s="34" t="str">
        <f>_xlfn.XLOOKUP(A365,tblVendas[[#This Row],[NR_SIMULACAO]],tblVendas[[#This Row],[NR_CNPJ]],"")</f>
        <v>13.646.269/0001-48</v>
      </c>
      <c r="C365" t="str">
        <f>_xlfn.XLOOKUP(A365,tblVendas[[#This Row],[NR_SIMULACAO]],tblVendas[[#This Row],[STATUS]],"")</f>
        <v>ALÇADA</v>
      </c>
      <c r="D365" t="str">
        <f>_xlfn.XLOOKUP(A365,tblVendas[[#This Row],[NR_SIMULACAO]],tblVendas[[#This Row],[MES]],"")</f>
        <v>Outubro</v>
      </c>
      <c r="E365">
        <f>SUM(_xlfn.XLOOKUP(tblCalculo[[#This Row],[NR_SIMULACAO]],tblVendas[[#This Row],[NR_SIMULACAO]],tblVendas[[#This Row],[VALOR_MOVEL]],""):_xlfn.XLOOKUP(tblCalculo[[#This Row],[NR_SIMULACAO]],tblVendas[[#This Row],[NR_SIMULACAO]],tblVendas[[#This Row],[VALOR_APARELHO]],""))</f>
        <v>16527.13</v>
      </c>
      <c r="F365">
        <f>IF(tblCalculo[[#This Row],[STATUS]]="CONCLUÍDO",_xlfn.XLOOKUP(tblCalculo[[#This Row],[NR_SIMULACAO]],tblVendas[[#This Row],[NR_SIMULACAO]],tblVendas[[#This Row],[VALOR_MOVEL]],""),0)</f>
        <v>0</v>
      </c>
      <c r="G365">
        <f>IF(tblCalculo[[#This Row],[STATUS]]="CONCLUÍDO",_xlfn.XLOOKUP(tblCalculo[[#This Row],[NR_SIMULACAO]],tblVendas[[#This Row],[NR_SIMULACAO]],tblVendas[[#This Row],[VALOR_AVANCADO]],""),0)</f>
        <v>0</v>
      </c>
      <c r="H365">
        <f>IF(tblCalculo[[#This Row],[STATUS]]="CONCLUÍDO",_xlfn.XLOOKUP(tblCalculo[[#This Row],[NR_SIMULACAO]],tblVendas[[#This Row],[NR_SIMULACAO]],tblVendas[[#This Row],[VALOR_FIXABASICA]],""),0)</f>
        <v>0</v>
      </c>
      <c r="I365">
        <f>IF(tblCalculo[[#This Row],[STATUS]]="CONCLUÍDO",_xlfn.XLOOKUP(tblCalculo[[#This Row],[NR_SIMULACAO]],tblVendas[[#This Row],[NR_SIMULACAO]],tblVendas[[#This Row],[VALOR_TI]],""),0)</f>
        <v>0</v>
      </c>
      <c r="J365">
        <f>IF(tblCalculo[[#This Row],[STATUS]]="CONCLUÍDO",_xlfn.XLOOKUP(tblCalculo[[#This Row],[NR_SIMULACAO]],tblVendas[[#This Row],[NR_SIMULACAO]],tblVendas[[#This Row],[VALOR_APARELHO]],""),0)</f>
        <v>0</v>
      </c>
      <c r="K365" t="str">
        <f>IF(tblCalculo[[#This Row],[STATUS]]="NEGOCIANDO",tblCalculo[[#This Row],[VALOR_TOTAL]],"")</f>
        <v/>
      </c>
      <c r="L365">
        <f>IF(tblCalculo[[#This Row],[STATUS]]="ALÇADA",tblCalculo[[#This Row],[VALOR_TOTAL]],"")</f>
        <v>16527.13</v>
      </c>
      <c r="M365" t="str">
        <f>IF(tblCalculo[[#This Row],[STATUS]]="EM ANÁLISE",tblCalculo[[#This Row],[VALOR_TOTAL]],"")</f>
        <v/>
      </c>
      <c r="N365" t="str">
        <f>IF(tblCalculo[[#This Row],[STATUS]]="TRAMITANDO",tblCalculo[[#This Row],[VALOR_TOTAL]],"")</f>
        <v/>
      </c>
      <c r="O365" t="str">
        <f>IF(tblCalculo[[#This Row],[STATUS]]="PERDIDO",tblCalculo[[#This Row],[VALOR_TOTAL]],"")</f>
        <v/>
      </c>
      <c r="P365" t="str">
        <f>IF(tblCalculo[[#This Row],[STATUS]]="CONCLUÍDO",tblCalculo[[#This Row],[VALOR_TOTAL]],"")</f>
        <v/>
      </c>
    </row>
    <row r="366" spans="1:16" x14ac:dyDescent="0.25">
      <c r="A366" t="str">
        <f>tblVendas[[#This Row],[NR_SIMULACAO]]</f>
        <v>SIM1356</v>
      </c>
      <c r="B366" s="34" t="str">
        <f>_xlfn.XLOOKUP(A366,tblVendas[[#This Row],[NR_SIMULACAO]],tblVendas[[#This Row],[NR_CNPJ]],"")</f>
        <v>52.206.755/0001-36</v>
      </c>
      <c r="C366" t="str">
        <f>_xlfn.XLOOKUP(A366,tblVendas[[#This Row],[NR_SIMULACAO]],tblVendas[[#This Row],[STATUS]],"")</f>
        <v>ALÇADA</v>
      </c>
      <c r="D366" t="str">
        <f>_xlfn.XLOOKUP(A366,tblVendas[[#This Row],[NR_SIMULACAO]],tblVendas[[#This Row],[MES]],"")</f>
        <v>Janeiro</v>
      </c>
      <c r="E366">
        <f>SUM(_xlfn.XLOOKUP(tblCalculo[[#This Row],[NR_SIMULACAO]],tblVendas[[#This Row],[NR_SIMULACAO]],tblVendas[[#This Row],[VALOR_MOVEL]],""):_xlfn.XLOOKUP(tblCalculo[[#This Row],[NR_SIMULACAO]],tblVendas[[#This Row],[NR_SIMULACAO]],tblVendas[[#This Row],[VALOR_APARELHO]],""))</f>
        <v>18382.37</v>
      </c>
      <c r="F366">
        <f>IF(tblCalculo[[#This Row],[STATUS]]="CONCLUÍDO",_xlfn.XLOOKUP(tblCalculo[[#This Row],[NR_SIMULACAO]],tblVendas[[#This Row],[NR_SIMULACAO]],tblVendas[[#This Row],[VALOR_MOVEL]],""),0)</f>
        <v>0</v>
      </c>
      <c r="G366">
        <f>IF(tblCalculo[[#This Row],[STATUS]]="CONCLUÍDO",_xlfn.XLOOKUP(tblCalculo[[#This Row],[NR_SIMULACAO]],tblVendas[[#This Row],[NR_SIMULACAO]],tblVendas[[#This Row],[VALOR_AVANCADO]],""),0)</f>
        <v>0</v>
      </c>
      <c r="H366">
        <f>IF(tblCalculo[[#This Row],[STATUS]]="CONCLUÍDO",_xlfn.XLOOKUP(tblCalculo[[#This Row],[NR_SIMULACAO]],tblVendas[[#This Row],[NR_SIMULACAO]],tblVendas[[#This Row],[VALOR_FIXABASICA]],""),0)</f>
        <v>0</v>
      </c>
      <c r="I366">
        <f>IF(tblCalculo[[#This Row],[STATUS]]="CONCLUÍDO",_xlfn.XLOOKUP(tblCalculo[[#This Row],[NR_SIMULACAO]],tblVendas[[#This Row],[NR_SIMULACAO]],tblVendas[[#This Row],[VALOR_TI]],""),0)</f>
        <v>0</v>
      </c>
      <c r="J366">
        <f>IF(tblCalculo[[#This Row],[STATUS]]="CONCLUÍDO",_xlfn.XLOOKUP(tblCalculo[[#This Row],[NR_SIMULACAO]],tblVendas[[#This Row],[NR_SIMULACAO]],tblVendas[[#This Row],[VALOR_APARELHO]],""),0)</f>
        <v>0</v>
      </c>
      <c r="K366" t="str">
        <f>IF(tblCalculo[[#This Row],[STATUS]]="NEGOCIANDO",tblCalculo[[#This Row],[VALOR_TOTAL]],"")</f>
        <v/>
      </c>
      <c r="L366">
        <f>IF(tblCalculo[[#This Row],[STATUS]]="ALÇADA",tblCalculo[[#This Row],[VALOR_TOTAL]],"")</f>
        <v>18382.37</v>
      </c>
      <c r="M366" t="str">
        <f>IF(tblCalculo[[#This Row],[STATUS]]="EM ANÁLISE",tblCalculo[[#This Row],[VALOR_TOTAL]],"")</f>
        <v/>
      </c>
      <c r="N366" t="str">
        <f>IF(tblCalculo[[#This Row],[STATUS]]="TRAMITANDO",tblCalculo[[#This Row],[VALOR_TOTAL]],"")</f>
        <v/>
      </c>
      <c r="O366" t="str">
        <f>IF(tblCalculo[[#This Row],[STATUS]]="PERDIDO",tblCalculo[[#This Row],[VALOR_TOTAL]],"")</f>
        <v/>
      </c>
      <c r="P366" t="str">
        <f>IF(tblCalculo[[#This Row],[STATUS]]="CONCLUÍDO",tblCalculo[[#This Row],[VALOR_TOTAL]],"")</f>
        <v/>
      </c>
    </row>
    <row r="367" spans="1:16" x14ac:dyDescent="0.25">
      <c r="A367" t="str">
        <f>tblVendas[[#This Row],[NR_SIMULACAO]]</f>
        <v>SIM1357</v>
      </c>
      <c r="B367" s="34" t="str">
        <f>_xlfn.XLOOKUP(A367,tblVendas[[#This Row],[NR_SIMULACAO]],tblVendas[[#This Row],[NR_CNPJ]],"")</f>
        <v>50.272.172/0001-89</v>
      </c>
      <c r="C367" t="str">
        <f>_xlfn.XLOOKUP(A367,tblVendas[[#This Row],[NR_SIMULACAO]],tblVendas[[#This Row],[STATUS]],"")</f>
        <v>PERDIDO</v>
      </c>
      <c r="D367" t="str">
        <f>_xlfn.XLOOKUP(A367,tblVendas[[#This Row],[NR_SIMULACAO]],tblVendas[[#This Row],[MES]],"")</f>
        <v>Janeiro</v>
      </c>
      <c r="E367">
        <f>SUM(_xlfn.XLOOKUP(tblCalculo[[#This Row],[NR_SIMULACAO]],tblVendas[[#This Row],[NR_SIMULACAO]],tblVendas[[#This Row],[VALOR_MOVEL]],""):_xlfn.XLOOKUP(tblCalculo[[#This Row],[NR_SIMULACAO]],tblVendas[[#This Row],[NR_SIMULACAO]],tblVendas[[#This Row],[VALOR_APARELHO]],""))</f>
        <v>611.34</v>
      </c>
      <c r="F367">
        <f>IF(tblCalculo[[#This Row],[STATUS]]="CONCLUÍDO",_xlfn.XLOOKUP(tblCalculo[[#This Row],[NR_SIMULACAO]],tblVendas[[#This Row],[NR_SIMULACAO]],tblVendas[[#This Row],[VALOR_MOVEL]],""),0)</f>
        <v>0</v>
      </c>
      <c r="G367">
        <f>IF(tblCalculo[[#This Row],[STATUS]]="CONCLUÍDO",_xlfn.XLOOKUP(tblCalculo[[#This Row],[NR_SIMULACAO]],tblVendas[[#This Row],[NR_SIMULACAO]],tblVendas[[#This Row],[VALOR_AVANCADO]],""),0)</f>
        <v>0</v>
      </c>
      <c r="H367">
        <f>IF(tblCalculo[[#This Row],[STATUS]]="CONCLUÍDO",_xlfn.XLOOKUP(tblCalculo[[#This Row],[NR_SIMULACAO]],tblVendas[[#This Row],[NR_SIMULACAO]],tblVendas[[#This Row],[VALOR_FIXABASICA]],""),0)</f>
        <v>0</v>
      </c>
      <c r="I367">
        <f>IF(tblCalculo[[#This Row],[STATUS]]="CONCLUÍDO",_xlfn.XLOOKUP(tblCalculo[[#This Row],[NR_SIMULACAO]],tblVendas[[#This Row],[NR_SIMULACAO]],tblVendas[[#This Row],[VALOR_TI]],""),0)</f>
        <v>0</v>
      </c>
      <c r="J367">
        <f>IF(tblCalculo[[#This Row],[STATUS]]="CONCLUÍDO",_xlfn.XLOOKUP(tblCalculo[[#This Row],[NR_SIMULACAO]],tblVendas[[#This Row],[NR_SIMULACAO]],tblVendas[[#This Row],[VALOR_APARELHO]],""),0)</f>
        <v>0</v>
      </c>
      <c r="K367" t="str">
        <f>IF(tblCalculo[[#This Row],[STATUS]]="NEGOCIANDO",tblCalculo[[#This Row],[VALOR_TOTAL]],"")</f>
        <v/>
      </c>
      <c r="L367" t="str">
        <f>IF(tblCalculo[[#This Row],[STATUS]]="ALÇADA",tblCalculo[[#This Row],[VALOR_TOTAL]],"")</f>
        <v/>
      </c>
      <c r="M367" t="str">
        <f>IF(tblCalculo[[#This Row],[STATUS]]="EM ANÁLISE",tblCalculo[[#This Row],[VALOR_TOTAL]],"")</f>
        <v/>
      </c>
      <c r="N367" t="str">
        <f>IF(tblCalculo[[#This Row],[STATUS]]="TRAMITANDO",tblCalculo[[#This Row],[VALOR_TOTAL]],"")</f>
        <v/>
      </c>
      <c r="O367">
        <f>IF(tblCalculo[[#This Row],[STATUS]]="PERDIDO",tblCalculo[[#This Row],[VALOR_TOTAL]],"")</f>
        <v>611.34</v>
      </c>
      <c r="P367" t="str">
        <f>IF(tblCalculo[[#This Row],[STATUS]]="CONCLUÍDO",tblCalculo[[#This Row],[VALOR_TOTAL]],"")</f>
        <v/>
      </c>
    </row>
    <row r="368" spans="1:16" x14ac:dyDescent="0.25">
      <c r="A368" t="str">
        <f>tblVendas[[#This Row],[NR_SIMULACAO]]</f>
        <v>SIM1358</v>
      </c>
      <c r="B368" s="34" t="str">
        <f>_xlfn.XLOOKUP(A368,tblVendas[[#This Row],[NR_SIMULACAO]],tblVendas[[#This Row],[NR_CNPJ]],"")</f>
        <v>42.380.757/0001-73</v>
      </c>
      <c r="C368" t="str">
        <f>_xlfn.XLOOKUP(A368,tblVendas[[#This Row],[NR_SIMULACAO]],tblVendas[[#This Row],[STATUS]],"")</f>
        <v>ALÇADA</v>
      </c>
      <c r="D368" t="str">
        <f>_xlfn.XLOOKUP(A368,tblVendas[[#This Row],[NR_SIMULACAO]],tblVendas[[#This Row],[MES]],"")</f>
        <v>Dezembro</v>
      </c>
      <c r="E368">
        <f>SUM(_xlfn.XLOOKUP(tblCalculo[[#This Row],[NR_SIMULACAO]],tblVendas[[#This Row],[NR_SIMULACAO]],tblVendas[[#This Row],[VALOR_MOVEL]],""):_xlfn.XLOOKUP(tblCalculo[[#This Row],[NR_SIMULACAO]],tblVendas[[#This Row],[NR_SIMULACAO]],tblVendas[[#This Row],[VALOR_APARELHO]],""))</f>
        <v>9743.8799999999992</v>
      </c>
      <c r="F368">
        <f>IF(tblCalculo[[#This Row],[STATUS]]="CONCLUÍDO",_xlfn.XLOOKUP(tblCalculo[[#This Row],[NR_SIMULACAO]],tblVendas[[#This Row],[NR_SIMULACAO]],tblVendas[[#This Row],[VALOR_MOVEL]],""),0)</f>
        <v>0</v>
      </c>
      <c r="G368">
        <f>IF(tblCalculo[[#This Row],[STATUS]]="CONCLUÍDO",_xlfn.XLOOKUP(tblCalculo[[#This Row],[NR_SIMULACAO]],tblVendas[[#This Row],[NR_SIMULACAO]],tblVendas[[#This Row],[VALOR_AVANCADO]],""),0)</f>
        <v>0</v>
      </c>
      <c r="H368">
        <f>IF(tblCalculo[[#This Row],[STATUS]]="CONCLUÍDO",_xlfn.XLOOKUP(tblCalculo[[#This Row],[NR_SIMULACAO]],tblVendas[[#This Row],[NR_SIMULACAO]],tblVendas[[#This Row],[VALOR_FIXABASICA]],""),0)</f>
        <v>0</v>
      </c>
      <c r="I368">
        <f>IF(tblCalculo[[#This Row],[STATUS]]="CONCLUÍDO",_xlfn.XLOOKUP(tblCalculo[[#This Row],[NR_SIMULACAO]],tblVendas[[#This Row],[NR_SIMULACAO]],tblVendas[[#This Row],[VALOR_TI]],""),0)</f>
        <v>0</v>
      </c>
      <c r="J368">
        <f>IF(tblCalculo[[#This Row],[STATUS]]="CONCLUÍDO",_xlfn.XLOOKUP(tblCalculo[[#This Row],[NR_SIMULACAO]],tblVendas[[#This Row],[NR_SIMULACAO]],tblVendas[[#This Row],[VALOR_APARELHO]],""),0)</f>
        <v>0</v>
      </c>
      <c r="K368" t="str">
        <f>IF(tblCalculo[[#This Row],[STATUS]]="NEGOCIANDO",tblCalculo[[#This Row],[VALOR_TOTAL]],"")</f>
        <v/>
      </c>
      <c r="L368">
        <f>IF(tblCalculo[[#This Row],[STATUS]]="ALÇADA",tblCalculo[[#This Row],[VALOR_TOTAL]],"")</f>
        <v>9743.8799999999992</v>
      </c>
      <c r="M368" t="str">
        <f>IF(tblCalculo[[#This Row],[STATUS]]="EM ANÁLISE",tblCalculo[[#This Row],[VALOR_TOTAL]],"")</f>
        <v/>
      </c>
      <c r="N368" t="str">
        <f>IF(tblCalculo[[#This Row],[STATUS]]="TRAMITANDO",tblCalculo[[#This Row],[VALOR_TOTAL]],"")</f>
        <v/>
      </c>
      <c r="O368" t="str">
        <f>IF(tblCalculo[[#This Row],[STATUS]]="PERDIDO",tblCalculo[[#This Row],[VALOR_TOTAL]],"")</f>
        <v/>
      </c>
      <c r="P368" t="str">
        <f>IF(tblCalculo[[#This Row],[STATUS]]="CONCLUÍDO",tblCalculo[[#This Row],[VALOR_TOTAL]],"")</f>
        <v/>
      </c>
    </row>
    <row r="369" spans="1:16" x14ac:dyDescent="0.25">
      <c r="A369" t="str">
        <f>tblVendas[[#This Row],[NR_SIMULACAO]]</f>
        <v>SIM1359</v>
      </c>
      <c r="B369" s="34" t="str">
        <f>_xlfn.XLOOKUP(A369,tblVendas[[#This Row],[NR_SIMULACAO]],tblVendas[[#This Row],[NR_CNPJ]],"")</f>
        <v>44.177.514/0001-90</v>
      </c>
      <c r="C369" t="str">
        <f>_xlfn.XLOOKUP(A369,tblVendas[[#This Row],[NR_SIMULACAO]],tblVendas[[#This Row],[STATUS]],"")</f>
        <v>ALÇADA</v>
      </c>
      <c r="D369" t="str">
        <f>_xlfn.XLOOKUP(A369,tblVendas[[#This Row],[NR_SIMULACAO]],tblVendas[[#This Row],[MES]],"")</f>
        <v>Junho</v>
      </c>
      <c r="E369">
        <f>SUM(_xlfn.XLOOKUP(tblCalculo[[#This Row],[NR_SIMULACAO]],tblVendas[[#This Row],[NR_SIMULACAO]],tblVendas[[#This Row],[VALOR_MOVEL]],""):_xlfn.XLOOKUP(tblCalculo[[#This Row],[NR_SIMULACAO]],tblVendas[[#This Row],[NR_SIMULACAO]],tblVendas[[#This Row],[VALOR_APARELHO]],""))</f>
        <v>15582.83</v>
      </c>
      <c r="F369">
        <f>IF(tblCalculo[[#This Row],[STATUS]]="CONCLUÍDO",_xlfn.XLOOKUP(tblCalculo[[#This Row],[NR_SIMULACAO]],tblVendas[[#This Row],[NR_SIMULACAO]],tblVendas[[#This Row],[VALOR_MOVEL]],""),0)</f>
        <v>0</v>
      </c>
      <c r="G369">
        <f>IF(tblCalculo[[#This Row],[STATUS]]="CONCLUÍDO",_xlfn.XLOOKUP(tblCalculo[[#This Row],[NR_SIMULACAO]],tblVendas[[#This Row],[NR_SIMULACAO]],tblVendas[[#This Row],[VALOR_AVANCADO]],""),0)</f>
        <v>0</v>
      </c>
      <c r="H369">
        <f>IF(tblCalculo[[#This Row],[STATUS]]="CONCLUÍDO",_xlfn.XLOOKUP(tblCalculo[[#This Row],[NR_SIMULACAO]],tblVendas[[#This Row],[NR_SIMULACAO]],tblVendas[[#This Row],[VALOR_FIXABASICA]],""),0)</f>
        <v>0</v>
      </c>
      <c r="I369">
        <f>IF(tblCalculo[[#This Row],[STATUS]]="CONCLUÍDO",_xlfn.XLOOKUP(tblCalculo[[#This Row],[NR_SIMULACAO]],tblVendas[[#This Row],[NR_SIMULACAO]],tblVendas[[#This Row],[VALOR_TI]],""),0)</f>
        <v>0</v>
      </c>
      <c r="J369">
        <f>IF(tblCalculo[[#This Row],[STATUS]]="CONCLUÍDO",_xlfn.XLOOKUP(tblCalculo[[#This Row],[NR_SIMULACAO]],tblVendas[[#This Row],[NR_SIMULACAO]],tblVendas[[#This Row],[VALOR_APARELHO]],""),0)</f>
        <v>0</v>
      </c>
      <c r="K369" t="str">
        <f>IF(tblCalculo[[#This Row],[STATUS]]="NEGOCIANDO",tblCalculo[[#This Row],[VALOR_TOTAL]],"")</f>
        <v/>
      </c>
      <c r="L369">
        <f>IF(tblCalculo[[#This Row],[STATUS]]="ALÇADA",tblCalculo[[#This Row],[VALOR_TOTAL]],"")</f>
        <v>15582.83</v>
      </c>
      <c r="M369" t="str">
        <f>IF(tblCalculo[[#This Row],[STATUS]]="EM ANÁLISE",tblCalculo[[#This Row],[VALOR_TOTAL]],"")</f>
        <v/>
      </c>
      <c r="N369" t="str">
        <f>IF(tblCalculo[[#This Row],[STATUS]]="TRAMITANDO",tblCalculo[[#This Row],[VALOR_TOTAL]],"")</f>
        <v/>
      </c>
      <c r="O369" t="str">
        <f>IF(tblCalculo[[#This Row],[STATUS]]="PERDIDO",tblCalculo[[#This Row],[VALOR_TOTAL]],"")</f>
        <v/>
      </c>
      <c r="P369" t="str">
        <f>IF(tblCalculo[[#This Row],[STATUS]]="CONCLUÍDO",tblCalculo[[#This Row],[VALOR_TOTAL]],"")</f>
        <v/>
      </c>
    </row>
    <row r="370" spans="1:16" x14ac:dyDescent="0.25">
      <c r="A370" t="str">
        <f>tblVendas[[#This Row],[NR_SIMULACAO]]</f>
        <v>SIM1360</v>
      </c>
      <c r="B370" s="34" t="str">
        <f>_xlfn.XLOOKUP(A370,tblVendas[[#This Row],[NR_SIMULACAO]],tblVendas[[#This Row],[NR_CNPJ]],"")</f>
        <v>94.978.855/0001-44</v>
      </c>
      <c r="C370" t="str">
        <f>_xlfn.XLOOKUP(A370,tblVendas[[#This Row],[NR_SIMULACAO]],tblVendas[[#This Row],[STATUS]],"")</f>
        <v>EM ANÁLISE</v>
      </c>
      <c r="D370" t="str">
        <f>_xlfn.XLOOKUP(A370,tblVendas[[#This Row],[NR_SIMULACAO]],tblVendas[[#This Row],[MES]],"")</f>
        <v>Abril</v>
      </c>
      <c r="E370">
        <f>SUM(_xlfn.XLOOKUP(tblCalculo[[#This Row],[NR_SIMULACAO]],tblVendas[[#This Row],[NR_SIMULACAO]],tblVendas[[#This Row],[VALOR_MOVEL]],""):_xlfn.XLOOKUP(tblCalculo[[#This Row],[NR_SIMULACAO]],tblVendas[[#This Row],[NR_SIMULACAO]],tblVendas[[#This Row],[VALOR_APARELHO]],""))</f>
        <v>7547.63</v>
      </c>
      <c r="F370">
        <f>IF(tblCalculo[[#This Row],[STATUS]]="CONCLUÍDO",_xlfn.XLOOKUP(tblCalculo[[#This Row],[NR_SIMULACAO]],tblVendas[[#This Row],[NR_SIMULACAO]],tblVendas[[#This Row],[VALOR_MOVEL]],""),0)</f>
        <v>0</v>
      </c>
      <c r="G370">
        <f>IF(tblCalculo[[#This Row],[STATUS]]="CONCLUÍDO",_xlfn.XLOOKUP(tblCalculo[[#This Row],[NR_SIMULACAO]],tblVendas[[#This Row],[NR_SIMULACAO]],tblVendas[[#This Row],[VALOR_AVANCADO]],""),0)</f>
        <v>0</v>
      </c>
      <c r="H370">
        <f>IF(tblCalculo[[#This Row],[STATUS]]="CONCLUÍDO",_xlfn.XLOOKUP(tblCalculo[[#This Row],[NR_SIMULACAO]],tblVendas[[#This Row],[NR_SIMULACAO]],tblVendas[[#This Row],[VALOR_FIXABASICA]],""),0)</f>
        <v>0</v>
      </c>
      <c r="I370">
        <f>IF(tblCalculo[[#This Row],[STATUS]]="CONCLUÍDO",_xlfn.XLOOKUP(tblCalculo[[#This Row],[NR_SIMULACAO]],tblVendas[[#This Row],[NR_SIMULACAO]],tblVendas[[#This Row],[VALOR_TI]],""),0)</f>
        <v>0</v>
      </c>
      <c r="J370">
        <f>IF(tblCalculo[[#This Row],[STATUS]]="CONCLUÍDO",_xlfn.XLOOKUP(tblCalculo[[#This Row],[NR_SIMULACAO]],tblVendas[[#This Row],[NR_SIMULACAO]],tblVendas[[#This Row],[VALOR_APARELHO]],""),0)</f>
        <v>0</v>
      </c>
      <c r="K370" t="str">
        <f>IF(tblCalculo[[#This Row],[STATUS]]="NEGOCIANDO",tblCalculo[[#This Row],[VALOR_TOTAL]],"")</f>
        <v/>
      </c>
      <c r="L370" t="str">
        <f>IF(tblCalculo[[#This Row],[STATUS]]="ALÇADA",tblCalculo[[#This Row],[VALOR_TOTAL]],"")</f>
        <v/>
      </c>
      <c r="M370">
        <f>IF(tblCalculo[[#This Row],[STATUS]]="EM ANÁLISE",tblCalculo[[#This Row],[VALOR_TOTAL]],"")</f>
        <v>7547.63</v>
      </c>
      <c r="N370" t="str">
        <f>IF(tblCalculo[[#This Row],[STATUS]]="TRAMITANDO",tblCalculo[[#This Row],[VALOR_TOTAL]],"")</f>
        <v/>
      </c>
      <c r="O370" t="str">
        <f>IF(tblCalculo[[#This Row],[STATUS]]="PERDIDO",tblCalculo[[#This Row],[VALOR_TOTAL]],"")</f>
        <v/>
      </c>
      <c r="P370" t="str">
        <f>IF(tblCalculo[[#This Row],[STATUS]]="CONCLUÍDO",tblCalculo[[#This Row],[VALOR_TOTAL]],"")</f>
        <v/>
      </c>
    </row>
    <row r="371" spans="1:16" x14ac:dyDescent="0.25">
      <c r="A371" t="str">
        <f>tblVendas[[#This Row],[NR_SIMULACAO]]</f>
        <v>SIM1361</v>
      </c>
      <c r="B371" s="34" t="str">
        <f>_xlfn.XLOOKUP(A371,tblVendas[[#This Row],[NR_SIMULACAO]],tblVendas[[#This Row],[NR_CNPJ]],"")</f>
        <v>27.332.811/0001-53</v>
      </c>
      <c r="C371" t="str">
        <f>_xlfn.XLOOKUP(A371,tblVendas[[#This Row],[NR_SIMULACAO]],tblVendas[[#This Row],[STATUS]],"")</f>
        <v>EM ANÁLISE</v>
      </c>
      <c r="D371" t="str">
        <f>_xlfn.XLOOKUP(A371,tblVendas[[#This Row],[NR_SIMULACAO]],tblVendas[[#This Row],[MES]],"")</f>
        <v>Março</v>
      </c>
      <c r="E371">
        <f>SUM(_xlfn.XLOOKUP(tblCalculo[[#This Row],[NR_SIMULACAO]],tblVendas[[#This Row],[NR_SIMULACAO]],tblVendas[[#This Row],[VALOR_MOVEL]],""):_xlfn.XLOOKUP(tblCalculo[[#This Row],[NR_SIMULACAO]],tblVendas[[#This Row],[NR_SIMULACAO]],tblVendas[[#This Row],[VALOR_APARELHO]],""))</f>
        <v>7269.3899999999994</v>
      </c>
      <c r="F371">
        <f>IF(tblCalculo[[#This Row],[STATUS]]="CONCLUÍDO",_xlfn.XLOOKUP(tblCalculo[[#This Row],[NR_SIMULACAO]],tblVendas[[#This Row],[NR_SIMULACAO]],tblVendas[[#This Row],[VALOR_MOVEL]],""),0)</f>
        <v>0</v>
      </c>
      <c r="G371">
        <f>IF(tblCalculo[[#This Row],[STATUS]]="CONCLUÍDO",_xlfn.XLOOKUP(tblCalculo[[#This Row],[NR_SIMULACAO]],tblVendas[[#This Row],[NR_SIMULACAO]],tblVendas[[#This Row],[VALOR_AVANCADO]],""),0)</f>
        <v>0</v>
      </c>
      <c r="H371">
        <f>IF(tblCalculo[[#This Row],[STATUS]]="CONCLUÍDO",_xlfn.XLOOKUP(tblCalculo[[#This Row],[NR_SIMULACAO]],tblVendas[[#This Row],[NR_SIMULACAO]],tblVendas[[#This Row],[VALOR_FIXABASICA]],""),0)</f>
        <v>0</v>
      </c>
      <c r="I371">
        <f>IF(tblCalculo[[#This Row],[STATUS]]="CONCLUÍDO",_xlfn.XLOOKUP(tblCalculo[[#This Row],[NR_SIMULACAO]],tblVendas[[#This Row],[NR_SIMULACAO]],tblVendas[[#This Row],[VALOR_TI]],""),0)</f>
        <v>0</v>
      </c>
      <c r="J371">
        <f>IF(tblCalculo[[#This Row],[STATUS]]="CONCLUÍDO",_xlfn.XLOOKUP(tblCalculo[[#This Row],[NR_SIMULACAO]],tblVendas[[#This Row],[NR_SIMULACAO]],tblVendas[[#This Row],[VALOR_APARELHO]],""),0)</f>
        <v>0</v>
      </c>
      <c r="K371" t="str">
        <f>IF(tblCalculo[[#This Row],[STATUS]]="NEGOCIANDO",tblCalculo[[#This Row],[VALOR_TOTAL]],"")</f>
        <v/>
      </c>
      <c r="L371" t="str">
        <f>IF(tblCalculo[[#This Row],[STATUS]]="ALÇADA",tblCalculo[[#This Row],[VALOR_TOTAL]],"")</f>
        <v/>
      </c>
      <c r="M371">
        <f>IF(tblCalculo[[#This Row],[STATUS]]="EM ANÁLISE",tblCalculo[[#This Row],[VALOR_TOTAL]],"")</f>
        <v>7269.3899999999994</v>
      </c>
      <c r="N371" t="str">
        <f>IF(tblCalculo[[#This Row],[STATUS]]="TRAMITANDO",tblCalculo[[#This Row],[VALOR_TOTAL]],"")</f>
        <v/>
      </c>
      <c r="O371" t="str">
        <f>IF(tblCalculo[[#This Row],[STATUS]]="PERDIDO",tblCalculo[[#This Row],[VALOR_TOTAL]],"")</f>
        <v/>
      </c>
      <c r="P371" t="str">
        <f>IF(tblCalculo[[#This Row],[STATUS]]="CONCLUÍDO",tblCalculo[[#This Row],[VALOR_TOTAL]],"")</f>
        <v/>
      </c>
    </row>
    <row r="372" spans="1:16" x14ac:dyDescent="0.25">
      <c r="A372" t="str">
        <f>tblVendas[[#This Row],[NR_SIMULACAO]]</f>
        <v>SIM1362</v>
      </c>
      <c r="B372" s="34" t="str">
        <f>_xlfn.XLOOKUP(A372,tblVendas[[#This Row],[NR_SIMULACAO]],tblVendas[[#This Row],[NR_CNPJ]],"")</f>
        <v>84.996.965/0001-10</v>
      </c>
      <c r="C372" t="str">
        <f>_xlfn.XLOOKUP(A372,tblVendas[[#This Row],[NR_SIMULACAO]],tblVendas[[#This Row],[STATUS]],"")</f>
        <v>CONCLUÍDO</v>
      </c>
      <c r="D372" t="str">
        <f>_xlfn.XLOOKUP(A372,tblVendas[[#This Row],[NR_SIMULACAO]],tblVendas[[#This Row],[MES]],"")</f>
        <v>Setembro</v>
      </c>
      <c r="E372">
        <f>SUM(_xlfn.XLOOKUP(tblCalculo[[#This Row],[NR_SIMULACAO]],tblVendas[[#This Row],[NR_SIMULACAO]],tblVendas[[#This Row],[VALOR_MOVEL]],""):_xlfn.XLOOKUP(tblCalculo[[#This Row],[NR_SIMULACAO]],tblVendas[[#This Row],[NR_SIMULACAO]],tblVendas[[#This Row],[VALOR_APARELHO]],""))</f>
        <v>25222.57</v>
      </c>
      <c r="F372">
        <f>IF(tblCalculo[[#This Row],[STATUS]]="CONCLUÍDO",_xlfn.XLOOKUP(tblCalculo[[#This Row],[NR_SIMULACAO]],tblVendas[[#This Row],[NR_SIMULACAO]],tblVendas[[#This Row],[VALOR_MOVEL]],""),0)</f>
        <v>0</v>
      </c>
      <c r="G372">
        <f>IF(tblCalculo[[#This Row],[STATUS]]="CONCLUÍDO",_xlfn.XLOOKUP(tblCalculo[[#This Row],[NR_SIMULACAO]],tblVendas[[#This Row],[NR_SIMULACAO]],tblVendas[[#This Row],[VALOR_AVANCADO]],""),0)</f>
        <v>4087.13</v>
      </c>
      <c r="H372">
        <f>IF(tblCalculo[[#This Row],[STATUS]]="CONCLUÍDO",_xlfn.XLOOKUP(tblCalculo[[#This Row],[NR_SIMULACAO]],tblVendas[[#This Row],[NR_SIMULACAO]],tblVendas[[#This Row],[VALOR_FIXABASICA]],""),0)</f>
        <v>0</v>
      </c>
      <c r="I372">
        <f>IF(tblCalculo[[#This Row],[STATUS]]="CONCLUÍDO",_xlfn.XLOOKUP(tblCalculo[[#This Row],[NR_SIMULACAO]],tblVendas[[#This Row],[NR_SIMULACAO]],tblVendas[[#This Row],[VALOR_TI]],""),0)</f>
        <v>11728.98</v>
      </c>
      <c r="J372">
        <f>IF(tblCalculo[[#This Row],[STATUS]]="CONCLUÍDO",_xlfn.XLOOKUP(tblCalculo[[#This Row],[NR_SIMULACAO]],tblVendas[[#This Row],[NR_SIMULACAO]],tblVendas[[#This Row],[VALOR_APARELHO]],""),0)</f>
        <v>9406.4599999999991</v>
      </c>
      <c r="K372" t="str">
        <f>IF(tblCalculo[[#This Row],[STATUS]]="NEGOCIANDO",tblCalculo[[#This Row],[VALOR_TOTAL]],"")</f>
        <v/>
      </c>
      <c r="L372" t="str">
        <f>IF(tblCalculo[[#This Row],[STATUS]]="ALÇADA",tblCalculo[[#This Row],[VALOR_TOTAL]],"")</f>
        <v/>
      </c>
      <c r="M372" t="str">
        <f>IF(tblCalculo[[#This Row],[STATUS]]="EM ANÁLISE",tblCalculo[[#This Row],[VALOR_TOTAL]],"")</f>
        <v/>
      </c>
      <c r="N372" t="str">
        <f>IF(tblCalculo[[#This Row],[STATUS]]="TRAMITANDO",tblCalculo[[#This Row],[VALOR_TOTAL]],"")</f>
        <v/>
      </c>
      <c r="O372" t="str">
        <f>IF(tblCalculo[[#This Row],[STATUS]]="PERDIDO",tblCalculo[[#This Row],[VALOR_TOTAL]],"")</f>
        <v/>
      </c>
      <c r="P372">
        <f>IF(tblCalculo[[#This Row],[STATUS]]="CONCLUÍDO",tblCalculo[[#This Row],[VALOR_TOTAL]],"")</f>
        <v>25222.57</v>
      </c>
    </row>
    <row r="373" spans="1:16" x14ac:dyDescent="0.25">
      <c r="A373" t="str">
        <f>tblVendas[[#This Row],[NR_SIMULACAO]]</f>
        <v>SIM1363</v>
      </c>
      <c r="B373" s="34" t="str">
        <f>_xlfn.XLOOKUP(A373,tblVendas[[#This Row],[NR_SIMULACAO]],tblVendas[[#This Row],[NR_CNPJ]],"")</f>
        <v>97.386.724/0001-82</v>
      </c>
      <c r="C373" t="str">
        <f>_xlfn.XLOOKUP(A373,tblVendas[[#This Row],[NR_SIMULACAO]],tblVendas[[#This Row],[STATUS]],"")</f>
        <v>TRAMITANDO</v>
      </c>
      <c r="D373" t="str">
        <f>_xlfn.XLOOKUP(A373,tblVendas[[#This Row],[NR_SIMULACAO]],tblVendas[[#This Row],[MES]],"")</f>
        <v>Dezembro</v>
      </c>
      <c r="E373">
        <f>SUM(_xlfn.XLOOKUP(tblCalculo[[#This Row],[NR_SIMULACAO]],tblVendas[[#This Row],[NR_SIMULACAO]],tblVendas[[#This Row],[VALOR_MOVEL]],""):_xlfn.XLOOKUP(tblCalculo[[#This Row],[NR_SIMULACAO]],tblVendas[[#This Row],[NR_SIMULACAO]],tblVendas[[#This Row],[VALOR_APARELHO]],""))</f>
        <v>15503.9</v>
      </c>
      <c r="F373">
        <f>IF(tblCalculo[[#This Row],[STATUS]]="CONCLUÍDO",_xlfn.XLOOKUP(tblCalculo[[#This Row],[NR_SIMULACAO]],tblVendas[[#This Row],[NR_SIMULACAO]],tblVendas[[#This Row],[VALOR_MOVEL]],""),0)</f>
        <v>0</v>
      </c>
      <c r="G373">
        <f>IF(tblCalculo[[#This Row],[STATUS]]="CONCLUÍDO",_xlfn.XLOOKUP(tblCalculo[[#This Row],[NR_SIMULACAO]],tblVendas[[#This Row],[NR_SIMULACAO]],tblVendas[[#This Row],[VALOR_AVANCADO]],""),0)</f>
        <v>0</v>
      </c>
      <c r="H373">
        <f>IF(tblCalculo[[#This Row],[STATUS]]="CONCLUÍDO",_xlfn.XLOOKUP(tblCalculo[[#This Row],[NR_SIMULACAO]],tblVendas[[#This Row],[NR_SIMULACAO]],tblVendas[[#This Row],[VALOR_FIXABASICA]],""),0)</f>
        <v>0</v>
      </c>
      <c r="I373">
        <f>IF(tblCalculo[[#This Row],[STATUS]]="CONCLUÍDO",_xlfn.XLOOKUP(tblCalculo[[#This Row],[NR_SIMULACAO]],tblVendas[[#This Row],[NR_SIMULACAO]],tblVendas[[#This Row],[VALOR_TI]],""),0)</f>
        <v>0</v>
      </c>
      <c r="J373">
        <f>IF(tblCalculo[[#This Row],[STATUS]]="CONCLUÍDO",_xlfn.XLOOKUP(tblCalculo[[#This Row],[NR_SIMULACAO]],tblVendas[[#This Row],[NR_SIMULACAO]],tblVendas[[#This Row],[VALOR_APARELHO]],""),0)</f>
        <v>0</v>
      </c>
      <c r="K373" t="str">
        <f>IF(tblCalculo[[#This Row],[STATUS]]="NEGOCIANDO",tblCalculo[[#This Row],[VALOR_TOTAL]],"")</f>
        <v/>
      </c>
      <c r="L373" t="str">
        <f>IF(tblCalculo[[#This Row],[STATUS]]="ALÇADA",tblCalculo[[#This Row],[VALOR_TOTAL]],"")</f>
        <v/>
      </c>
      <c r="M373" t="str">
        <f>IF(tblCalculo[[#This Row],[STATUS]]="EM ANÁLISE",tblCalculo[[#This Row],[VALOR_TOTAL]],"")</f>
        <v/>
      </c>
      <c r="N373">
        <f>IF(tblCalculo[[#This Row],[STATUS]]="TRAMITANDO",tblCalculo[[#This Row],[VALOR_TOTAL]],"")</f>
        <v>15503.9</v>
      </c>
      <c r="O373" t="str">
        <f>IF(tblCalculo[[#This Row],[STATUS]]="PERDIDO",tblCalculo[[#This Row],[VALOR_TOTAL]],"")</f>
        <v/>
      </c>
      <c r="P373" t="str">
        <f>IF(tblCalculo[[#This Row],[STATUS]]="CONCLUÍDO",tblCalculo[[#This Row],[VALOR_TOTAL]],"")</f>
        <v/>
      </c>
    </row>
    <row r="374" spans="1:16" x14ac:dyDescent="0.25">
      <c r="A374" t="str">
        <f>tblVendas[[#This Row],[NR_SIMULACAO]]</f>
        <v>SIM1364</v>
      </c>
      <c r="B374" s="34" t="str">
        <f>_xlfn.XLOOKUP(A374,tblVendas[[#This Row],[NR_SIMULACAO]],tblVendas[[#This Row],[NR_CNPJ]],"")</f>
        <v>32.463.652/0001-85</v>
      </c>
      <c r="C374" t="str">
        <f>_xlfn.XLOOKUP(A374,tblVendas[[#This Row],[NR_SIMULACAO]],tblVendas[[#This Row],[STATUS]],"")</f>
        <v>PERDIDO</v>
      </c>
      <c r="D374" t="str">
        <f>_xlfn.XLOOKUP(A374,tblVendas[[#This Row],[NR_SIMULACAO]],tblVendas[[#This Row],[MES]],"")</f>
        <v>Novembro</v>
      </c>
      <c r="E374">
        <f>SUM(_xlfn.XLOOKUP(tblCalculo[[#This Row],[NR_SIMULACAO]],tblVendas[[#This Row],[NR_SIMULACAO]],tblVendas[[#This Row],[VALOR_MOVEL]],""):_xlfn.XLOOKUP(tblCalculo[[#This Row],[NR_SIMULACAO]],tblVendas[[#This Row],[NR_SIMULACAO]],tblVendas[[#This Row],[VALOR_APARELHO]],""))</f>
        <v>3292.88</v>
      </c>
      <c r="F374">
        <f>IF(tblCalculo[[#This Row],[STATUS]]="CONCLUÍDO",_xlfn.XLOOKUP(tblCalculo[[#This Row],[NR_SIMULACAO]],tblVendas[[#This Row],[NR_SIMULACAO]],tblVendas[[#This Row],[VALOR_MOVEL]],""),0)</f>
        <v>0</v>
      </c>
      <c r="G374">
        <f>IF(tblCalculo[[#This Row],[STATUS]]="CONCLUÍDO",_xlfn.XLOOKUP(tblCalculo[[#This Row],[NR_SIMULACAO]],tblVendas[[#This Row],[NR_SIMULACAO]],tblVendas[[#This Row],[VALOR_AVANCADO]],""),0)</f>
        <v>0</v>
      </c>
      <c r="H374">
        <f>IF(tblCalculo[[#This Row],[STATUS]]="CONCLUÍDO",_xlfn.XLOOKUP(tblCalculo[[#This Row],[NR_SIMULACAO]],tblVendas[[#This Row],[NR_SIMULACAO]],tblVendas[[#This Row],[VALOR_FIXABASICA]],""),0)</f>
        <v>0</v>
      </c>
      <c r="I374">
        <f>IF(tblCalculo[[#This Row],[STATUS]]="CONCLUÍDO",_xlfn.XLOOKUP(tblCalculo[[#This Row],[NR_SIMULACAO]],tblVendas[[#This Row],[NR_SIMULACAO]],tblVendas[[#This Row],[VALOR_TI]],""),0)</f>
        <v>0</v>
      </c>
      <c r="J374">
        <f>IF(tblCalculo[[#This Row],[STATUS]]="CONCLUÍDO",_xlfn.XLOOKUP(tblCalculo[[#This Row],[NR_SIMULACAO]],tblVendas[[#This Row],[NR_SIMULACAO]],tblVendas[[#This Row],[VALOR_APARELHO]],""),0)</f>
        <v>0</v>
      </c>
      <c r="K374" t="str">
        <f>IF(tblCalculo[[#This Row],[STATUS]]="NEGOCIANDO",tblCalculo[[#This Row],[VALOR_TOTAL]],"")</f>
        <v/>
      </c>
      <c r="L374" t="str">
        <f>IF(tblCalculo[[#This Row],[STATUS]]="ALÇADA",tblCalculo[[#This Row],[VALOR_TOTAL]],"")</f>
        <v/>
      </c>
      <c r="M374" t="str">
        <f>IF(tblCalculo[[#This Row],[STATUS]]="EM ANÁLISE",tblCalculo[[#This Row],[VALOR_TOTAL]],"")</f>
        <v/>
      </c>
      <c r="N374" t="str">
        <f>IF(tblCalculo[[#This Row],[STATUS]]="TRAMITANDO",tblCalculo[[#This Row],[VALOR_TOTAL]],"")</f>
        <v/>
      </c>
      <c r="O374">
        <f>IF(tblCalculo[[#This Row],[STATUS]]="PERDIDO",tblCalculo[[#This Row],[VALOR_TOTAL]],"")</f>
        <v>3292.88</v>
      </c>
      <c r="P374" t="str">
        <f>IF(tblCalculo[[#This Row],[STATUS]]="CONCLUÍDO",tblCalculo[[#This Row],[VALOR_TOTAL]],"")</f>
        <v/>
      </c>
    </row>
    <row r="375" spans="1:16" x14ac:dyDescent="0.25">
      <c r="A375" t="str">
        <f>tblVendas[[#This Row],[NR_SIMULACAO]]</f>
        <v>SIM1365</v>
      </c>
      <c r="B375" s="34" t="str">
        <f>_xlfn.XLOOKUP(A375,tblVendas[[#This Row],[NR_SIMULACAO]],tblVendas[[#This Row],[NR_CNPJ]],"")</f>
        <v>47.521.117/0001-36</v>
      </c>
      <c r="C375" t="str">
        <f>_xlfn.XLOOKUP(A375,tblVendas[[#This Row],[NR_SIMULACAO]],tblVendas[[#This Row],[STATUS]],"")</f>
        <v>PERDIDO</v>
      </c>
      <c r="D375" t="str">
        <f>_xlfn.XLOOKUP(A375,tblVendas[[#This Row],[NR_SIMULACAO]],tblVendas[[#This Row],[MES]],"")</f>
        <v>Fevereiro</v>
      </c>
      <c r="E375">
        <f>SUM(_xlfn.XLOOKUP(tblCalculo[[#This Row],[NR_SIMULACAO]],tblVendas[[#This Row],[NR_SIMULACAO]],tblVendas[[#This Row],[VALOR_MOVEL]],""):_xlfn.XLOOKUP(tblCalculo[[#This Row],[NR_SIMULACAO]],tblVendas[[#This Row],[NR_SIMULACAO]],tblVendas[[#This Row],[VALOR_APARELHO]],""))</f>
        <v>13234.41</v>
      </c>
      <c r="F375">
        <f>IF(tblCalculo[[#This Row],[STATUS]]="CONCLUÍDO",_xlfn.XLOOKUP(tblCalculo[[#This Row],[NR_SIMULACAO]],tblVendas[[#This Row],[NR_SIMULACAO]],tblVendas[[#This Row],[VALOR_MOVEL]],""),0)</f>
        <v>0</v>
      </c>
      <c r="G375">
        <f>IF(tblCalculo[[#This Row],[STATUS]]="CONCLUÍDO",_xlfn.XLOOKUP(tblCalculo[[#This Row],[NR_SIMULACAO]],tblVendas[[#This Row],[NR_SIMULACAO]],tblVendas[[#This Row],[VALOR_AVANCADO]],""),0)</f>
        <v>0</v>
      </c>
      <c r="H375">
        <f>IF(tblCalculo[[#This Row],[STATUS]]="CONCLUÍDO",_xlfn.XLOOKUP(tblCalculo[[#This Row],[NR_SIMULACAO]],tblVendas[[#This Row],[NR_SIMULACAO]],tblVendas[[#This Row],[VALOR_FIXABASICA]],""),0)</f>
        <v>0</v>
      </c>
      <c r="I375">
        <f>IF(tblCalculo[[#This Row],[STATUS]]="CONCLUÍDO",_xlfn.XLOOKUP(tblCalculo[[#This Row],[NR_SIMULACAO]],tblVendas[[#This Row],[NR_SIMULACAO]],tblVendas[[#This Row],[VALOR_TI]],""),0)</f>
        <v>0</v>
      </c>
      <c r="J375">
        <f>IF(tblCalculo[[#This Row],[STATUS]]="CONCLUÍDO",_xlfn.XLOOKUP(tblCalculo[[#This Row],[NR_SIMULACAO]],tblVendas[[#This Row],[NR_SIMULACAO]],tblVendas[[#This Row],[VALOR_APARELHO]],""),0)</f>
        <v>0</v>
      </c>
      <c r="K375" t="str">
        <f>IF(tblCalculo[[#This Row],[STATUS]]="NEGOCIANDO",tblCalculo[[#This Row],[VALOR_TOTAL]],"")</f>
        <v/>
      </c>
      <c r="L375" t="str">
        <f>IF(tblCalculo[[#This Row],[STATUS]]="ALÇADA",tblCalculo[[#This Row],[VALOR_TOTAL]],"")</f>
        <v/>
      </c>
      <c r="M375" t="str">
        <f>IF(tblCalculo[[#This Row],[STATUS]]="EM ANÁLISE",tblCalculo[[#This Row],[VALOR_TOTAL]],"")</f>
        <v/>
      </c>
      <c r="N375" t="str">
        <f>IF(tblCalculo[[#This Row],[STATUS]]="TRAMITANDO",tblCalculo[[#This Row],[VALOR_TOTAL]],"")</f>
        <v/>
      </c>
      <c r="O375">
        <f>IF(tblCalculo[[#This Row],[STATUS]]="PERDIDO",tblCalculo[[#This Row],[VALOR_TOTAL]],"")</f>
        <v>13234.41</v>
      </c>
      <c r="P375" t="str">
        <f>IF(tblCalculo[[#This Row],[STATUS]]="CONCLUÍDO",tblCalculo[[#This Row],[VALOR_TOTAL]],"")</f>
        <v/>
      </c>
    </row>
    <row r="376" spans="1:16" x14ac:dyDescent="0.25">
      <c r="A376" t="str">
        <f>tblVendas[[#This Row],[NR_SIMULACAO]]</f>
        <v>SIM1366</v>
      </c>
      <c r="B376" s="34" t="str">
        <f>_xlfn.XLOOKUP(A376,tblVendas[[#This Row],[NR_SIMULACAO]],tblVendas[[#This Row],[NR_CNPJ]],"")</f>
        <v>73.617.549/0001-44</v>
      </c>
      <c r="C376" t="str">
        <f>_xlfn.XLOOKUP(A376,tblVendas[[#This Row],[NR_SIMULACAO]],tblVendas[[#This Row],[STATUS]],"")</f>
        <v>ALÇADA</v>
      </c>
      <c r="D376" t="str">
        <f>_xlfn.XLOOKUP(A376,tblVendas[[#This Row],[NR_SIMULACAO]],tblVendas[[#This Row],[MES]],"")</f>
        <v>Abril</v>
      </c>
      <c r="E376">
        <f>SUM(_xlfn.XLOOKUP(tblCalculo[[#This Row],[NR_SIMULACAO]],tblVendas[[#This Row],[NR_SIMULACAO]],tblVendas[[#This Row],[VALOR_MOVEL]],""):_xlfn.XLOOKUP(tblCalculo[[#This Row],[NR_SIMULACAO]],tblVendas[[#This Row],[NR_SIMULACAO]],tblVendas[[#This Row],[VALOR_APARELHO]],""))</f>
        <v>17869.330000000002</v>
      </c>
      <c r="F376">
        <f>IF(tblCalculo[[#This Row],[STATUS]]="CONCLUÍDO",_xlfn.XLOOKUP(tblCalculo[[#This Row],[NR_SIMULACAO]],tblVendas[[#This Row],[NR_SIMULACAO]],tblVendas[[#This Row],[VALOR_MOVEL]],""),0)</f>
        <v>0</v>
      </c>
      <c r="G376">
        <f>IF(tblCalculo[[#This Row],[STATUS]]="CONCLUÍDO",_xlfn.XLOOKUP(tblCalculo[[#This Row],[NR_SIMULACAO]],tblVendas[[#This Row],[NR_SIMULACAO]],tblVendas[[#This Row],[VALOR_AVANCADO]],""),0)</f>
        <v>0</v>
      </c>
      <c r="H376">
        <f>IF(tblCalculo[[#This Row],[STATUS]]="CONCLUÍDO",_xlfn.XLOOKUP(tblCalculo[[#This Row],[NR_SIMULACAO]],tblVendas[[#This Row],[NR_SIMULACAO]],tblVendas[[#This Row],[VALOR_FIXABASICA]],""),0)</f>
        <v>0</v>
      </c>
      <c r="I376">
        <f>IF(tblCalculo[[#This Row],[STATUS]]="CONCLUÍDO",_xlfn.XLOOKUP(tblCalculo[[#This Row],[NR_SIMULACAO]],tblVendas[[#This Row],[NR_SIMULACAO]],tblVendas[[#This Row],[VALOR_TI]],""),0)</f>
        <v>0</v>
      </c>
      <c r="J376">
        <f>IF(tblCalculo[[#This Row],[STATUS]]="CONCLUÍDO",_xlfn.XLOOKUP(tblCalculo[[#This Row],[NR_SIMULACAO]],tblVendas[[#This Row],[NR_SIMULACAO]],tblVendas[[#This Row],[VALOR_APARELHO]],""),0)</f>
        <v>0</v>
      </c>
      <c r="K376" t="str">
        <f>IF(tblCalculo[[#This Row],[STATUS]]="NEGOCIANDO",tblCalculo[[#This Row],[VALOR_TOTAL]],"")</f>
        <v/>
      </c>
      <c r="L376">
        <f>IF(tblCalculo[[#This Row],[STATUS]]="ALÇADA",tblCalculo[[#This Row],[VALOR_TOTAL]],"")</f>
        <v>17869.330000000002</v>
      </c>
      <c r="M376" t="str">
        <f>IF(tblCalculo[[#This Row],[STATUS]]="EM ANÁLISE",tblCalculo[[#This Row],[VALOR_TOTAL]],"")</f>
        <v/>
      </c>
      <c r="N376" t="str">
        <f>IF(tblCalculo[[#This Row],[STATUS]]="TRAMITANDO",tblCalculo[[#This Row],[VALOR_TOTAL]],"")</f>
        <v/>
      </c>
      <c r="O376" t="str">
        <f>IF(tblCalculo[[#This Row],[STATUS]]="PERDIDO",tblCalculo[[#This Row],[VALOR_TOTAL]],"")</f>
        <v/>
      </c>
      <c r="P376" t="str">
        <f>IF(tblCalculo[[#This Row],[STATUS]]="CONCLUÍDO",tblCalculo[[#This Row],[VALOR_TOTAL]],"")</f>
        <v/>
      </c>
    </row>
    <row r="377" spans="1:16" x14ac:dyDescent="0.25">
      <c r="A377" t="str">
        <f>tblVendas[[#This Row],[NR_SIMULACAO]]</f>
        <v>SIM1367</v>
      </c>
      <c r="B377" s="34" t="str">
        <f>_xlfn.XLOOKUP(A377,tblVendas[[#This Row],[NR_SIMULACAO]],tblVendas[[#This Row],[NR_CNPJ]],"")</f>
        <v>89.294.397/0001-52</v>
      </c>
      <c r="C377" t="str">
        <f>_xlfn.XLOOKUP(A377,tblVendas[[#This Row],[NR_SIMULACAO]],tblVendas[[#This Row],[STATUS]],"")</f>
        <v>NEGOCIANDO</v>
      </c>
      <c r="D377" t="str">
        <f>_xlfn.XLOOKUP(A377,tblVendas[[#This Row],[NR_SIMULACAO]],tblVendas[[#This Row],[MES]],"")</f>
        <v>Janeiro</v>
      </c>
      <c r="E377">
        <f>SUM(_xlfn.XLOOKUP(tblCalculo[[#This Row],[NR_SIMULACAO]],tblVendas[[#This Row],[NR_SIMULACAO]],tblVendas[[#This Row],[VALOR_MOVEL]],""):_xlfn.XLOOKUP(tblCalculo[[#This Row],[NR_SIMULACAO]],tblVendas[[#This Row],[NR_SIMULACAO]],tblVendas[[#This Row],[VALOR_APARELHO]],""))</f>
        <v>24978.62</v>
      </c>
      <c r="F377">
        <f>IF(tblCalculo[[#This Row],[STATUS]]="CONCLUÍDO",_xlfn.XLOOKUP(tblCalculo[[#This Row],[NR_SIMULACAO]],tblVendas[[#This Row],[NR_SIMULACAO]],tblVendas[[#This Row],[VALOR_MOVEL]],""),0)</f>
        <v>0</v>
      </c>
      <c r="G377">
        <f>IF(tblCalculo[[#This Row],[STATUS]]="CONCLUÍDO",_xlfn.XLOOKUP(tblCalculo[[#This Row],[NR_SIMULACAO]],tblVendas[[#This Row],[NR_SIMULACAO]],tblVendas[[#This Row],[VALOR_AVANCADO]],""),0)</f>
        <v>0</v>
      </c>
      <c r="H377">
        <f>IF(tblCalculo[[#This Row],[STATUS]]="CONCLUÍDO",_xlfn.XLOOKUP(tblCalculo[[#This Row],[NR_SIMULACAO]],tblVendas[[#This Row],[NR_SIMULACAO]],tblVendas[[#This Row],[VALOR_FIXABASICA]],""),0)</f>
        <v>0</v>
      </c>
      <c r="I377">
        <f>IF(tblCalculo[[#This Row],[STATUS]]="CONCLUÍDO",_xlfn.XLOOKUP(tblCalculo[[#This Row],[NR_SIMULACAO]],tblVendas[[#This Row],[NR_SIMULACAO]],tblVendas[[#This Row],[VALOR_TI]],""),0)</f>
        <v>0</v>
      </c>
      <c r="J377">
        <f>IF(tblCalculo[[#This Row],[STATUS]]="CONCLUÍDO",_xlfn.XLOOKUP(tblCalculo[[#This Row],[NR_SIMULACAO]],tblVendas[[#This Row],[NR_SIMULACAO]],tblVendas[[#This Row],[VALOR_APARELHO]],""),0)</f>
        <v>0</v>
      </c>
      <c r="K377">
        <f>IF(tblCalculo[[#This Row],[STATUS]]="NEGOCIANDO",tblCalculo[[#This Row],[VALOR_TOTAL]],"")</f>
        <v>24978.62</v>
      </c>
      <c r="L377" t="str">
        <f>IF(tblCalculo[[#This Row],[STATUS]]="ALÇADA",tblCalculo[[#This Row],[VALOR_TOTAL]],"")</f>
        <v/>
      </c>
      <c r="M377" t="str">
        <f>IF(tblCalculo[[#This Row],[STATUS]]="EM ANÁLISE",tblCalculo[[#This Row],[VALOR_TOTAL]],"")</f>
        <v/>
      </c>
      <c r="N377" t="str">
        <f>IF(tblCalculo[[#This Row],[STATUS]]="TRAMITANDO",tblCalculo[[#This Row],[VALOR_TOTAL]],"")</f>
        <v/>
      </c>
      <c r="O377" t="str">
        <f>IF(tblCalculo[[#This Row],[STATUS]]="PERDIDO",tblCalculo[[#This Row],[VALOR_TOTAL]],"")</f>
        <v/>
      </c>
      <c r="P377" t="str">
        <f>IF(tblCalculo[[#This Row],[STATUS]]="CONCLUÍDO",tblCalculo[[#This Row],[VALOR_TOTAL]],"")</f>
        <v/>
      </c>
    </row>
    <row r="378" spans="1:16" x14ac:dyDescent="0.25">
      <c r="A378" t="str">
        <f>tblVendas[[#This Row],[NR_SIMULACAO]]</f>
        <v>SIM1368</v>
      </c>
      <c r="B378" s="34" t="str">
        <f>_xlfn.XLOOKUP(A378,tblVendas[[#This Row],[NR_SIMULACAO]],tblVendas[[#This Row],[NR_CNPJ]],"")</f>
        <v>27.225.348/0001-91</v>
      </c>
      <c r="C378" t="str">
        <f>_xlfn.XLOOKUP(A378,tblVendas[[#This Row],[NR_SIMULACAO]],tblVendas[[#This Row],[STATUS]],"")</f>
        <v>PERDIDO</v>
      </c>
      <c r="D378" t="str">
        <f>_xlfn.XLOOKUP(A378,tblVendas[[#This Row],[NR_SIMULACAO]],tblVendas[[#This Row],[MES]],"")</f>
        <v>Agosto</v>
      </c>
      <c r="E378">
        <f>SUM(_xlfn.XLOOKUP(tblCalculo[[#This Row],[NR_SIMULACAO]],tblVendas[[#This Row],[NR_SIMULACAO]],tblVendas[[#This Row],[VALOR_MOVEL]],""):_xlfn.XLOOKUP(tblCalculo[[#This Row],[NR_SIMULACAO]],tblVendas[[#This Row],[NR_SIMULACAO]],tblVendas[[#This Row],[VALOR_APARELHO]],""))</f>
        <v>9184.9700000000012</v>
      </c>
      <c r="F378">
        <f>IF(tblCalculo[[#This Row],[STATUS]]="CONCLUÍDO",_xlfn.XLOOKUP(tblCalculo[[#This Row],[NR_SIMULACAO]],tblVendas[[#This Row],[NR_SIMULACAO]],tblVendas[[#This Row],[VALOR_MOVEL]],""),0)</f>
        <v>0</v>
      </c>
      <c r="G378">
        <f>IF(tblCalculo[[#This Row],[STATUS]]="CONCLUÍDO",_xlfn.XLOOKUP(tblCalculo[[#This Row],[NR_SIMULACAO]],tblVendas[[#This Row],[NR_SIMULACAO]],tblVendas[[#This Row],[VALOR_AVANCADO]],""),0)</f>
        <v>0</v>
      </c>
      <c r="H378">
        <f>IF(tblCalculo[[#This Row],[STATUS]]="CONCLUÍDO",_xlfn.XLOOKUP(tblCalculo[[#This Row],[NR_SIMULACAO]],tblVendas[[#This Row],[NR_SIMULACAO]],tblVendas[[#This Row],[VALOR_FIXABASICA]],""),0)</f>
        <v>0</v>
      </c>
      <c r="I378">
        <f>IF(tblCalculo[[#This Row],[STATUS]]="CONCLUÍDO",_xlfn.XLOOKUP(tblCalculo[[#This Row],[NR_SIMULACAO]],tblVendas[[#This Row],[NR_SIMULACAO]],tblVendas[[#This Row],[VALOR_TI]],""),0)</f>
        <v>0</v>
      </c>
      <c r="J378">
        <f>IF(tblCalculo[[#This Row],[STATUS]]="CONCLUÍDO",_xlfn.XLOOKUP(tblCalculo[[#This Row],[NR_SIMULACAO]],tblVendas[[#This Row],[NR_SIMULACAO]],tblVendas[[#This Row],[VALOR_APARELHO]],""),0)</f>
        <v>0</v>
      </c>
      <c r="K378" t="str">
        <f>IF(tblCalculo[[#This Row],[STATUS]]="NEGOCIANDO",tblCalculo[[#This Row],[VALOR_TOTAL]],"")</f>
        <v/>
      </c>
      <c r="L378" t="str">
        <f>IF(tblCalculo[[#This Row],[STATUS]]="ALÇADA",tblCalculo[[#This Row],[VALOR_TOTAL]],"")</f>
        <v/>
      </c>
      <c r="M378" t="str">
        <f>IF(tblCalculo[[#This Row],[STATUS]]="EM ANÁLISE",tblCalculo[[#This Row],[VALOR_TOTAL]],"")</f>
        <v/>
      </c>
      <c r="N378" t="str">
        <f>IF(tblCalculo[[#This Row],[STATUS]]="TRAMITANDO",tblCalculo[[#This Row],[VALOR_TOTAL]],"")</f>
        <v/>
      </c>
      <c r="O378">
        <f>IF(tblCalculo[[#This Row],[STATUS]]="PERDIDO",tblCalculo[[#This Row],[VALOR_TOTAL]],"")</f>
        <v>9184.9700000000012</v>
      </c>
      <c r="P378" t="str">
        <f>IF(tblCalculo[[#This Row],[STATUS]]="CONCLUÍDO",tblCalculo[[#This Row],[VALOR_TOTAL]],"")</f>
        <v/>
      </c>
    </row>
    <row r="379" spans="1:16" x14ac:dyDescent="0.25">
      <c r="A379" t="str">
        <f>tblVendas[[#This Row],[NR_SIMULACAO]]</f>
        <v>SIM1369</v>
      </c>
      <c r="B379" s="34" t="str">
        <f>_xlfn.XLOOKUP(A379,tblVendas[[#This Row],[NR_SIMULACAO]],tblVendas[[#This Row],[NR_CNPJ]],"")</f>
        <v>91.121.857/0001-79</v>
      </c>
      <c r="C379" t="str">
        <f>_xlfn.XLOOKUP(A379,tblVendas[[#This Row],[NR_SIMULACAO]],tblVendas[[#This Row],[STATUS]],"")</f>
        <v>EM ANÁLISE</v>
      </c>
      <c r="D379" t="str">
        <f>_xlfn.XLOOKUP(A379,tblVendas[[#This Row],[NR_SIMULACAO]],tblVendas[[#This Row],[MES]],"")</f>
        <v>Julho</v>
      </c>
      <c r="E379">
        <f>SUM(_xlfn.XLOOKUP(tblCalculo[[#This Row],[NR_SIMULACAO]],tblVendas[[#This Row],[NR_SIMULACAO]],tblVendas[[#This Row],[VALOR_MOVEL]],""):_xlfn.XLOOKUP(tblCalculo[[#This Row],[NR_SIMULACAO]],tblVendas[[#This Row],[NR_SIMULACAO]],tblVendas[[#This Row],[VALOR_APARELHO]],""))</f>
        <v>21445.84</v>
      </c>
      <c r="F379">
        <f>IF(tblCalculo[[#This Row],[STATUS]]="CONCLUÍDO",_xlfn.XLOOKUP(tblCalculo[[#This Row],[NR_SIMULACAO]],tblVendas[[#This Row],[NR_SIMULACAO]],tblVendas[[#This Row],[VALOR_MOVEL]],""),0)</f>
        <v>0</v>
      </c>
      <c r="G379">
        <f>IF(tblCalculo[[#This Row],[STATUS]]="CONCLUÍDO",_xlfn.XLOOKUP(tblCalculo[[#This Row],[NR_SIMULACAO]],tblVendas[[#This Row],[NR_SIMULACAO]],tblVendas[[#This Row],[VALOR_AVANCADO]],""),0)</f>
        <v>0</v>
      </c>
      <c r="H379">
        <f>IF(tblCalculo[[#This Row],[STATUS]]="CONCLUÍDO",_xlfn.XLOOKUP(tblCalculo[[#This Row],[NR_SIMULACAO]],tblVendas[[#This Row],[NR_SIMULACAO]],tblVendas[[#This Row],[VALOR_FIXABASICA]],""),0)</f>
        <v>0</v>
      </c>
      <c r="I379">
        <f>IF(tblCalculo[[#This Row],[STATUS]]="CONCLUÍDO",_xlfn.XLOOKUP(tblCalculo[[#This Row],[NR_SIMULACAO]],tblVendas[[#This Row],[NR_SIMULACAO]],tblVendas[[#This Row],[VALOR_TI]],""),0)</f>
        <v>0</v>
      </c>
      <c r="J379">
        <f>IF(tblCalculo[[#This Row],[STATUS]]="CONCLUÍDO",_xlfn.XLOOKUP(tblCalculo[[#This Row],[NR_SIMULACAO]],tblVendas[[#This Row],[NR_SIMULACAO]],tblVendas[[#This Row],[VALOR_APARELHO]],""),0)</f>
        <v>0</v>
      </c>
      <c r="K379" t="str">
        <f>IF(tblCalculo[[#This Row],[STATUS]]="NEGOCIANDO",tblCalculo[[#This Row],[VALOR_TOTAL]],"")</f>
        <v/>
      </c>
      <c r="L379" t="str">
        <f>IF(tblCalculo[[#This Row],[STATUS]]="ALÇADA",tblCalculo[[#This Row],[VALOR_TOTAL]],"")</f>
        <v/>
      </c>
      <c r="M379">
        <f>IF(tblCalculo[[#This Row],[STATUS]]="EM ANÁLISE",tblCalculo[[#This Row],[VALOR_TOTAL]],"")</f>
        <v>21445.84</v>
      </c>
      <c r="N379" t="str">
        <f>IF(tblCalculo[[#This Row],[STATUS]]="TRAMITANDO",tblCalculo[[#This Row],[VALOR_TOTAL]],"")</f>
        <v/>
      </c>
      <c r="O379" t="str">
        <f>IF(tblCalculo[[#This Row],[STATUS]]="PERDIDO",tblCalculo[[#This Row],[VALOR_TOTAL]],"")</f>
        <v/>
      </c>
      <c r="P379" t="str">
        <f>IF(tblCalculo[[#This Row],[STATUS]]="CONCLUÍDO",tblCalculo[[#This Row],[VALOR_TOTAL]],"")</f>
        <v/>
      </c>
    </row>
    <row r="380" spans="1:16" x14ac:dyDescent="0.25">
      <c r="A380" t="str">
        <f>tblVendas[[#This Row],[NR_SIMULACAO]]</f>
        <v>SIM1370</v>
      </c>
      <c r="B380" s="34" t="str">
        <f>_xlfn.XLOOKUP(A380,tblVendas[[#This Row],[NR_SIMULACAO]],tblVendas[[#This Row],[NR_CNPJ]],"")</f>
        <v>65.659.758/0001-99</v>
      </c>
      <c r="C380" t="str">
        <f>_xlfn.XLOOKUP(A380,tblVendas[[#This Row],[NR_SIMULACAO]],tblVendas[[#This Row],[STATUS]],"")</f>
        <v>TRAMITANDO</v>
      </c>
      <c r="D380" t="str">
        <f>_xlfn.XLOOKUP(A380,tblVendas[[#This Row],[NR_SIMULACAO]],tblVendas[[#This Row],[MES]],"")</f>
        <v>Fevereiro</v>
      </c>
      <c r="E380">
        <f>SUM(_xlfn.XLOOKUP(tblCalculo[[#This Row],[NR_SIMULACAO]],tblVendas[[#This Row],[NR_SIMULACAO]],tblVendas[[#This Row],[VALOR_MOVEL]],""):_xlfn.XLOOKUP(tblCalculo[[#This Row],[NR_SIMULACAO]],tblVendas[[#This Row],[NR_SIMULACAO]],tblVendas[[#This Row],[VALOR_APARELHO]],""))</f>
        <v>19131.300000000003</v>
      </c>
      <c r="F380">
        <f>IF(tblCalculo[[#This Row],[STATUS]]="CONCLUÍDO",_xlfn.XLOOKUP(tblCalculo[[#This Row],[NR_SIMULACAO]],tblVendas[[#This Row],[NR_SIMULACAO]],tblVendas[[#This Row],[VALOR_MOVEL]],""),0)</f>
        <v>0</v>
      </c>
      <c r="G380">
        <f>IF(tblCalculo[[#This Row],[STATUS]]="CONCLUÍDO",_xlfn.XLOOKUP(tblCalculo[[#This Row],[NR_SIMULACAO]],tblVendas[[#This Row],[NR_SIMULACAO]],tblVendas[[#This Row],[VALOR_AVANCADO]],""),0)</f>
        <v>0</v>
      </c>
      <c r="H380">
        <f>IF(tblCalculo[[#This Row],[STATUS]]="CONCLUÍDO",_xlfn.XLOOKUP(tblCalculo[[#This Row],[NR_SIMULACAO]],tblVendas[[#This Row],[NR_SIMULACAO]],tblVendas[[#This Row],[VALOR_FIXABASICA]],""),0)</f>
        <v>0</v>
      </c>
      <c r="I380">
        <f>IF(tblCalculo[[#This Row],[STATUS]]="CONCLUÍDO",_xlfn.XLOOKUP(tblCalculo[[#This Row],[NR_SIMULACAO]],tblVendas[[#This Row],[NR_SIMULACAO]],tblVendas[[#This Row],[VALOR_TI]],""),0)</f>
        <v>0</v>
      </c>
      <c r="J380">
        <f>IF(tblCalculo[[#This Row],[STATUS]]="CONCLUÍDO",_xlfn.XLOOKUP(tblCalculo[[#This Row],[NR_SIMULACAO]],tblVendas[[#This Row],[NR_SIMULACAO]],tblVendas[[#This Row],[VALOR_APARELHO]],""),0)</f>
        <v>0</v>
      </c>
      <c r="K380" t="str">
        <f>IF(tblCalculo[[#This Row],[STATUS]]="NEGOCIANDO",tblCalculo[[#This Row],[VALOR_TOTAL]],"")</f>
        <v/>
      </c>
      <c r="L380" t="str">
        <f>IF(tblCalculo[[#This Row],[STATUS]]="ALÇADA",tblCalculo[[#This Row],[VALOR_TOTAL]],"")</f>
        <v/>
      </c>
      <c r="M380" t="str">
        <f>IF(tblCalculo[[#This Row],[STATUS]]="EM ANÁLISE",tblCalculo[[#This Row],[VALOR_TOTAL]],"")</f>
        <v/>
      </c>
      <c r="N380">
        <f>IF(tblCalculo[[#This Row],[STATUS]]="TRAMITANDO",tblCalculo[[#This Row],[VALOR_TOTAL]],"")</f>
        <v>19131.300000000003</v>
      </c>
      <c r="O380" t="str">
        <f>IF(tblCalculo[[#This Row],[STATUS]]="PERDIDO",tblCalculo[[#This Row],[VALOR_TOTAL]],"")</f>
        <v/>
      </c>
      <c r="P380" t="str">
        <f>IF(tblCalculo[[#This Row],[STATUS]]="CONCLUÍDO",tblCalculo[[#This Row],[VALOR_TOTAL]],"")</f>
        <v/>
      </c>
    </row>
    <row r="381" spans="1:16" x14ac:dyDescent="0.25">
      <c r="A381" t="str">
        <f>tblVendas[[#This Row],[NR_SIMULACAO]]</f>
        <v>SIM1371</v>
      </c>
      <c r="B381" s="34" t="str">
        <f>_xlfn.XLOOKUP(A381,tblVendas[[#This Row],[NR_SIMULACAO]],tblVendas[[#This Row],[NR_CNPJ]],"")</f>
        <v>68.797.862/0001-20</v>
      </c>
      <c r="C381" t="str">
        <f>_xlfn.XLOOKUP(A381,tblVendas[[#This Row],[NR_SIMULACAO]],tblVendas[[#This Row],[STATUS]],"")</f>
        <v>EM ANÁLISE</v>
      </c>
      <c r="D381" t="str">
        <f>_xlfn.XLOOKUP(A381,tblVendas[[#This Row],[NR_SIMULACAO]],tblVendas[[#This Row],[MES]],"")</f>
        <v>Março</v>
      </c>
      <c r="E381">
        <f>SUM(_xlfn.XLOOKUP(tblCalculo[[#This Row],[NR_SIMULACAO]],tblVendas[[#This Row],[NR_SIMULACAO]],tblVendas[[#This Row],[VALOR_MOVEL]],""):_xlfn.XLOOKUP(tblCalculo[[#This Row],[NR_SIMULACAO]],tblVendas[[#This Row],[NR_SIMULACAO]],tblVendas[[#This Row],[VALOR_APARELHO]],""))</f>
        <v>16351.949999999999</v>
      </c>
      <c r="F381">
        <f>IF(tblCalculo[[#This Row],[STATUS]]="CONCLUÍDO",_xlfn.XLOOKUP(tblCalculo[[#This Row],[NR_SIMULACAO]],tblVendas[[#This Row],[NR_SIMULACAO]],tblVendas[[#This Row],[VALOR_MOVEL]],""),0)</f>
        <v>0</v>
      </c>
      <c r="G381">
        <f>IF(tblCalculo[[#This Row],[STATUS]]="CONCLUÍDO",_xlfn.XLOOKUP(tblCalculo[[#This Row],[NR_SIMULACAO]],tblVendas[[#This Row],[NR_SIMULACAO]],tblVendas[[#This Row],[VALOR_AVANCADO]],""),0)</f>
        <v>0</v>
      </c>
      <c r="H381">
        <f>IF(tblCalculo[[#This Row],[STATUS]]="CONCLUÍDO",_xlfn.XLOOKUP(tblCalculo[[#This Row],[NR_SIMULACAO]],tblVendas[[#This Row],[NR_SIMULACAO]],tblVendas[[#This Row],[VALOR_FIXABASICA]],""),0)</f>
        <v>0</v>
      </c>
      <c r="I381">
        <f>IF(tblCalculo[[#This Row],[STATUS]]="CONCLUÍDO",_xlfn.XLOOKUP(tblCalculo[[#This Row],[NR_SIMULACAO]],tblVendas[[#This Row],[NR_SIMULACAO]],tblVendas[[#This Row],[VALOR_TI]],""),0)</f>
        <v>0</v>
      </c>
      <c r="J381">
        <f>IF(tblCalculo[[#This Row],[STATUS]]="CONCLUÍDO",_xlfn.XLOOKUP(tblCalculo[[#This Row],[NR_SIMULACAO]],tblVendas[[#This Row],[NR_SIMULACAO]],tblVendas[[#This Row],[VALOR_APARELHO]],""),0)</f>
        <v>0</v>
      </c>
      <c r="K381" t="str">
        <f>IF(tblCalculo[[#This Row],[STATUS]]="NEGOCIANDO",tblCalculo[[#This Row],[VALOR_TOTAL]],"")</f>
        <v/>
      </c>
      <c r="L381" t="str">
        <f>IF(tblCalculo[[#This Row],[STATUS]]="ALÇADA",tblCalculo[[#This Row],[VALOR_TOTAL]],"")</f>
        <v/>
      </c>
      <c r="M381">
        <f>IF(tblCalculo[[#This Row],[STATUS]]="EM ANÁLISE",tblCalculo[[#This Row],[VALOR_TOTAL]],"")</f>
        <v>16351.949999999999</v>
      </c>
      <c r="N381" t="str">
        <f>IF(tblCalculo[[#This Row],[STATUS]]="TRAMITANDO",tblCalculo[[#This Row],[VALOR_TOTAL]],"")</f>
        <v/>
      </c>
      <c r="O381" t="str">
        <f>IF(tblCalculo[[#This Row],[STATUS]]="PERDIDO",tblCalculo[[#This Row],[VALOR_TOTAL]],"")</f>
        <v/>
      </c>
      <c r="P381" t="str">
        <f>IF(tblCalculo[[#This Row],[STATUS]]="CONCLUÍDO",tblCalculo[[#This Row],[VALOR_TOTAL]],"")</f>
        <v/>
      </c>
    </row>
    <row r="382" spans="1:16" x14ac:dyDescent="0.25">
      <c r="A382" t="str">
        <f>tblVendas[[#This Row],[NR_SIMULACAO]]</f>
        <v>SIM1372</v>
      </c>
      <c r="B382" s="34" t="str">
        <f>_xlfn.XLOOKUP(A382,tblVendas[[#This Row],[NR_SIMULACAO]],tblVendas[[#This Row],[NR_CNPJ]],"")</f>
        <v>21.715.321/0001-85</v>
      </c>
      <c r="C382" t="str">
        <f>_xlfn.XLOOKUP(A382,tblVendas[[#This Row],[NR_SIMULACAO]],tblVendas[[#This Row],[STATUS]],"")</f>
        <v>CONCLUÍDO</v>
      </c>
      <c r="D382" t="str">
        <f>_xlfn.XLOOKUP(A382,tblVendas[[#This Row],[NR_SIMULACAO]],tblVendas[[#This Row],[MES]],"")</f>
        <v>Outubro</v>
      </c>
      <c r="E382">
        <f>SUM(_xlfn.XLOOKUP(tblCalculo[[#This Row],[NR_SIMULACAO]],tblVendas[[#This Row],[NR_SIMULACAO]],tblVendas[[#This Row],[VALOR_MOVEL]],""):_xlfn.XLOOKUP(tblCalculo[[#This Row],[NR_SIMULACAO]],tblVendas[[#This Row],[NR_SIMULACAO]],tblVendas[[#This Row],[VALOR_APARELHO]],""))</f>
        <v>5669.08</v>
      </c>
      <c r="F382">
        <f>IF(tblCalculo[[#This Row],[STATUS]]="CONCLUÍDO",_xlfn.XLOOKUP(tblCalculo[[#This Row],[NR_SIMULACAO]],tblVendas[[#This Row],[NR_SIMULACAO]],tblVendas[[#This Row],[VALOR_MOVEL]],""),0)</f>
        <v>878.45</v>
      </c>
      <c r="G382">
        <f>IF(tblCalculo[[#This Row],[STATUS]]="CONCLUÍDO",_xlfn.XLOOKUP(tblCalculo[[#This Row],[NR_SIMULACAO]],tblVendas[[#This Row],[NR_SIMULACAO]],tblVendas[[#This Row],[VALOR_AVANCADO]],""),0)</f>
        <v>4228.5200000000004</v>
      </c>
      <c r="H382">
        <f>IF(tblCalculo[[#This Row],[STATUS]]="CONCLUÍDO",_xlfn.XLOOKUP(tblCalculo[[#This Row],[NR_SIMULACAO]],tblVendas[[#This Row],[NR_SIMULACAO]],tblVendas[[#This Row],[VALOR_FIXABASICA]],""),0)</f>
        <v>562.11</v>
      </c>
      <c r="I382">
        <f>IF(tblCalculo[[#This Row],[STATUS]]="CONCLUÍDO",_xlfn.XLOOKUP(tblCalculo[[#This Row],[NR_SIMULACAO]],tblVendas[[#This Row],[NR_SIMULACAO]],tblVendas[[#This Row],[VALOR_TI]],""),0)</f>
        <v>0</v>
      </c>
      <c r="J382">
        <f>IF(tblCalculo[[#This Row],[STATUS]]="CONCLUÍDO",_xlfn.XLOOKUP(tblCalculo[[#This Row],[NR_SIMULACAO]],tblVendas[[#This Row],[NR_SIMULACAO]],tblVendas[[#This Row],[VALOR_APARELHO]],""),0)</f>
        <v>0</v>
      </c>
      <c r="K382" t="str">
        <f>IF(tblCalculo[[#This Row],[STATUS]]="NEGOCIANDO",tblCalculo[[#This Row],[VALOR_TOTAL]],"")</f>
        <v/>
      </c>
      <c r="L382" t="str">
        <f>IF(tblCalculo[[#This Row],[STATUS]]="ALÇADA",tblCalculo[[#This Row],[VALOR_TOTAL]],"")</f>
        <v/>
      </c>
      <c r="M382" t="str">
        <f>IF(tblCalculo[[#This Row],[STATUS]]="EM ANÁLISE",tblCalculo[[#This Row],[VALOR_TOTAL]],"")</f>
        <v/>
      </c>
      <c r="N382" t="str">
        <f>IF(tblCalculo[[#This Row],[STATUS]]="TRAMITANDO",tblCalculo[[#This Row],[VALOR_TOTAL]],"")</f>
        <v/>
      </c>
      <c r="O382" t="str">
        <f>IF(tblCalculo[[#This Row],[STATUS]]="PERDIDO",tblCalculo[[#This Row],[VALOR_TOTAL]],"")</f>
        <v/>
      </c>
      <c r="P382">
        <f>IF(tblCalculo[[#This Row],[STATUS]]="CONCLUÍDO",tblCalculo[[#This Row],[VALOR_TOTAL]],"")</f>
        <v>5669.08</v>
      </c>
    </row>
    <row r="383" spans="1:16" x14ac:dyDescent="0.25">
      <c r="A383" t="str">
        <f>tblVendas[[#This Row],[NR_SIMULACAO]]</f>
        <v>SIM1373</v>
      </c>
      <c r="B383" s="34" t="str">
        <f>_xlfn.XLOOKUP(A383,tblVendas[[#This Row],[NR_SIMULACAO]],tblVendas[[#This Row],[NR_CNPJ]],"")</f>
        <v>72.193.216/0001-63</v>
      </c>
      <c r="C383" t="str">
        <f>_xlfn.XLOOKUP(A383,tblVendas[[#This Row],[NR_SIMULACAO]],tblVendas[[#This Row],[STATUS]],"")</f>
        <v>ALÇADA</v>
      </c>
      <c r="D383" t="str">
        <f>_xlfn.XLOOKUP(A383,tblVendas[[#This Row],[NR_SIMULACAO]],tblVendas[[#This Row],[MES]],"")</f>
        <v>Novembro</v>
      </c>
      <c r="E383">
        <f>SUM(_xlfn.XLOOKUP(tblCalculo[[#This Row],[NR_SIMULACAO]],tblVendas[[#This Row],[NR_SIMULACAO]],tblVendas[[#This Row],[VALOR_MOVEL]],""):_xlfn.XLOOKUP(tblCalculo[[#This Row],[NR_SIMULACAO]],tblVendas[[#This Row],[NR_SIMULACAO]],tblVendas[[#This Row],[VALOR_APARELHO]],""))</f>
        <v>3250.89</v>
      </c>
      <c r="F383">
        <f>IF(tblCalculo[[#This Row],[STATUS]]="CONCLUÍDO",_xlfn.XLOOKUP(tblCalculo[[#This Row],[NR_SIMULACAO]],tblVendas[[#This Row],[NR_SIMULACAO]],tblVendas[[#This Row],[VALOR_MOVEL]],""),0)</f>
        <v>0</v>
      </c>
      <c r="G383">
        <f>IF(tblCalculo[[#This Row],[STATUS]]="CONCLUÍDO",_xlfn.XLOOKUP(tblCalculo[[#This Row],[NR_SIMULACAO]],tblVendas[[#This Row],[NR_SIMULACAO]],tblVendas[[#This Row],[VALOR_AVANCADO]],""),0)</f>
        <v>0</v>
      </c>
      <c r="H383">
        <f>IF(tblCalculo[[#This Row],[STATUS]]="CONCLUÍDO",_xlfn.XLOOKUP(tblCalculo[[#This Row],[NR_SIMULACAO]],tblVendas[[#This Row],[NR_SIMULACAO]],tblVendas[[#This Row],[VALOR_FIXABASICA]],""),0)</f>
        <v>0</v>
      </c>
      <c r="I383">
        <f>IF(tblCalculo[[#This Row],[STATUS]]="CONCLUÍDO",_xlfn.XLOOKUP(tblCalculo[[#This Row],[NR_SIMULACAO]],tblVendas[[#This Row],[NR_SIMULACAO]],tblVendas[[#This Row],[VALOR_TI]],""),0)</f>
        <v>0</v>
      </c>
      <c r="J383">
        <f>IF(tblCalculo[[#This Row],[STATUS]]="CONCLUÍDO",_xlfn.XLOOKUP(tblCalculo[[#This Row],[NR_SIMULACAO]],tblVendas[[#This Row],[NR_SIMULACAO]],tblVendas[[#This Row],[VALOR_APARELHO]],""),0)</f>
        <v>0</v>
      </c>
      <c r="K383" t="str">
        <f>IF(tblCalculo[[#This Row],[STATUS]]="NEGOCIANDO",tblCalculo[[#This Row],[VALOR_TOTAL]],"")</f>
        <v/>
      </c>
      <c r="L383">
        <f>IF(tblCalculo[[#This Row],[STATUS]]="ALÇADA",tblCalculo[[#This Row],[VALOR_TOTAL]],"")</f>
        <v>3250.89</v>
      </c>
      <c r="M383" t="str">
        <f>IF(tblCalculo[[#This Row],[STATUS]]="EM ANÁLISE",tblCalculo[[#This Row],[VALOR_TOTAL]],"")</f>
        <v/>
      </c>
      <c r="N383" t="str">
        <f>IF(tblCalculo[[#This Row],[STATUS]]="TRAMITANDO",tblCalculo[[#This Row],[VALOR_TOTAL]],"")</f>
        <v/>
      </c>
      <c r="O383" t="str">
        <f>IF(tblCalculo[[#This Row],[STATUS]]="PERDIDO",tblCalculo[[#This Row],[VALOR_TOTAL]],"")</f>
        <v/>
      </c>
      <c r="P383" t="str">
        <f>IF(tblCalculo[[#This Row],[STATUS]]="CONCLUÍDO",tblCalculo[[#This Row],[VALOR_TOTAL]],"")</f>
        <v/>
      </c>
    </row>
    <row r="384" spans="1:16" x14ac:dyDescent="0.25">
      <c r="A384" t="str">
        <f>tblVendas[[#This Row],[NR_SIMULACAO]]</f>
        <v>SIM1374</v>
      </c>
      <c r="B384" s="34" t="str">
        <f>_xlfn.XLOOKUP(A384,tblVendas[[#This Row],[NR_SIMULACAO]],tblVendas[[#This Row],[NR_CNPJ]],"")</f>
        <v>66.471.959/0001-20</v>
      </c>
      <c r="C384" t="str">
        <f>_xlfn.XLOOKUP(A384,tblVendas[[#This Row],[NR_SIMULACAO]],tblVendas[[#This Row],[STATUS]],"")</f>
        <v>CONCLUÍDO</v>
      </c>
      <c r="D384" t="str">
        <f>_xlfn.XLOOKUP(A384,tblVendas[[#This Row],[NR_SIMULACAO]],tblVendas[[#This Row],[MES]],"")</f>
        <v>Maio</v>
      </c>
      <c r="E384">
        <f>SUM(_xlfn.XLOOKUP(tblCalculo[[#This Row],[NR_SIMULACAO]],tblVendas[[#This Row],[NR_SIMULACAO]],tblVendas[[#This Row],[VALOR_MOVEL]],""):_xlfn.XLOOKUP(tblCalculo[[#This Row],[NR_SIMULACAO]],tblVendas[[#This Row],[NR_SIMULACAO]],tblVendas[[#This Row],[VALOR_APARELHO]],""))</f>
        <v>5344.12</v>
      </c>
      <c r="F384">
        <f>IF(tblCalculo[[#This Row],[STATUS]]="CONCLUÍDO",_xlfn.XLOOKUP(tblCalculo[[#This Row],[NR_SIMULACAO]],tblVendas[[#This Row],[NR_SIMULACAO]],tblVendas[[#This Row],[VALOR_MOVEL]],""),0)</f>
        <v>2541.2399999999998</v>
      </c>
      <c r="G384">
        <f>IF(tblCalculo[[#This Row],[STATUS]]="CONCLUÍDO",_xlfn.XLOOKUP(tblCalculo[[#This Row],[NR_SIMULACAO]],tblVendas[[#This Row],[NR_SIMULACAO]],tblVendas[[#This Row],[VALOR_AVANCADO]],""),0)</f>
        <v>0</v>
      </c>
      <c r="H384">
        <f>IF(tblCalculo[[#This Row],[STATUS]]="CONCLUÍDO",_xlfn.XLOOKUP(tblCalculo[[#This Row],[NR_SIMULACAO]],tblVendas[[#This Row],[NR_SIMULACAO]],tblVendas[[#This Row],[VALOR_FIXABASICA]],""),0)</f>
        <v>0</v>
      </c>
      <c r="I384">
        <f>IF(tblCalculo[[#This Row],[STATUS]]="CONCLUÍDO",_xlfn.XLOOKUP(tblCalculo[[#This Row],[NR_SIMULACAO]],tblVendas[[#This Row],[NR_SIMULACAO]],tblVendas[[#This Row],[VALOR_TI]],""),0)</f>
        <v>2802.88</v>
      </c>
      <c r="J384">
        <f>IF(tblCalculo[[#This Row],[STATUS]]="CONCLUÍDO",_xlfn.XLOOKUP(tblCalculo[[#This Row],[NR_SIMULACAO]],tblVendas[[#This Row],[NR_SIMULACAO]],tblVendas[[#This Row],[VALOR_APARELHO]],""),0)</f>
        <v>0</v>
      </c>
      <c r="K384" t="str">
        <f>IF(tblCalculo[[#This Row],[STATUS]]="NEGOCIANDO",tblCalculo[[#This Row],[VALOR_TOTAL]],"")</f>
        <v/>
      </c>
      <c r="L384" t="str">
        <f>IF(tblCalculo[[#This Row],[STATUS]]="ALÇADA",tblCalculo[[#This Row],[VALOR_TOTAL]],"")</f>
        <v/>
      </c>
      <c r="M384" t="str">
        <f>IF(tblCalculo[[#This Row],[STATUS]]="EM ANÁLISE",tblCalculo[[#This Row],[VALOR_TOTAL]],"")</f>
        <v/>
      </c>
      <c r="N384" t="str">
        <f>IF(tblCalculo[[#This Row],[STATUS]]="TRAMITANDO",tblCalculo[[#This Row],[VALOR_TOTAL]],"")</f>
        <v/>
      </c>
      <c r="O384" t="str">
        <f>IF(tblCalculo[[#This Row],[STATUS]]="PERDIDO",tblCalculo[[#This Row],[VALOR_TOTAL]],"")</f>
        <v/>
      </c>
      <c r="P384">
        <f>IF(tblCalculo[[#This Row],[STATUS]]="CONCLUÍDO",tblCalculo[[#This Row],[VALOR_TOTAL]],"")</f>
        <v>5344.12</v>
      </c>
    </row>
    <row r="385" spans="1:16" x14ac:dyDescent="0.25">
      <c r="A385" t="str">
        <f>tblVendas[[#This Row],[NR_SIMULACAO]]</f>
        <v>SIM1375</v>
      </c>
      <c r="B385" s="34" t="str">
        <f>_xlfn.XLOOKUP(A385,tblVendas[[#This Row],[NR_SIMULACAO]],tblVendas[[#This Row],[NR_CNPJ]],"")</f>
        <v>34.656.206/0001-49</v>
      </c>
      <c r="C385" t="str">
        <f>_xlfn.XLOOKUP(A385,tblVendas[[#This Row],[NR_SIMULACAO]],tblVendas[[#This Row],[STATUS]],"")</f>
        <v>PERDIDO</v>
      </c>
      <c r="D385" t="str">
        <f>_xlfn.XLOOKUP(A385,tblVendas[[#This Row],[NR_SIMULACAO]],tblVendas[[#This Row],[MES]],"")</f>
        <v>Dezembro</v>
      </c>
      <c r="E385">
        <f>SUM(_xlfn.XLOOKUP(tblCalculo[[#This Row],[NR_SIMULACAO]],tblVendas[[#This Row],[NR_SIMULACAO]],tblVendas[[#This Row],[VALOR_MOVEL]],""):_xlfn.XLOOKUP(tblCalculo[[#This Row],[NR_SIMULACAO]],tblVendas[[#This Row],[NR_SIMULACAO]],tblVendas[[#This Row],[VALOR_APARELHO]],""))</f>
        <v>986.44</v>
      </c>
      <c r="F385">
        <f>IF(tblCalculo[[#This Row],[STATUS]]="CONCLUÍDO",_xlfn.XLOOKUP(tblCalculo[[#This Row],[NR_SIMULACAO]],tblVendas[[#This Row],[NR_SIMULACAO]],tblVendas[[#This Row],[VALOR_MOVEL]],""),0)</f>
        <v>0</v>
      </c>
      <c r="G385">
        <f>IF(tblCalculo[[#This Row],[STATUS]]="CONCLUÍDO",_xlfn.XLOOKUP(tblCalculo[[#This Row],[NR_SIMULACAO]],tblVendas[[#This Row],[NR_SIMULACAO]],tblVendas[[#This Row],[VALOR_AVANCADO]],""),0)</f>
        <v>0</v>
      </c>
      <c r="H385">
        <f>IF(tblCalculo[[#This Row],[STATUS]]="CONCLUÍDO",_xlfn.XLOOKUP(tblCalculo[[#This Row],[NR_SIMULACAO]],tblVendas[[#This Row],[NR_SIMULACAO]],tblVendas[[#This Row],[VALOR_FIXABASICA]],""),0)</f>
        <v>0</v>
      </c>
      <c r="I385">
        <f>IF(tblCalculo[[#This Row],[STATUS]]="CONCLUÍDO",_xlfn.XLOOKUP(tblCalculo[[#This Row],[NR_SIMULACAO]],tblVendas[[#This Row],[NR_SIMULACAO]],tblVendas[[#This Row],[VALOR_TI]],""),0)</f>
        <v>0</v>
      </c>
      <c r="J385">
        <f>IF(tblCalculo[[#This Row],[STATUS]]="CONCLUÍDO",_xlfn.XLOOKUP(tblCalculo[[#This Row],[NR_SIMULACAO]],tblVendas[[#This Row],[NR_SIMULACAO]],tblVendas[[#This Row],[VALOR_APARELHO]],""),0)</f>
        <v>0</v>
      </c>
      <c r="K385" t="str">
        <f>IF(tblCalculo[[#This Row],[STATUS]]="NEGOCIANDO",tblCalculo[[#This Row],[VALOR_TOTAL]],"")</f>
        <v/>
      </c>
      <c r="L385" t="str">
        <f>IF(tblCalculo[[#This Row],[STATUS]]="ALÇADA",tblCalculo[[#This Row],[VALOR_TOTAL]],"")</f>
        <v/>
      </c>
      <c r="M385" t="str">
        <f>IF(tblCalculo[[#This Row],[STATUS]]="EM ANÁLISE",tblCalculo[[#This Row],[VALOR_TOTAL]],"")</f>
        <v/>
      </c>
      <c r="N385" t="str">
        <f>IF(tblCalculo[[#This Row],[STATUS]]="TRAMITANDO",tblCalculo[[#This Row],[VALOR_TOTAL]],"")</f>
        <v/>
      </c>
      <c r="O385">
        <f>IF(tblCalculo[[#This Row],[STATUS]]="PERDIDO",tblCalculo[[#This Row],[VALOR_TOTAL]],"")</f>
        <v>986.44</v>
      </c>
      <c r="P385" t="str">
        <f>IF(tblCalculo[[#This Row],[STATUS]]="CONCLUÍDO",tblCalculo[[#This Row],[VALOR_TOTAL]],"")</f>
        <v/>
      </c>
    </row>
    <row r="386" spans="1:16" x14ac:dyDescent="0.25">
      <c r="A386" t="str">
        <f>tblVendas[[#This Row],[NR_SIMULACAO]]</f>
        <v>SIM1376</v>
      </c>
      <c r="B386" s="34" t="str">
        <f>_xlfn.XLOOKUP(A386,tblVendas[[#This Row],[NR_SIMULACAO]],tblVendas[[#This Row],[NR_CNPJ]],"")</f>
        <v>54.605.182/0001-56</v>
      </c>
      <c r="C386" t="str">
        <f>_xlfn.XLOOKUP(A386,tblVendas[[#This Row],[NR_SIMULACAO]],tblVendas[[#This Row],[STATUS]],"")</f>
        <v>EM ANÁLISE</v>
      </c>
      <c r="D386" t="str">
        <f>_xlfn.XLOOKUP(A386,tblVendas[[#This Row],[NR_SIMULACAO]],tblVendas[[#This Row],[MES]],"")</f>
        <v>Maio</v>
      </c>
      <c r="E386">
        <f>SUM(_xlfn.XLOOKUP(tblCalculo[[#This Row],[NR_SIMULACAO]],tblVendas[[#This Row],[NR_SIMULACAO]],tblVendas[[#This Row],[VALOR_MOVEL]],""):_xlfn.XLOOKUP(tblCalculo[[#This Row],[NR_SIMULACAO]],tblVendas[[#This Row],[NR_SIMULACAO]],tblVendas[[#This Row],[VALOR_APARELHO]],""))</f>
        <v>4775.37</v>
      </c>
      <c r="F386">
        <f>IF(tblCalculo[[#This Row],[STATUS]]="CONCLUÍDO",_xlfn.XLOOKUP(tblCalculo[[#This Row],[NR_SIMULACAO]],tblVendas[[#This Row],[NR_SIMULACAO]],tblVendas[[#This Row],[VALOR_MOVEL]],""),0)</f>
        <v>0</v>
      </c>
      <c r="G386">
        <f>IF(tblCalculo[[#This Row],[STATUS]]="CONCLUÍDO",_xlfn.XLOOKUP(tblCalculo[[#This Row],[NR_SIMULACAO]],tblVendas[[#This Row],[NR_SIMULACAO]],tblVendas[[#This Row],[VALOR_AVANCADO]],""),0)</f>
        <v>0</v>
      </c>
      <c r="H386">
        <f>IF(tblCalculo[[#This Row],[STATUS]]="CONCLUÍDO",_xlfn.XLOOKUP(tblCalculo[[#This Row],[NR_SIMULACAO]],tblVendas[[#This Row],[NR_SIMULACAO]],tblVendas[[#This Row],[VALOR_FIXABASICA]],""),0)</f>
        <v>0</v>
      </c>
      <c r="I386">
        <f>IF(tblCalculo[[#This Row],[STATUS]]="CONCLUÍDO",_xlfn.XLOOKUP(tblCalculo[[#This Row],[NR_SIMULACAO]],tblVendas[[#This Row],[NR_SIMULACAO]],tblVendas[[#This Row],[VALOR_TI]],""),0)</f>
        <v>0</v>
      </c>
      <c r="J386">
        <f>IF(tblCalculo[[#This Row],[STATUS]]="CONCLUÍDO",_xlfn.XLOOKUP(tblCalculo[[#This Row],[NR_SIMULACAO]],tblVendas[[#This Row],[NR_SIMULACAO]],tblVendas[[#This Row],[VALOR_APARELHO]],""),0)</f>
        <v>0</v>
      </c>
      <c r="K386" t="str">
        <f>IF(tblCalculo[[#This Row],[STATUS]]="NEGOCIANDO",tblCalculo[[#This Row],[VALOR_TOTAL]],"")</f>
        <v/>
      </c>
      <c r="L386" t="str">
        <f>IF(tblCalculo[[#This Row],[STATUS]]="ALÇADA",tblCalculo[[#This Row],[VALOR_TOTAL]],"")</f>
        <v/>
      </c>
      <c r="M386">
        <f>IF(tblCalculo[[#This Row],[STATUS]]="EM ANÁLISE",tblCalculo[[#This Row],[VALOR_TOTAL]],"")</f>
        <v>4775.37</v>
      </c>
      <c r="N386" t="str">
        <f>IF(tblCalculo[[#This Row],[STATUS]]="TRAMITANDO",tblCalculo[[#This Row],[VALOR_TOTAL]],"")</f>
        <v/>
      </c>
      <c r="O386" t="str">
        <f>IF(tblCalculo[[#This Row],[STATUS]]="PERDIDO",tblCalculo[[#This Row],[VALOR_TOTAL]],"")</f>
        <v/>
      </c>
      <c r="P386" t="str">
        <f>IF(tblCalculo[[#This Row],[STATUS]]="CONCLUÍDO",tblCalculo[[#This Row],[VALOR_TOTAL]],"")</f>
        <v/>
      </c>
    </row>
    <row r="387" spans="1:16" x14ac:dyDescent="0.25">
      <c r="A387" t="str">
        <f>tblVendas[[#This Row],[NR_SIMULACAO]]</f>
        <v>SIM1377</v>
      </c>
      <c r="B387" s="34" t="str">
        <f>_xlfn.XLOOKUP(A387,tblVendas[[#This Row],[NR_SIMULACAO]],tblVendas[[#This Row],[NR_CNPJ]],"")</f>
        <v>22.769.353/0001-36</v>
      </c>
      <c r="C387" t="str">
        <f>_xlfn.XLOOKUP(A387,tblVendas[[#This Row],[NR_SIMULACAO]],tblVendas[[#This Row],[STATUS]],"")</f>
        <v>NEGOCIANDO</v>
      </c>
      <c r="D387" t="str">
        <f>_xlfn.XLOOKUP(A387,tblVendas[[#This Row],[NR_SIMULACAO]],tblVendas[[#This Row],[MES]],"")</f>
        <v>Maio</v>
      </c>
      <c r="E387">
        <f>SUM(_xlfn.XLOOKUP(tblCalculo[[#This Row],[NR_SIMULACAO]],tblVendas[[#This Row],[NR_SIMULACAO]],tblVendas[[#This Row],[VALOR_MOVEL]],""):_xlfn.XLOOKUP(tblCalculo[[#This Row],[NR_SIMULACAO]],tblVendas[[#This Row],[NR_SIMULACAO]],tblVendas[[#This Row],[VALOR_APARELHO]],""))</f>
        <v>16944.919999999998</v>
      </c>
      <c r="F387">
        <f>IF(tblCalculo[[#This Row],[STATUS]]="CONCLUÍDO",_xlfn.XLOOKUP(tblCalculo[[#This Row],[NR_SIMULACAO]],tblVendas[[#This Row],[NR_SIMULACAO]],tblVendas[[#This Row],[VALOR_MOVEL]],""),0)</f>
        <v>0</v>
      </c>
      <c r="G387">
        <f>IF(tblCalculo[[#This Row],[STATUS]]="CONCLUÍDO",_xlfn.XLOOKUP(tblCalculo[[#This Row],[NR_SIMULACAO]],tblVendas[[#This Row],[NR_SIMULACAO]],tblVendas[[#This Row],[VALOR_AVANCADO]],""),0)</f>
        <v>0</v>
      </c>
      <c r="H387">
        <f>IF(tblCalculo[[#This Row],[STATUS]]="CONCLUÍDO",_xlfn.XLOOKUP(tblCalculo[[#This Row],[NR_SIMULACAO]],tblVendas[[#This Row],[NR_SIMULACAO]],tblVendas[[#This Row],[VALOR_FIXABASICA]],""),0)</f>
        <v>0</v>
      </c>
      <c r="I387">
        <f>IF(tblCalculo[[#This Row],[STATUS]]="CONCLUÍDO",_xlfn.XLOOKUP(tblCalculo[[#This Row],[NR_SIMULACAO]],tblVendas[[#This Row],[NR_SIMULACAO]],tblVendas[[#This Row],[VALOR_TI]],""),0)</f>
        <v>0</v>
      </c>
      <c r="J387">
        <f>IF(tblCalculo[[#This Row],[STATUS]]="CONCLUÍDO",_xlfn.XLOOKUP(tblCalculo[[#This Row],[NR_SIMULACAO]],tblVendas[[#This Row],[NR_SIMULACAO]],tblVendas[[#This Row],[VALOR_APARELHO]],""),0)</f>
        <v>0</v>
      </c>
      <c r="K387">
        <f>IF(tblCalculo[[#This Row],[STATUS]]="NEGOCIANDO",tblCalculo[[#This Row],[VALOR_TOTAL]],"")</f>
        <v>16944.919999999998</v>
      </c>
      <c r="L387" t="str">
        <f>IF(tblCalculo[[#This Row],[STATUS]]="ALÇADA",tblCalculo[[#This Row],[VALOR_TOTAL]],"")</f>
        <v/>
      </c>
      <c r="M387" t="str">
        <f>IF(tblCalculo[[#This Row],[STATUS]]="EM ANÁLISE",tblCalculo[[#This Row],[VALOR_TOTAL]],"")</f>
        <v/>
      </c>
      <c r="N387" t="str">
        <f>IF(tblCalculo[[#This Row],[STATUS]]="TRAMITANDO",tblCalculo[[#This Row],[VALOR_TOTAL]],"")</f>
        <v/>
      </c>
      <c r="O387" t="str">
        <f>IF(tblCalculo[[#This Row],[STATUS]]="PERDIDO",tblCalculo[[#This Row],[VALOR_TOTAL]],"")</f>
        <v/>
      </c>
      <c r="P387" t="str">
        <f>IF(tblCalculo[[#This Row],[STATUS]]="CONCLUÍDO",tblCalculo[[#This Row],[VALOR_TOTAL]],"")</f>
        <v/>
      </c>
    </row>
    <row r="388" spans="1:16" x14ac:dyDescent="0.25">
      <c r="A388" t="str">
        <f>tblVendas[[#This Row],[NR_SIMULACAO]]</f>
        <v>SIM1378</v>
      </c>
      <c r="B388" s="34" t="str">
        <f>_xlfn.XLOOKUP(A388,tblVendas[[#This Row],[NR_SIMULACAO]],tblVendas[[#This Row],[NR_CNPJ]],"")</f>
        <v>73.700.611/0001-23</v>
      </c>
      <c r="C388" t="str">
        <f>_xlfn.XLOOKUP(A388,tblVendas[[#This Row],[NR_SIMULACAO]],tblVendas[[#This Row],[STATUS]],"")</f>
        <v>ALÇADA</v>
      </c>
      <c r="D388" t="str">
        <f>_xlfn.XLOOKUP(A388,tblVendas[[#This Row],[NR_SIMULACAO]],tblVendas[[#This Row],[MES]],"")</f>
        <v>Abril</v>
      </c>
      <c r="E388">
        <f>SUM(_xlfn.XLOOKUP(tblCalculo[[#This Row],[NR_SIMULACAO]],tblVendas[[#This Row],[NR_SIMULACAO]],tblVendas[[#This Row],[VALOR_MOVEL]],""):_xlfn.XLOOKUP(tblCalculo[[#This Row],[NR_SIMULACAO]],tblVendas[[#This Row],[NR_SIMULACAO]],tblVendas[[#This Row],[VALOR_APARELHO]],""))</f>
        <v>1219.04</v>
      </c>
      <c r="F388">
        <f>IF(tblCalculo[[#This Row],[STATUS]]="CONCLUÍDO",_xlfn.XLOOKUP(tblCalculo[[#This Row],[NR_SIMULACAO]],tblVendas[[#This Row],[NR_SIMULACAO]],tblVendas[[#This Row],[VALOR_MOVEL]],""),0)</f>
        <v>0</v>
      </c>
      <c r="G388">
        <f>IF(tblCalculo[[#This Row],[STATUS]]="CONCLUÍDO",_xlfn.XLOOKUP(tblCalculo[[#This Row],[NR_SIMULACAO]],tblVendas[[#This Row],[NR_SIMULACAO]],tblVendas[[#This Row],[VALOR_AVANCADO]],""),0)</f>
        <v>0</v>
      </c>
      <c r="H388">
        <f>IF(tblCalculo[[#This Row],[STATUS]]="CONCLUÍDO",_xlfn.XLOOKUP(tblCalculo[[#This Row],[NR_SIMULACAO]],tblVendas[[#This Row],[NR_SIMULACAO]],tblVendas[[#This Row],[VALOR_FIXABASICA]],""),0)</f>
        <v>0</v>
      </c>
      <c r="I388">
        <f>IF(tblCalculo[[#This Row],[STATUS]]="CONCLUÍDO",_xlfn.XLOOKUP(tblCalculo[[#This Row],[NR_SIMULACAO]],tblVendas[[#This Row],[NR_SIMULACAO]],tblVendas[[#This Row],[VALOR_TI]],""),0)</f>
        <v>0</v>
      </c>
      <c r="J388">
        <f>IF(tblCalculo[[#This Row],[STATUS]]="CONCLUÍDO",_xlfn.XLOOKUP(tblCalculo[[#This Row],[NR_SIMULACAO]],tblVendas[[#This Row],[NR_SIMULACAO]],tblVendas[[#This Row],[VALOR_APARELHO]],""),0)</f>
        <v>0</v>
      </c>
      <c r="K388" t="str">
        <f>IF(tblCalculo[[#This Row],[STATUS]]="NEGOCIANDO",tblCalculo[[#This Row],[VALOR_TOTAL]],"")</f>
        <v/>
      </c>
      <c r="L388">
        <f>IF(tblCalculo[[#This Row],[STATUS]]="ALÇADA",tblCalculo[[#This Row],[VALOR_TOTAL]],"")</f>
        <v>1219.04</v>
      </c>
      <c r="M388" t="str">
        <f>IF(tblCalculo[[#This Row],[STATUS]]="EM ANÁLISE",tblCalculo[[#This Row],[VALOR_TOTAL]],"")</f>
        <v/>
      </c>
      <c r="N388" t="str">
        <f>IF(tblCalculo[[#This Row],[STATUS]]="TRAMITANDO",tblCalculo[[#This Row],[VALOR_TOTAL]],"")</f>
        <v/>
      </c>
      <c r="O388" t="str">
        <f>IF(tblCalculo[[#This Row],[STATUS]]="PERDIDO",tblCalculo[[#This Row],[VALOR_TOTAL]],"")</f>
        <v/>
      </c>
      <c r="P388" t="str">
        <f>IF(tblCalculo[[#This Row],[STATUS]]="CONCLUÍDO",tblCalculo[[#This Row],[VALOR_TOTAL]],"")</f>
        <v/>
      </c>
    </row>
    <row r="389" spans="1:16" x14ac:dyDescent="0.25">
      <c r="A389" t="str">
        <f>tblVendas[[#This Row],[NR_SIMULACAO]]</f>
        <v>SIM1379</v>
      </c>
      <c r="B389" s="34" t="str">
        <f>_xlfn.XLOOKUP(A389,tblVendas[[#This Row],[NR_SIMULACAO]],tblVendas[[#This Row],[NR_CNPJ]],"")</f>
        <v>85.384.506/0001-36</v>
      </c>
      <c r="C389" t="str">
        <f>_xlfn.XLOOKUP(A389,tblVendas[[#This Row],[NR_SIMULACAO]],tblVendas[[#This Row],[STATUS]],"")</f>
        <v>NEGOCIANDO</v>
      </c>
      <c r="D389" t="str">
        <f>_xlfn.XLOOKUP(A389,tblVendas[[#This Row],[NR_SIMULACAO]],tblVendas[[#This Row],[MES]],"")</f>
        <v>Julho</v>
      </c>
      <c r="E389">
        <f>SUM(_xlfn.XLOOKUP(tblCalculo[[#This Row],[NR_SIMULACAO]],tblVendas[[#This Row],[NR_SIMULACAO]],tblVendas[[#This Row],[VALOR_MOVEL]],""):_xlfn.XLOOKUP(tblCalculo[[#This Row],[NR_SIMULACAO]],tblVendas[[#This Row],[NR_SIMULACAO]],tblVendas[[#This Row],[VALOR_APARELHO]],""))</f>
        <v>19289.96</v>
      </c>
      <c r="F389">
        <f>IF(tblCalculo[[#This Row],[STATUS]]="CONCLUÍDO",_xlfn.XLOOKUP(tblCalculo[[#This Row],[NR_SIMULACAO]],tblVendas[[#This Row],[NR_SIMULACAO]],tblVendas[[#This Row],[VALOR_MOVEL]],""),0)</f>
        <v>0</v>
      </c>
      <c r="G389">
        <f>IF(tblCalculo[[#This Row],[STATUS]]="CONCLUÍDO",_xlfn.XLOOKUP(tblCalculo[[#This Row],[NR_SIMULACAO]],tblVendas[[#This Row],[NR_SIMULACAO]],tblVendas[[#This Row],[VALOR_AVANCADO]],""),0)</f>
        <v>0</v>
      </c>
      <c r="H389">
        <f>IF(tblCalculo[[#This Row],[STATUS]]="CONCLUÍDO",_xlfn.XLOOKUP(tblCalculo[[#This Row],[NR_SIMULACAO]],tblVendas[[#This Row],[NR_SIMULACAO]],tblVendas[[#This Row],[VALOR_FIXABASICA]],""),0)</f>
        <v>0</v>
      </c>
      <c r="I389">
        <f>IF(tblCalculo[[#This Row],[STATUS]]="CONCLUÍDO",_xlfn.XLOOKUP(tblCalculo[[#This Row],[NR_SIMULACAO]],tblVendas[[#This Row],[NR_SIMULACAO]],tblVendas[[#This Row],[VALOR_TI]],""),0)</f>
        <v>0</v>
      </c>
      <c r="J389">
        <f>IF(tblCalculo[[#This Row],[STATUS]]="CONCLUÍDO",_xlfn.XLOOKUP(tblCalculo[[#This Row],[NR_SIMULACAO]],tblVendas[[#This Row],[NR_SIMULACAO]],tblVendas[[#This Row],[VALOR_APARELHO]],""),0)</f>
        <v>0</v>
      </c>
      <c r="K389">
        <f>IF(tblCalculo[[#This Row],[STATUS]]="NEGOCIANDO",tblCalculo[[#This Row],[VALOR_TOTAL]],"")</f>
        <v>19289.96</v>
      </c>
      <c r="L389" t="str">
        <f>IF(tblCalculo[[#This Row],[STATUS]]="ALÇADA",tblCalculo[[#This Row],[VALOR_TOTAL]],"")</f>
        <v/>
      </c>
      <c r="M389" t="str">
        <f>IF(tblCalculo[[#This Row],[STATUS]]="EM ANÁLISE",tblCalculo[[#This Row],[VALOR_TOTAL]],"")</f>
        <v/>
      </c>
      <c r="N389" t="str">
        <f>IF(tblCalculo[[#This Row],[STATUS]]="TRAMITANDO",tblCalculo[[#This Row],[VALOR_TOTAL]],"")</f>
        <v/>
      </c>
      <c r="O389" t="str">
        <f>IF(tblCalculo[[#This Row],[STATUS]]="PERDIDO",tblCalculo[[#This Row],[VALOR_TOTAL]],"")</f>
        <v/>
      </c>
      <c r="P389" t="str">
        <f>IF(tblCalculo[[#This Row],[STATUS]]="CONCLUÍDO",tblCalculo[[#This Row],[VALOR_TOTAL]],"")</f>
        <v/>
      </c>
    </row>
    <row r="390" spans="1:16" x14ac:dyDescent="0.25">
      <c r="A390" t="str">
        <f>tblVendas[[#This Row],[NR_SIMULACAO]]</f>
        <v>SIM1380</v>
      </c>
      <c r="B390" s="34" t="str">
        <f>_xlfn.XLOOKUP(A390,tblVendas[[#This Row],[NR_SIMULACAO]],tblVendas[[#This Row],[NR_CNPJ]],"")</f>
        <v>81.413.639/0001-22</v>
      </c>
      <c r="C390" t="str">
        <f>_xlfn.XLOOKUP(A390,tblVendas[[#This Row],[NR_SIMULACAO]],tblVendas[[#This Row],[STATUS]],"")</f>
        <v>PERDIDO</v>
      </c>
      <c r="D390" t="str">
        <f>_xlfn.XLOOKUP(A390,tblVendas[[#This Row],[NR_SIMULACAO]],tblVendas[[#This Row],[MES]],"")</f>
        <v>Maio</v>
      </c>
      <c r="E390">
        <f>SUM(_xlfn.XLOOKUP(tblCalculo[[#This Row],[NR_SIMULACAO]],tblVendas[[#This Row],[NR_SIMULACAO]],tblVendas[[#This Row],[VALOR_MOVEL]],""):_xlfn.XLOOKUP(tblCalculo[[#This Row],[NR_SIMULACAO]],tblVendas[[#This Row],[NR_SIMULACAO]],tblVendas[[#This Row],[VALOR_APARELHO]],""))</f>
        <v>10886.46</v>
      </c>
      <c r="F390">
        <f>IF(tblCalculo[[#This Row],[STATUS]]="CONCLUÍDO",_xlfn.XLOOKUP(tblCalculo[[#This Row],[NR_SIMULACAO]],tblVendas[[#This Row],[NR_SIMULACAO]],tblVendas[[#This Row],[VALOR_MOVEL]],""),0)</f>
        <v>0</v>
      </c>
      <c r="G390">
        <f>IF(tblCalculo[[#This Row],[STATUS]]="CONCLUÍDO",_xlfn.XLOOKUP(tblCalculo[[#This Row],[NR_SIMULACAO]],tblVendas[[#This Row],[NR_SIMULACAO]],tblVendas[[#This Row],[VALOR_AVANCADO]],""),0)</f>
        <v>0</v>
      </c>
      <c r="H390">
        <f>IF(tblCalculo[[#This Row],[STATUS]]="CONCLUÍDO",_xlfn.XLOOKUP(tblCalculo[[#This Row],[NR_SIMULACAO]],tblVendas[[#This Row],[NR_SIMULACAO]],tblVendas[[#This Row],[VALOR_FIXABASICA]],""),0)</f>
        <v>0</v>
      </c>
      <c r="I390">
        <f>IF(tblCalculo[[#This Row],[STATUS]]="CONCLUÍDO",_xlfn.XLOOKUP(tblCalculo[[#This Row],[NR_SIMULACAO]],tblVendas[[#This Row],[NR_SIMULACAO]],tblVendas[[#This Row],[VALOR_TI]],""),0)</f>
        <v>0</v>
      </c>
      <c r="J390">
        <f>IF(tblCalculo[[#This Row],[STATUS]]="CONCLUÍDO",_xlfn.XLOOKUP(tblCalculo[[#This Row],[NR_SIMULACAO]],tblVendas[[#This Row],[NR_SIMULACAO]],tblVendas[[#This Row],[VALOR_APARELHO]],""),0)</f>
        <v>0</v>
      </c>
      <c r="K390" t="str">
        <f>IF(tblCalculo[[#This Row],[STATUS]]="NEGOCIANDO",tblCalculo[[#This Row],[VALOR_TOTAL]],"")</f>
        <v/>
      </c>
      <c r="L390" t="str">
        <f>IF(tblCalculo[[#This Row],[STATUS]]="ALÇADA",tblCalculo[[#This Row],[VALOR_TOTAL]],"")</f>
        <v/>
      </c>
      <c r="M390" t="str">
        <f>IF(tblCalculo[[#This Row],[STATUS]]="EM ANÁLISE",tblCalculo[[#This Row],[VALOR_TOTAL]],"")</f>
        <v/>
      </c>
      <c r="N390" t="str">
        <f>IF(tblCalculo[[#This Row],[STATUS]]="TRAMITANDO",tblCalculo[[#This Row],[VALOR_TOTAL]],"")</f>
        <v/>
      </c>
      <c r="O390">
        <f>IF(tblCalculo[[#This Row],[STATUS]]="PERDIDO",tblCalculo[[#This Row],[VALOR_TOTAL]],"")</f>
        <v>10886.46</v>
      </c>
      <c r="P390" t="str">
        <f>IF(tblCalculo[[#This Row],[STATUS]]="CONCLUÍDO",tblCalculo[[#This Row],[VALOR_TOTAL]],"")</f>
        <v/>
      </c>
    </row>
    <row r="391" spans="1:16" x14ac:dyDescent="0.25">
      <c r="A391" t="str">
        <f>tblVendas[[#This Row],[NR_SIMULACAO]]</f>
        <v>SIM1381</v>
      </c>
      <c r="B391" s="34" t="str">
        <f>_xlfn.XLOOKUP(A391,tblVendas[[#This Row],[NR_SIMULACAO]],tblVendas[[#This Row],[NR_CNPJ]],"")</f>
        <v>97.128.692/0001-46</v>
      </c>
      <c r="C391" t="str">
        <f>_xlfn.XLOOKUP(A391,tblVendas[[#This Row],[NR_SIMULACAO]],tblVendas[[#This Row],[STATUS]],"")</f>
        <v>TRAMITANDO</v>
      </c>
      <c r="D391" t="str">
        <f>_xlfn.XLOOKUP(A391,tblVendas[[#This Row],[NR_SIMULACAO]],tblVendas[[#This Row],[MES]],"")</f>
        <v>Novembro</v>
      </c>
      <c r="E391">
        <f>SUM(_xlfn.XLOOKUP(tblCalculo[[#This Row],[NR_SIMULACAO]],tblVendas[[#This Row],[NR_SIMULACAO]],tblVendas[[#This Row],[VALOR_MOVEL]],""):_xlfn.XLOOKUP(tblCalculo[[#This Row],[NR_SIMULACAO]],tblVendas[[#This Row],[NR_SIMULACAO]],tblVendas[[#This Row],[VALOR_APARELHO]],""))</f>
        <v>4362.6000000000004</v>
      </c>
      <c r="F391">
        <f>IF(tblCalculo[[#This Row],[STATUS]]="CONCLUÍDO",_xlfn.XLOOKUP(tblCalculo[[#This Row],[NR_SIMULACAO]],tblVendas[[#This Row],[NR_SIMULACAO]],tblVendas[[#This Row],[VALOR_MOVEL]],""),0)</f>
        <v>0</v>
      </c>
      <c r="G391">
        <f>IF(tblCalculo[[#This Row],[STATUS]]="CONCLUÍDO",_xlfn.XLOOKUP(tblCalculo[[#This Row],[NR_SIMULACAO]],tblVendas[[#This Row],[NR_SIMULACAO]],tblVendas[[#This Row],[VALOR_AVANCADO]],""),0)</f>
        <v>0</v>
      </c>
      <c r="H391">
        <f>IF(tblCalculo[[#This Row],[STATUS]]="CONCLUÍDO",_xlfn.XLOOKUP(tblCalculo[[#This Row],[NR_SIMULACAO]],tblVendas[[#This Row],[NR_SIMULACAO]],tblVendas[[#This Row],[VALOR_FIXABASICA]],""),0)</f>
        <v>0</v>
      </c>
      <c r="I391">
        <f>IF(tblCalculo[[#This Row],[STATUS]]="CONCLUÍDO",_xlfn.XLOOKUP(tblCalculo[[#This Row],[NR_SIMULACAO]],tblVendas[[#This Row],[NR_SIMULACAO]],tblVendas[[#This Row],[VALOR_TI]],""),0)</f>
        <v>0</v>
      </c>
      <c r="J391">
        <f>IF(tblCalculo[[#This Row],[STATUS]]="CONCLUÍDO",_xlfn.XLOOKUP(tblCalculo[[#This Row],[NR_SIMULACAO]],tblVendas[[#This Row],[NR_SIMULACAO]],tblVendas[[#This Row],[VALOR_APARELHO]],""),0)</f>
        <v>0</v>
      </c>
      <c r="K391" t="str">
        <f>IF(tblCalculo[[#This Row],[STATUS]]="NEGOCIANDO",tblCalculo[[#This Row],[VALOR_TOTAL]],"")</f>
        <v/>
      </c>
      <c r="L391" t="str">
        <f>IF(tblCalculo[[#This Row],[STATUS]]="ALÇADA",tblCalculo[[#This Row],[VALOR_TOTAL]],"")</f>
        <v/>
      </c>
      <c r="M391" t="str">
        <f>IF(tblCalculo[[#This Row],[STATUS]]="EM ANÁLISE",tblCalculo[[#This Row],[VALOR_TOTAL]],"")</f>
        <v/>
      </c>
      <c r="N391">
        <f>IF(tblCalculo[[#This Row],[STATUS]]="TRAMITANDO",tblCalculo[[#This Row],[VALOR_TOTAL]],"")</f>
        <v>4362.6000000000004</v>
      </c>
      <c r="O391" t="str">
        <f>IF(tblCalculo[[#This Row],[STATUS]]="PERDIDO",tblCalculo[[#This Row],[VALOR_TOTAL]],"")</f>
        <v/>
      </c>
      <c r="P391" t="str">
        <f>IF(tblCalculo[[#This Row],[STATUS]]="CONCLUÍDO",tblCalculo[[#This Row],[VALOR_TOTAL]],"")</f>
        <v/>
      </c>
    </row>
    <row r="392" spans="1:16" x14ac:dyDescent="0.25">
      <c r="A392" t="str">
        <f>tblVendas[[#This Row],[NR_SIMULACAO]]</f>
        <v>SIM1382</v>
      </c>
      <c r="B392" s="34" t="str">
        <f>_xlfn.XLOOKUP(A392,tblVendas[[#This Row],[NR_SIMULACAO]],tblVendas[[#This Row],[NR_CNPJ]],"")</f>
        <v>25.447.814/0001-61</v>
      </c>
      <c r="C392" t="str">
        <f>_xlfn.XLOOKUP(A392,tblVendas[[#This Row],[NR_SIMULACAO]],tblVendas[[#This Row],[STATUS]],"")</f>
        <v>PERDIDO</v>
      </c>
      <c r="D392" t="str">
        <f>_xlfn.XLOOKUP(A392,tblVendas[[#This Row],[NR_SIMULACAO]],tblVendas[[#This Row],[MES]],"")</f>
        <v>Julho</v>
      </c>
      <c r="E392">
        <f>SUM(_xlfn.XLOOKUP(tblCalculo[[#This Row],[NR_SIMULACAO]],tblVendas[[#This Row],[NR_SIMULACAO]],tblVendas[[#This Row],[VALOR_MOVEL]],""):_xlfn.XLOOKUP(tblCalculo[[#This Row],[NR_SIMULACAO]],tblVendas[[#This Row],[NR_SIMULACAO]],tblVendas[[#This Row],[VALOR_APARELHO]],""))</f>
        <v>12298.18</v>
      </c>
      <c r="F392">
        <f>IF(tblCalculo[[#This Row],[STATUS]]="CONCLUÍDO",_xlfn.XLOOKUP(tblCalculo[[#This Row],[NR_SIMULACAO]],tblVendas[[#This Row],[NR_SIMULACAO]],tblVendas[[#This Row],[VALOR_MOVEL]],""),0)</f>
        <v>0</v>
      </c>
      <c r="G392">
        <f>IF(tblCalculo[[#This Row],[STATUS]]="CONCLUÍDO",_xlfn.XLOOKUP(tblCalculo[[#This Row],[NR_SIMULACAO]],tblVendas[[#This Row],[NR_SIMULACAO]],tblVendas[[#This Row],[VALOR_AVANCADO]],""),0)</f>
        <v>0</v>
      </c>
      <c r="H392">
        <f>IF(tblCalculo[[#This Row],[STATUS]]="CONCLUÍDO",_xlfn.XLOOKUP(tblCalculo[[#This Row],[NR_SIMULACAO]],tblVendas[[#This Row],[NR_SIMULACAO]],tblVendas[[#This Row],[VALOR_FIXABASICA]],""),0)</f>
        <v>0</v>
      </c>
      <c r="I392">
        <f>IF(tblCalculo[[#This Row],[STATUS]]="CONCLUÍDO",_xlfn.XLOOKUP(tblCalculo[[#This Row],[NR_SIMULACAO]],tblVendas[[#This Row],[NR_SIMULACAO]],tblVendas[[#This Row],[VALOR_TI]],""),0)</f>
        <v>0</v>
      </c>
      <c r="J392">
        <f>IF(tblCalculo[[#This Row],[STATUS]]="CONCLUÍDO",_xlfn.XLOOKUP(tblCalculo[[#This Row],[NR_SIMULACAO]],tblVendas[[#This Row],[NR_SIMULACAO]],tblVendas[[#This Row],[VALOR_APARELHO]],""),0)</f>
        <v>0</v>
      </c>
      <c r="K392" t="str">
        <f>IF(tblCalculo[[#This Row],[STATUS]]="NEGOCIANDO",tblCalculo[[#This Row],[VALOR_TOTAL]],"")</f>
        <v/>
      </c>
      <c r="L392" t="str">
        <f>IF(tblCalculo[[#This Row],[STATUS]]="ALÇADA",tblCalculo[[#This Row],[VALOR_TOTAL]],"")</f>
        <v/>
      </c>
      <c r="M392" t="str">
        <f>IF(tblCalculo[[#This Row],[STATUS]]="EM ANÁLISE",tblCalculo[[#This Row],[VALOR_TOTAL]],"")</f>
        <v/>
      </c>
      <c r="N392" t="str">
        <f>IF(tblCalculo[[#This Row],[STATUS]]="TRAMITANDO",tblCalculo[[#This Row],[VALOR_TOTAL]],"")</f>
        <v/>
      </c>
      <c r="O392">
        <f>IF(tblCalculo[[#This Row],[STATUS]]="PERDIDO",tblCalculo[[#This Row],[VALOR_TOTAL]],"")</f>
        <v>12298.18</v>
      </c>
      <c r="P392" t="str">
        <f>IF(tblCalculo[[#This Row],[STATUS]]="CONCLUÍDO",tblCalculo[[#This Row],[VALOR_TOTAL]],"")</f>
        <v/>
      </c>
    </row>
    <row r="393" spans="1:16" x14ac:dyDescent="0.25">
      <c r="A393" t="str">
        <f>tblVendas[[#This Row],[NR_SIMULACAO]]</f>
        <v>SIM1383</v>
      </c>
      <c r="B393" s="34" t="str">
        <f>_xlfn.XLOOKUP(A393,tblVendas[[#This Row],[NR_SIMULACAO]],tblVendas[[#This Row],[NR_CNPJ]],"")</f>
        <v>53.715.200/0001-68</v>
      </c>
      <c r="C393" t="str">
        <f>_xlfn.XLOOKUP(A393,tblVendas[[#This Row],[NR_SIMULACAO]],tblVendas[[#This Row],[STATUS]],"")</f>
        <v>CONCLUÍDO</v>
      </c>
      <c r="D393" t="str">
        <f>_xlfn.XLOOKUP(A393,tblVendas[[#This Row],[NR_SIMULACAO]],tblVendas[[#This Row],[MES]],"")</f>
        <v>Julho</v>
      </c>
      <c r="E393">
        <f>SUM(_xlfn.XLOOKUP(tblCalculo[[#This Row],[NR_SIMULACAO]],tblVendas[[#This Row],[NR_SIMULACAO]],tblVendas[[#This Row],[VALOR_MOVEL]],""):_xlfn.XLOOKUP(tblCalculo[[#This Row],[NR_SIMULACAO]],tblVendas[[#This Row],[NR_SIMULACAO]],tblVendas[[#This Row],[VALOR_APARELHO]],""))</f>
        <v>9139.3100000000013</v>
      </c>
      <c r="F393">
        <f>IF(tblCalculo[[#This Row],[STATUS]]="CONCLUÍDO",_xlfn.XLOOKUP(tblCalculo[[#This Row],[NR_SIMULACAO]],tblVendas[[#This Row],[NR_SIMULACAO]],tblVendas[[#This Row],[VALOR_MOVEL]],""),0)</f>
        <v>2600.17</v>
      </c>
      <c r="G393">
        <f>IF(tblCalculo[[#This Row],[STATUS]]="CONCLUÍDO",_xlfn.XLOOKUP(tblCalculo[[#This Row],[NR_SIMULACAO]],tblVendas[[#This Row],[NR_SIMULACAO]],tblVendas[[#This Row],[VALOR_AVANCADO]],""),0)</f>
        <v>0</v>
      </c>
      <c r="H393">
        <f>IF(tblCalculo[[#This Row],[STATUS]]="CONCLUÍDO",_xlfn.XLOOKUP(tblCalculo[[#This Row],[NR_SIMULACAO]],tblVendas[[#This Row],[NR_SIMULACAO]],tblVendas[[#This Row],[VALOR_FIXABASICA]],""),0)</f>
        <v>0</v>
      </c>
      <c r="I393">
        <f>IF(tblCalculo[[#This Row],[STATUS]]="CONCLUÍDO",_xlfn.XLOOKUP(tblCalculo[[#This Row],[NR_SIMULACAO]],tblVendas[[#This Row],[NR_SIMULACAO]],tblVendas[[#This Row],[VALOR_TI]],""),0)</f>
        <v>0</v>
      </c>
      <c r="J393">
        <f>IF(tblCalculo[[#This Row],[STATUS]]="CONCLUÍDO",_xlfn.XLOOKUP(tblCalculo[[#This Row],[NR_SIMULACAO]],tblVendas[[#This Row],[NR_SIMULACAO]],tblVendas[[#This Row],[VALOR_APARELHO]],""),0)</f>
        <v>6539.14</v>
      </c>
      <c r="K393" t="str">
        <f>IF(tblCalculo[[#This Row],[STATUS]]="NEGOCIANDO",tblCalculo[[#This Row],[VALOR_TOTAL]],"")</f>
        <v/>
      </c>
      <c r="L393" t="str">
        <f>IF(tblCalculo[[#This Row],[STATUS]]="ALÇADA",tblCalculo[[#This Row],[VALOR_TOTAL]],"")</f>
        <v/>
      </c>
      <c r="M393" t="str">
        <f>IF(tblCalculo[[#This Row],[STATUS]]="EM ANÁLISE",tblCalculo[[#This Row],[VALOR_TOTAL]],"")</f>
        <v/>
      </c>
      <c r="N393" t="str">
        <f>IF(tblCalculo[[#This Row],[STATUS]]="TRAMITANDO",tblCalculo[[#This Row],[VALOR_TOTAL]],"")</f>
        <v/>
      </c>
      <c r="O393" t="str">
        <f>IF(tblCalculo[[#This Row],[STATUS]]="PERDIDO",tblCalculo[[#This Row],[VALOR_TOTAL]],"")</f>
        <v/>
      </c>
      <c r="P393">
        <f>IF(tblCalculo[[#This Row],[STATUS]]="CONCLUÍDO",tblCalculo[[#This Row],[VALOR_TOTAL]],"")</f>
        <v>9139.3100000000013</v>
      </c>
    </row>
    <row r="394" spans="1:16" x14ac:dyDescent="0.25">
      <c r="A394" t="str">
        <f>tblVendas[[#This Row],[NR_SIMULACAO]]</f>
        <v>SIM1384</v>
      </c>
      <c r="B394" s="34" t="str">
        <f>_xlfn.XLOOKUP(A394,tblVendas[[#This Row],[NR_SIMULACAO]],tblVendas[[#This Row],[NR_CNPJ]],"")</f>
        <v>75.148.161/0001-30</v>
      </c>
      <c r="C394" t="str">
        <f>_xlfn.XLOOKUP(A394,tblVendas[[#This Row],[NR_SIMULACAO]],tblVendas[[#This Row],[STATUS]],"")</f>
        <v>PERDIDO</v>
      </c>
      <c r="D394" t="str">
        <f>_xlfn.XLOOKUP(A394,tblVendas[[#This Row],[NR_SIMULACAO]],tblVendas[[#This Row],[MES]],"")</f>
        <v>Fevereiro</v>
      </c>
      <c r="E394">
        <f>SUM(_xlfn.XLOOKUP(tblCalculo[[#This Row],[NR_SIMULACAO]],tblVendas[[#This Row],[NR_SIMULACAO]],tblVendas[[#This Row],[VALOR_MOVEL]],""):_xlfn.XLOOKUP(tblCalculo[[#This Row],[NR_SIMULACAO]],tblVendas[[#This Row],[NR_SIMULACAO]],tblVendas[[#This Row],[VALOR_APARELHO]],""))</f>
        <v>4541.0300000000007</v>
      </c>
      <c r="F394">
        <f>IF(tblCalculo[[#This Row],[STATUS]]="CONCLUÍDO",_xlfn.XLOOKUP(tblCalculo[[#This Row],[NR_SIMULACAO]],tblVendas[[#This Row],[NR_SIMULACAO]],tblVendas[[#This Row],[VALOR_MOVEL]],""),0)</f>
        <v>0</v>
      </c>
      <c r="G394">
        <f>IF(tblCalculo[[#This Row],[STATUS]]="CONCLUÍDO",_xlfn.XLOOKUP(tblCalculo[[#This Row],[NR_SIMULACAO]],tblVendas[[#This Row],[NR_SIMULACAO]],tblVendas[[#This Row],[VALOR_AVANCADO]],""),0)</f>
        <v>0</v>
      </c>
      <c r="H394">
        <f>IF(tblCalculo[[#This Row],[STATUS]]="CONCLUÍDO",_xlfn.XLOOKUP(tblCalculo[[#This Row],[NR_SIMULACAO]],tblVendas[[#This Row],[NR_SIMULACAO]],tblVendas[[#This Row],[VALOR_FIXABASICA]],""),0)</f>
        <v>0</v>
      </c>
      <c r="I394">
        <f>IF(tblCalculo[[#This Row],[STATUS]]="CONCLUÍDO",_xlfn.XLOOKUP(tblCalculo[[#This Row],[NR_SIMULACAO]],tblVendas[[#This Row],[NR_SIMULACAO]],tblVendas[[#This Row],[VALOR_TI]],""),0)</f>
        <v>0</v>
      </c>
      <c r="J394">
        <f>IF(tblCalculo[[#This Row],[STATUS]]="CONCLUÍDO",_xlfn.XLOOKUP(tblCalculo[[#This Row],[NR_SIMULACAO]],tblVendas[[#This Row],[NR_SIMULACAO]],tblVendas[[#This Row],[VALOR_APARELHO]],""),0)</f>
        <v>0</v>
      </c>
      <c r="K394" t="str">
        <f>IF(tblCalculo[[#This Row],[STATUS]]="NEGOCIANDO",tblCalculo[[#This Row],[VALOR_TOTAL]],"")</f>
        <v/>
      </c>
      <c r="L394" t="str">
        <f>IF(tblCalculo[[#This Row],[STATUS]]="ALÇADA",tblCalculo[[#This Row],[VALOR_TOTAL]],"")</f>
        <v/>
      </c>
      <c r="M394" t="str">
        <f>IF(tblCalculo[[#This Row],[STATUS]]="EM ANÁLISE",tblCalculo[[#This Row],[VALOR_TOTAL]],"")</f>
        <v/>
      </c>
      <c r="N394" t="str">
        <f>IF(tblCalculo[[#This Row],[STATUS]]="TRAMITANDO",tblCalculo[[#This Row],[VALOR_TOTAL]],"")</f>
        <v/>
      </c>
      <c r="O394">
        <f>IF(tblCalculo[[#This Row],[STATUS]]="PERDIDO",tblCalculo[[#This Row],[VALOR_TOTAL]],"")</f>
        <v>4541.0300000000007</v>
      </c>
      <c r="P394" t="str">
        <f>IF(tblCalculo[[#This Row],[STATUS]]="CONCLUÍDO",tblCalculo[[#This Row],[VALOR_TOTAL]],"")</f>
        <v/>
      </c>
    </row>
    <row r="395" spans="1:16" x14ac:dyDescent="0.25">
      <c r="A395" t="str">
        <f>tblVendas[[#This Row],[NR_SIMULACAO]]</f>
        <v>SIM1385</v>
      </c>
      <c r="B395" s="34" t="str">
        <f>_xlfn.XLOOKUP(A395,tblVendas[[#This Row],[NR_SIMULACAO]],tblVendas[[#This Row],[NR_CNPJ]],"")</f>
        <v>78.863.987/0001-73</v>
      </c>
      <c r="C395" t="str">
        <f>_xlfn.XLOOKUP(A395,tblVendas[[#This Row],[NR_SIMULACAO]],tblVendas[[#This Row],[STATUS]],"")</f>
        <v>EM ANÁLISE</v>
      </c>
      <c r="D395" t="str">
        <f>_xlfn.XLOOKUP(A395,tblVendas[[#This Row],[NR_SIMULACAO]],tblVendas[[#This Row],[MES]],"")</f>
        <v>Dezembro</v>
      </c>
      <c r="E395">
        <f>SUM(_xlfn.XLOOKUP(tblCalculo[[#This Row],[NR_SIMULACAO]],tblVendas[[#This Row],[NR_SIMULACAO]],tblVendas[[#This Row],[VALOR_MOVEL]],""):_xlfn.XLOOKUP(tblCalculo[[#This Row],[NR_SIMULACAO]],tblVendas[[#This Row],[NR_SIMULACAO]],tblVendas[[#This Row],[VALOR_APARELHO]],""))</f>
        <v>11554.55</v>
      </c>
      <c r="F395">
        <f>IF(tblCalculo[[#This Row],[STATUS]]="CONCLUÍDO",_xlfn.XLOOKUP(tblCalculo[[#This Row],[NR_SIMULACAO]],tblVendas[[#This Row],[NR_SIMULACAO]],tblVendas[[#This Row],[VALOR_MOVEL]],""),0)</f>
        <v>0</v>
      </c>
      <c r="G395">
        <f>IF(tblCalculo[[#This Row],[STATUS]]="CONCLUÍDO",_xlfn.XLOOKUP(tblCalculo[[#This Row],[NR_SIMULACAO]],tblVendas[[#This Row],[NR_SIMULACAO]],tblVendas[[#This Row],[VALOR_AVANCADO]],""),0)</f>
        <v>0</v>
      </c>
      <c r="H395">
        <f>IF(tblCalculo[[#This Row],[STATUS]]="CONCLUÍDO",_xlfn.XLOOKUP(tblCalculo[[#This Row],[NR_SIMULACAO]],tblVendas[[#This Row],[NR_SIMULACAO]],tblVendas[[#This Row],[VALOR_FIXABASICA]],""),0)</f>
        <v>0</v>
      </c>
      <c r="I395">
        <f>IF(tblCalculo[[#This Row],[STATUS]]="CONCLUÍDO",_xlfn.XLOOKUP(tblCalculo[[#This Row],[NR_SIMULACAO]],tblVendas[[#This Row],[NR_SIMULACAO]],tblVendas[[#This Row],[VALOR_TI]],""),0)</f>
        <v>0</v>
      </c>
      <c r="J395">
        <f>IF(tblCalculo[[#This Row],[STATUS]]="CONCLUÍDO",_xlfn.XLOOKUP(tblCalculo[[#This Row],[NR_SIMULACAO]],tblVendas[[#This Row],[NR_SIMULACAO]],tblVendas[[#This Row],[VALOR_APARELHO]],""),0)</f>
        <v>0</v>
      </c>
      <c r="K395" t="str">
        <f>IF(tblCalculo[[#This Row],[STATUS]]="NEGOCIANDO",tblCalculo[[#This Row],[VALOR_TOTAL]],"")</f>
        <v/>
      </c>
      <c r="L395" t="str">
        <f>IF(tblCalculo[[#This Row],[STATUS]]="ALÇADA",tblCalculo[[#This Row],[VALOR_TOTAL]],"")</f>
        <v/>
      </c>
      <c r="M395">
        <f>IF(tblCalculo[[#This Row],[STATUS]]="EM ANÁLISE",tblCalculo[[#This Row],[VALOR_TOTAL]],"")</f>
        <v>11554.55</v>
      </c>
      <c r="N395" t="str">
        <f>IF(tblCalculo[[#This Row],[STATUS]]="TRAMITANDO",tblCalculo[[#This Row],[VALOR_TOTAL]],"")</f>
        <v/>
      </c>
      <c r="O395" t="str">
        <f>IF(tblCalculo[[#This Row],[STATUS]]="PERDIDO",tblCalculo[[#This Row],[VALOR_TOTAL]],"")</f>
        <v/>
      </c>
      <c r="P395" t="str">
        <f>IF(tblCalculo[[#This Row],[STATUS]]="CONCLUÍDO",tblCalculo[[#This Row],[VALOR_TOTAL]],"")</f>
        <v/>
      </c>
    </row>
    <row r="396" spans="1:16" x14ac:dyDescent="0.25">
      <c r="A396" t="str">
        <f>tblVendas[[#This Row],[NR_SIMULACAO]]</f>
        <v>SIM1386</v>
      </c>
      <c r="B396" s="34" t="str">
        <f>_xlfn.XLOOKUP(A396,tblVendas[[#This Row],[NR_SIMULACAO]],tblVendas[[#This Row],[NR_CNPJ]],"")</f>
        <v>91.760.753/0001-86</v>
      </c>
      <c r="C396" t="str">
        <f>_xlfn.XLOOKUP(A396,tblVendas[[#This Row],[NR_SIMULACAO]],tblVendas[[#This Row],[STATUS]],"")</f>
        <v>EM ANÁLISE</v>
      </c>
      <c r="D396" t="str">
        <f>_xlfn.XLOOKUP(A396,tblVendas[[#This Row],[NR_SIMULACAO]],tblVendas[[#This Row],[MES]],"")</f>
        <v>Fevereiro</v>
      </c>
      <c r="E396">
        <f>SUM(_xlfn.XLOOKUP(tblCalculo[[#This Row],[NR_SIMULACAO]],tblVendas[[#This Row],[NR_SIMULACAO]],tblVendas[[#This Row],[VALOR_MOVEL]],""):_xlfn.XLOOKUP(tblCalculo[[#This Row],[NR_SIMULACAO]],tblVendas[[#This Row],[NR_SIMULACAO]],tblVendas[[#This Row],[VALOR_APARELHO]],""))</f>
        <v>13272.25</v>
      </c>
      <c r="F396">
        <f>IF(tblCalculo[[#This Row],[STATUS]]="CONCLUÍDO",_xlfn.XLOOKUP(tblCalculo[[#This Row],[NR_SIMULACAO]],tblVendas[[#This Row],[NR_SIMULACAO]],tblVendas[[#This Row],[VALOR_MOVEL]],""),0)</f>
        <v>0</v>
      </c>
      <c r="G396">
        <f>IF(tblCalculo[[#This Row],[STATUS]]="CONCLUÍDO",_xlfn.XLOOKUP(tblCalculo[[#This Row],[NR_SIMULACAO]],tblVendas[[#This Row],[NR_SIMULACAO]],tblVendas[[#This Row],[VALOR_AVANCADO]],""),0)</f>
        <v>0</v>
      </c>
      <c r="H396">
        <f>IF(tblCalculo[[#This Row],[STATUS]]="CONCLUÍDO",_xlfn.XLOOKUP(tblCalculo[[#This Row],[NR_SIMULACAO]],tblVendas[[#This Row],[NR_SIMULACAO]],tblVendas[[#This Row],[VALOR_FIXABASICA]],""),0)</f>
        <v>0</v>
      </c>
      <c r="I396">
        <f>IF(tblCalculo[[#This Row],[STATUS]]="CONCLUÍDO",_xlfn.XLOOKUP(tblCalculo[[#This Row],[NR_SIMULACAO]],tblVendas[[#This Row],[NR_SIMULACAO]],tblVendas[[#This Row],[VALOR_TI]],""),0)</f>
        <v>0</v>
      </c>
      <c r="J396">
        <f>IF(tblCalculo[[#This Row],[STATUS]]="CONCLUÍDO",_xlfn.XLOOKUP(tblCalculo[[#This Row],[NR_SIMULACAO]],tblVendas[[#This Row],[NR_SIMULACAO]],tblVendas[[#This Row],[VALOR_APARELHO]],""),0)</f>
        <v>0</v>
      </c>
      <c r="K396" t="str">
        <f>IF(tblCalculo[[#This Row],[STATUS]]="NEGOCIANDO",tblCalculo[[#This Row],[VALOR_TOTAL]],"")</f>
        <v/>
      </c>
      <c r="L396" t="str">
        <f>IF(tblCalculo[[#This Row],[STATUS]]="ALÇADA",tblCalculo[[#This Row],[VALOR_TOTAL]],"")</f>
        <v/>
      </c>
      <c r="M396">
        <f>IF(tblCalculo[[#This Row],[STATUS]]="EM ANÁLISE",tblCalculo[[#This Row],[VALOR_TOTAL]],"")</f>
        <v>13272.25</v>
      </c>
      <c r="N396" t="str">
        <f>IF(tblCalculo[[#This Row],[STATUS]]="TRAMITANDO",tblCalculo[[#This Row],[VALOR_TOTAL]],"")</f>
        <v/>
      </c>
      <c r="O396" t="str">
        <f>IF(tblCalculo[[#This Row],[STATUS]]="PERDIDO",tblCalculo[[#This Row],[VALOR_TOTAL]],"")</f>
        <v/>
      </c>
      <c r="P396" t="str">
        <f>IF(tblCalculo[[#This Row],[STATUS]]="CONCLUÍDO",tblCalculo[[#This Row],[VALOR_TOTAL]],"")</f>
        <v/>
      </c>
    </row>
    <row r="397" spans="1:16" x14ac:dyDescent="0.25">
      <c r="A397" t="str">
        <f>tblVendas[[#This Row],[NR_SIMULACAO]]</f>
        <v>SIM1387</v>
      </c>
      <c r="B397" s="34" t="str">
        <f>_xlfn.XLOOKUP(A397,tblVendas[[#This Row],[NR_SIMULACAO]],tblVendas[[#This Row],[NR_CNPJ]],"")</f>
        <v>19.615.387/0001-10</v>
      </c>
      <c r="C397" t="str">
        <f>_xlfn.XLOOKUP(A397,tblVendas[[#This Row],[NR_SIMULACAO]],tblVendas[[#This Row],[STATUS]],"")</f>
        <v>PERDIDO</v>
      </c>
      <c r="D397" t="str">
        <f>_xlfn.XLOOKUP(A397,tblVendas[[#This Row],[NR_SIMULACAO]],tblVendas[[#This Row],[MES]],"")</f>
        <v>Janeiro</v>
      </c>
      <c r="E397">
        <f>SUM(_xlfn.XLOOKUP(tblCalculo[[#This Row],[NR_SIMULACAO]],tblVendas[[#This Row],[NR_SIMULACAO]],tblVendas[[#This Row],[VALOR_MOVEL]],""):_xlfn.XLOOKUP(tblCalculo[[#This Row],[NR_SIMULACAO]],tblVendas[[#This Row],[NR_SIMULACAO]],tblVendas[[#This Row],[VALOR_APARELHO]],""))</f>
        <v>7926.7100000000009</v>
      </c>
      <c r="F397">
        <f>IF(tblCalculo[[#This Row],[STATUS]]="CONCLUÍDO",_xlfn.XLOOKUP(tblCalculo[[#This Row],[NR_SIMULACAO]],tblVendas[[#This Row],[NR_SIMULACAO]],tblVendas[[#This Row],[VALOR_MOVEL]],""),0)</f>
        <v>0</v>
      </c>
      <c r="G397">
        <f>IF(tblCalculo[[#This Row],[STATUS]]="CONCLUÍDO",_xlfn.XLOOKUP(tblCalculo[[#This Row],[NR_SIMULACAO]],tblVendas[[#This Row],[NR_SIMULACAO]],tblVendas[[#This Row],[VALOR_AVANCADO]],""),0)</f>
        <v>0</v>
      </c>
      <c r="H397">
        <f>IF(tblCalculo[[#This Row],[STATUS]]="CONCLUÍDO",_xlfn.XLOOKUP(tblCalculo[[#This Row],[NR_SIMULACAO]],tblVendas[[#This Row],[NR_SIMULACAO]],tblVendas[[#This Row],[VALOR_FIXABASICA]],""),0)</f>
        <v>0</v>
      </c>
      <c r="I397">
        <f>IF(tblCalculo[[#This Row],[STATUS]]="CONCLUÍDO",_xlfn.XLOOKUP(tblCalculo[[#This Row],[NR_SIMULACAO]],tblVendas[[#This Row],[NR_SIMULACAO]],tblVendas[[#This Row],[VALOR_TI]],""),0)</f>
        <v>0</v>
      </c>
      <c r="J397">
        <f>IF(tblCalculo[[#This Row],[STATUS]]="CONCLUÍDO",_xlfn.XLOOKUP(tblCalculo[[#This Row],[NR_SIMULACAO]],tblVendas[[#This Row],[NR_SIMULACAO]],tblVendas[[#This Row],[VALOR_APARELHO]],""),0)</f>
        <v>0</v>
      </c>
      <c r="K397" t="str">
        <f>IF(tblCalculo[[#This Row],[STATUS]]="NEGOCIANDO",tblCalculo[[#This Row],[VALOR_TOTAL]],"")</f>
        <v/>
      </c>
      <c r="L397" t="str">
        <f>IF(tblCalculo[[#This Row],[STATUS]]="ALÇADA",tblCalculo[[#This Row],[VALOR_TOTAL]],"")</f>
        <v/>
      </c>
      <c r="M397" t="str">
        <f>IF(tblCalculo[[#This Row],[STATUS]]="EM ANÁLISE",tblCalculo[[#This Row],[VALOR_TOTAL]],"")</f>
        <v/>
      </c>
      <c r="N397" t="str">
        <f>IF(tblCalculo[[#This Row],[STATUS]]="TRAMITANDO",tblCalculo[[#This Row],[VALOR_TOTAL]],"")</f>
        <v/>
      </c>
      <c r="O397">
        <f>IF(tblCalculo[[#This Row],[STATUS]]="PERDIDO",tblCalculo[[#This Row],[VALOR_TOTAL]],"")</f>
        <v>7926.7100000000009</v>
      </c>
      <c r="P397" t="str">
        <f>IF(tblCalculo[[#This Row],[STATUS]]="CONCLUÍDO",tblCalculo[[#This Row],[VALOR_TOTAL]],"")</f>
        <v/>
      </c>
    </row>
    <row r="398" spans="1:16" x14ac:dyDescent="0.25">
      <c r="A398" t="str">
        <f>tblVendas[[#This Row],[NR_SIMULACAO]]</f>
        <v>SIM1388</v>
      </c>
      <c r="B398" s="34" t="str">
        <f>_xlfn.XLOOKUP(A398,tblVendas[[#This Row],[NR_SIMULACAO]],tblVendas[[#This Row],[NR_CNPJ]],"")</f>
        <v>74.668.358/0001-50</v>
      </c>
      <c r="C398" t="str">
        <f>_xlfn.XLOOKUP(A398,tblVendas[[#This Row],[NR_SIMULACAO]],tblVendas[[#This Row],[STATUS]],"")</f>
        <v>CONCLUÍDO</v>
      </c>
      <c r="D398" t="str">
        <f>_xlfn.XLOOKUP(A398,tblVendas[[#This Row],[NR_SIMULACAO]],tblVendas[[#This Row],[MES]],"")</f>
        <v>Abril</v>
      </c>
      <c r="E398">
        <f>SUM(_xlfn.XLOOKUP(tblCalculo[[#This Row],[NR_SIMULACAO]],tblVendas[[#This Row],[NR_SIMULACAO]],tblVendas[[#This Row],[VALOR_MOVEL]],""):_xlfn.XLOOKUP(tblCalculo[[#This Row],[NR_SIMULACAO]],tblVendas[[#This Row],[NR_SIMULACAO]],tblVendas[[#This Row],[VALOR_APARELHO]],""))</f>
        <v>6710.9299999999994</v>
      </c>
      <c r="F398">
        <f>IF(tblCalculo[[#This Row],[STATUS]]="CONCLUÍDO",_xlfn.XLOOKUP(tblCalculo[[#This Row],[NR_SIMULACAO]],tblVendas[[#This Row],[NR_SIMULACAO]],tblVendas[[#This Row],[VALOR_MOVEL]],""),0)</f>
        <v>0</v>
      </c>
      <c r="G398">
        <f>IF(tblCalculo[[#This Row],[STATUS]]="CONCLUÍDO",_xlfn.XLOOKUP(tblCalculo[[#This Row],[NR_SIMULACAO]],tblVendas[[#This Row],[NR_SIMULACAO]],tblVendas[[#This Row],[VALOR_AVANCADO]],""),0)</f>
        <v>1808.78</v>
      </c>
      <c r="H398">
        <f>IF(tblCalculo[[#This Row],[STATUS]]="CONCLUÍDO",_xlfn.XLOOKUP(tblCalculo[[#This Row],[NR_SIMULACAO]],tblVendas[[#This Row],[NR_SIMULACAO]],tblVendas[[#This Row],[VALOR_FIXABASICA]],""),0)</f>
        <v>0</v>
      </c>
      <c r="I398">
        <f>IF(tblCalculo[[#This Row],[STATUS]]="CONCLUÍDO",_xlfn.XLOOKUP(tblCalculo[[#This Row],[NR_SIMULACAO]],tblVendas[[#This Row],[NR_SIMULACAO]],tblVendas[[#This Row],[VALOR_TI]],""),0)</f>
        <v>3865.83</v>
      </c>
      <c r="J398">
        <f>IF(tblCalculo[[#This Row],[STATUS]]="CONCLUÍDO",_xlfn.XLOOKUP(tblCalculo[[#This Row],[NR_SIMULACAO]],tblVendas[[#This Row],[NR_SIMULACAO]],tblVendas[[#This Row],[VALOR_APARELHO]],""),0)</f>
        <v>1036.32</v>
      </c>
      <c r="K398" t="str">
        <f>IF(tblCalculo[[#This Row],[STATUS]]="NEGOCIANDO",tblCalculo[[#This Row],[VALOR_TOTAL]],"")</f>
        <v/>
      </c>
      <c r="L398" t="str">
        <f>IF(tblCalculo[[#This Row],[STATUS]]="ALÇADA",tblCalculo[[#This Row],[VALOR_TOTAL]],"")</f>
        <v/>
      </c>
      <c r="M398" t="str">
        <f>IF(tblCalculo[[#This Row],[STATUS]]="EM ANÁLISE",tblCalculo[[#This Row],[VALOR_TOTAL]],"")</f>
        <v/>
      </c>
      <c r="N398" t="str">
        <f>IF(tblCalculo[[#This Row],[STATUS]]="TRAMITANDO",tblCalculo[[#This Row],[VALOR_TOTAL]],"")</f>
        <v/>
      </c>
      <c r="O398" t="str">
        <f>IF(tblCalculo[[#This Row],[STATUS]]="PERDIDO",tblCalculo[[#This Row],[VALOR_TOTAL]],"")</f>
        <v/>
      </c>
      <c r="P398">
        <f>IF(tblCalculo[[#This Row],[STATUS]]="CONCLUÍDO",tblCalculo[[#This Row],[VALOR_TOTAL]],"")</f>
        <v>6710.9299999999994</v>
      </c>
    </row>
    <row r="399" spans="1:16" x14ac:dyDescent="0.25">
      <c r="A399" t="str">
        <f>tblVendas[[#This Row],[NR_SIMULACAO]]</f>
        <v>SIM1389</v>
      </c>
      <c r="B399" s="34" t="str">
        <f>_xlfn.XLOOKUP(A399,tblVendas[[#This Row],[NR_SIMULACAO]],tblVendas[[#This Row],[NR_CNPJ]],"")</f>
        <v>96.237.477/0001-21</v>
      </c>
      <c r="C399" t="str">
        <f>_xlfn.XLOOKUP(A399,tblVendas[[#This Row],[NR_SIMULACAO]],tblVendas[[#This Row],[STATUS]],"")</f>
        <v>TRAMITANDO</v>
      </c>
      <c r="D399" t="str">
        <f>_xlfn.XLOOKUP(A399,tblVendas[[#This Row],[NR_SIMULACAO]],tblVendas[[#This Row],[MES]],"")</f>
        <v>Junho</v>
      </c>
      <c r="E399">
        <f>SUM(_xlfn.XLOOKUP(tblCalculo[[#This Row],[NR_SIMULACAO]],tblVendas[[#This Row],[NR_SIMULACAO]],tblVendas[[#This Row],[VALOR_MOVEL]],""):_xlfn.XLOOKUP(tblCalculo[[#This Row],[NR_SIMULACAO]],tblVendas[[#This Row],[NR_SIMULACAO]],tblVendas[[#This Row],[VALOR_APARELHO]],""))</f>
        <v>11793.56</v>
      </c>
      <c r="F399">
        <f>IF(tblCalculo[[#This Row],[STATUS]]="CONCLUÍDO",_xlfn.XLOOKUP(tblCalculo[[#This Row],[NR_SIMULACAO]],tblVendas[[#This Row],[NR_SIMULACAO]],tblVendas[[#This Row],[VALOR_MOVEL]],""),0)</f>
        <v>0</v>
      </c>
      <c r="G399">
        <f>IF(tblCalculo[[#This Row],[STATUS]]="CONCLUÍDO",_xlfn.XLOOKUP(tblCalculo[[#This Row],[NR_SIMULACAO]],tblVendas[[#This Row],[NR_SIMULACAO]],tblVendas[[#This Row],[VALOR_AVANCADO]],""),0)</f>
        <v>0</v>
      </c>
      <c r="H399">
        <f>IF(tblCalculo[[#This Row],[STATUS]]="CONCLUÍDO",_xlfn.XLOOKUP(tblCalculo[[#This Row],[NR_SIMULACAO]],tblVendas[[#This Row],[NR_SIMULACAO]],tblVendas[[#This Row],[VALOR_FIXABASICA]],""),0)</f>
        <v>0</v>
      </c>
      <c r="I399">
        <f>IF(tblCalculo[[#This Row],[STATUS]]="CONCLUÍDO",_xlfn.XLOOKUP(tblCalculo[[#This Row],[NR_SIMULACAO]],tblVendas[[#This Row],[NR_SIMULACAO]],tblVendas[[#This Row],[VALOR_TI]],""),0)</f>
        <v>0</v>
      </c>
      <c r="J399">
        <f>IF(tblCalculo[[#This Row],[STATUS]]="CONCLUÍDO",_xlfn.XLOOKUP(tblCalculo[[#This Row],[NR_SIMULACAO]],tblVendas[[#This Row],[NR_SIMULACAO]],tblVendas[[#This Row],[VALOR_APARELHO]],""),0)</f>
        <v>0</v>
      </c>
      <c r="K399" t="str">
        <f>IF(tblCalculo[[#This Row],[STATUS]]="NEGOCIANDO",tblCalculo[[#This Row],[VALOR_TOTAL]],"")</f>
        <v/>
      </c>
      <c r="L399" t="str">
        <f>IF(tblCalculo[[#This Row],[STATUS]]="ALÇADA",tblCalculo[[#This Row],[VALOR_TOTAL]],"")</f>
        <v/>
      </c>
      <c r="M399" t="str">
        <f>IF(tblCalculo[[#This Row],[STATUS]]="EM ANÁLISE",tblCalculo[[#This Row],[VALOR_TOTAL]],"")</f>
        <v/>
      </c>
      <c r="N399">
        <f>IF(tblCalculo[[#This Row],[STATUS]]="TRAMITANDO",tblCalculo[[#This Row],[VALOR_TOTAL]],"")</f>
        <v>11793.56</v>
      </c>
      <c r="O399" t="str">
        <f>IF(tblCalculo[[#This Row],[STATUS]]="PERDIDO",tblCalculo[[#This Row],[VALOR_TOTAL]],"")</f>
        <v/>
      </c>
      <c r="P399" t="str">
        <f>IF(tblCalculo[[#This Row],[STATUS]]="CONCLUÍDO",tblCalculo[[#This Row],[VALOR_TOTAL]],"")</f>
        <v/>
      </c>
    </row>
    <row r="400" spans="1:16" x14ac:dyDescent="0.25">
      <c r="A400" t="str">
        <f>tblVendas[[#This Row],[NR_SIMULACAO]]</f>
        <v>SIM1390</v>
      </c>
      <c r="B400" s="34" t="str">
        <f>_xlfn.XLOOKUP(A400,tblVendas[[#This Row],[NR_SIMULACAO]],tblVendas[[#This Row],[NR_CNPJ]],"")</f>
        <v>86.271.908/0001-33</v>
      </c>
      <c r="C400" t="str">
        <f>_xlfn.XLOOKUP(A400,tblVendas[[#This Row],[NR_SIMULACAO]],tblVendas[[#This Row],[STATUS]],"")</f>
        <v>TRAMITANDO</v>
      </c>
      <c r="D400" t="str">
        <f>_xlfn.XLOOKUP(A400,tblVendas[[#This Row],[NR_SIMULACAO]],tblVendas[[#This Row],[MES]],"")</f>
        <v>Outubro</v>
      </c>
      <c r="E400">
        <f>SUM(_xlfn.XLOOKUP(tblCalculo[[#This Row],[NR_SIMULACAO]],tblVendas[[#This Row],[NR_SIMULACAO]],tblVendas[[#This Row],[VALOR_MOVEL]],""):_xlfn.XLOOKUP(tblCalculo[[#This Row],[NR_SIMULACAO]],tblVendas[[#This Row],[NR_SIMULACAO]],tblVendas[[#This Row],[VALOR_APARELHO]],""))</f>
        <v>19006.47</v>
      </c>
      <c r="F400">
        <f>IF(tblCalculo[[#This Row],[STATUS]]="CONCLUÍDO",_xlfn.XLOOKUP(tblCalculo[[#This Row],[NR_SIMULACAO]],tblVendas[[#This Row],[NR_SIMULACAO]],tblVendas[[#This Row],[VALOR_MOVEL]],""),0)</f>
        <v>0</v>
      </c>
      <c r="G400">
        <f>IF(tblCalculo[[#This Row],[STATUS]]="CONCLUÍDO",_xlfn.XLOOKUP(tblCalculo[[#This Row],[NR_SIMULACAO]],tblVendas[[#This Row],[NR_SIMULACAO]],tblVendas[[#This Row],[VALOR_AVANCADO]],""),0)</f>
        <v>0</v>
      </c>
      <c r="H400">
        <f>IF(tblCalculo[[#This Row],[STATUS]]="CONCLUÍDO",_xlfn.XLOOKUP(tblCalculo[[#This Row],[NR_SIMULACAO]],tblVendas[[#This Row],[NR_SIMULACAO]],tblVendas[[#This Row],[VALOR_FIXABASICA]],""),0)</f>
        <v>0</v>
      </c>
      <c r="I400">
        <f>IF(tblCalculo[[#This Row],[STATUS]]="CONCLUÍDO",_xlfn.XLOOKUP(tblCalculo[[#This Row],[NR_SIMULACAO]],tblVendas[[#This Row],[NR_SIMULACAO]],tblVendas[[#This Row],[VALOR_TI]],""),0)</f>
        <v>0</v>
      </c>
      <c r="J400">
        <f>IF(tblCalculo[[#This Row],[STATUS]]="CONCLUÍDO",_xlfn.XLOOKUP(tblCalculo[[#This Row],[NR_SIMULACAO]],tblVendas[[#This Row],[NR_SIMULACAO]],tblVendas[[#This Row],[VALOR_APARELHO]],""),0)</f>
        <v>0</v>
      </c>
      <c r="K400" t="str">
        <f>IF(tblCalculo[[#This Row],[STATUS]]="NEGOCIANDO",tblCalculo[[#This Row],[VALOR_TOTAL]],"")</f>
        <v/>
      </c>
      <c r="L400" t="str">
        <f>IF(tblCalculo[[#This Row],[STATUS]]="ALÇADA",tblCalculo[[#This Row],[VALOR_TOTAL]],"")</f>
        <v/>
      </c>
      <c r="M400" t="str">
        <f>IF(tblCalculo[[#This Row],[STATUS]]="EM ANÁLISE",tblCalculo[[#This Row],[VALOR_TOTAL]],"")</f>
        <v/>
      </c>
      <c r="N400">
        <f>IF(tblCalculo[[#This Row],[STATUS]]="TRAMITANDO",tblCalculo[[#This Row],[VALOR_TOTAL]],"")</f>
        <v>19006.47</v>
      </c>
      <c r="O400" t="str">
        <f>IF(tblCalculo[[#This Row],[STATUS]]="PERDIDO",tblCalculo[[#This Row],[VALOR_TOTAL]],"")</f>
        <v/>
      </c>
      <c r="P400" t="str">
        <f>IF(tblCalculo[[#This Row],[STATUS]]="CONCLUÍDO",tblCalculo[[#This Row],[VALOR_TOTAL]],"")</f>
        <v/>
      </c>
    </row>
    <row r="401" spans="1:16" x14ac:dyDescent="0.25">
      <c r="A401" t="str">
        <f>tblVendas[[#This Row],[NR_SIMULACAO]]</f>
        <v>SIM1391</v>
      </c>
      <c r="B401" s="34" t="str">
        <f>_xlfn.XLOOKUP(A401,tblVendas[[#This Row],[NR_SIMULACAO]],tblVendas[[#This Row],[NR_CNPJ]],"")</f>
        <v>92.211.511/0001-45</v>
      </c>
      <c r="C401" t="str">
        <f>_xlfn.XLOOKUP(A401,tblVendas[[#This Row],[NR_SIMULACAO]],tblVendas[[#This Row],[STATUS]],"")</f>
        <v>TRAMITANDO</v>
      </c>
      <c r="D401" t="str">
        <f>_xlfn.XLOOKUP(A401,tblVendas[[#This Row],[NR_SIMULACAO]],tblVendas[[#This Row],[MES]],"")</f>
        <v>Agosto</v>
      </c>
      <c r="E401">
        <f>SUM(_xlfn.XLOOKUP(tblCalculo[[#This Row],[NR_SIMULACAO]],tblVendas[[#This Row],[NR_SIMULACAO]],tblVendas[[#This Row],[VALOR_MOVEL]],""):_xlfn.XLOOKUP(tblCalculo[[#This Row],[NR_SIMULACAO]],tblVendas[[#This Row],[NR_SIMULACAO]],tblVendas[[#This Row],[VALOR_APARELHO]],""))</f>
        <v>3359.98</v>
      </c>
      <c r="F401">
        <f>IF(tblCalculo[[#This Row],[STATUS]]="CONCLUÍDO",_xlfn.XLOOKUP(tblCalculo[[#This Row],[NR_SIMULACAO]],tblVendas[[#This Row],[NR_SIMULACAO]],tblVendas[[#This Row],[VALOR_MOVEL]],""),0)</f>
        <v>0</v>
      </c>
      <c r="G401">
        <f>IF(tblCalculo[[#This Row],[STATUS]]="CONCLUÍDO",_xlfn.XLOOKUP(tblCalculo[[#This Row],[NR_SIMULACAO]],tblVendas[[#This Row],[NR_SIMULACAO]],tblVendas[[#This Row],[VALOR_AVANCADO]],""),0)</f>
        <v>0</v>
      </c>
      <c r="H401">
        <f>IF(tblCalculo[[#This Row],[STATUS]]="CONCLUÍDO",_xlfn.XLOOKUP(tblCalculo[[#This Row],[NR_SIMULACAO]],tblVendas[[#This Row],[NR_SIMULACAO]],tblVendas[[#This Row],[VALOR_FIXABASICA]],""),0)</f>
        <v>0</v>
      </c>
      <c r="I401">
        <f>IF(tblCalculo[[#This Row],[STATUS]]="CONCLUÍDO",_xlfn.XLOOKUP(tblCalculo[[#This Row],[NR_SIMULACAO]],tblVendas[[#This Row],[NR_SIMULACAO]],tblVendas[[#This Row],[VALOR_TI]],""),0)</f>
        <v>0</v>
      </c>
      <c r="J401">
        <f>IF(tblCalculo[[#This Row],[STATUS]]="CONCLUÍDO",_xlfn.XLOOKUP(tblCalculo[[#This Row],[NR_SIMULACAO]],tblVendas[[#This Row],[NR_SIMULACAO]],tblVendas[[#This Row],[VALOR_APARELHO]],""),0)</f>
        <v>0</v>
      </c>
      <c r="K401" t="str">
        <f>IF(tblCalculo[[#This Row],[STATUS]]="NEGOCIANDO",tblCalculo[[#This Row],[VALOR_TOTAL]],"")</f>
        <v/>
      </c>
      <c r="L401" t="str">
        <f>IF(tblCalculo[[#This Row],[STATUS]]="ALÇADA",tblCalculo[[#This Row],[VALOR_TOTAL]],"")</f>
        <v/>
      </c>
      <c r="M401" t="str">
        <f>IF(tblCalculo[[#This Row],[STATUS]]="EM ANÁLISE",tblCalculo[[#This Row],[VALOR_TOTAL]],"")</f>
        <v/>
      </c>
      <c r="N401">
        <f>IF(tblCalculo[[#This Row],[STATUS]]="TRAMITANDO",tblCalculo[[#This Row],[VALOR_TOTAL]],"")</f>
        <v>3359.98</v>
      </c>
      <c r="O401" t="str">
        <f>IF(tblCalculo[[#This Row],[STATUS]]="PERDIDO",tblCalculo[[#This Row],[VALOR_TOTAL]],"")</f>
        <v/>
      </c>
      <c r="P401" t="str">
        <f>IF(tblCalculo[[#This Row],[STATUS]]="CONCLUÍDO",tblCalculo[[#This Row],[VALOR_TOTAL]],"")</f>
        <v/>
      </c>
    </row>
    <row r="402" spans="1:16" x14ac:dyDescent="0.25">
      <c r="A402" t="str">
        <f>tblVendas[[#This Row],[NR_SIMULACAO]]</f>
        <v>SIM1392</v>
      </c>
      <c r="B402" s="34" t="str">
        <f>_xlfn.XLOOKUP(A402,tblVendas[[#This Row],[NR_SIMULACAO]],tblVendas[[#This Row],[NR_CNPJ]],"")</f>
        <v>46.127.325/0001-64</v>
      </c>
      <c r="C402" t="str">
        <f>_xlfn.XLOOKUP(A402,tblVendas[[#This Row],[NR_SIMULACAO]],tblVendas[[#This Row],[STATUS]],"")</f>
        <v>NEGOCIANDO</v>
      </c>
      <c r="D402" t="str">
        <f>_xlfn.XLOOKUP(A402,tblVendas[[#This Row],[NR_SIMULACAO]],tblVendas[[#This Row],[MES]],"")</f>
        <v>Novembro</v>
      </c>
      <c r="E402">
        <f>SUM(_xlfn.XLOOKUP(tblCalculo[[#This Row],[NR_SIMULACAO]],tblVendas[[#This Row],[NR_SIMULACAO]],tblVendas[[#This Row],[VALOR_MOVEL]],""):_xlfn.XLOOKUP(tblCalculo[[#This Row],[NR_SIMULACAO]],tblVendas[[#This Row],[NR_SIMULACAO]],tblVendas[[#This Row],[VALOR_APARELHO]],""))</f>
        <v>5007.17</v>
      </c>
      <c r="F402">
        <f>IF(tblCalculo[[#This Row],[STATUS]]="CONCLUÍDO",_xlfn.XLOOKUP(tblCalculo[[#This Row],[NR_SIMULACAO]],tblVendas[[#This Row],[NR_SIMULACAO]],tblVendas[[#This Row],[VALOR_MOVEL]],""),0)</f>
        <v>0</v>
      </c>
      <c r="G402">
        <f>IF(tblCalculo[[#This Row],[STATUS]]="CONCLUÍDO",_xlfn.XLOOKUP(tblCalculo[[#This Row],[NR_SIMULACAO]],tblVendas[[#This Row],[NR_SIMULACAO]],tblVendas[[#This Row],[VALOR_AVANCADO]],""),0)</f>
        <v>0</v>
      </c>
      <c r="H402">
        <f>IF(tblCalculo[[#This Row],[STATUS]]="CONCLUÍDO",_xlfn.XLOOKUP(tblCalculo[[#This Row],[NR_SIMULACAO]],tblVendas[[#This Row],[NR_SIMULACAO]],tblVendas[[#This Row],[VALOR_FIXABASICA]],""),0)</f>
        <v>0</v>
      </c>
      <c r="I402">
        <f>IF(tblCalculo[[#This Row],[STATUS]]="CONCLUÍDO",_xlfn.XLOOKUP(tblCalculo[[#This Row],[NR_SIMULACAO]],tblVendas[[#This Row],[NR_SIMULACAO]],tblVendas[[#This Row],[VALOR_TI]],""),0)</f>
        <v>0</v>
      </c>
      <c r="J402">
        <f>IF(tblCalculo[[#This Row],[STATUS]]="CONCLUÍDO",_xlfn.XLOOKUP(tblCalculo[[#This Row],[NR_SIMULACAO]],tblVendas[[#This Row],[NR_SIMULACAO]],tblVendas[[#This Row],[VALOR_APARELHO]],""),0)</f>
        <v>0</v>
      </c>
      <c r="K402">
        <f>IF(tblCalculo[[#This Row],[STATUS]]="NEGOCIANDO",tblCalculo[[#This Row],[VALOR_TOTAL]],"")</f>
        <v>5007.17</v>
      </c>
      <c r="L402" t="str">
        <f>IF(tblCalculo[[#This Row],[STATUS]]="ALÇADA",tblCalculo[[#This Row],[VALOR_TOTAL]],"")</f>
        <v/>
      </c>
      <c r="M402" t="str">
        <f>IF(tblCalculo[[#This Row],[STATUS]]="EM ANÁLISE",tblCalculo[[#This Row],[VALOR_TOTAL]],"")</f>
        <v/>
      </c>
      <c r="N402" t="str">
        <f>IF(tblCalculo[[#This Row],[STATUS]]="TRAMITANDO",tblCalculo[[#This Row],[VALOR_TOTAL]],"")</f>
        <v/>
      </c>
      <c r="O402" t="str">
        <f>IF(tblCalculo[[#This Row],[STATUS]]="PERDIDO",tblCalculo[[#This Row],[VALOR_TOTAL]],"")</f>
        <v/>
      </c>
      <c r="P402" t="str">
        <f>IF(tblCalculo[[#This Row],[STATUS]]="CONCLUÍDO",tblCalculo[[#This Row],[VALOR_TOTAL]],"")</f>
        <v/>
      </c>
    </row>
    <row r="403" spans="1:16" x14ac:dyDescent="0.25">
      <c r="A403" t="str">
        <f>tblVendas[[#This Row],[NR_SIMULACAO]]</f>
        <v>SIM1393</v>
      </c>
      <c r="B403" s="34" t="str">
        <f>_xlfn.XLOOKUP(A403,tblVendas[[#This Row],[NR_SIMULACAO]],tblVendas[[#This Row],[NR_CNPJ]],"")</f>
        <v>54.756.342/0001-38</v>
      </c>
      <c r="C403" t="str">
        <f>_xlfn.XLOOKUP(A403,tblVendas[[#This Row],[NR_SIMULACAO]],tblVendas[[#This Row],[STATUS]],"")</f>
        <v>ALÇADA</v>
      </c>
      <c r="D403" t="str">
        <f>_xlfn.XLOOKUP(A403,tblVendas[[#This Row],[NR_SIMULACAO]],tblVendas[[#This Row],[MES]],"")</f>
        <v>Agosto</v>
      </c>
      <c r="E403">
        <f>SUM(_xlfn.XLOOKUP(tblCalculo[[#This Row],[NR_SIMULACAO]],tblVendas[[#This Row],[NR_SIMULACAO]],tblVendas[[#This Row],[VALOR_MOVEL]],""):_xlfn.XLOOKUP(tblCalculo[[#This Row],[NR_SIMULACAO]],tblVendas[[#This Row],[NR_SIMULACAO]],tblVendas[[#This Row],[VALOR_APARELHO]],""))</f>
        <v>9406.52</v>
      </c>
      <c r="F403">
        <f>IF(tblCalculo[[#This Row],[STATUS]]="CONCLUÍDO",_xlfn.XLOOKUP(tblCalculo[[#This Row],[NR_SIMULACAO]],tblVendas[[#This Row],[NR_SIMULACAO]],tblVendas[[#This Row],[VALOR_MOVEL]],""),0)</f>
        <v>0</v>
      </c>
      <c r="G403">
        <f>IF(tblCalculo[[#This Row],[STATUS]]="CONCLUÍDO",_xlfn.XLOOKUP(tblCalculo[[#This Row],[NR_SIMULACAO]],tblVendas[[#This Row],[NR_SIMULACAO]],tblVendas[[#This Row],[VALOR_AVANCADO]],""),0)</f>
        <v>0</v>
      </c>
      <c r="H403">
        <f>IF(tblCalculo[[#This Row],[STATUS]]="CONCLUÍDO",_xlfn.XLOOKUP(tblCalculo[[#This Row],[NR_SIMULACAO]],tblVendas[[#This Row],[NR_SIMULACAO]],tblVendas[[#This Row],[VALOR_FIXABASICA]],""),0)</f>
        <v>0</v>
      </c>
      <c r="I403">
        <f>IF(tblCalculo[[#This Row],[STATUS]]="CONCLUÍDO",_xlfn.XLOOKUP(tblCalculo[[#This Row],[NR_SIMULACAO]],tblVendas[[#This Row],[NR_SIMULACAO]],tblVendas[[#This Row],[VALOR_TI]],""),0)</f>
        <v>0</v>
      </c>
      <c r="J403">
        <f>IF(tblCalculo[[#This Row],[STATUS]]="CONCLUÍDO",_xlfn.XLOOKUP(tblCalculo[[#This Row],[NR_SIMULACAO]],tblVendas[[#This Row],[NR_SIMULACAO]],tblVendas[[#This Row],[VALOR_APARELHO]],""),0)</f>
        <v>0</v>
      </c>
      <c r="K403" t="str">
        <f>IF(tblCalculo[[#This Row],[STATUS]]="NEGOCIANDO",tblCalculo[[#This Row],[VALOR_TOTAL]],"")</f>
        <v/>
      </c>
      <c r="L403">
        <f>IF(tblCalculo[[#This Row],[STATUS]]="ALÇADA",tblCalculo[[#This Row],[VALOR_TOTAL]],"")</f>
        <v>9406.52</v>
      </c>
      <c r="M403" t="str">
        <f>IF(tblCalculo[[#This Row],[STATUS]]="EM ANÁLISE",tblCalculo[[#This Row],[VALOR_TOTAL]],"")</f>
        <v/>
      </c>
      <c r="N403" t="str">
        <f>IF(tblCalculo[[#This Row],[STATUS]]="TRAMITANDO",tblCalculo[[#This Row],[VALOR_TOTAL]],"")</f>
        <v/>
      </c>
      <c r="O403" t="str">
        <f>IF(tblCalculo[[#This Row],[STATUS]]="PERDIDO",tblCalculo[[#This Row],[VALOR_TOTAL]],"")</f>
        <v/>
      </c>
      <c r="P403" t="str">
        <f>IF(tblCalculo[[#This Row],[STATUS]]="CONCLUÍDO",tblCalculo[[#This Row],[VALOR_TOTAL]],"")</f>
        <v/>
      </c>
    </row>
    <row r="404" spans="1:16" x14ac:dyDescent="0.25">
      <c r="A404" t="str">
        <f>tblVendas[[#This Row],[NR_SIMULACAO]]</f>
        <v>SIM1394</v>
      </c>
      <c r="B404" s="34" t="str">
        <f>_xlfn.XLOOKUP(A404,tblVendas[[#This Row],[NR_SIMULACAO]],tblVendas[[#This Row],[NR_CNPJ]],"")</f>
        <v>54.539.331/0001-30</v>
      </c>
      <c r="C404" t="str">
        <f>_xlfn.XLOOKUP(A404,tblVendas[[#This Row],[NR_SIMULACAO]],tblVendas[[#This Row],[STATUS]],"")</f>
        <v>PERDIDO</v>
      </c>
      <c r="D404" t="str">
        <f>_xlfn.XLOOKUP(A404,tblVendas[[#This Row],[NR_SIMULACAO]],tblVendas[[#This Row],[MES]],"")</f>
        <v>Fevereiro</v>
      </c>
      <c r="E404">
        <f>SUM(_xlfn.XLOOKUP(tblCalculo[[#This Row],[NR_SIMULACAO]],tblVendas[[#This Row],[NR_SIMULACAO]],tblVendas[[#This Row],[VALOR_MOVEL]],""):_xlfn.XLOOKUP(tblCalculo[[#This Row],[NR_SIMULACAO]],tblVendas[[#This Row],[NR_SIMULACAO]],tblVendas[[#This Row],[VALOR_APARELHO]],""))</f>
        <v>2238.35</v>
      </c>
      <c r="F404">
        <f>IF(tblCalculo[[#This Row],[STATUS]]="CONCLUÍDO",_xlfn.XLOOKUP(tblCalculo[[#This Row],[NR_SIMULACAO]],tblVendas[[#This Row],[NR_SIMULACAO]],tblVendas[[#This Row],[VALOR_MOVEL]],""),0)</f>
        <v>0</v>
      </c>
      <c r="G404">
        <f>IF(tblCalculo[[#This Row],[STATUS]]="CONCLUÍDO",_xlfn.XLOOKUP(tblCalculo[[#This Row],[NR_SIMULACAO]],tblVendas[[#This Row],[NR_SIMULACAO]],tblVendas[[#This Row],[VALOR_AVANCADO]],""),0)</f>
        <v>0</v>
      </c>
      <c r="H404">
        <f>IF(tblCalculo[[#This Row],[STATUS]]="CONCLUÍDO",_xlfn.XLOOKUP(tblCalculo[[#This Row],[NR_SIMULACAO]],tblVendas[[#This Row],[NR_SIMULACAO]],tblVendas[[#This Row],[VALOR_FIXABASICA]],""),0)</f>
        <v>0</v>
      </c>
      <c r="I404">
        <f>IF(tblCalculo[[#This Row],[STATUS]]="CONCLUÍDO",_xlfn.XLOOKUP(tblCalculo[[#This Row],[NR_SIMULACAO]],tblVendas[[#This Row],[NR_SIMULACAO]],tblVendas[[#This Row],[VALOR_TI]],""),0)</f>
        <v>0</v>
      </c>
      <c r="J404">
        <f>IF(tblCalculo[[#This Row],[STATUS]]="CONCLUÍDO",_xlfn.XLOOKUP(tblCalculo[[#This Row],[NR_SIMULACAO]],tblVendas[[#This Row],[NR_SIMULACAO]],tblVendas[[#This Row],[VALOR_APARELHO]],""),0)</f>
        <v>0</v>
      </c>
      <c r="K404" t="str">
        <f>IF(tblCalculo[[#This Row],[STATUS]]="NEGOCIANDO",tblCalculo[[#This Row],[VALOR_TOTAL]],"")</f>
        <v/>
      </c>
      <c r="L404" t="str">
        <f>IF(tblCalculo[[#This Row],[STATUS]]="ALÇADA",tblCalculo[[#This Row],[VALOR_TOTAL]],"")</f>
        <v/>
      </c>
      <c r="M404" t="str">
        <f>IF(tblCalculo[[#This Row],[STATUS]]="EM ANÁLISE",tblCalculo[[#This Row],[VALOR_TOTAL]],"")</f>
        <v/>
      </c>
      <c r="N404" t="str">
        <f>IF(tblCalculo[[#This Row],[STATUS]]="TRAMITANDO",tblCalculo[[#This Row],[VALOR_TOTAL]],"")</f>
        <v/>
      </c>
      <c r="O404">
        <f>IF(tblCalculo[[#This Row],[STATUS]]="PERDIDO",tblCalculo[[#This Row],[VALOR_TOTAL]],"")</f>
        <v>2238.35</v>
      </c>
      <c r="P404" t="str">
        <f>IF(tblCalculo[[#This Row],[STATUS]]="CONCLUÍDO",tblCalculo[[#This Row],[VALOR_TOTAL]],"")</f>
        <v/>
      </c>
    </row>
    <row r="405" spans="1:16" x14ac:dyDescent="0.25">
      <c r="A405" t="str">
        <f>tblVendas[[#This Row],[NR_SIMULACAO]]</f>
        <v>SIM1395</v>
      </c>
      <c r="B405" s="34" t="str">
        <f>_xlfn.XLOOKUP(A405,tblVendas[[#This Row],[NR_SIMULACAO]],tblVendas[[#This Row],[NR_CNPJ]],"")</f>
        <v>65.916.271/0001-35</v>
      </c>
      <c r="C405" t="str">
        <f>_xlfn.XLOOKUP(A405,tblVendas[[#This Row],[NR_SIMULACAO]],tblVendas[[#This Row],[STATUS]],"")</f>
        <v>ALÇADA</v>
      </c>
      <c r="D405" t="str">
        <f>_xlfn.XLOOKUP(A405,tblVendas[[#This Row],[NR_SIMULACAO]],tblVendas[[#This Row],[MES]],"")</f>
        <v>Agosto</v>
      </c>
      <c r="E405">
        <f>SUM(_xlfn.XLOOKUP(tblCalculo[[#This Row],[NR_SIMULACAO]],tblVendas[[#This Row],[NR_SIMULACAO]],tblVendas[[#This Row],[VALOR_MOVEL]],""):_xlfn.XLOOKUP(tblCalculo[[#This Row],[NR_SIMULACAO]],tblVendas[[#This Row],[NR_SIMULACAO]],tblVendas[[#This Row],[VALOR_APARELHO]],""))</f>
        <v>925.77</v>
      </c>
      <c r="F405">
        <f>IF(tblCalculo[[#This Row],[STATUS]]="CONCLUÍDO",_xlfn.XLOOKUP(tblCalculo[[#This Row],[NR_SIMULACAO]],tblVendas[[#This Row],[NR_SIMULACAO]],tblVendas[[#This Row],[VALOR_MOVEL]],""),0)</f>
        <v>0</v>
      </c>
      <c r="G405">
        <f>IF(tblCalculo[[#This Row],[STATUS]]="CONCLUÍDO",_xlfn.XLOOKUP(tblCalculo[[#This Row],[NR_SIMULACAO]],tblVendas[[#This Row],[NR_SIMULACAO]],tblVendas[[#This Row],[VALOR_AVANCADO]],""),0)</f>
        <v>0</v>
      </c>
      <c r="H405">
        <f>IF(tblCalculo[[#This Row],[STATUS]]="CONCLUÍDO",_xlfn.XLOOKUP(tblCalculo[[#This Row],[NR_SIMULACAO]],tblVendas[[#This Row],[NR_SIMULACAO]],tblVendas[[#This Row],[VALOR_FIXABASICA]],""),0)</f>
        <v>0</v>
      </c>
      <c r="I405">
        <f>IF(tblCalculo[[#This Row],[STATUS]]="CONCLUÍDO",_xlfn.XLOOKUP(tblCalculo[[#This Row],[NR_SIMULACAO]],tblVendas[[#This Row],[NR_SIMULACAO]],tblVendas[[#This Row],[VALOR_TI]],""),0)</f>
        <v>0</v>
      </c>
      <c r="J405">
        <f>IF(tblCalculo[[#This Row],[STATUS]]="CONCLUÍDO",_xlfn.XLOOKUP(tblCalculo[[#This Row],[NR_SIMULACAO]],tblVendas[[#This Row],[NR_SIMULACAO]],tblVendas[[#This Row],[VALOR_APARELHO]],""),0)</f>
        <v>0</v>
      </c>
      <c r="K405" t="str">
        <f>IF(tblCalculo[[#This Row],[STATUS]]="NEGOCIANDO",tblCalculo[[#This Row],[VALOR_TOTAL]],"")</f>
        <v/>
      </c>
      <c r="L405">
        <f>IF(tblCalculo[[#This Row],[STATUS]]="ALÇADA",tblCalculo[[#This Row],[VALOR_TOTAL]],"")</f>
        <v>925.77</v>
      </c>
      <c r="M405" t="str">
        <f>IF(tblCalculo[[#This Row],[STATUS]]="EM ANÁLISE",tblCalculo[[#This Row],[VALOR_TOTAL]],"")</f>
        <v/>
      </c>
      <c r="N405" t="str">
        <f>IF(tblCalculo[[#This Row],[STATUS]]="TRAMITANDO",tblCalculo[[#This Row],[VALOR_TOTAL]],"")</f>
        <v/>
      </c>
      <c r="O405" t="str">
        <f>IF(tblCalculo[[#This Row],[STATUS]]="PERDIDO",tblCalculo[[#This Row],[VALOR_TOTAL]],"")</f>
        <v/>
      </c>
      <c r="P405" t="str">
        <f>IF(tblCalculo[[#This Row],[STATUS]]="CONCLUÍDO",tblCalculo[[#This Row],[VALOR_TOTAL]],"")</f>
        <v/>
      </c>
    </row>
    <row r="406" spans="1:16" x14ac:dyDescent="0.25">
      <c r="A406" t="str">
        <f>tblVendas[[#This Row],[NR_SIMULACAO]]</f>
        <v>SIM1396</v>
      </c>
      <c r="B406" s="34" t="str">
        <f>_xlfn.XLOOKUP(A406,tblVendas[[#This Row],[NR_SIMULACAO]],tblVendas[[#This Row],[NR_CNPJ]],"")</f>
        <v>52.639.441/0001-67</v>
      </c>
      <c r="C406" t="str">
        <f>_xlfn.XLOOKUP(A406,tblVendas[[#This Row],[NR_SIMULACAO]],tblVendas[[#This Row],[STATUS]],"")</f>
        <v>EM ANÁLISE</v>
      </c>
      <c r="D406" t="str">
        <f>_xlfn.XLOOKUP(A406,tblVendas[[#This Row],[NR_SIMULACAO]],tblVendas[[#This Row],[MES]],"")</f>
        <v>Agosto</v>
      </c>
      <c r="E406">
        <f>SUM(_xlfn.XLOOKUP(tblCalculo[[#This Row],[NR_SIMULACAO]],tblVendas[[#This Row],[NR_SIMULACAO]],tblVendas[[#This Row],[VALOR_MOVEL]],""):_xlfn.XLOOKUP(tblCalculo[[#This Row],[NR_SIMULACAO]],tblVendas[[#This Row],[NR_SIMULACAO]],tblVendas[[#This Row],[VALOR_APARELHO]],""))</f>
        <v>8242.82</v>
      </c>
      <c r="F406">
        <f>IF(tblCalculo[[#This Row],[STATUS]]="CONCLUÍDO",_xlfn.XLOOKUP(tblCalculo[[#This Row],[NR_SIMULACAO]],tblVendas[[#This Row],[NR_SIMULACAO]],tblVendas[[#This Row],[VALOR_MOVEL]],""),0)</f>
        <v>0</v>
      </c>
      <c r="G406">
        <f>IF(tblCalculo[[#This Row],[STATUS]]="CONCLUÍDO",_xlfn.XLOOKUP(tblCalculo[[#This Row],[NR_SIMULACAO]],tblVendas[[#This Row],[NR_SIMULACAO]],tblVendas[[#This Row],[VALOR_AVANCADO]],""),0)</f>
        <v>0</v>
      </c>
      <c r="H406">
        <f>IF(tblCalculo[[#This Row],[STATUS]]="CONCLUÍDO",_xlfn.XLOOKUP(tblCalculo[[#This Row],[NR_SIMULACAO]],tblVendas[[#This Row],[NR_SIMULACAO]],tblVendas[[#This Row],[VALOR_FIXABASICA]],""),0)</f>
        <v>0</v>
      </c>
      <c r="I406">
        <f>IF(tblCalculo[[#This Row],[STATUS]]="CONCLUÍDO",_xlfn.XLOOKUP(tblCalculo[[#This Row],[NR_SIMULACAO]],tblVendas[[#This Row],[NR_SIMULACAO]],tblVendas[[#This Row],[VALOR_TI]],""),0)</f>
        <v>0</v>
      </c>
      <c r="J406">
        <f>IF(tblCalculo[[#This Row],[STATUS]]="CONCLUÍDO",_xlfn.XLOOKUP(tblCalculo[[#This Row],[NR_SIMULACAO]],tblVendas[[#This Row],[NR_SIMULACAO]],tblVendas[[#This Row],[VALOR_APARELHO]],""),0)</f>
        <v>0</v>
      </c>
      <c r="K406" t="str">
        <f>IF(tblCalculo[[#This Row],[STATUS]]="NEGOCIANDO",tblCalculo[[#This Row],[VALOR_TOTAL]],"")</f>
        <v/>
      </c>
      <c r="L406" t="str">
        <f>IF(tblCalculo[[#This Row],[STATUS]]="ALÇADA",tblCalculo[[#This Row],[VALOR_TOTAL]],"")</f>
        <v/>
      </c>
      <c r="M406">
        <f>IF(tblCalculo[[#This Row],[STATUS]]="EM ANÁLISE",tblCalculo[[#This Row],[VALOR_TOTAL]],"")</f>
        <v>8242.82</v>
      </c>
      <c r="N406" t="str">
        <f>IF(tblCalculo[[#This Row],[STATUS]]="TRAMITANDO",tblCalculo[[#This Row],[VALOR_TOTAL]],"")</f>
        <v/>
      </c>
      <c r="O406" t="str">
        <f>IF(tblCalculo[[#This Row],[STATUS]]="PERDIDO",tblCalculo[[#This Row],[VALOR_TOTAL]],"")</f>
        <v/>
      </c>
      <c r="P406" t="str">
        <f>IF(tblCalculo[[#This Row],[STATUS]]="CONCLUÍDO",tblCalculo[[#This Row],[VALOR_TOTAL]],"")</f>
        <v/>
      </c>
    </row>
    <row r="407" spans="1:16" x14ac:dyDescent="0.25">
      <c r="A407" t="str">
        <f>tblVendas[[#This Row],[NR_SIMULACAO]]</f>
        <v>SIM1397</v>
      </c>
      <c r="B407" s="34" t="str">
        <f>_xlfn.XLOOKUP(A407,tblVendas[[#This Row],[NR_SIMULACAO]],tblVendas[[#This Row],[NR_CNPJ]],"")</f>
        <v>67.437.250/0001-33</v>
      </c>
      <c r="C407" t="str">
        <f>_xlfn.XLOOKUP(A407,tblVendas[[#This Row],[NR_SIMULACAO]],tblVendas[[#This Row],[STATUS]],"")</f>
        <v>ALÇADA</v>
      </c>
      <c r="D407" t="str">
        <f>_xlfn.XLOOKUP(A407,tblVendas[[#This Row],[NR_SIMULACAO]],tblVendas[[#This Row],[MES]],"")</f>
        <v>Setembro</v>
      </c>
      <c r="E407">
        <f>SUM(_xlfn.XLOOKUP(tblCalculo[[#This Row],[NR_SIMULACAO]],tblVendas[[#This Row],[NR_SIMULACAO]],tblVendas[[#This Row],[VALOR_MOVEL]],""):_xlfn.XLOOKUP(tblCalculo[[#This Row],[NR_SIMULACAO]],tblVendas[[#This Row],[NR_SIMULACAO]],tblVendas[[#This Row],[VALOR_APARELHO]],""))</f>
        <v>5899.27</v>
      </c>
      <c r="F407">
        <f>IF(tblCalculo[[#This Row],[STATUS]]="CONCLUÍDO",_xlfn.XLOOKUP(tblCalculo[[#This Row],[NR_SIMULACAO]],tblVendas[[#This Row],[NR_SIMULACAO]],tblVendas[[#This Row],[VALOR_MOVEL]],""),0)</f>
        <v>0</v>
      </c>
      <c r="G407">
        <f>IF(tblCalculo[[#This Row],[STATUS]]="CONCLUÍDO",_xlfn.XLOOKUP(tblCalculo[[#This Row],[NR_SIMULACAO]],tblVendas[[#This Row],[NR_SIMULACAO]],tblVendas[[#This Row],[VALOR_AVANCADO]],""),0)</f>
        <v>0</v>
      </c>
      <c r="H407">
        <f>IF(tblCalculo[[#This Row],[STATUS]]="CONCLUÍDO",_xlfn.XLOOKUP(tblCalculo[[#This Row],[NR_SIMULACAO]],tblVendas[[#This Row],[NR_SIMULACAO]],tblVendas[[#This Row],[VALOR_FIXABASICA]],""),0)</f>
        <v>0</v>
      </c>
      <c r="I407">
        <f>IF(tblCalculo[[#This Row],[STATUS]]="CONCLUÍDO",_xlfn.XLOOKUP(tblCalculo[[#This Row],[NR_SIMULACAO]],tblVendas[[#This Row],[NR_SIMULACAO]],tblVendas[[#This Row],[VALOR_TI]],""),0)</f>
        <v>0</v>
      </c>
      <c r="J407">
        <f>IF(tblCalculo[[#This Row],[STATUS]]="CONCLUÍDO",_xlfn.XLOOKUP(tblCalculo[[#This Row],[NR_SIMULACAO]],tblVendas[[#This Row],[NR_SIMULACAO]],tblVendas[[#This Row],[VALOR_APARELHO]],""),0)</f>
        <v>0</v>
      </c>
      <c r="K407" t="str">
        <f>IF(tblCalculo[[#This Row],[STATUS]]="NEGOCIANDO",tblCalculo[[#This Row],[VALOR_TOTAL]],"")</f>
        <v/>
      </c>
      <c r="L407">
        <f>IF(tblCalculo[[#This Row],[STATUS]]="ALÇADA",tblCalculo[[#This Row],[VALOR_TOTAL]],"")</f>
        <v>5899.27</v>
      </c>
      <c r="M407" t="str">
        <f>IF(tblCalculo[[#This Row],[STATUS]]="EM ANÁLISE",tblCalculo[[#This Row],[VALOR_TOTAL]],"")</f>
        <v/>
      </c>
      <c r="N407" t="str">
        <f>IF(tblCalculo[[#This Row],[STATUS]]="TRAMITANDO",tblCalculo[[#This Row],[VALOR_TOTAL]],"")</f>
        <v/>
      </c>
      <c r="O407" t="str">
        <f>IF(tblCalculo[[#This Row],[STATUS]]="PERDIDO",tblCalculo[[#This Row],[VALOR_TOTAL]],"")</f>
        <v/>
      </c>
      <c r="P407" t="str">
        <f>IF(tblCalculo[[#This Row],[STATUS]]="CONCLUÍDO",tblCalculo[[#This Row],[VALOR_TOTAL]],"")</f>
        <v/>
      </c>
    </row>
    <row r="408" spans="1:16" x14ac:dyDescent="0.25">
      <c r="A408" t="str">
        <f>tblVendas[[#This Row],[NR_SIMULACAO]]</f>
        <v>SIM1398</v>
      </c>
      <c r="B408" s="34" t="str">
        <f>_xlfn.XLOOKUP(A408,tblVendas[[#This Row],[NR_SIMULACAO]],tblVendas[[#This Row],[NR_CNPJ]],"")</f>
        <v>76.232.133/0001-99</v>
      </c>
      <c r="C408" t="str">
        <f>_xlfn.XLOOKUP(A408,tblVendas[[#This Row],[NR_SIMULACAO]],tblVendas[[#This Row],[STATUS]],"")</f>
        <v>NEGOCIANDO</v>
      </c>
      <c r="D408" t="str">
        <f>_xlfn.XLOOKUP(A408,tblVendas[[#This Row],[NR_SIMULACAO]],tblVendas[[#This Row],[MES]],"")</f>
        <v>Maio</v>
      </c>
      <c r="E408">
        <f>SUM(_xlfn.XLOOKUP(tblCalculo[[#This Row],[NR_SIMULACAO]],tblVendas[[#This Row],[NR_SIMULACAO]],tblVendas[[#This Row],[VALOR_MOVEL]],""):_xlfn.XLOOKUP(tblCalculo[[#This Row],[NR_SIMULACAO]],tblVendas[[#This Row],[NR_SIMULACAO]],tblVendas[[#This Row],[VALOR_APARELHO]],""))</f>
        <v>15481.6</v>
      </c>
      <c r="F408">
        <f>IF(tblCalculo[[#This Row],[STATUS]]="CONCLUÍDO",_xlfn.XLOOKUP(tblCalculo[[#This Row],[NR_SIMULACAO]],tblVendas[[#This Row],[NR_SIMULACAO]],tblVendas[[#This Row],[VALOR_MOVEL]],""),0)</f>
        <v>0</v>
      </c>
      <c r="G408">
        <f>IF(tblCalculo[[#This Row],[STATUS]]="CONCLUÍDO",_xlfn.XLOOKUP(tblCalculo[[#This Row],[NR_SIMULACAO]],tblVendas[[#This Row],[NR_SIMULACAO]],tblVendas[[#This Row],[VALOR_AVANCADO]],""),0)</f>
        <v>0</v>
      </c>
      <c r="H408">
        <f>IF(tblCalculo[[#This Row],[STATUS]]="CONCLUÍDO",_xlfn.XLOOKUP(tblCalculo[[#This Row],[NR_SIMULACAO]],tblVendas[[#This Row],[NR_SIMULACAO]],tblVendas[[#This Row],[VALOR_FIXABASICA]],""),0)</f>
        <v>0</v>
      </c>
      <c r="I408">
        <f>IF(tblCalculo[[#This Row],[STATUS]]="CONCLUÍDO",_xlfn.XLOOKUP(tblCalculo[[#This Row],[NR_SIMULACAO]],tblVendas[[#This Row],[NR_SIMULACAO]],tblVendas[[#This Row],[VALOR_TI]],""),0)</f>
        <v>0</v>
      </c>
      <c r="J408">
        <f>IF(tblCalculo[[#This Row],[STATUS]]="CONCLUÍDO",_xlfn.XLOOKUP(tblCalculo[[#This Row],[NR_SIMULACAO]],tblVendas[[#This Row],[NR_SIMULACAO]],tblVendas[[#This Row],[VALOR_APARELHO]],""),0)</f>
        <v>0</v>
      </c>
      <c r="K408">
        <f>IF(tblCalculo[[#This Row],[STATUS]]="NEGOCIANDO",tblCalculo[[#This Row],[VALOR_TOTAL]],"")</f>
        <v>15481.6</v>
      </c>
      <c r="L408" t="str">
        <f>IF(tblCalculo[[#This Row],[STATUS]]="ALÇADA",tblCalculo[[#This Row],[VALOR_TOTAL]],"")</f>
        <v/>
      </c>
      <c r="M408" t="str">
        <f>IF(tblCalculo[[#This Row],[STATUS]]="EM ANÁLISE",tblCalculo[[#This Row],[VALOR_TOTAL]],"")</f>
        <v/>
      </c>
      <c r="N408" t="str">
        <f>IF(tblCalculo[[#This Row],[STATUS]]="TRAMITANDO",tblCalculo[[#This Row],[VALOR_TOTAL]],"")</f>
        <v/>
      </c>
      <c r="O408" t="str">
        <f>IF(tblCalculo[[#This Row],[STATUS]]="PERDIDO",tblCalculo[[#This Row],[VALOR_TOTAL]],"")</f>
        <v/>
      </c>
      <c r="P408" t="str">
        <f>IF(tblCalculo[[#This Row],[STATUS]]="CONCLUÍDO",tblCalculo[[#This Row],[VALOR_TOTAL]],"")</f>
        <v/>
      </c>
    </row>
    <row r="409" spans="1:16" x14ac:dyDescent="0.25">
      <c r="A409" t="str">
        <f>tblVendas[[#This Row],[NR_SIMULACAO]]</f>
        <v>SIM1399</v>
      </c>
      <c r="B409" s="34" t="str">
        <f>_xlfn.XLOOKUP(A409,tblVendas[[#This Row],[NR_SIMULACAO]],tblVendas[[#This Row],[NR_CNPJ]],"")</f>
        <v>10.689.238/0001-63</v>
      </c>
      <c r="C409" t="str">
        <f>_xlfn.XLOOKUP(A409,tblVendas[[#This Row],[NR_SIMULACAO]],tblVendas[[#This Row],[STATUS]],"")</f>
        <v>TRAMITANDO</v>
      </c>
      <c r="D409" t="str">
        <f>_xlfn.XLOOKUP(A409,tblVendas[[#This Row],[NR_SIMULACAO]],tblVendas[[#This Row],[MES]],"")</f>
        <v>Janeiro</v>
      </c>
      <c r="E409">
        <f>SUM(_xlfn.XLOOKUP(tblCalculo[[#This Row],[NR_SIMULACAO]],tblVendas[[#This Row],[NR_SIMULACAO]],tblVendas[[#This Row],[VALOR_MOVEL]],""):_xlfn.XLOOKUP(tblCalculo[[#This Row],[NR_SIMULACAO]],tblVendas[[#This Row],[NR_SIMULACAO]],tblVendas[[#This Row],[VALOR_APARELHO]],""))</f>
        <v>874.85</v>
      </c>
      <c r="F409">
        <f>IF(tblCalculo[[#This Row],[STATUS]]="CONCLUÍDO",_xlfn.XLOOKUP(tblCalculo[[#This Row],[NR_SIMULACAO]],tblVendas[[#This Row],[NR_SIMULACAO]],tblVendas[[#This Row],[VALOR_MOVEL]],""),0)</f>
        <v>0</v>
      </c>
      <c r="G409">
        <f>IF(tblCalculo[[#This Row],[STATUS]]="CONCLUÍDO",_xlfn.XLOOKUP(tblCalculo[[#This Row],[NR_SIMULACAO]],tblVendas[[#This Row],[NR_SIMULACAO]],tblVendas[[#This Row],[VALOR_AVANCADO]],""),0)</f>
        <v>0</v>
      </c>
      <c r="H409">
        <f>IF(tblCalculo[[#This Row],[STATUS]]="CONCLUÍDO",_xlfn.XLOOKUP(tblCalculo[[#This Row],[NR_SIMULACAO]],tblVendas[[#This Row],[NR_SIMULACAO]],tblVendas[[#This Row],[VALOR_FIXABASICA]],""),0)</f>
        <v>0</v>
      </c>
      <c r="I409">
        <f>IF(tblCalculo[[#This Row],[STATUS]]="CONCLUÍDO",_xlfn.XLOOKUP(tblCalculo[[#This Row],[NR_SIMULACAO]],tblVendas[[#This Row],[NR_SIMULACAO]],tblVendas[[#This Row],[VALOR_TI]],""),0)</f>
        <v>0</v>
      </c>
      <c r="J409">
        <f>IF(tblCalculo[[#This Row],[STATUS]]="CONCLUÍDO",_xlfn.XLOOKUP(tblCalculo[[#This Row],[NR_SIMULACAO]],tblVendas[[#This Row],[NR_SIMULACAO]],tblVendas[[#This Row],[VALOR_APARELHO]],""),0)</f>
        <v>0</v>
      </c>
      <c r="K409" t="str">
        <f>IF(tblCalculo[[#This Row],[STATUS]]="NEGOCIANDO",tblCalculo[[#This Row],[VALOR_TOTAL]],"")</f>
        <v/>
      </c>
      <c r="L409" t="str">
        <f>IF(tblCalculo[[#This Row],[STATUS]]="ALÇADA",tblCalculo[[#This Row],[VALOR_TOTAL]],"")</f>
        <v/>
      </c>
      <c r="M409" t="str">
        <f>IF(tblCalculo[[#This Row],[STATUS]]="EM ANÁLISE",tblCalculo[[#This Row],[VALOR_TOTAL]],"")</f>
        <v/>
      </c>
      <c r="N409">
        <f>IF(tblCalculo[[#This Row],[STATUS]]="TRAMITANDO",tblCalculo[[#This Row],[VALOR_TOTAL]],"")</f>
        <v>874.85</v>
      </c>
      <c r="O409" t="str">
        <f>IF(tblCalculo[[#This Row],[STATUS]]="PERDIDO",tblCalculo[[#This Row],[VALOR_TOTAL]],"")</f>
        <v/>
      </c>
      <c r="P409" t="str">
        <f>IF(tblCalculo[[#This Row],[STATUS]]="CONCLUÍDO",tblCalculo[[#This Row],[VALOR_TOTAL]],"")</f>
        <v/>
      </c>
    </row>
    <row r="410" spans="1:16" x14ac:dyDescent="0.25">
      <c r="A410" t="str">
        <f>tblVendas[[#This Row],[NR_SIMULACAO]]</f>
        <v>SIM1400</v>
      </c>
      <c r="B410" s="34" t="str">
        <f>_xlfn.XLOOKUP(A410,tblVendas[[#This Row],[NR_SIMULACAO]],tblVendas[[#This Row],[NR_CNPJ]],"")</f>
        <v>76.805.811/0001-49</v>
      </c>
      <c r="C410" t="str">
        <f>_xlfn.XLOOKUP(A410,tblVendas[[#This Row],[NR_SIMULACAO]],tblVendas[[#This Row],[STATUS]],"")</f>
        <v>TRAMITANDO</v>
      </c>
      <c r="D410" t="str">
        <f>_xlfn.XLOOKUP(A410,tblVendas[[#This Row],[NR_SIMULACAO]],tblVendas[[#This Row],[MES]],"")</f>
        <v>Março</v>
      </c>
      <c r="E410">
        <f>SUM(_xlfn.XLOOKUP(tblCalculo[[#This Row],[NR_SIMULACAO]],tblVendas[[#This Row],[NR_SIMULACAO]],tblVendas[[#This Row],[VALOR_MOVEL]],""):_xlfn.XLOOKUP(tblCalculo[[#This Row],[NR_SIMULACAO]],tblVendas[[#This Row],[NR_SIMULACAO]],tblVendas[[#This Row],[VALOR_APARELHO]],""))</f>
        <v>6693.68</v>
      </c>
      <c r="F410">
        <f>IF(tblCalculo[[#This Row],[STATUS]]="CONCLUÍDO",_xlfn.XLOOKUP(tblCalculo[[#This Row],[NR_SIMULACAO]],tblVendas[[#This Row],[NR_SIMULACAO]],tblVendas[[#This Row],[VALOR_MOVEL]],""),0)</f>
        <v>0</v>
      </c>
      <c r="G410">
        <f>IF(tblCalculo[[#This Row],[STATUS]]="CONCLUÍDO",_xlfn.XLOOKUP(tblCalculo[[#This Row],[NR_SIMULACAO]],tblVendas[[#This Row],[NR_SIMULACAO]],tblVendas[[#This Row],[VALOR_AVANCADO]],""),0)</f>
        <v>0</v>
      </c>
      <c r="H410">
        <f>IF(tblCalculo[[#This Row],[STATUS]]="CONCLUÍDO",_xlfn.XLOOKUP(tblCalculo[[#This Row],[NR_SIMULACAO]],tblVendas[[#This Row],[NR_SIMULACAO]],tblVendas[[#This Row],[VALOR_FIXABASICA]],""),0)</f>
        <v>0</v>
      </c>
      <c r="I410">
        <f>IF(tblCalculo[[#This Row],[STATUS]]="CONCLUÍDO",_xlfn.XLOOKUP(tblCalculo[[#This Row],[NR_SIMULACAO]],tblVendas[[#This Row],[NR_SIMULACAO]],tblVendas[[#This Row],[VALOR_TI]],""),0)</f>
        <v>0</v>
      </c>
      <c r="J410">
        <f>IF(tblCalculo[[#This Row],[STATUS]]="CONCLUÍDO",_xlfn.XLOOKUP(tblCalculo[[#This Row],[NR_SIMULACAO]],tblVendas[[#This Row],[NR_SIMULACAO]],tblVendas[[#This Row],[VALOR_APARELHO]],""),0)</f>
        <v>0</v>
      </c>
      <c r="K410" t="str">
        <f>IF(tblCalculo[[#This Row],[STATUS]]="NEGOCIANDO",tblCalculo[[#This Row],[VALOR_TOTAL]],"")</f>
        <v/>
      </c>
      <c r="L410" t="str">
        <f>IF(tblCalculo[[#This Row],[STATUS]]="ALÇADA",tblCalculo[[#This Row],[VALOR_TOTAL]],"")</f>
        <v/>
      </c>
      <c r="M410" t="str">
        <f>IF(tblCalculo[[#This Row],[STATUS]]="EM ANÁLISE",tblCalculo[[#This Row],[VALOR_TOTAL]],"")</f>
        <v/>
      </c>
      <c r="N410">
        <f>IF(tblCalculo[[#This Row],[STATUS]]="TRAMITANDO",tblCalculo[[#This Row],[VALOR_TOTAL]],"")</f>
        <v>6693.68</v>
      </c>
      <c r="O410" t="str">
        <f>IF(tblCalculo[[#This Row],[STATUS]]="PERDIDO",tblCalculo[[#This Row],[VALOR_TOTAL]],"")</f>
        <v/>
      </c>
      <c r="P410" t="str">
        <f>IF(tblCalculo[[#This Row],[STATUS]]="CONCLUÍDO",tblCalculo[[#This Row],[VALOR_TOTAL]],"")</f>
        <v/>
      </c>
    </row>
    <row r="411" spans="1:16" x14ac:dyDescent="0.25">
      <c r="A411" t="str">
        <f>tblVendas[[#This Row],[NR_SIMULACAO]]</f>
        <v>SIM1401</v>
      </c>
      <c r="B411" s="34" t="str">
        <f>_xlfn.XLOOKUP(A411,tblVendas[[#This Row],[NR_SIMULACAO]],tblVendas[[#This Row],[NR_CNPJ]],"")</f>
        <v>28.713.734/0001-22</v>
      </c>
      <c r="C411" t="str">
        <f>_xlfn.XLOOKUP(A411,tblVendas[[#This Row],[NR_SIMULACAO]],tblVendas[[#This Row],[STATUS]],"")</f>
        <v>CONCLUÍDO</v>
      </c>
      <c r="D411" t="str">
        <f>_xlfn.XLOOKUP(A411,tblVendas[[#This Row],[NR_SIMULACAO]],tblVendas[[#This Row],[MES]],"")</f>
        <v>Setembro</v>
      </c>
      <c r="E411">
        <f>SUM(_xlfn.XLOOKUP(tblCalculo[[#This Row],[NR_SIMULACAO]],tblVendas[[#This Row],[NR_SIMULACAO]],tblVendas[[#This Row],[VALOR_MOVEL]],""):_xlfn.XLOOKUP(tblCalculo[[#This Row],[NR_SIMULACAO]],tblVendas[[#This Row],[NR_SIMULACAO]],tblVendas[[#This Row],[VALOR_APARELHO]],""))</f>
        <v>8296.77</v>
      </c>
      <c r="F411">
        <f>IF(tblCalculo[[#This Row],[STATUS]]="CONCLUÍDO",_xlfn.XLOOKUP(tblCalculo[[#This Row],[NR_SIMULACAO]],tblVendas[[#This Row],[NR_SIMULACAO]],tblVendas[[#This Row],[VALOR_MOVEL]],""),0)</f>
        <v>0</v>
      </c>
      <c r="G411">
        <f>IF(tblCalculo[[#This Row],[STATUS]]="CONCLUÍDO",_xlfn.XLOOKUP(tblCalculo[[#This Row],[NR_SIMULACAO]],tblVendas[[#This Row],[NR_SIMULACAO]],tblVendas[[#This Row],[VALOR_AVANCADO]],""),0)</f>
        <v>0</v>
      </c>
      <c r="H411">
        <f>IF(tblCalculo[[#This Row],[STATUS]]="CONCLUÍDO",_xlfn.XLOOKUP(tblCalculo[[#This Row],[NR_SIMULACAO]],tblVendas[[#This Row],[NR_SIMULACAO]],tblVendas[[#This Row],[VALOR_FIXABASICA]],""),0)</f>
        <v>453.92</v>
      </c>
      <c r="I411">
        <f>IF(tblCalculo[[#This Row],[STATUS]]="CONCLUÍDO",_xlfn.XLOOKUP(tblCalculo[[#This Row],[NR_SIMULACAO]],tblVendas[[#This Row],[NR_SIMULACAO]],tblVendas[[#This Row],[VALOR_TI]],""),0)</f>
        <v>7842.85</v>
      </c>
      <c r="J411">
        <f>IF(tblCalculo[[#This Row],[STATUS]]="CONCLUÍDO",_xlfn.XLOOKUP(tblCalculo[[#This Row],[NR_SIMULACAO]],tblVendas[[#This Row],[NR_SIMULACAO]],tblVendas[[#This Row],[VALOR_APARELHO]],""),0)</f>
        <v>0</v>
      </c>
      <c r="K411" t="str">
        <f>IF(tblCalculo[[#This Row],[STATUS]]="NEGOCIANDO",tblCalculo[[#This Row],[VALOR_TOTAL]],"")</f>
        <v/>
      </c>
      <c r="L411" t="str">
        <f>IF(tblCalculo[[#This Row],[STATUS]]="ALÇADA",tblCalculo[[#This Row],[VALOR_TOTAL]],"")</f>
        <v/>
      </c>
      <c r="M411" t="str">
        <f>IF(tblCalculo[[#This Row],[STATUS]]="EM ANÁLISE",tblCalculo[[#This Row],[VALOR_TOTAL]],"")</f>
        <v/>
      </c>
      <c r="N411" t="str">
        <f>IF(tblCalculo[[#This Row],[STATUS]]="TRAMITANDO",tblCalculo[[#This Row],[VALOR_TOTAL]],"")</f>
        <v/>
      </c>
      <c r="O411" t="str">
        <f>IF(tblCalculo[[#This Row],[STATUS]]="PERDIDO",tblCalculo[[#This Row],[VALOR_TOTAL]],"")</f>
        <v/>
      </c>
      <c r="P411">
        <f>IF(tblCalculo[[#This Row],[STATUS]]="CONCLUÍDO",tblCalculo[[#This Row],[VALOR_TOTAL]],"")</f>
        <v>8296.77</v>
      </c>
    </row>
    <row r="412" spans="1:16" x14ac:dyDescent="0.25">
      <c r="A412" t="str">
        <f>tblVendas[[#This Row],[NR_SIMULACAO]]</f>
        <v>SIM1402</v>
      </c>
      <c r="B412" s="34" t="str">
        <f>_xlfn.XLOOKUP(A412,tblVendas[[#This Row],[NR_SIMULACAO]],tblVendas[[#This Row],[NR_CNPJ]],"")</f>
        <v>29.489.467/0001-55</v>
      </c>
      <c r="C412" t="str">
        <f>_xlfn.XLOOKUP(A412,tblVendas[[#This Row],[NR_SIMULACAO]],tblVendas[[#This Row],[STATUS]],"")</f>
        <v>ALÇADA</v>
      </c>
      <c r="D412" t="str">
        <f>_xlfn.XLOOKUP(A412,tblVendas[[#This Row],[NR_SIMULACAO]],tblVendas[[#This Row],[MES]],"")</f>
        <v>Agosto</v>
      </c>
      <c r="E412">
        <f>SUM(_xlfn.XLOOKUP(tblCalculo[[#This Row],[NR_SIMULACAO]],tblVendas[[#This Row],[NR_SIMULACAO]],tblVendas[[#This Row],[VALOR_MOVEL]],""):_xlfn.XLOOKUP(tblCalculo[[#This Row],[NR_SIMULACAO]],tblVendas[[#This Row],[NR_SIMULACAO]],tblVendas[[#This Row],[VALOR_APARELHO]],""))</f>
        <v>3891.26</v>
      </c>
      <c r="F412">
        <f>IF(tblCalculo[[#This Row],[STATUS]]="CONCLUÍDO",_xlfn.XLOOKUP(tblCalculo[[#This Row],[NR_SIMULACAO]],tblVendas[[#This Row],[NR_SIMULACAO]],tblVendas[[#This Row],[VALOR_MOVEL]],""),0)</f>
        <v>0</v>
      </c>
      <c r="G412">
        <f>IF(tblCalculo[[#This Row],[STATUS]]="CONCLUÍDO",_xlfn.XLOOKUP(tblCalculo[[#This Row],[NR_SIMULACAO]],tblVendas[[#This Row],[NR_SIMULACAO]],tblVendas[[#This Row],[VALOR_AVANCADO]],""),0)</f>
        <v>0</v>
      </c>
      <c r="H412">
        <f>IF(tblCalculo[[#This Row],[STATUS]]="CONCLUÍDO",_xlfn.XLOOKUP(tblCalculo[[#This Row],[NR_SIMULACAO]],tblVendas[[#This Row],[NR_SIMULACAO]],tblVendas[[#This Row],[VALOR_FIXABASICA]],""),0)</f>
        <v>0</v>
      </c>
      <c r="I412">
        <f>IF(tblCalculo[[#This Row],[STATUS]]="CONCLUÍDO",_xlfn.XLOOKUP(tblCalculo[[#This Row],[NR_SIMULACAO]],tblVendas[[#This Row],[NR_SIMULACAO]],tblVendas[[#This Row],[VALOR_TI]],""),0)</f>
        <v>0</v>
      </c>
      <c r="J412">
        <f>IF(tblCalculo[[#This Row],[STATUS]]="CONCLUÍDO",_xlfn.XLOOKUP(tblCalculo[[#This Row],[NR_SIMULACAO]],tblVendas[[#This Row],[NR_SIMULACAO]],tblVendas[[#This Row],[VALOR_APARELHO]],""),0)</f>
        <v>0</v>
      </c>
      <c r="K412" t="str">
        <f>IF(tblCalculo[[#This Row],[STATUS]]="NEGOCIANDO",tblCalculo[[#This Row],[VALOR_TOTAL]],"")</f>
        <v/>
      </c>
      <c r="L412">
        <f>IF(tblCalculo[[#This Row],[STATUS]]="ALÇADA",tblCalculo[[#This Row],[VALOR_TOTAL]],"")</f>
        <v>3891.26</v>
      </c>
      <c r="M412" t="str">
        <f>IF(tblCalculo[[#This Row],[STATUS]]="EM ANÁLISE",tblCalculo[[#This Row],[VALOR_TOTAL]],"")</f>
        <v/>
      </c>
      <c r="N412" t="str">
        <f>IF(tblCalculo[[#This Row],[STATUS]]="TRAMITANDO",tblCalculo[[#This Row],[VALOR_TOTAL]],"")</f>
        <v/>
      </c>
      <c r="O412" t="str">
        <f>IF(tblCalculo[[#This Row],[STATUS]]="PERDIDO",tblCalculo[[#This Row],[VALOR_TOTAL]],"")</f>
        <v/>
      </c>
      <c r="P412" t="str">
        <f>IF(tblCalculo[[#This Row],[STATUS]]="CONCLUÍDO",tblCalculo[[#This Row],[VALOR_TOTAL]],"")</f>
        <v/>
      </c>
    </row>
    <row r="413" spans="1:16" x14ac:dyDescent="0.25">
      <c r="A413" t="str">
        <f>tblVendas[[#This Row],[NR_SIMULACAO]]</f>
        <v>SIM1403</v>
      </c>
      <c r="B413" s="34" t="str">
        <f>_xlfn.XLOOKUP(A413,tblVendas[[#This Row],[NR_SIMULACAO]],tblVendas[[#This Row],[NR_CNPJ]],"")</f>
        <v>83.386.410/0001-97</v>
      </c>
      <c r="C413" t="str">
        <f>_xlfn.XLOOKUP(A413,tblVendas[[#This Row],[NR_SIMULACAO]],tblVendas[[#This Row],[STATUS]],"")</f>
        <v>EM ANÁLISE</v>
      </c>
      <c r="D413" t="str">
        <f>_xlfn.XLOOKUP(A413,tblVendas[[#This Row],[NR_SIMULACAO]],tblVendas[[#This Row],[MES]],"")</f>
        <v>Julho</v>
      </c>
      <c r="E413">
        <f>SUM(_xlfn.XLOOKUP(tblCalculo[[#This Row],[NR_SIMULACAO]],tblVendas[[#This Row],[NR_SIMULACAO]],tblVendas[[#This Row],[VALOR_MOVEL]],""):_xlfn.XLOOKUP(tblCalculo[[#This Row],[NR_SIMULACAO]],tblVendas[[#This Row],[NR_SIMULACAO]],tblVendas[[#This Row],[VALOR_APARELHO]],""))</f>
        <v>22480.91</v>
      </c>
      <c r="F413">
        <f>IF(tblCalculo[[#This Row],[STATUS]]="CONCLUÍDO",_xlfn.XLOOKUP(tblCalculo[[#This Row],[NR_SIMULACAO]],tblVendas[[#This Row],[NR_SIMULACAO]],tblVendas[[#This Row],[VALOR_MOVEL]],""),0)</f>
        <v>0</v>
      </c>
      <c r="G413">
        <f>IF(tblCalculo[[#This Row],[STATUS]]="CONCLUÍDO",_xlfn.XLOOKUP(tblCalculo[[#This Row],[NR_SIMULACAO]],tblVendas[[#This Row],[NR_SIMULACAO]],tblVendas[[#This Row],[VALOR_AVANCADO]],""),0)</f>
        <v>0</v>
      </c>
      <c r="H413">
        <f>IF(tblCalculo[[#This Row],[STATUS]]="CONCLUÍDO",_xlfn.XLOOKUP(tblCalculo[[#This Row],[NR_SIMULACAO]],tblVendas[[#This Row],[NR_SIMULACAO]],tblVendas[[#This Row],[VALOR_FIXABASICA]],""),0)</f>
        <v>0</v>
      </c>
      <c r="I413">
        <f>IF(tblCalculo[[#This Row],[STATUS]]="CONCLUÍDO",_xlfn.XLOOKUP(tblCalculo[[#This Row],[NR_SIMULACAO]],tblVendas[[#This Row],[NR_SIMULACAO]],tblVendas[[#This Row],[VALOR_TI]],""),0)</f>
        <v>0</v>
      </c>
      <c r="J413">
        <f>IF(tblCalculo[[#This Row],[STATUS]]="CONCLUÍDO",_xlfn.XLOOKUP(tblCalculo[[#This Row],[NR_SIMULACAO]],tblVendas[[#This Row],[NR_SIMULACAO]],tblVendas[[#This Row],[VALOR_APARELHO]],""),0)</f>
        <v>0</v>
      </c>
      <c r="K413" t="str">
        <f>IF(tblCalculo[[#This Row],[STATUS]]="NEGOCIANDO",tblCalculo[[#This Row],[VALOR_TOTAL]],"")</f>
        <v/>
      </c>
      <c r="L413" t="str">
        <f>IF(tblCalculo[[#This Row],[STATUS]]="ALÇADA",tblCalculo[[#This Row],[VALOR_TOTAL]],"")</f>
        <v/>
      </c>
      <c r="M413">
        <f>IF(tblCalculo[[#This Row],[STATUS]]="EM ANÁLISE",tblCalculo[[#This Row],[VALOR_TOTAL]],"")</f>
        <v>22480.91</v>
      </c>
      <c r="N413" t="str">
        <f>IF(tblCalculo[[#This Row],[STATUS]]="TRAMITANDO",tblCalculo[[#This Row],[VALOR_TOTAL]],"")</f>
        <v/>
      </c>
      <c r="O413" t="str">
        <f>IF(tblCalculo[[#This Row],[STATUS]]="PERDIDO",tblCalculo[[#This Row],[VALOR_TOTAL]],"")</f>
        <v/>
      </c>
      <c r="P413" t="str">
        <f>IF(tblCalculo[[#This Row],[STATUS]]="CONCLUÍDO",tblCalculo[[#This Row],[VALOR_TOTAL]],"")</f>
        <v/>
      </c>
    </row>
    <row r="414" spans="1:16" x14ac:dyDescent="0.25">
      <c r="A414" t="str">
        <f>tblVendas[[#This Row],[NR_SIMULACAO]]</f>
        <v>SIM1404</v>
      </c>
      <c r="B414" s="34" t="str">
        <f>_xlfn.XLOOKUP(A414,tblVendas[[#This Row],[NR_SIMULACAO]],tblVendas[[#This Row],[NR_CNPJ]],"")</f>
        <v>51.501.623/0001-68</v>
      </c>
      <c r="C414" t="str">
        <f>_xlfn.XLOOKUP(A414,tblVendas[[#This Row],[NR_SIMULACAO]],tblVendas[[#This Row],[STATUS]],"")</f>
        <v>CONCLUÍDO</v>
      </c>
      <c r="D414" t="str">
        <f>_xlfn.XLOOKUP(A414,tblVendas[[#This Row],[NR_SIMULACAO]],tblVendas[[#This Row],[MES]],"")</f>
        <v>Junho</v>
      </c>
      <c r="E414">
        <f>SUM(_xlfn.XLOOKUP(tblCalculo[[#This Row],[NR_SIMULACAO]],tblVendas[[#This Row],[NR_SIMULACAO]],tblVendas[[#This Row],[VALOR_MOVEL]],""):_xlfn.XLOOKUP(tblCalculo[[#This Row],[NR_SIMULACAO]],tblVendas[[#This Row],[NR_SIMULACAO]],tblVendas[[#This Row],[VALOR_APARELHO]],""))</f>
        <v>23600.410000000003</v>
      </c>
      <c r="F414">
        <f>IF(tblCalculo[[#This Row],[STATUS]]="CONCLUÍDO",_xlfn.XLOOKUP(tblCalculo[[#This Row],[NR_SIMULACAO]],tblVendas[[#This Row],[NR_SIMULACAO]],tblVendas[[#This Row],[VALOR_MOVEL]],""),0)</f>
        <v>0</v>
      </c>
      <c r="G414">
        <f>IF(tblCalculo[[#This Row],[STATUS]]="CONCLUÍDO",_xlfn.XLOOKUP(tblCalculo[[#This Row],[NR_SIMULACAO]],tblVendas[[#This Row],[NR_SIMULACAO]],tblVendas[[#This Row],[VALOR_AVANCADO]],""),0)</f>
        <v>0</v>
      </c>
      <c r="H414">
        <f>IF(tblCalculo[[#This Row],[STATUS]]="CONCLUÍDO",_xlfn.XLOOKUP(tblCalculo[[#This Row],[NR_SIMULACAO]],tblVendas[[#This Row],[NR_SIMULACAO]],tblVendas[[#This Row],[VALOR_FIXABASICA]],""),0)</f>
        <v>1261.3599999999999</v>
      </c>
      <c r="I414">
        <f>IF(tblCalculo[[#This Row],[STATUS]]="CONCLUÍDO",_xlfn.XLOOKUP(tblCalculo[[#This Row],[NR_SIMULACAO]],tblVendas[[#This Row],[NR_SIMULACAO]],tblVendas[[#This Row],[VALOR_TI]],""),0)</f>
        <v>10732.61</v>
      </c>
      <c r="J414">
        <f>IF(tblCalculo[[#This Row],[STATUS]]="CONCLUÍDO",_xlfn.XLOOKUP(tblCalculo[[#This Row],[NR_SIMULACAO]],tblVendas[[#This Row],[NR_SIMULACAO]],tblVendas[[#This Row],[VALOR_APARELHO]],""),0)</f>
        <v>11606.44</v>
      </c>
      <c r="K414" t="str">
        <f>IF(tblCalculo[[#This Row],[STATUS]]="NEGOCIANDO",tblCalculo[[#This Row],[VALOR_TOTAL]],"")</f>
        <v/>
      </c>
      <c r="L414" t="str">
        <f>IF(tblCalculo[[#This Row],[STATUS]]="ALÇADA",tblCalculo[[#This Row],[VALOR_TOTAL]],"")</f>
        <v/>
      </c>
      <c r="M414" t="str">
        <f>IF(tblCalculo[[#This Row],[STATUS]]="EM ANÁLISE",tblCalculo[[#This Row],[VALOR_TOTAL]],"")</f>
        <v/>
      </c>
      <c r="N414" t="str">
        <f>IF(tblCalculo[[#This Row],[STATUS]]="TRAMITANDO",tblCalculo[[#This Row],[VALOR_TOTAL]],"")</f>
        <v/>
      </c>
      <c r="O414" t="str">
        <f>IF(tblCalculo[[#This Row],[STATUS]]="PERDIDO",tblCalculo[[#This Row],[VALOR_TOTAL]],"")</f>
        <v/>
      </c>
      <c r="P414">
        <f>IF(tblCalculo[[#This Row],[STATUS]]="CONCLUÍDO",tblCalculo[[#This Row],[VALOR_TOTAL]],"")</f>
        <v>23600.410000000003</v>
      </c>
    </row>
    <row r="415" spans="1:16" x14ac:dyDescent="0.25">
      <c r="A415" t="str">
        <f>tblVendas[[#This Row],[NR_SIMULACAO]]</f>
        <v>SIM1405</v>
      </c>
      <c r="B415" s="34" t="str">
        <f>_xlfn.XLOOKUP(A415,tblVendas[[#This Row],[NR_SIMULACAO]],tblVendas[[#This Row],[NR_CNPJ]],"")</f>
        <v>83.617.807/0001-29</v>
      </c>
      <c r="C415" t="str">
        <f>_xlfn.XLOOKUP(A415,tblVendas[[#This Row],[NR_SIMULACAO]],tblVendas[[#This Row],[STATUS]],"")</f>
        <v>ALÇADA</v>
      </c>
      <c r="D415" t="str">
        <f>_xlfn.XLOOKUP(A415,tblVendas[[#This Row],[NR_SIMULACAO]],tblVendas[[#This Row],[MES]],"")</f>
        <v>Setembro</v>
      </c>
      <c r="E415">
        <f>SUM(_xlfn.XLOOKUP(tblCalculo[[#This Row],[NR_SIMULACAO]],tblVendas[[#This Row],[NR_SIMULACAO]],tblVendas[[#This Row],[VALOR_MOVEL]],""):_xlfn.XLOOKUP(tblCalculo[[#This Row],[NR_SIMULACAO]],tblVendas[[#This Row],[NR_SIMULACAO]],tblVendas[[#This Row],[VALOR_APARELHO]],""))</f>
        <v>20990.34</v>
      </c>
      <c r="F415">
        <f>IF(tblCalculo[[#This Row],[STATUS]]="CONCLUÍDO",_xlfn.XLOOKUP(tblCalculo[[#This Row],[NR_SIMULACAO]],tblVendas[[#This Row],[NR_SIMULACAO]],tblVendas[[#This Row],[VALOR_MOVEL]],""),0)</f>
        <v>0</v>
      </c>
      <c r="G415">
        <f>IF(tblCalculo[[#This Row],[STATUS]]="CONCLUÍDO",_xlfn.XLOOKUP(tblCalculo[[#This Row],[NR_SIMULACAO]],tblVendas[[#This Row],[NR_SIMULACAO]],tblVendas[[#This Row],[VALOR_AVANCADO]],""),0)</f>
        <v>0</v>
      </c>
      <c r="H415">
        <f>IF(tblCalculo[[#This Row],[STATUS]]="CONCLUÍDO",_xlfn.XLOOKUP(tblCalculo[[#This Row],[NR_SIMULACAO]],tblVendas[[#This Row],[NR_SIMULACAO]],tblVendas[[#This Row],[VALOR_FIXABASICA]],""),0)</f>
        <v>0</v>
      </c>
      <c r="I415">
        <f>IF(tblCalculo[[#This Row],[STATUS]]="CONCLUÍDO",_xlfn.XLOOKUP(tblCalculo[[#This Row],[NR_SIMULACAO]],tblVendas[[#This Row],[NR_SIMULACAO]],tblVendas[[#This Row],[VALOR_TI]],""),0)</f>
        <v>0</v>
      </c>
      <c r="J415">
        <f>IF(tblCalculo[[#This Row],[STATUS]]="CONCLUÍDO",_xlfn.XLOOKUP(tblCalculo[[#This Row],[NR_SIMULACAO]],tblVendas[[#This Row],[NR_SIMULACAO]],tblVendas[[#This Row],[VALOR_APARELHO]],""),0)</f>
        <v>0</v>
      </c>
      <c r="K415" t="str">
        <f>IF(tblCalculo[[#This Row],[STATUS]]="NEGOCIANDO",tblCalculo[[#This Row],[VALOR_TOTAL]],"")</f>
        <v/>
      </c>
      <c r="L415">
        <f>IF(tblCalculo[[#This Row],[STATUS]]="ALÇADA",tblCalculo[[#This Row],[VALOR_TOTAL]],"")</f>
        <v>20990.34</v>
      </c>
      <c r="M415" t="str">
        <f>IF(tblCalculo[[#This Row],[STATUS]]="EM ANÁLISE",tblCalculo[[#This Row],[VALOR_TOTAL]],"")</f>
        <v/>
      </c>
      <c r="N415" t="str">
        <f>IF(tblCalculo[[#This Row],[STATUS]]="TRAMITANDO",tblCalculo[[#This Row],[VALOR_TOTAL]],"")</f>
        <v/>
      </c>
      <c r="O415" t="str">
        <f>IF(tblCalculo[[#This Row],[STATUS]]="PERDIDO",tblCalculo[[#This Row],[VALOR_TOTAL]],"")</f>
        <v/>
      </c>
      <c r="P415" t="str">
        <f>IF(tblCalculo[[#This Row],[STATUS]]="CONCLUÍDO",tblCalculo[[#This Row],[VALOR_TOTAL]],"")</f>
        <v/>
      </c>
    </row>
    <row r="416" spans="1:16" x14ac:dyDescent="0.25">
      <c r="A416" t="str">
        <f>tblVendas[[#This Row],[NR_SIMULACAO]]</f>
        <v>SIM1406</v>
      </c>
      <c r="B416" s="34" t="str">
        <f>_xlfn.XLOOKUP(A416,tblVendas[[#This Row],[NR_SIMULACAO]],tblVendas[[#This Row],[NR_CNPJ]],"")</f>
        <v>18.530.507/0001-62</v>
      </c>
      <c r="C416" t="str">
        <f>_xlfn.XLOOKUP(A416,tblVendas[[#This Row],[NR_SIMULACAO]],tblVendas[[#This Row],[STATUS]],"")</f>
        <v>PERDIDO</v>
      </c>
      <c r="D416" t="str">
        <f>_xlfn.XLOOKUP(A416,tblVendas[[#This Row],[NR_SIMULACAO]],tblVendas[[#This Row],[MES]],"")</f>
        <v>Março</v>
      </c>
      <c r="E416">
        <f>SUM(_xlfn.XLOOKUP(tblCalculo[[#This Row],[NR_SIMULACAO]],tblVendas[[#This Row],[NR_SIMULACAO]],tblVendas[[#This Row],[VALOR_MOVEL]],""):_xlfn.XLOOKUP(tblCalculo[[#This Row],[NR_SIMULACAO]],tblVendas[[#This Row],[NR_SIMULACAO]],tblVendas[[#This Row],[VALOR_APARELHO]],""))</f>
        <v>6712.3600000000006</v>
      </c>
      <c r="F416">
        <f>IF(tblCalculo[[#This Row],[STATUS]]="CONCLUÍDO",_xlfn.XLOOKUP(tblCalculo[[#This Row],[NR_SIMULACAO]],tblVendas[[#This Row],[NR_SIMULACAO]],tblVendas[[#This Row],[VALOR_MOVEL]],""),0)</f>
        <v>0</v>
      </c>
      <c r="G416">
        <f>IF(tblCalculo[[#This Row],[STATUS]]="CONCLUÍDO",_xlfn.XLOOKUP(tblCalculo[[#This Row],[NR_SIMULACAO]],tblVendas[[#This Row],[NR_SIMULACAO]],tblVendas[[#This Row],[VALOR_AVANCADO]],""),0)</f>
        <v>0</v>
      </c>
      <c r="H416">
        <f>IF(tblCalculo[[#This Row],[STATUS]]="CONCLUÍDO",_xlfn.XLOOKUP(tblCalculo[[#This Row],[NR_SIMULACAO]],tblVendas[[#This Row],[NR_SIMULACAO]],tblVendas[[#This Row],[VALOR_FIXABASICA]],""),0)</f>
        <v>0</v>
      </c>
      <c r="I416">
        <f>IF(tblCalculo[[#This Row],[STATUS]]="CONCLUÍDO",_xlfn.XLOOKUP(tblCalculo[[#This Row],[NR_SIMULACAO]],tblVendas[[#This Row],[NR_SIMULACAO]],tblVendas[[#This Row],[VALOR_TI]],""),0)</f>
        <v>0</v>
      </c>
      <c r="J416">
        <f>IF(tblCalculo[[#This Row],[STATUS]]="CONCLUÍDO",_xlfn.XLOOKUP(tblCalculo[[#This Row],[NR_SIMULACAO]],tblVendas[[#This Row],[NR_SIMULACAO]],tblVendas[[#This Row],[VALOR_APARELHO]],""),0)</f>
        <v>0</v>
      </c>
      <c r="K416" t="str">
        <f>IF(tblCalculo[[#This Row],[STATUS]]="NEGOCIANDO",tblCalculo[[#This Row],[VALOR_TOTAL]],"")</f>
        <v/>
      </c>
      <c r="L416" t="str">
        <f>IF(tblCalculo[[#This Row],[STATUS]]="ALÇADA",tblCalculo[[#This Row],[VALOR_TOTAL]],"")</f>
        <v/>
      </c>
      <c r="M416" t="str">
        <f>IF(tblCalculo[[#This Row],[STATUS]]="EM ANÁLISE",tblCalculo[[#This Row],[VALOR_TOTAL]],"")</f>
        <v/>
      </c>
      <c r="N416" t="str">
        <f>IF(tblCalculo[[#This Row],[STATUS]]="TRAMITANDO",tblCalculo[[#This Row],[VALOR_TOTAL]],"")</f>
        <v/>
      </c>
      <c r="O416">
        <f>IF(tblCalculo[[#This Row],[STATUS]]="PERDIDO",tblCalculo[[#This Row],[VALOR_TOTAL]],"")</f>
        <v>6712.3600000000006</v>
      </c>
      <c r="P416" t="str">
        <f>IF(tblCalculo[[#This Row],[STATUS]]="CONCLUÍDO",tblCalculo[[#This Row],[VALOR_TOTAL]],"")</f>
        <v/>
      </c>
    </row>
    <row r="417" spans="1:16" x14ac:dyDescent="0.25">
      <c r="A417" t="str">
        <f>tblVendas[[#This Row],[NR_SIMULACAO]]</f>
        <v>SIM1407</v>
      </c>
      <c r="B417" s="34" t="str">
        <f>_xlfn.XLOOKUP(A417,tblVendas[[#This Row],[NR_SIMULACAO]],tblVendas[[#This Row],[NR_CNPJ]],"")</f>
        <v>85.845.592/0001-61</v>
      </c>
      <c r="C417" t="str">
        <f>_xlfn.XLOOKUP(A417,tblVendas[[#This Row],[NR_SIMULACAO]],tblVendas[[#This Row],[STATUS]],"")</f>
        <v>NEGOCIANDO</v>
      </c>
      <c r="D417" t="str">
        <f>_xlfn.XLOOKUP(A417,tblVendas[[#This Row],[NR_SIMULACAO]],tblVendas[[#This Row],[MES]],"")</f>
        <v>Julho</v>
      </c>
      <c r="E417">
        <f>SUM(_xlfn.XLOOKUP(tblCalculo[[#This Row],[NR_SIMULACAO]],tblVendas[[#This Row],[NR_SIMULACAO]],tblVendas[[#This Row],[VALOR_MOVEL]],""):_xlfn.XLOOKUP(tblCalculo[[#This Row],[NR_SIMULACAO]],tblVendas[[#This Row],[NR_SIMULACAO]],tblVendas[[#This Row],[VALOR_APARELHO]],""))</f>
        <v>18567.25</v>
      </c>
      <c r="F417">
        <f>IF(tblCalculo[[#This Row],[STATUS]]="CONCLUÍDO",_xlfn.XLOOKUP(tblCalculo[[#This Row],[NR_SIMULACAO]],tblVendas[[#This Row],[NR_SIMULACAO]],tblVendas[[#This Row],[VALOR_MOVEL]],""),0)</f>
        <v>0</v>
      </c>
      <c r="G417">
        <f>IF(tblCalculo[[#This Row],[STATUS]]="CONCLUÍDO",_xlfn.XLOOKUP(tblCalculo[[#This Row],[NR_SIMULACAO]],tblVendas[[#This Row],[NR_SIMULACAO]],tblVendas[[#This Row],[VALOR_AVANCADO]],""),0)</f>
        <v>0</v>
      </c>
      <c r="H417">
        <f>IF(tblCalculo[[#This Row],[STATUS]]="CONCLUÍDO",_xlfn.XLOOKUP(tblCalculo[[#This Row],[NR_SIMULACAO]],tblVendas[[#This Row],[NR_SIMULACAO]],tblVendas[[#This Row],[VALOR_FIXABASICA]],""),0)</f>
        <v>0</v>
      </c>
      <c r="I417">
        <f>IF(tblCalculo[[#This Row],[STATUS]]="CONCLUÍDO",_xlfn.XLOOKUP(tblCalculo[[#This Row],[NR_SIMULACAO]],tblVendas[[#This Row],[NR_SIMULACAO]],tblVendas[[#This Row],[VALOR_TI]],""),0)</f>
        <v>0</v>
      </c>
      <c r="J417">
        <f>IF(tblCalculo[[#This Row],[STATUS]]="CONCLUÍDO",_xlfn.XLOOKUP(tblCalculo[[#This Row],[NR_SIMULACAO]],tblVendas[[#This Row],[NR_SIMULACAO]],tblVendas[[#This Row],[VALOR_APARELHO]],""),0)</f>
        <v>0</v>
      </c>
      <c r="K417">
        <f>IF(tblCalculo[[#This Row],[STATUS]]="NEGOCIANDO",tblCalculo[[#This Row],[VALOR_TOTAL]],"")</f>
        <v>18567.25</v>
      </c>
      <c r="L417" t="str">
        <f>IF(tblCalculo[[#This Row],[STATUS]]="ALÇADA",tblCalculo[[#This Row],[VALOR_TOTAL]],"")</f>
        <v/>
      </c>
      <c r="M417" t="str">
        <f>IF(tblCalculo[[#This Row],[STATUS]]="EM ANÁLISE",tblCalculo[[#This Row],[VALOR_TOTAL]],"")</f>
        <v/>
      </c>
      <c r="N417" t="str">
        <f>IF(tblCalculo[[#This Row],[STATUS]]="TRAMITANDO",tblCalculo[[#This Row],[VALOR_TOTAL]],"")</f>
        <v/>
      </c>
      <c r="O417" t="str">
        <f>IF(tblCalculo[[#This Row],[STATUS]]="PERDIDO",tblCalculo[[#This Row],[VALOR_TOTAL]],"")</f>
        <v/>
      </c>
      <c r="P417" t="str">
        <f>IF(tblCalculo[[#This Row],[STATUS]]="CONCLUÍDO",tblCalculo[[#This Row],[VALOR_TOTAL]],"")</f>
        <v/>
      </c>
    </row>
    <row r="418" spans="1:16" x14ac:dyDescent="0.25">
      <c r="A418" t="str">
        <f>tblVendas[[#This Row],[NR_SIMULACAO]]</f>
        <v>SIM1408</v>
      </c>
      <c r="B418" s="34" t="str">
        <f>_xlfn.XLOOKUP(A418,tblVendas[[#This Row],[NR_SIMULACAO]],tblVendas[[#This Row],[NR_CNPJ]],"")</f>
        <v>33.920.373/0001-94</v>
      </c>
      <c r="C418" t="str">
        <f>_xlfn.XLOOKUP(A418,tblVendas[[#This Row],[NR_SIMULACAO]],tblVendas[[#This Row],[STATUS]],"")</f>
        <v>CONCLUÍDO</v>
      </c>
      <c r="D418" t="str">
        <f>_xlfn.XLOOKUP(A418,tblVendas[[#This Row],[NR_SIMULACAO]],tblVendas[[#This Row],[MES]],"")</f>
        <v>Fevereiro</v>
      </c>
      <c r="E418">
        <f>SUM(_xlfn.XLOOKUP(tblCalculo[[#This Row],[NR_SIMULACAO]],tblVendas[[#This Row],[NR_SIMULACAO]],tblVendas[[#This Row],[VALOR_MOVEL]],""):_xlfn.XLOOKUP(tblCalculo[[#This Row],[NR_SIMULACAO]],tblVendas[[#This Row],[NR_SIMULACAO]],tblVendas[[#This Row],[VALOR_APARELHO]],""))</f>
        <v>29052.27</v>
      </c>
      <c r="F418">
        <f>IF(tblCalculo[[#This Row],[STATUS]]="CONCLUÍDO",_xlfn.XLOOKUP(tblCalculo[[#This Row],[NR_SIMULACAO]],tblVendas[[#This Row],[NR_SIMULACAO]],tblVendas[[#This Row],[VALOR_MOVEL]],""),0)</f>
        <v>7509.43</v>
      </c>
      <c r="G418">
        <f>IF(tblCalculo[[#This Row],[STATUS]]="CONCLUÍDO",_xlfn.XLOOKUP(tblCalculo[[#This Row],[NR_SIMULACAO]],tblVendas[[#This Row],[NR_SIMULACAO]],tblVendas[[#This Row],[VALOR_AVANCADO]],""),0)</f>
        <v>0</v>
      </c>
      <c r="H418">
        <f>IF(tblCalculo[[#This Row],[STATUS]]="CONCLUÍDO",_xlfn.XLOOKUP(tblCalculo[[#This Row],[NR_SIMULACAO]],tblVendas[[#This Row],[NR_SIMULACAO]],tblVendas[[#This Row],[VALOR_FIXABASICA]],""),0)</f>
        <v>0</v>
      </c>
      <c r="I418">
        <f>IF(tblCalculo[[#This Row],[STATUS]]="CONCLUÍDO",_xlfn.XLOOKUP(tblCalculo[[#This Row],[NR_SIMULACAO]],tblVendas[[#This Row],[NR_SIMULACAO]],tblVendas[[#This Row],[VALOR_TI]],""),0)</f>
        <v>10247.36</v>
      </c>
      <c r="J418">
        <f>IF(tblCalculo[[#This Row],[STATUS]]="CONCLUÍDO",_xlfn.XLOOKUP(tblCalculo[[#This Row],[NR_SIMULACAO]],tblVendas[[#This Row],[NR_SIMULACAO]],tblVendas[[#This Row],[VALOR_APARELHO]],""),0)</f>
        <v>11295.48</v>
      </c>
      <c r="K418" t="str">
        <f>IF(tblCalculo[[#This Row],[STATUS]]="NEGOCIANDO",tblCalculo[[#This Row],[VALOR_TOTAL]],"")</f>
        <v/>
      </c>
      <c r="L418" t="str">
        <f>IF(tblCalculo[[#This Row],[STATUS]]="ALÇADA",tblCalculo[[#This Row],[VALOR_TOTAL]],"")</f>
        <v/>
      </c>
      <c r="M418" t="str">
        <f>IF(tblCalculo[[#This Row],[STATUS]]="EM ANÁLISE",tblCalculo[[#This Row],[VALOR_TOTAL]],"")</f>
        <v/>
      </c>
      <c r="N418" t="str">
        <f>IF(tblCalculo[[#This Row],[STATUS]]="TRAMITANDO",tblCalculo[[#This Row],[VALOR_TOTAL]],"")</f>
        <v/>
      </c>
      <c r="O418" t="str">
        <f>IF(tblCalculo[[#This Row],[STATUS]]="PERDIDO",tblCalculo[[#This Row],[VALOR_TOTAL]],"")</f>
        <v/>
      </c>
      <c r="P418">
        <f>IF(tblCalculo[[#This Row],[STATUS]]="CONCLUÍDO",tblCalculo[[#This Row],[VALOR_TOTAL]],"")</f>
        <v>29052.27</v>
      </c>
    </row>
    <row r="419" spans="1:16" x14ac:dyDescent="0.25">
      <c r="A419" t="str">
        <f>tblVendas[[#This Row],[NR_SIMULACAO]]</f>
        <v>SIM1409</v>
      </c>
      <c r="B419" s="34" t="str">
        <f>_xlfn.XLOOKUP(A419,tblVendas[[#This Row],[NR_SIMULACAO]],tblVendas[[#This Row],[NR_CNPJ]],"")</f>
        <v>66.234.276/0001-94</v>
      </c>
      <c r="C419" t="str">
        <f>_xlfn.XLOOKUP(A419,tblVendas[[#This Row],[NR_SIMULACAO]],tblVendas[[#This Row],[STATUS]],"")</f>
        <v>EM ANÁLISE</v>
      </c>
      <c r="D419" t="str">
        <f>_xlfn.XLOOKUP(A419,tblVendas[[#This Row],[NR_SIMULACAO]],tblVendas[[#This Row],[MES]],"")</f>
        <v>Março</v>
      </c>
      <c r="E419">
        <f>SUM(_xlfn.XLOOKUP(tblCalculo[[#This Row],[NR_SIMULACAO]],tblVendas[[#This Row],[NR_SIMULACAO]],tblVendas[[#This Row],[VALOR_MOVEL]],""):_xlfn.XLOOKUP(tblCalculo[[#This Row],[NR_SIMULACAO]],tblVendas[[#This Row],[NR_SIMULACAO]],tblVendas[[#This Row],[VALOR_APARELHO]],""))</f>
        <v>11430.3</v>
      </c>
      <c r="F419">
        <f>IF(tblCalculo[[#This Row],[STATUS]]="CONCLUÍDO",_xlfn.XLOOKUP(tblCalculo[[#This Row],[NR_SIMULACAO]],tblVendas[[#This Row],[NR_SIMULACAO]],tblVendas[[#This Row],[VALOR_MOVEL]],""),0)</f>
        <v>0</v>
      </c>
      <c r="G419">
        <f>IF(tblCalculo[[#This Row],[STATUS]]="CONCLUÍDO",_xlfn.XLOOKUP(tblCalculo[[#This Row],[NR_SIMULACAO]],tblVendas[[#This Row],[NR_SIMULACAO]],tblVendas[[#This Row],[VALOR_AVANCADO]],""),0)</f>
        <v>0</v>
      </c>
      <c r="H419">
        <f>IF(tblCalculo[[#This Row],[STATUS]]="CONCLUÍDO",_xlfn.XLOOKUP(tblCalculo[[#This Row],[NR_SIMULACAO]],tblVendas[[#This Row],[NR_SIMULACAO]],tblVendas[[#This Row],[VALOR_FIXABASICA]],""),0)</f>
        <v>0</v>
      </c>
      <c r="I419">
        <f>IF(tblCalculo[[#This Row],[STATUS]]="CONCLUÍDO",_xlfn.XLOOKUP(tblCalculo[[#This Row],[NR_SIMULACAO]],tblVendas[[#This Row],[NR_SIMULACAO]],tblVendas[[#This Row],[VALOR_TI]],""),0)</f>
        <v>0</v>
      </c>
      <c r="J419">
        <f>IF(tblCalculo[[#This Row],[STATUS]]="CONCLUÍDO",_xlfn.XLOOKUP(tblCalculo[[#This Row],[NR_SIMULACAO]],tblVendas[[#This Row],[NR_SIMULACAO]],tblVendas[[#This Row],[VALOR_APARELHO]],""),0)</f>
        <v>0</v>
      </c>
      <c r="K419" t="str">
        <f>IF(tblCalculo[[#This Row],[STATUS]]="NEGOCIANDO",tblCalculo[[#This Row],[VALOR_TOTAL]],"")</f>
        <v/>
      </c>
      <c r="L419" t="str">
        <f>IF(tblCalculo[[#This Row],[STATUS]]="ALÇADA",tblCalculo[[#This Row],[VALOR_TOTAL]],"")</f>
        <v/>
      </c>
      <c r="M419">
        <f>IF(tblCalculo[[#This Row],[STATUS]]="EM ANÁLISE",tblCalculo[[#This Row],[VALOR_TOTAL]],"")</f>
        <v>11430.3</v>
      </c>
      <c r="N419" t="str">
        <f>IF(tblCalculo[[#This Row],[STATUS]]="TRAMITANDO",tblCalculo[[#This Row],[VALOR_TOTAL]],"")</f>
        <v/>
      </c>
      <c r="O419" t="str">
        <f>IF(tblCalculo[[#This Row],[STATUS]]="PERDIDO",tblCalculo[[#This Row],[VALOR_TOTAL]],"")</f>
        <v/>
      </c>
      <c r="P419" t="str">
        <f>IF(tblCalculo[[#This Row],[STATUS]]="CONCLUÍDO",tblCalculo[[#This Row],[VALOR_TOTAL]],"")</f>
        <v/>
      </c>
    </row>
    <row r="420" spans="1:16" x14ac:dyDescent="0.25">
      <c r="A420" t="str">
        <f>tblVendas[[#This Row],[NR_SIMULACAO]]</f>
        <v>SIM1410</v>
      </c>
      <c r="B420" s="34" t="str">
        <f>_xlfn.XLOOKUP(A420,tblVendas[[#This Row],[NR_SIMULACAO]],tblVendas[[#This Row],[NR_CNPJ]],"")</f>
        <v>12.730.224/0001-63</v>
      </c>
      <c r="C420" t="str">
        <f>_xlfn.XLOOKUP(A420,tblVendas[[#This Row],[NR_SIMULACAO]],tblVendas[[#This Row],[STATUS]],"")</f>
        <v>CONCLUÍDO</v>
      </c>
      <c r="D420" t="str">
        <f>_xlfn.XLOOKUP(A420,tblVendas[[#This Row],[NR_SIMULACAO]],tblVendas[[#This Row],[MES]],"")</f>
        <v>Abril</v>
      </c>
      <c r="E420">
        <f>SUM(_xlfn.XLOOKUP(tblCalculo[[#This Row],[NR_SIMULACAO]],tblVendas[[#This Row],[NR_SIMULACAO]],tblVendas[[#This Row],[VALOR_MOVEL]],""):_xlfn.XLOOKUP(tblCalculo[[#This Row],[NR_SIMULACAO]],tblVendas[[#This Row],[NR_SIMULACAO]],tblVendas[[#This Row],[VALOR_APARELHO]],""))</f>
        <v>1995.06</v>
      </c>
      <c r="F420">
        <f>IF(tblCalculo[[#This Row],[STATUS]]="CONCLUÍDO",_xlfn.XLOOKUP(tblCalculo[[#This Row],[NR_SIMULACAO]],tblVendas[[#This Row],[NR_SIMULACAO]],tblVendas[[#This Row],[VALOR_MOVEL]],""),0)</f>
        <v>0</v>
      </c>
      <c r="G420">
        <f>IF(tblCalculo[[#This Row],[STATUS]]="CONCLUÍDO",_xlfn.XLOOKUP(tblCalculo[[#This Row],[NR_SIMULACAO]],tblVendas[[#This Row],[NR_SIMULACAO]],tblVendas[[#This Row],[VALOR_AVANCADO]],""),0)</f>
        <v>0</v>
      </c>
      <c r="H420">
        <f>IF(tblCalculo[[#This Row],[STATUS]]="CONCLUÍDO",_xlfn.XLOOKUP(tblCalculo[[#This Row],[NR_SIMULACAO]],tblVendas[[#This Row],[NR_SIMULACAO]],tblVendas[[#This Row],[VALOR_FIXABASICA]],""),0)</f>
        <v>1995.06</v>
      </c>
      <c r="I420">
        <f>IF(tblCalculo[[#This Row],[STATUS]]="CONCLUÍDO",_xlfn.XLOOKUP(tblCalculo[[#This Row],[NR_SIMULACAO]],tblVendas[[#This Row],[NR_SIMULACAO]],tblVendas[[#This Row],[VALOR_TI]],""),0)</f>
        <v>0</v>
      </c>
      <c r="J420">
        <f>IF(tblCalculo[[#This Row],[STATUS]]="CONCLUÍDO",_xlfn.XLOOKUP(tblCalculo[[#This Row],[NR_SIMULACAO]],tblVendas[[#This Row],[NR_SIMULACAO]],tblVendas[[#This Row],[VALOR_APARELHO]],""),0)</f>
        <v>0</v>
      </c>
      <c r="K420" t="str">
        <f>IF(tblCalculo[[#This Row],[STATUS]]="NEGOCIANDO",tblCalculo[[#This Row],[VALOR_TOTAL]],"")</f>
        <v/>
      </c>
      <c r="L420" t="str">
        <f>IF(tblCalculo[[#This Row],[STATUS]]="ALÇADA",tblCalculo[[#This Row],[VALOR_TOTAL]],"")</f>
        <v/>
      </c>
      <c r="M420" t="str">
        <f>IF(tblCalculo[[#This Row],[STATUS]]="EM ANÁLISE",tblCalculo[[#This Row],[VALOR_TOTAL]],"")</f>
        <v/>
      </c>
      <c r="N420" t="str">
        <f>IF(tblCalculo[[#This Row],[STATUS]]="TRAMITANDO",tblCalculo[[#This Row],[VALOR_TOTAL]],"")</f>
        <v/>
      </c>
      <c r="O420" t="str">
        <f>IF(tblCalculo[[#This Row],[STATUS]]="PERDIDO",tblCalculo[[#This Row],[VALOR_TOTAL]],"")</f>
        <v/>
      </c>
      <c r="P420">
        <f>IF(tblCalculo[[#This Row],[STATUS]]="CONCLUÍDO",tblCalculo[[#This Row],[VALOR_TOTAL]],"")</f>
        <v>1995.06</v>
      </c>
    </row>
    <row r="421" spans="1:16" x14ac:dyDescent="0.25">
      <c r="A421" t="str">
        <f>tblVendas[[#This Row],[NR_SIMULACAO]]</f>
        <v>SIM1411</v>
      </c>
      <c r="B421" s="34" t="str">
        <f>_xlfn.XLOOKUP(A421,tblVendas[[#This Row],[NR_SIMULACAO]],tblVendas[[#This Row],[NR_CNPJ]],"")</f>
        <v>46.786.422/0001-37</v>
      </c>
      <c r="C421" t="str">
        <f>_xlfn.XLOOKUP(A421,tblVendas[[#This Row],[NR_SIMULACAO]],tblVendas[[#This Row],[STATUS]],"")</f>
        <v>EM ANÁLISE</v>
      </c>
      <c r="D421" t="str">
        <f>_xlfn.XLOOKUP(A421,tblVendas[[#This Row],[NR_SIMULACAO]],tblVendas[[#This Row],[MES]],"")</f>
        <v>Junho</v>
      </c>
      <c r="E421">
        <f>SUM(_xlfn.XLOOKUP(tblCalculo[[#This Row],[NR_SIMULACAO]],tblVendas[[#This Row],[NR_SIMULACAO]],tblVendas[[#This Row],[VALOR_MOVEL]],""):_xlfn.XLOOKUP(tblCalculo[[#This Row],[NR_SIMULACAO]],tblVendas[[#This Row],[NR_SIMULACAO]],tblVendas[[#This Row],[VALOR_APARELHO]],""))</f>
        <v>25830.93</v>
      </c>
      <c r="F421">
        <f>IF(tblCalculo[[#This Row],[STATUS]]="CONCLUÍDO",_xlfn.XLOOKUP(tblCalculo[[#This Row],[NR_SIMULACAO]],tblVendas[[#This Row],[NR_SIMULACAO]],tblVendas[[#This Row],[VALOR_MOVEL]],""),0)</f>
        <v>0</v>
      </c>
      <c r="G421">
        <f>IF(tblCalculo[[#This Row],[STATUS]]="CONCLUÍDO",_xlfn.XLOOKUP(tblCalculo[[#This Row],[NR_SIMULACAO]],tblVendas[[#This Row],[NR_SIMULACAO]],tblVendas[[#This Row],[VALOR_AVANCADO]],""),0)</f>
        <v>0</v>
      </c>
      <c r="H421">
        <f>IF(tblCalculo[[#This Row],[STATUS]]="CONCLUÍDO",_xlfn.XLOOKUP(tblCalculo[[#This Row],[NR_SIMULACAO]],tblVendas[[#This Row],[NR_SIMULACAO]],tblVendas[[#This Row],[VALOR_FIXABASICA]],""),0)</f>
        <v>0</v>
      </c>
      <c r="I421">
        <f>IF(tblCalculo[[#This Row],[STATUS]]="CONCLUÍDO",_xlfn.XLOOKUP(tblCalculo[[#This Row],[NR_SIMULACAO]],tblVendas[[#This Row],[NR_SIMULACAO]],tblVendas[[#This Row],[VALOR_TI]],""),0)</f>
        <v>0</v>
      </c>
      <c r="J421">
        <f>IF(tblCalculo[[#This Row],[STATUS]]="CONCLUÍDO",_xlfn.XLOOKUP(tblCalculo[[#This Row],[NR_SIMULACAO]],tblVendas[[#This Row],[NR_SIMULACAO]],tblVendas[[#This Row],[VALOR_APARELHO]],""),0)</f>
        <v>0</v>
      </c>
      <c r="K421" t="str">
        <f>IF(tblCalculo[[#This Row],[STATUS]]="NEGOCIANDO",tblCalculo[[#This Row],[VALOR_TOTAL]],"")</f>
        <v/>
      </c>
      <c r="L421" t="str">
        <f>IF(tblCalculo[[#This Row],[STATUS]]="ALÇADA",tblCalculo[[#This Row],[VALOR_TOTAL]],"")</f>
        <v/>
      </c>
      <c r="M421">
        <f>IF(tblCalculo[[#This Row],[STATUS]]="EM ANÁLISE",tblCalculo[[#This Row],[VALOR_TOTAL]],"")</f>
        <v>25830.93</v>
      </c>
      <c r="N421" t="str">
        <f>IF(tblCalculo[[#This Row],[STATUS]]="TRAMITANDO",tblCalculo[[#This Row],[VALOR_TOTAL]],"")</f>
        <v/>
      </c>
      <c r="O421" t="str">
        <f>IF(tblCalculo[[#This Row],[STATUS]]="PERDIDO",tblCalculo[[#This Row],[VALOR_TOTAL]],"")</f>
        <v/>
      </c>
      <c r="P421" t="str">
        <f>IF(tblCalculo[[#This Row],[STATUS]]="CONCLUÍDO",tblCalculo[[#This Row],[VALOR_TOTAL]],"")</f>
        <v/>
      </c>
    </row>
    <row r="422" spans="1:16" x14ac:dyDescent="0.25">
      <c r="A422" t="str">
        <f>tblVendas[[#This Row],[NR_SIMULACAO]]</f>
        <v>SIM1412</v>
      </c>
      <c r="B422" s="34" t="str">
        <f>_xlfn.XLOOKUP(A422,tblVendas[[#This Row],[NR_SIMULACAO]],tblVendas[[#This Row],[NR_CNPJ]],"")</f>
        <v>64.714.748/0001-19</v>
      </c>
      <c r="C422" t="str">
        <f>_xlfn.XLOOKUP(A422,tblVendas[[#This Row],[NR_SIMULACAO]],tblVendas[[#This Row],[STATUS]],"")</f>
        <v>ALÇADA</v>
      </c>
      <c r="D422" t="str">
        <f>_xlfn.XLOOKUP(A422,tblVendas[[#This Row],[NR_SIMULACAO]],tblVendas[[#This Row],[MES]],"")</f>
        <v>Dezembro</v>
      </c>
      <c r="E422">
        <f>SUM(_xlfn.XLOOKUP(tblCalculo[[#This Row],[NR_SIMULACAO]],tblVendas[[#This Row],[NR_SIMULACAO]],tblVendas[[#This Row],[VALOR_MOVEL]],""):_xlfn.XLOOKUP(tblCalculo[[#This Row],[NR_SIMULACAO]],tblVendas[[#This Row],[NR_SIMULACAO]],tblVendas[[#This Row],[VALOR_APARELHO]],""))</f>
        <v>4955.57</v>
      </c>
      <c r="F422">
        <f>IF(tblCalculo[[#This Row],[STATUS]]="CONCLUÍDO",_xlfn.XLOOKUP(tblCalculo[[#This Row],[NR_SIMULACAO]],tblVendas[[#This Row],[NR_SIMULACAO]],tblVendas[[#This Row],[VALOR_MOVEL]],""),0)</f>
        <v>0</v>
      </c>
      <c r="G422">
        <f>IF(tblCalculo[[#This Row],[STATUS]]="CONCLUÍDO",_xlfn.XLOOKUP(tblCalculo[[#This Row],[NR_SIMULACAO]],tblVendas[[#This Row],[NR_SIMULACAO]],tblVendas[[#This Row],[VALOR_AVANCADO]],""),0)</f>
        <v>0</v>
      </c>
      <c r="H422">
        <f>IF(tblCalculo[[#This Row],[STATUS]]="CONCLUÍDO",_xlfn.XLOOKUP(tblCalculo[[#This Row],[NR_SIMULACAO]],tblVendas[[#This Row],[NR_SIMULACAO]],tblVendas[[#This Row],[VALOR_FIXABASICA]],""),0)</f>
        <v>0</v>
      </c>
      <c r="I422">
        <f>IF(tblCalculo[[#This Row],[STATUS]]="CONCLUÍDO",_xlfn.XLOOKUP(tblCalculo[[#This Row],[NR_SIMULACAO]],tblVendas[[#This Row],[NR_SIMULACAO]],tblVendas[[#This Row],[VALOR_TI]],""),0)</f>
        <v>0</v>
      </c>
      <c r="J422">
        <f>IF(tblCalculo[[#This Row],[STATUS]]="CONCLUÍDO",_xlfn.XLOOKUP(tblCalculo[[#This Row],[NR_SIMULACAO]],tblVendas[[#This Row],[NR_SIMULACAO]],tblVendas[[#This Row],[VALOR_APARELHO]],""),0)</f>
        <v>0</v>
      </c>
      <c r="K422" t="str">
        <f>IF(tblCalculo[[#This Row],[STATUS]]="NEGOCIANDO",tblCalculo[[#This Row],[VALOR_TOTAL]],"")</f>
        <v/>
      </c>
      <c r="L422">
        <f>IF(tblCalculo[[#This Row],[STATUS]]="ALÇADA",tblCalculo[[#This Row],[VALOR_TOTAL]],"")</f>
        <v>4955.57</v>
      </c>
      <c r="M422" t="str">
        <f>IF(tblCalculo[[#This Row],[STATUS]]="EM ANÁLISE",tblCalculo[[#This Row],[VALOR_TOTAL]],"")</f>
        <v/>
      </c>
      <c r="N422" t="str">
        <f>IF(tblCalculo[[#This Row],[STATUS]]="TRAMITANDO",tblCalculo[[#This Row],[VALOR_TOTAL]],"")</f>
        <v/>
      </c>
      <c r="O422" t="str">
        <f>IF(tblCalculo[[#This Row],[STATUS]]="PERDIDO",tblCalculo[[#This Row],[VALOR_TOTAL]],"")</f>
        <v/>
      </c>
      <c r="P422" t="str">
        <f>IF(tblCalculo[[#This Row],[STATUS]]="CONCLUÍDO",tblCalculo[[#This Row],[VALOR_TOTAL]],"")</f>
        <v/>
      </c>
    </row>
    <row r="423" spans="1:16" x14ac:dyDescent="0.25">
      <c r="A423" t="str">
        <f>tblVendas[[#This Row],[NR_SIMULACAO]]</f>
        <v>SIM1413</v>
      </c>
      <c r="B423" s="34" t="str">
        <f>_xlfn.XLOOKUP(A423,tblVendas[[#This Row],[NR_SIMULACAO]],tblVendas[[#This Row],[NR_CNPJ]],"")</f>
        <v>44.502.282/0001-97</v>
      </c>
      <c r="C423" t="str">
        <f>_xlfn.XLOOKUP(A423,tblVendas[[#This Row],[NR_SIMULACAO]],tblVendas[[#This Row],[STATUS]],"")</f>
        <v>CONCLUÍDO</v>
      </c>
      <c r="D423" t="str">
        <f>_xlfn.XLOOKUP(A423,tblVendas[[#This Row],[NR_SIMULACAO]],tblVendas[[#This Row],[MES]],"")</f>
        <v>Março</v>
      </c>
      <c r="E423">
        <f>SUM(_xlfn.XLOOKUP(tblCalculo[[#This Row],[NR_SIMULACAO]],tblVendas[[#This Row],[NR_SIMULACAO]],tblVendas[[#This Row],[VALOR_MOVEL]],""):_xlfn.XLOOKUP(tblCalculo[[#This Row],[NR_SIMULACAO]],tblVendas[[#This Row],[NR_SIMULACAO]],tblVendas[[#This Row],[VALOR_APARELHO]],""))</f>
        <v>1126.97</v>
      </c>
      <c r="F423">
        <f>IF(tblCalculo[[#This Row],[STATUS]]="CONCLUÍDO",_xlfn.XLOOKUP(tblCalculo[[#This Row],[NR_SIMULACAO]],tblVendas[[#This Row],[NR_SIMULACAO]],tblVendas[[#This Row],[VALOR_MOVEL]],""),0)</f>
        <v>0</v>
      </c>
      <c r="G423">
        <f>IF(tblCalculo[[#This Row],[STATUS]]="CONCLUÍDO",_xlfn.XLOOKUP(tblCalculo[[#This Row],[NR_SIMULACAO]],tblVendas[[#This Row],[NR_SIMULACAO]],tblVendas[[#This Row],[VALOR_AVANCADO]],""),0)</f>
        <v>0</v>
      </c>
      <c r="H423">
        <f>IF(tblCalculo[[#This Row],[STATUS]]="CONCLUÍDO",_xlfn.XLOOKUP(tblCalculo[[#This Row],[NR_SIMULACAO]],tblVendas[[#This Row],[NR_SIMULACAO]],tblVendas[[#This Row],[VALOR_FIXABASICA]],""),0)</f>
        <v>1126.97</v>
      </c>
      <c r="I423">
        <f>IF(tblCalculo[[#This Row],[STATUS]]="CONCLUÍDO",_xlfn.XLOOKUP(tblCalculo[[#This Row],[NR_SIMULACAO]],tblVendas[[#This Row],[NR_SIMULACAO]],tblVendas[[#This Row],[VALOR_TI]],""),0)</f>
        <v>0</v>
      </c>
      <c r="J423">
        <f>IF(tblCalculo[[#This Row],[STATUS]]="CONCLUÍDO",_xlfn.XLOOKUP(tblCalculo[[#This Row],[NR_SIMULACAO]],tblVendas[[#This Row],[NR_SIMULACAO]],tblVendas[[#This Row],[VALOR_APARELHO]],""),0)</f>
        <v>0</v>
      </c>
      <c r="K423" t="str">
        <f>IF(tblCalculo[[#This Row],[STATUS]]="NEGOCIANDO",tblCalculo[[#This Row],[VALOR_TOTAL]],"")</f>
        <v/>
      </c>
      <c r="L423" t="str">
        <f>IF(tblCalculo[[#This Row],[STATUS]]="ALÇADA",tblCalculo[[#This Row],[VALOR_TOTAL]],"")</f>
        <v/>
      </c>
      <c r="M423" t="str">
        <f>IF(tblCalculo[[#This Row],[STATUS]]="EM ANÁLISE",tblCalculo[[#This Row],[VALOR_TOTAL]],"")</f>
        <v/>
      </c>
      <c r="N423" t="str">
        <f>IF(tblCalculo[[#This Row],[STATUS]]="TRAMITANDO",tblCalculo[[#This Row],[VALOR_TOTAL]],"")</f>
        <v/>
      </c>
      <c r="O423" t="str">
        <f>IF(tblCalculo[[#This Row],[STATUS]]="PERDIDO",tblCalculo[[#This Row],[VALOR_TOTAL]],"")</f>
        <v/>
      </c>
      <c r="P423">
        <f>IF(tblCalculo[[#This Row],[STATUS]]="CONCLUÍDO",tblCalculo[[#This Row],[VALOR_TOTAL]],"")</f>
        <v>1126.97</v>
      </c>
    </row>
    <row r="424" spans="1:16" x14ac:dyDescent="0.25">
      <c r="A424" t="str">
        <f>tblVendas[[#This Row],[NR_SIMULACAO]]</f>
        <v>SIM1414</v>
      </c>
      <c r="B424" s="34" t="str">
        <f>_xlfn.XLOOKUP(A424,tblVendas[[#This Row],[NR_SIMULACAO]],tblVendas[[#This Row],[NR_CNPJ]],"")</f>
        <v>60.718.401/0001-91</v>
      </c>
      <c r="C424" t="str">
        <f>_xlfn.XLOOKUP(A424,tblVendas[[#This Row],[NR_SIMULACAO]],tblVendas[[#This Row],[STATUS]],"")</f>
        <v>PERDIDO</v>
      </c>
      <c r="D424" t="str">
        <f>_xlfn.XLOOKUP(A424,tblVendas[[#This Row],[NR_SIMULACAO]],tblVendas[[#This Row],[MES]],"")</f>
        <v>Julho</v>
      </c>
      <c r="E424">
        <f>SUM(_xlfn.XLOOKUP(tblCalculo[[#This Row],[NR_SIMULACAO]],tblVendas[[#This Row],[NR_SIMULACAO]],tblVendas[[#This Row],[VALOR_MOVEL]],""):_xlfn.XLOOKUP(tblCalculo[[#This Row],[NR_SIMULACAO]],tblVendas[[#This Row],[NR_SIMULACAO]],tblVendas[[#This Row],[VALOR_APARELHO]],""))</f>
        <v>3652.67</v>
      </c>
      <c r="F424">
        <f>IF(tblCalculo[[#This Row],[STATUS]]="CONCLUÍDO",_xlfn.XLOOKUP(tblCalculo[[#This Row],[NR_SIMULACAO]],tblVendas[[#This Row],[NR_SIMULACAO]],tblVendas[[#This Row],[VALOR_MOVEL]],""),0)</f>
        <v>0</v>
      </c>
      <c r="G424">
        <f>IF(tblCalculo[[#This Row],[STATUS]]="CONCLUÍDO",_xlfn.XLOOKUP(tblCalculo[[#This Row],[NR_SIMULACAO]],tblVendas[[#This Row],[NR_SIMULACAO]],tblVendas[[#This Row],[VALOR_AVANCADO]],""),0)</f>
        <v>0</v>
      </c>
      <c r="H424">
        <f>IF(tblCalculo[[#This Row],[STATUS]]="CONCLUÍDO",_xlfn.XLOOKUP(tblCalculo[[#This Row],[NR_SIMULACAO]],tblVendas[[#This Row],[NR_SIMULACAO]],tblVendas[[#This Row],[VALOR_FIXABASICA]],""),0)</f>
        <v>0</v>
      </c>
      <c r="I424">
        <f>IF(tblCalculo[[#This Row],[STATUS]]="CONCLUÍDO",_xlfn.XLOOKUP(tblCalculo[[#This Row],[NR_SIMULACAO]],tblVendas[[#This Row],[NR_SIMULACAO]],tblVendas[[#This Row],[VALOR_TI]],""),0)</f>
        <v>0</v>
      </c>
      <c r="J424">
        <f>IF(tblCalculo[[#This Row],[STATUS]]="CONCLUÍDO",_xlfn.XLOOKUP(tblCalculo[[#This Row],[NR_SIMULACAO]],tblVendas[[#This Row],[NR_SIMULACAO]],tblVendas[[#This Row],[VALOR_APARELHO]],""),0)</f>
        <v>0</v>
      </c>
      <c r="K424" t="str">
        <f>IF(tblCalculo[[#This Row],[STATUS]]="NEGOCIANDO",tblCalculo[[#This Row],[VALOR_TOTAL]],"")</f>
        <v/>
      </c>
      <c r="L424" t="str">
        <f>IF(tblCalculo[[#This Row],[STATUS]]="ALÇADA",tblCalculo[[#This Row],[VALOR_TOTAL]],"")</f>
        <v/>
      </c>
      <c r="M424" t="str">
        <f>IF(tblCalculo[[#This Row],[STATUS]]="EM ANÁLISE",tblCalculo[[#This Row],[VALOR_TOTAL]],"")</f>
        <v/>
      </c>
      <c r="N424" t="str">
        <f>IF(tblCalculo[[#This Row],[STATUS]]="TRAMITANDO",tblCalculo[[#This Row],[VALOR_TOTAL]],"")</f>
        <v/>
      </c>
      <c r="O424">
        <f>IF(tblCalculo[[#This Row],[STATUS]]="PERDIDO",tblCalculo[[#This Row],[VALOR_TOTAL]],"")</f>
        <v>3652.67</v>
      </c>
      <c r="P424" t="str">
        <f>IF(tblCalculo[[#This Row],[STATUS]]="CONCLUÍDO",tblCalculo[[#This Row],[VALOR_TOTAL]],"")</f>
        <v/>
      </c>
    </row>
    <row r="425" spans="1:16" x14ac:dyDescent="0.25">
      <c r="A425" t="str">
        <f>tblVendas[[#This Row],[NR_SIMULACAO]]</f>
        <v>SIM1415</v>
      </c>
      <c r="B425" s="34" t="str">
        <f>_xlfn.XLOOKUP(A425,tblVendas[[#This Row],[NR_SIMULACAO]],tblVendas[[#This Row],[NR_CNPJ]],"")</f>
        <v>22.854.689/0001-83</v>
      </c>
      <c r="C425" t="str">
        <f>_xlfn.XLOOKUP(A425,tblVendas[[#This Row],[NR_SIMULACAO]],tblVendas[[#This Row],[STATUS]],"")</f>
        <v>ALÇADA</v>
      </c>
      <c r="D425" t="str">
        <f>_xlfn.XLOOKUP(A425,tblVendas[[#This Row],[NR_SIMULACAO]],tblVendas[[#This Row],[MES]],"")</f>
        <v>Junho</v>
      </c>
      <c r="E425">
        <f>SUM(_xlfn.XLOOKUP(tblCalculo[[#This Row],[NR_SIMULACAO]],tblVendas[[#This Row],[NR_SIMULACAO]],tblVendas[[#This Row],[VALOR_MOVEL]],""):_xlfn.XLOOKUP(tblCalculo[[#This Row],[NR_SIMULACAO]],tblVendas[[#This Row],[NR_SIMULACAO]],tblVendas[[#This Row],[VALOR_APARELHO]],""))</f>
        <v>13109.679999999998</v>
      </c>
      <c r="F425">
        <f>IF(tblCalculo[[#This Row],[STATUS]]="CONCLUÍDO",_xlfn.XLOOKUP(tblCalculo[[#This Row],[NR_SIMULACAO]],tblVendas[[#This Row],[NR_SIMULACAO]],tblVendas[[#This Row],[VALOR_MOVEL]],""),0)</f>
        <v>0</v>
      </c>
      <c r="G425">
        <f>IF(tblCalculo[[#This Row],[STATUS]]="CONCLUÍDO",_xlfn.XLOOKUP(tblCalculo[[#This Row],[NR_SIMULACAO]],tblVendas[[#This Row],[NR_SIMULACAO]],tblVendas[[#This Row],[VALOR_AVANCADO]],""),0)</f>
        <v>0</v>
      </c>
      <c r="H425">
        <f>IF(tblCalculo[[#This Row],[STATUS]]="CONCLUÍDO",_xlfn.XLOOKUP(tblCalculo[[#This Row],[NR_SIMULACAO]],tblVendas[[#This Row],[NR_SIMULACAO]],tblVendas[[#This Row],[VALOR_FIXABASICA]],""),0)</f>
        <v>0</v>
      </c>
      <c r="I425">
        <f>IF(tblCalculo[[#This Row],[STATUS]]="CONCLUÍDO",_xlfn.XLOOKUP(tblCalculo[[#This Row],[NR_SIMULACAO]],tblVendas[[#This Row],[NR_SIMULACAO]],tblVendas[[#This Row],[VALOR_TI]],""),0)</f>
        <v>0</v>
      </c>
      <c r="J425">
        <f>IF(tblCalculo[[#This Row],[STATUS]]="CONCLUÍDO",_xlfn.XLOOKUP(tblCalculo[[#This Row],[NR_SIMULACAO]],tblVendas[[#This Row],[NR_SIMULACAO]],tblVendas[[#This Row],[VALOR_APARELHO]],""),0)</f>
        <v>0</v>
      </c>
      <c r="K425" t="str">
        <f>IF(tblCalculo[[#This Row],[STATUS]]="NEGOCIANDO",tblCalculo[[#This Row],[VALOR_TOTAL]],"")</f>
        <v/>
      </c>
      <c r="L425">
        <f>IF(tblCalculo[[#This Row],[STATUS]]="ALÇADA",tblCalculo[[#This Row],[VALOR_TOTAL]],"")</f>
        <v>13109.679999999998</v>
      </c>
      <c r="M425" t="str">
        <f>IF(tblCalculo[[#This Row],[STATUS]]="EM ANÁLISE",tblCalculo[[#This Row],[VALOR_TOTAL]],"")</f>
        <v/>
      </c>
      <c r="N425" t="str">
        <f>IF(tblCalculo[[#This Row],[STATUS]]="TRAMITANDO",tblCalculo[[#This Row],[VALOR_TOTAL]],"")</f>
        <v/>
      </c>
      <c r="O425" t="str">
        <f>IF(tblCalculo[[#This Row],[STATUS]]="PERDIDO",tblCalculo[[#This Row],[VALOR_TOTAL]],"")</f>
        <v/>
      </c>
      <c r="P425" t="str">
        <f>IF(tblCalculo[[#This Row],[STATUS]]="CONCLUÍDO",tblCalculo[[#This Row],[VALOR_TOTAL]],"")</f>
        <v/>
      </c>
    </row>
    <row r="426" spans="1:16" x14ac:dyDescent="0.25">
      <c r="A426" t="str">
        <f>tblVendas[[#This Row],[NR_SIMULACAO]]</f>
        <v>SIM1416</v>
      </c>
      <c r="B426" s="34" t="str">
        <f>_xlfn.XLOOKUP(A426,tblVendas[[#This Row],[NR_SIMULACAO]],tblVendas[[#This Row],[NR_CNPJ]],"")</f>
        <v>12.971.657/0001-92</v>
      </c>
      <c r="C426" t="str">
        <f>_xlfn.XLOOKUP(A426,tblVendas[[#This Row],[NR_SIMULACAO]],tblVendas[[#This Row],[STATUS]],"")</f>
        <v>TRAMITANDO</v>
      </c>
      <c r="D426" t="str">
        <f>_xlfn.XLOOKUP(A426,tblVendas[[#This Row],[NR_SIMULACAO]],tblVendas[[#This Row],[MES]],"")</f>
        <v>Maio</v>
      </c>
      <c r="E426">
        <f>SUM(_xlfn.XLOOKUP(tblCalculo[[#This Row],[NR_SIMULACAO]],tblVendas[[#This Row],[NR_SIMULACAO]],tblVendas[[#This Row],[VALOR_MOVEL]],""):_xlfn.XLOOKUP(tblCalculo[[#This Row],[NR_SIMULACAO]],tblVendas[[#This Row],[NR_SIMULACAO]],tblVendas[[#This Row],[VALOR_APARELHO]],""))</f>
        <v>4610.26</v>
      </c>
      <c r="F426">
        <f>IF(tblCalculo[[#This Row],[STATUS]]="CONCLUÍDO",_xlfn.XLOOKUP(tblCalculo[[#This Row],[NR_SIMULACAO]],tblVendas[[#This Row],[NR_SIMULACAO]],tblVendas[[#This Row],[VALOR_MOVEL]],""),0)</f>
        <v>0</v>
      </c>
      <c r="G426">
        <f>IF(tblCalculo[[#This Row],[STATUS]]="CONCLUÍDO",_xlfn.XLOOKUP(tblCalculo[[#This Row],[NR_SIMULACAO]],tblVendas[[#This Row],[NR_SIMULACAO]],tblVendas[[#This Row],[VALOR_AVANCADO]],""),0)</f>
        <v>0</v>
      </c>
      <c r="H426">
        <f>IF(tblCalculo[[#This Row],[STATUS]]="CONCLUÍDO",_xlfn.XLOOKUP(tblCalculo[[#This Row],[NR_SIMULACAO]],tblVendas[[#This Row],[NR_SIMULACAO]],tblVendas[[#This Row],[VALOR_FIXABASICA]],""),0)</f>
        <v>0</v>
      </c>
      <c r="I426">
        <f>IF(tblCalculo[[#This Row],[STATUS]]="CONCLUÍDO",_xlfn.XLOOKUP(tblCalculo[[#This Row],[NR_SIMULACAO]],tblVendas[[#This Row],[NR_SIMULACAO]],tblVendas[[#This Row],[VALOR_TI]],""),0)</f>
        <v>0</v>
      </c>
      <c r="J426">
        <f>IF(tblCalculo[[#This Row],[STATUS]]="CONCLUÍDO",_xlfn.XLOOKUP(tblCalculo[[#This Row],[NR_SIMULACAO]],tblVendas[[#This Row],[NR_SIMULACAO]],tblVendas[[#This Row],[VALOR_APARELHO]],""),0)</f>
        <v>0</v>
      </c>
      <c r="K426" t="str">
        <f>IF(tblCalculo[[#This Row],[STATUS]]="NEGOCIANDO",tblCalculo[[#This Row],[VALOR_TOTAL]],"")</f>
        <v/>
      </c>
      <c r="L426" t="str">
        <f>IF(tblCalculo[[#This Row],[STATUS]]="ALÇADA",tblCalculo[[#This Row],[VALOR_TOTAL]],"")</f>
        <v/>
      </c>
      <c r="M426" t="str">
        <f>IF(tblCalculo[[#This Row],[STATUS]]="EM ANÁLISE",tblCalculo[[#This Row],[VALOR_TOTAL]],"")</f>
        <v/>
      </c>
      <c r="N426">
        <f>IF(tblCalculo[[#This Row],[STATUS]]="TRAMITANDO",tblCalculo[[#This Row],[VALOR_TOTAL]],"")</f>
        <v>4610.26</v>
      </c>
      <c r="O426" t="str">
        <f>IF(tblCalculo[[#This Row],[STATUS]]="PERDIDO",tblCalculo[[#This Row],[VALOR_TOTAL]],"")</f>
        <v/>
      </c>
      <c r="P426" t="str">
        <f>IF(tblCalculo[[#This Row],[STATUS]]="CONCLUÍDO",tblCalculo[[#This Row],[VALOR_TOTAL]],"")</f>
        <v/>
      </c>
    </row>
    <row r="427" spans="1:16" x14ac:dyDescent="0.25">
      <c r="A427" t="str">
        <f>tblVendas[[#This Row],[NR_SIMULACAO]]</f>
        <v>SIM1417</v>
      </c>
      <c r="B427" s="34" t="str">
        <f>_xlfn.XLOOKUP(A427,tblVendas[[#This Row],[NR_SIMULACAO]],tblVendas[[#This Row],[NR_CNPJ]],"")</f>
        <v>23.582.342/0001-34</v>
      </c>
      <c r="C427" t="str">
        <f>_xlfn.XLOOKUP(A427,tblVendas[[#This Row],[NR_SIMULACAO]],tblVendas[[#This Row],[STATUS]],"")</f>
        <v>ALÇADA</v>
      </c>
      <c r="D427" t="str">
        <f>_xlfn.XLOOKUP(A427,tblVendas[[#This Row],[NR_SIMULACAO]],tblVendas[[#This Row],[MES]],"")</f>
        <v>Março</v>
      </c>
      <c r="E427">
        <f>SUM(_xlfn.XLOOKUP(tblCalculo[[#This Row],[NR_SIMULACAO]],tblVendas[[#This Row],[NR_SIMULACAO]],tblVendas[[#This Row],[VALOR_MOVEL]],""):_xlfn.XLOOKUP(tblCalculo[[#This Row],[NR_SIMULACAO]],tblVendas[[#This Row],[NR_SIMULACAO]],tblVendas[[#This Row],[VALOR_APARELHO]],""))</f>
        <v>12454</v>
      </c>
      <c r="F427">
        <f>IF(tblCalculo[[#This Row],[STATUS]]="CONCLUÍDO",_xlfn.XLOOKUP(tblCalculo[[#This Row],[NR_SIMULACAO]],tblVendas[[#This Row],[NR_SIMULACAO]],tblVendas[[#This Row],[VALOR_MOVEL]],""),0)</f>
        <v>0</v>
      </c>
      <c r="G427">
        <f>IF(tblCalculo[[#This Row],[STATUS]]="CONCLUÍDO",_xlfn.XLOOKUP(tblCalculo[[#This Row],[NR_SIMULACAO]],tblVendas[[#This Row],[NR_SIMULACAO]],tblVendas[[#This Row],[VALOR_AVANCADO]],""),0)</f>
        <v>0</v>
      </c>
      <c r="H427">
        <f>IF(tblCalculo[[#This Row],[STATUS]]="CONCLUÍDO",_xlfn.XLOOKUP(tblCalculo[[#This Row],[NR_SIMULACAO]],tblVendas[[#This Row],[NR_SIMULACAO]],tblVendas[[#This Row],[VALOR_FIXABASICA]],""),0)</f>
        <v>0</v>
      </c>
      <c r="I427">
        <f>IF(tblCalculo[[#This Row],[STATUS]]="CONCLUÍDO",_xlfn.XLOOKUP(tblCalculo[[#This Row],[NR_SIMULACAO]],tblVendas[[#This Row],[NR_SIMULACAO]],tblVendas[[#This Row],[VALOR_TI]],""),0)</f>
        <v>0</v>
      </c>
      <c r="J427">
        <f>IF(tblCalculo[[#This Row],[STATUS]]="CONCLUÍDO",_xlfn.XLOOKUP(tblCalculo[[#This Row],[NR_SIMULACAO]],tblVendas[[#This Row],[NR_SIMULACAO]],tblVendas[[#This Row],[VALOR_APARELHO]],""),0)</f>
        <v>0</v>
      </c>
      <c r="K427" t="str">
        <f>IF(tblCalculo[[#This Row],[STATUS]]="NEGOCIANDO",tblCalculo[[#This Row],[VALOR_TOTAL]],"")</f>
        <v/>
      </c>
      <c r="L427">
        <f>IF(tblCalculo[[#This Row],[STATUS]]="ALÇADA",tblCalculo[[#This Row],[VALOR_TOTAL]],"")</f>
        <v>12454</v>
      </c>
      <c r="M427" t="str">
        <f>IF(tblCalculo[[#This Row],[STATUS]]="EM ANÁLISE",tblCalculo[[#This Row],[VALOR_TOTAL]],"")</f>
        <v/>
      </c>
      <c r="N427" t="str">
        <f>IF(tblCalculo[[#This Row],[STATUS]]="TRAMITANDO",tblCalculo[[#This Row],[VALOR_TOTAL]],"")</f>
        <v/>
      </c>
      <c r="O427" t="str">
        <f>IF(tblCalculo[[#This Row],[STATUS]]="PERDIDO",tblCalculo[[#This Row],[VALOR_TOTAL]],"")</f>
        <v/>
      </c>
      <c r="P427" t="str">
        <f>IF(tblCalculo[[#This Row],[STATUS]]="CONCLUÍDO",tblCalculo[[#This Row],[VALOR_TOTAL]],"")</f>
        <v/>
      </c>
    </row>
    <row r="428" spans="1:16" x14ac:dyDescent="0.25">
      <c r="A428" t="str">
        <f>tblVendas[[#This Row],[NR_SIMULACAO]]</f>
        <v>SIM1418</v>
      </c>
      <c r="B428" s="34" t="str">
        <f>_xlfn.XLOOKUP(A428,tblVendas[[#This Row],[NR_SIMULACAO]],tblVendas[[#This Row],[NR_CNPJ]],"")</f>
        <v>58.729.702/0001-99</v>
      </c>
      <c r="C428" t="str">
        <f>_xlfn.XLOOKUP(A428,tblVendas[[#This Row],[NR_SIMULACAO]],tblVendas[[#This Row],[STATUS]],"")</f>
        <v>NEGOCIANDO</v>
      </c>
      <c r="D428" t="str">
        <f>_xlfn.XLOOKUP(A428,tblVendas[[#This Row],[NR_SIMULACAO]],tblVendas[[#This Row],[MES]],"")</f>
        <v>Maio</v>
      </c>
      <c r="E428">
        <f>SUM(_xlfn.XLOOKUP(tblCalculo[[#This Row],[NR_SIMULACAO]],tblVendas[[#This Row],[NR_SIMULACAO]],tblVendas[[#This Row],[VALOR_MOVEL]],""):_xlfn.XLOOKUP(tblCalculo[[#This Row],[NR_SIMULACAO]],tblVendas[[#This Row],[NR_SIMULACAO]],tblVendas[[#This Row],[VALOR_APARELHO]],""))</f>
        <v>2744.68</v>
      </c>
      <c r="F428">
        <f>IF(tblCalculo[[#This Row],[STATUS]]="CONCLUÍDO",_xlfn.XLOOKUP(tblCalculo[[#This Row],[NR_SIMULACAO]],tblVendas[[#This Row],[NR_SIMULACAO]],tblVendas[[#This Row],[VALOR_MOVEL]],""),0)</f>
        <v>0</v>
      </c>
      <c r="G428">
        <f>IF(tblCalculo[[#This Row],[STATUS]]="CONCLUÍDO",_xlfn.XLOOKUP(tblCalculo[[#This Row],[NR_SIMULACAO]],tblVendas[[#This Row],[NR_SIMULACAO]],tblVendas[[#This Row],[VALOR_AVANCADO]],""),0)</f>
        <v>0</v>
      </c>
      <c r="H428">
        <f>IF(tblCalculo[[#This Row],[STATUS]]="CONCLUÍDO",_xlfn.XLOOKUP(tblCalculo[[#This Row],[NR_SIMULACAO]],tblVendas[[#This Row],[NR_SIMULACAO]],tblVendas[[#This Row],[VALOR_FIXABASICA]],""),0)</f>
        <v>0</v>
      </c>
      <c r="I428">
        <f>IF(tblCalculo[[#This Row],[STATUS]]="CONCLUÍDO",_xlfn.XLOOKUP(tblCalculo[[#This Row],[NR_SIMULACAO]],tblVendas[[#This Row],[NR_SIMULACAO]],tblVendas[[#This Row],[VALOR_TI]],""),0)</f>
        <v>0</v>
      </c>
      <c r="J428">
        <f>IF(tblCalculo[[#This Row],[STATUS]]="CONCLUÍDO",_xlfn.XLOOKUP(tblCalculo[[#This Row],[NR_SIMULACAO]],tblVendas[[#This Row],[NR_SIMULACAO]],tblVendas[[#This Row],[VALOR_APARELHO]],""),0)</f>
        <v>0</v>
      </c>
      <c r="K428">
        <f>IF(tblCalculo[[#This Row],[STATUS]]="NEGOCIANDO",tblCalculo[[#This Row],[VALOR_TOTAL]],"")</f>
        <v>2744.68</v>
      </c>
      <c r="L428" t="str">
        <f>IF(tblCalculo[[#This Row],[STATUS]]="ALÇADA",tblCalculo[[#This Row],[VALOR_TOTAL]],"")</f>
        <v/>
      </c>
      <c r="M428" t="str">
        <f>IF(tblCalculo[[#This Row],[STATUS]]="EM ANÁLISE",tblCalculo[[#This Row],[VALOR_TOTAL]],"")</f>
        <v/>
      </c>
      <c r="N428" t="str">
        <f>IF(tblCalculo[[#This Row],[STATUS]]="TRAMITANDO",tblCalculo[[#This Row],[VALOR_TOTAL]],"")</f>
        <v/>
      </c>
      <c r="O428" t="str">
        <f>IF(tblCalculo[[#This Row],[STATUS]]="PERDIDO",tblCalculo[[#This Row],[VALOR_TOTAL]],"")</f>
        <v/>
      </c>
      <c r="P428" t="str">
        <f>IF(tblCalculo[[#This Row],[STATUS]]="CONCLUÍDO",tblCalculo[[#This Row],[VALOR_TOTAL]],"")</f>
        <v/>
      </c>
    </row>
    <row r="429" spans="1:16" x14ac:dyDescent="0.25">
      <c r="A429" t="str">
        <f>tblVendas[[#This Row],[NR_SIMULACAO]]</f>
        <v>SIM1419</v>
      </c>
      <c r="B429" s="34" t="str">
        <f>_xlfn.XLOOKUP(A429,tblVendas[[#This Row],[NR_SIMULACAO]],tblVendas[[#This Row],[NR_CNPJ]],"")</f>
        <v>61.173.271/0001-22</v>
      </c>
      <c r="C429" t="str">
        <f>_xlfn.XLOOKUP(A429,tblVendas[[#This Row],[NR_SIMULACAO]],tblVendas[[#This Row],[STATUS]],"")</f>
        <v>EM ANÁLISE</v>
      </c>
      <c r="D429" t="str">
        <f>_xlfn.XLOOKUP(A429,tblVendas[[#This Row],[NR_SIMULACAO]],tblVendas[[#This Row],[MES]],"")</f>
        <v>Maio</v>
      </c>
      <c r="E429">
        <f>SUM(_xlfn.XLOOKUP(tblCalculo[[#This Row],[NR_SIMULACAO]],tblVendas[[#This Row],[NR_SIMULACAO]],tblVendas[[#This Row],[VALOR_MOVEL]],""):_xlfn.XLOOKUP(tblCalculo[[#This Row],[NR_SIMULACAO]],tblVendas[[#This Row],[NR_SIMULACAO]],tblVendas[[#This Row],[VALOR_APARELHO]],""))</f>
        <v>8942.2799999999988</v>
      </c>
      <c r="F429">
        <f>IF(tblCalculo[[#This Row],[STATUS]]="CONCLUÍDO",_xlfn.XLOOKUP(tblCalculo[[#This Row],[NR_SIMULACAO]],tblVendas[[#This Row],[NR_SIMULACAO]],tblVendas[[#This Row],[VALOR_MOVEL]],""),0)</f>
        <v>0</v>
      </c>
      <c r="G429">
        <f>IF(tblCalculo[[#This Row],[STATUS]]="CONCLUÍDO",_xlfn.XLOOKUP(tblCalculo[[#This Row],[NR_SIMULACAO]],tblVendas[[#This Row],[NR_SIMULACAO]],tblVendas[[#This Row],[VALOR_AVANCADO]],""),0)</f>
        <v>0</v>
      </c>
      <c r="H429">
        <f>IF(tblCalculo[[#This Row],[STATUS]]="CONCLUÍDO",_xlfn.XLOOKUP(tblCalculo[[#This Row],[NR_SIMULACAO]],tblVendas[[#This Row],[NR_SIMULACAO]],tblVendas[[#This Row],[VALOR_FIXABASICA]],""),0)</f>
        <v>0</v>
      </c>
      <c r="I429">
        <f>IF(tblCalculo[[#This Row],[STATUS]]="CONCLUÍDO",_xlfn.XLOOKUP(tblCalculo[[#This Row],[NR_SIMULACAO]],tblVendas[[#This Row],[NR_SIMULACAO]],tblVendas[[#This Row],[VALOR_TI]],""),0)</f>
        <v>0</v>
      </c>
      <c r="J429">
        <f>IF(tblCalculo[[#This Row],[STATUS]]="CONCLUÍDO",_xlfn.XLOOKUP(tblCalculo[[#This Row],[NR_SIMULACAO]],tblVendas[[#This Row],[NR_SIMULACAO]],tblVendas[[#This Row],[VALOR_APARELHO]],""),0)</f>
        <v>0</v>
      </c>
      <c r="K429" t="str">
        <f>IF(tblCalculo[[#This Row],[STATUS]]="NEGOCIANDO",tblCalculo[[#This Row],[VALOR_TOTAL]],"")</f>
        <v/>
      </c>
      <c r="L429" t="str">
        <f>IF(tblCalculo[[#This Row],[STATUS]]="ALÇADA",tblCalculo[[#This Row],[VALOR_TOTAL]],"")</f>
        <v/>
      </c>
      <c r="M429">
        <f>IF(tblCalculo[[#This Row],[STATUS]]="EM ANÁLISE",tblCalculo[[#This Row],[VALOR_TOTAL]],"")</f>
        <v>8942.2799999999988</v>
      </c>
      <c r="N429" t="str">
        <f>IF(tblCalculo[[#This Row],[STATUS]]="TRAMITANDO",tblCalculo[[#This Row],[VALOR_TOTAL]],"")</f>
        <v/>
      </c>
      <c r="O429" t="str">
        <f>IF(tblCalculo[[#This Row],[STATUS]]="PERDIDO",tblCalculo[[#This Row],[VALOR_TOTAL]],"")</f>
        <v/>
      </c>
      <c r="P429" t="str">
        <f>IF(tblCalculo[[#This Row],[STATUS]]="CONCLUÍDO",tblCalculo[[#This Row],[VALOR_TOTAL]],"")</f>
        <v/>
      </c>
    </row>
    <row r="430" spans="1:16" x14ac:dyDescent="0.25">
      <c r="A430" t="str">
        <f>tblVendas[[#This Row],[NR_SIMULACAO]]</f>
        <v>SIM1420</v>
      </c>
      <c r="B430" s="34" t="str">
        <f>_xlfn.XLOOKUP(A430,tblVendas[[#This Row],[NR_SIMULACAO]],tblVendas[[#This Row],[NR_CNPJ]],"")</f>
        <v>49.560.377/0001-90</v>
      </c>
      <c r="C430" t="str">
        <f>_xlfn.XLOOKUP(A430,tblVendas[[#This Row],[NR_SIMULACAO]],tblVendas[[#This Row],[STATUS]],"")</f>
        <v>ALÇADA</v>
      </c>
      <c r="D430" t="str">
        <f>_xlfn.XLOOKUP(A430,tblVendas[[#This Row],[NR_SIMULACAO]],tblVendas[[#This Row],[MES]],"")</f>
        <v>Março</v>
      </c>
      <c r="E430">
        <f>SUM(_xlfn.XLOOKUP(tblCalculo[[#This Row],[NR_SIMULACAO]],tblVendas[[#This Row],[NR_SIMULACAO]],tblVendas[[#This Row],[VALOR_MOVEL]],""):_xlfn.XLOOKUP(tblCalculo[[#This Row],[NR_SIMULACAO]],tblVendas[[#This Row],[NR_SIMULACAO]],tblVendas[[#This Row],[VALOR_APARELHO]],""))</f>
        <v>20715.59</v>
      </c>
      <c r="F430">
        <f>IF(tblCalculo[[#This Row],[STATUS]]="CONCLUÍDO",_xlfn.XLOOKUP(tblCalculo[[#This Row],[NR_SIMULACAO]],tblVendas[[#This Row],[NR_SIMULACAO]],tblVendas[[#This Row],[VALOR_MOVEL]],""),0)</f>
        <v>0</v>
      </c>
      <c r="G430">
        <f>IF(tblCalculo[[#This Row],[STATUS]]="CONCLUÍDO",_xlfn.XLOOKUP(tblCalculo[[#This Row],[NR_SIMULACAO]],tblVendas[[#This Row],[NR_SIMULACAO]],tblVendas[[#This Row],[VALOR_AVANCADO]],""),0)</f>
        <v>0</v>
      </c>
      <c r="H430">
        <f>IF(tblCalculo[[#This Row],[STATUS]]="CONCLUÍDO",_xlfn.XLOOKUP(tblCalculo[[#This Row],[NR_SIMULACAO]],tblVendas[[#This Row],[NR_SIMULACAO]],tblVendas[[#This Row],[VALOR_FIXABASICA]],""),0)</f>
        <v>0</v>
      </c>
      <c r="I430">
        <f>IF(tblCalculo[[#This Row],[STATUS]]="CONCLUÍDO",_xlfn.XLOOKUP(tblCalculo[[#This Row],[NR_SIMULACAO]],tblVendas[[#This Row],[NR_SIMULACAO]],tblVendas[[#This Row],[VALOR_TI]],""),0)</f>
        <v>0</v>
      </c>
      <c r="J430">
        <f>IF(tblCalculo[[#This Row],[STATUS]]="CONCLUÍDO",_xlfn.XLOOKUP(tblCalculo[[#This Row],[NR_SIMULACAO]],tblVendas[[#This Row],[NR_SIMULACAO]],tblVendas[[#This Row],[VALOR_APARELHO]],""),0)</f>
        <v>0</v>
      </c>
      <c r="K430" t="str">
        <f>IF(tblCalculo[[#This Row],[STATUS]]="NEGOCIANDO",tblCalculo[[#This Row],[VALOR_TOTAL]],"")</f>
        <v/>
      </c>
      <c r="L430">
        <f>IF(tblCalculo[[#This Row],[STATUS]]="ALÇADA",tblCalculo[[#This Row],[VALOR_TOTAL]],"")</f>
        <v>20715.59</v>
      </c>
      <c r="M430" t="str">
        <f>IF(tblCalculo[[#This Row],[STATUS]]="EM ANÁLISE",tblCalculo[[#This Row],[VALOR_TOTAL]],"")</f>
        <v/>
      </c>
      <c r="N430" t="str">
        <f>IF(tblCalculo[[#This Row],[STATUS]]="TRAMITANDO",tblCalculo[[#This Row],[VALOR_TOTAL]],"")</f>
        <v/>
      </c>
      <c r="O430" t="str">
        <f>IF(tblCalculo[[#This Row],[STATUS]]="PERDIDO",tblCalculo[[#This Row],[VALOR_TOTAL]],"")</f>
        <v/>
      </c>
      <c r="P430" t="str">
        <f>IF(tblCalculo[[#This Row],[STATUS]]="CONCLUÍDO",tblCalculo[[#This Row],[VALOR_TOTAL]],"")</f>
        <v/>
      </c>
    </row>
    <row r="431" spans="1:16" x14ac:dyDescent="0.25">
      <c r="A431" t="str">
        <f>tblVendas[[#This Row],[NR_SIMULACAO]]</f>
        <v>SIM1421</v>
      </c>
      <c r="B431" s="34" t="str">
        <f>_xlfn.XLOOKUP(A431,tblVendas[[#This Row],[NR_SIMULACAO]],tblVendas[[#This Row],[NR_CNPJ]],"")</f>
        <v>32.363.437/0001-93</v>
      </c>
      <c r="C431" t="str">
        <f>_xlfn.XLOOKUP(A431,tblVendas[[#This Row],[NR_SIMULACAO]],tblVendas[[#This Row],[STATUS]],"")</f>
        <v>PERDIDO</v>
      </c>
      <c r="D431" t="str">
        <f>_xlfn.XLOOKUP(A431,tblVendas[[#This Row],[NR_SIMULACAO]],tblVendas[[#This Row],[MES]],"")</f>
        <v>Dezembro</v>
      </c>
      <c r="E431">
        <f>SUM(_xlfn.XLOOKUP(tblCalculo[[#This Row],[NR_SIMULACAO]],tblVendas[[#This Row],[NR_SIMULACAO]],tblVendas[[#This Row],[VALOR_MOVEL]],""):_xlfn.XLOOKUP(tblCalculo[[#This Row],[NR_SIMULACAO]],tblVendas[[#This Row],[NR_SIMULACAO]],tblVendas[[#This Row],[VALOR_APARELHO]],""))</f>
        <v>2146.3000000000002</v>
      </c>
      <c r="F431">
        <f>IF(tblCalculo[[#This Row],[STATUS]]="CONCLUÍDO",_xlfn.XLOOKUP(tblCalculo[[#This Row],[NR_SIMULACAO]],tblVendas[[#This Row],[NR_SIMULACAO]],tblVendas[[#This Row],[VALOR_MOVEL]],""),0)</f>
        <v>0</v>
      </c>
      <c r="G431">
        <f>IF(tblCalculo[[#This Row],[STATUS]]="CONCLUÍDO",_xlfn.XLOOKUP(tblCalculo[[#This Row],[NR_SIMULACAO]],tblVendas[[#This Row],[NR_SIMULACAO]],tblVendas[[#This Row],[VALOR_AVANCADO]],""),0)</f>
        <v>0</v>
      </c>
      <c r="H431">
        <f>IF(tblCalculo[[#This Row],[STATUS]]="CONCLUÍDO",_xlfn.XLOOKUP(tblCalculo[[#This Row],[NR_SIMULACAO]],tblVendas[[#This Row],[NR_SIMULACAO]],tblVendas[[#This Row],[VALOR_FIXABASICA]],""),0)</f>
        <v>0</v>
      </c>
      <c r="I431">
        <f>IF(tblCalculo[[#This Row],[STATUS]]="CONCLUÍDO",_xlfn.XLOOKUP(tblCalculo[[#This Row],[NR_SIMULACAO]],tblVendas[[#This Row],[NR_SIMULACAO]],tblVendas[[#This Row],[VALOR_TI]],""),0)</f>
        <v>0</v>
      </c>
      <c r="J431">
        <f>IF(tblCalculo[[#This Row],[STATUS]]="CONCLUÍDO",_xlfn.XLOOKUP(tblCalculo[[#This Row],[NR_SIMULACAO]],tblVendas[[#This Row],[NR_SIMULACAO]],tblVendas[[#This Row],[VALOR_APARELHO]],""),0)</f>
        <v>0</v>
      </c>
      <c r="K431" t="str">
        <f>IF(tblCalculo[[#This Row],[STATUS]]="NEGOCIANDO",tblCalculo[[#This Row],[VALOR_TOTAL]],"")</f>
        <v/>
      </c>
      <c r="L431" t="str">
        <f>IF(tblCalculo[[#This Row],[STATUS]]="ALÇADA",tblCalculo[[#This Row],[VALOR_TOTAL]],"")</f>
        <v/>
      </c>
      <c r="M431" t="str">
        <f>IF(tblCalculo[[#This Row],[STATUS]]="EM ANÁLISE",tblCalculo[[#This Row],[VALOR_TOTAL]],"")</f>
        <v/>
      </c>
      <c r="N431" t="str">
        <f>IF(tblCalculo[[#This Row],[STATUS]]="TRAMITANDO",tblCalculo[[#This Row],[VALOR_TOTAL]],"")</f>
        <v/>
      </c>
      <c r="O431">
        <f>IF(tblCalculo[[#This Row],[STATUS]]="PERDIDO",tblCalculo[[#This Row],[VALOR_TOTAL]],"")</f>
        <v>2146.3000000000002</v>
      </c>
      <c r="P431" t="str">
        <f>IF(tblCalculo[[#This Row],[STATUS]]="CONCLUÍDO",tblCalculo[[#This Row],[VALOR_TOTAL]],"")</f>
        <v/>
      </c>
    </row>
    <row r="432" spans="1:16" x14ac:dyDescent="0.25">
      <c r="A432" t="str">
        <f>tblVendas[[#This Row],[NR_SIMULACAO]]</f>
        <v>SIM1422</v>
      </c>
      <c r="B432" s="34" t="str">
        <f>_xlfn.XLOOKUP(A432,tblVendas[[#This Row],[NR_SIMULACAO]],tblVendas[[#This Row],[NR_CNPJ]],"")</f>
        <v>49.127.328/0001-53</v>
      </c>
      <c r="C432" t="str">
        <f>_xlfn.XLOOKUP(A432,tblVendas[[#This Row],[NR_SIMULACAO]],tblVendas[[#This Row],[STATUS]],"")</f>
        <v>CONCLUÍDO</v>
      </c>
      <c r="D432" t="str">
        <f>_xlfn.XLOOKUP(A432,tblVendas[[#This Row],[NR_SIMULACAO]],tblVendas[[#This Row],[MES]],"")</f>
        <v>Dezembro</v>
      </c>
      <c r="E432">
        <f>SUM(_xlfn.XLOOKUP(tblCalculo[[#This Row],[NR_SIMULACAO]],tblVendas[[#This Row],[NR_SIMULACAO]],tblVendas[[#This Row],[VALOR_MOVEL]],""):_xlfn.XLOOKUP(tblCalculo[[#This Row],[NR_SIMULACAO]],tblVendas[[#This Row],[NR_SIMULACAO]],tblVendas[[#This Row],[VALOR_APARELHO]],""))</f>
        <v>14773.57</v>
      </c>
      <c r="F432">
        <f>IF(tblCalculo[[#This Row],[STATUS]]="CONCLUÍDO",_xlfn.XLOOKUP(tblCalculo[[#This Row],[NR_SIMULACAO]],tblVendas[[#This Row],[NR_SIMULACAO]],tblVendas[[#This Row],[VALOR_MOVEL]],""),0)</f>
        <v>0</v>
      </c>
      <c r="G432">
        <f>IF(tblCalculo[[#This Row],[STATUS]]="CONCLUÍDO",_xlfn.XLOOKUP(tblCalculo[[#This Row],[NR_SIMULACAO]],tblVendas[[#This Row],[NR_SIMULACAO]],tblVendas[[#This Row],[VALOR_AVANCADO]],""),0)</f>
        <v>0</v>
      </c>
      <c r="H432">
        <f>IF(tblCalculo[[#This Row],[STATUS]]="CONCLUÍDO",_xlfn.XLOOKUP(tblCalculo[[#This Row],[NR_SIMULACAO]],tblVendas[[#This Row],[NR_SIMULACAO]],tblVendas[[#This Row],[VALOR_FIXABASICA]],""),0)</f>
        <v>0</v>
      </c>
      <c r="I432">
        <f>IF(tblCalculo[[#This Row],[STATUS]]="CONCLUÍDO",_xlfn.XLOOKUP(tblCalculo[[#This Row],[NR_SIMULACAO]],tblVendas[[#This Row],[NR_SIMULACAO]],tblVendas[[#This Row],[VALOR_TI]],""),0)</f>
        <v>0</v>
      </c>
      <c r="J432">
        <f>IF(tblCalculo[[#This Row],[STATUS]]="CONCLUÍDO",_xlfn.XLOOKUP(tblCalculo[[#This Row],[NR_SIMULACAO]],tblVendas[[#This Row],[NR_SIMULACAO]],tblVendas[[#This Row],[VALOR_APARELHO]],""),0)</f>
        <v>14773.57</v>
      </c>
      <c r="K432" t="str">
        <f>IF(tblCalculo[[#This Row],[STATUS]]="NEGOCIANDO",tblCalculo[[#This Row],[VALOR_TOTAL]],"")</f>
        <v/>
      </c>
      <c r="L432" t="str">
        <f>IF(tblCalculo[[#This Row],[STATUS]]="ALÇADA",tblCalculo[[#This Row],[VALOR_TOTAL]],"")</f>
        <v/>
      </c>
      <c r="M432" t="str">
        <f>IF(tblCalculo[[#This Row],[STATUS]]="EM ANÁLISE",tblCalculo[[#This Row],[VALOR_TOTAL]],"")</f>
        <v/>
      </c>
      <c r="N432" t="str">
        <f>IF(tblCalculo[[#This Row],[STATUS]]="TRAMITANDO",tblCalculo[[#This Row],[VALOR_TOTAL]],"")</f>
        <v/>
      </c>
      <c r="O432" t="str">
        <f>IF(tblCalculo[[#This Row],[STATUS]]="PERDIDO",tblCalculo[[#This Row],[VALOR_TOTAL]],"")</f>
        <v/>
      </c>
      <c r="P432">
        <f>IF(tblCalculo[[#This Row],[STATUS]]="CONCLUÍDO",tblCalculo[[#This Row],[VALOR_TOTAL]],"")</f>
        <v>14773.57</v>
      </c>
    </row>
    <row r="433" spans="1:16" x14ac:dyDescent="0.25">
      <c r="A433" t="str">
        <f>tblVendas[[#This Row],[NR_SIMULACAO]]</f>
        <v>SIM1423</v>
      </c>
      <c r="B433" s="34" t="str">
        <f>_xlfn.XLOOKUP(A433,tblVendas[[#This Row],[NR_SIMULACAO]],tblVendas[[#This Row],[NR_CNPJ]],"")</f>
        <v>49.255.295/0001-62</v>
      </c>
      <c r="C433" t="str">
        <f>_xlfn.XLOOKUP(A433,tblVendas[[#This Row],[NR_SIMULACAO]],tblVendas[[#This Row],[STATUS]],"")</f>
        <v>CONCLUÍDO</v>
      </c>
      <c r="D433" t="str">
        <f>_xlfn.XLOOKUP(A433,tblVendas[[#This Row],[NR_SIMULACAO]],tblVendas[[#This Row],[MES]],"")</f>
        <v>Novembro</v>
      </c>
      <c r="E433">
        <f>SUM(_xlfn.XLOOKUP(tblCalculo[[#This Row],[NR_SIMULACAO]],tblVendas[[#This Row],[NR_SIMULACAO]],tblVendas[[#This Row],[VALOR_MOVEL]],""):_xlfn.XLOOKUP(tblCalculo[[#This Row],[NR_SIMULACAO]],tblVendas[[#This Row],[NR_SIMULACAO]],tblVendas[[#This Row],[VALOR_APARELHO]],""))</f>
        <v>20739.099999999999</v>
      </c>
      <c r="F433">
        <f>IF(tblCalculo[[#This Row],[STATUS]]="CONCLUÍDO",_xlfn.XLOOKUP(tblCalculo[[#This Row],[NR_SIMULACAO]],tblVendas[[#This Row],[NR_SIMULACAO]],tblVendas[[#This Row],[VALOR_MOVEL]],""),0)</f>
        <v>6686.36</v>
      </c>
      <c r="G433">
        <f>IF(tblCalculo[[#This Row],[STATUS]]="CONCLUÍDO",_xlfn.XLOOKUP(tblCalculo[[#This Row],[NR_SIMULACAO]],tblVendas[[#This Row],[NR_SIMULACAO]],tblVendas[[#This Row],[VALOR_AVANCADO]],""),0)</f>
        <v>0</v>
      </c>
      <c r="H433">
        <f>IF(tblCalculo[[#This Row],[STATUS]]="CONCLUÍDO",_xlfn.XLOOKUP(tblCalculo[[#This Row],[NR_SIMULACAO]],tblVendas[[#This Row],[NR_SIMULACAO]],tblVendas[[#This Row],[VALOR_FIXABASICA]],""),0)</f>
        <v>0</v>
      </c>
      <c r="I433">
        <f>IF(tblCalculo[[#This Row],[STATUS]]="CONCLUÍDO",_xlfn.XLOOKUP(tblCalculo[[#This Row],[NR_SIMULACAO]],tblVendas[[#This Row],[NR_SIMULACAO]],tblVendas[[#This Row],[VALOR_TI]],""),0)</f>
        <v>0</v>
      </c>
      <c r="J433">
        <f>IF(tblCalculo[[#This Row],[STATUS]]="CONCLUÍDO",_xlfn.XLOOKUP(tblCalculo[[#This Row],[NR_SIMULACAO]],tblVendas[[#This Row],[NR_SIMULACAO]],tblVendas[[#This Row],[VALOR_APARELHO]],""),0)</f>
        <v>14052.74</v>
      </c>
      <c r="K433" t="str">
        <f>IF(tblCalculo[[#This Row],[STATUS]]="NEGOCIANDO",tblCalculo[[#This Row],[VALOR_TOTAL]],"")</f>
        <v/>
      </c>
      <c r="L433" t="str">
        <f>IF(tblCalculo[[#This Row],[STATUS]]="ALÇADA",tblCalculo[[#This Row],[VALOR_TOTAL]],"")</f>
        <v/>
      </c>
      <c r="M433" t="str">
        <f>IF(tblCalculo[[#This Row],[STATUS]]="EM ANÁLISE",tblCalculo[[#This Row],[VALOR_TOTAL]],"")</f>
        <v/>
      </c>
      <c r="N433" t="str">
        <f>IF(tblCalculo[[#This Row],[STATUS]]="TRAMITANDO",tblCalculo[[#This Row],[VALOR_TOTAL]],"")</f>
        <v/>
      </c>
      <c r="O433" t="str">
        <f>IF(tblCalculo[[#This Row],[STATUS]]="PERDIDO",tblCalculo[[#This Row],[VALOR_TOTAL]],"")</f>
        <v/>
      </c>
      <c r="P433">
        <f>IF(tblCalculo[[#This Row],[STATUS]]="CONCLUÍDO",tblCalculo[[#This Row],[VALOR_TOTAL]],"")</f>
        <v>20739.099999999999</v>
      </c>
    </row>
    <row r="434" spans="1:16" x14ac:dyDescent="0.25">
      <c r="A434" t="str">
        <f>tblVendas[[#This Row],[NR_SIMULACAO]]</f>
        <v>SIM1424</v>
      </c>
      <c r="B434" s="34" t="str">
        <f>_xlfn.XLOOKUP(A434,tblVendas[[#This Row],[NR_SIMULACAO]],tblVendas[[#This Row],[NR_CNPJ]],"")</f>
        <v>24.971.313/0001-38</v>
      </c>
      <c r="C434" t="str">
        <f>_xlfn.XLOOKUP(A434,tblVendas[[#This Row],[NR_SIMULACAO]],tblVendas[[#This Row],[STATUS]],"")</f>
        <v>TRAMITANDO</v>
      </c>
      <c r="D434" t="str">
        <f>_xlfn.XLOOKUP(A434,tblVendas[[#This Row],[NR_SIMULACAO]],tblVendas[[#This Row],[MES]],"")</f>
        <v>Setembro</v>
      </c>
      <c r="E434">
        <f>SUM(_xlfn.XLOOKUP(tblCalculo[[#This Row],[NR_SIMULACAO]],tblVendas[[#This Row],[NR_SIMULACAO]],tblVendas[[#This Row],[VALOR_MOVEL]],""):_xlfn.XLOOKUP(tblCalculo[[#This Row],[NR_SIMULACAO]],tblVendas[[#This Row],[NR_SIMULACAO]],tblVendas[[#This Row],[VALOR_APARELHO]],""))</f>
        <v>6897.2699999999995</v>
      </c>
      <c r="F434">
        <f>IF(tblCalculo[[#This Row],[STATUS]]="CONCLUÍDO",_xlfn.XLOOKUP(tblCalculo[[#This Row],[NR_SIMULACAO]],tblVendas[[#This Row],[NR_SIMULACAO]],tblVendas[[#This Row],[VALOR_MOVEL]],""),0)</f>
        <v>0</v>
      </c>
      <c r="G434">
        <f>IF(tblCalculo[[#This Row],[STATUS]]="CONCLUÍDO",_xlfn.XLOOKUP(tblCalculo[[#This Row],[NR_SIMULACAO]],tblVendas[[#This Row],[NR_SIMULACAO]],tblVendas[[#This Row],[VALOR_AVANCADO]],""),0)</f>
        <v>0</v>
      </c>
      <c r="H434">
        <f>IF(tblCalculo[[#This Row],[STATUS]]="CONCLUÍDO",_xlfn.XLOOKUP(tblCalculo[[#This Row],[NR_SIMULACAO]],tblVendas[[#This Row],[NR_SIMULACAO]],tblVendas[[#This Row],[VALOR_FIXABASICA]],""),0)</f>
        <v>0</v>
      </c>
      <c r="I434">
        <f>IF(tblCalculo[[#This Row],[STATUS]]="CONCLUÍDO",_xlfn.XLOOKUP(tblCalculo[[#This Row],[NR_SIMULACAO]],tblVendas[[#This Row],[NR_SIMULACAO]],tblVendas[[#This Row],[VALOR_TI]],""),0)</f>
        <v>0</v>
      </c>
      <c r="J434">
        <f>IF(tblCalculo[[#This Row],[STATUS]]="CONCLUÍDO",_xlfn.XLOOKUP(tblCalculo[[#This Row],[NR_SIMULACAO]],tblVendas[[#This Row],[NR_SIMULACAO]],tblVendas[[#This Row],[VALOR_APARELHO]],""),0)</f>
        <v>0</v>
      </c>
      <c r="K434" t="str">
        <f>IF(tblCalculo[[#This Row],[STATUS]]="NEGOCIANDO",tblCalculo[[#This Row],[VALOR_TOTAL]],"")</f>
        <v/>
      </c>
      <c r="L434" t="str">
        <f>IF(tblCalculo[[#This Row],[STATUS]]="ALÇADA",tblCalculo[[#This Row],[VALOR_TOTAL]],"")</f>
        <v/>
      </c>
      <c r="M434" t="str">
        <f>IF(tblCalculo[[#This Row],[STATUS]]="EM ANÁLISE",tblCalculo[[#This Row],[VALOR_TOTAL]],"")</f>
        <v/>
      </c>
      <c r="N434">
        <f>IF(tblCalculo[[#This Row],[STATUS]]="TRAMITANDO",tblCalculo[[#This Row],[VALOR_TOTAL]],"")</f>
        <v>6897.2699999999995</v>
      </c>
      <c r="O434" t="str">
        <f>IF(tblCalculo[[#This Row],[STATUS]]="PERDIDO",tblCalculo[[#This Row],[VALOR_TOTAL]],"")</f>
        <v/>
      </c>
      <c r="P434" t="str">
        <f>IF(tblCalculo[[#This Row],[STATUS]]="CONCLUÍDO",tblCalculo[[#This Row],[VALOR_TOTAL]],"")</f>
        <v/>
      </c>
    </row>
    <row r="435" spans="1:16" x14ac:dyDescent="0.25">
      <c r="A435" t="str">
        <f>tblVendas[[#This Row],[NR_SIMULACAO]]</f>
        <v>SIM1425</v>
      </c>
      <c r="B435" s="34" t="str">
        <f>_xlfn.XLOOKUP(A435,tblVendas[[#This Row],[NR_SIMULACAO]],tblVendas[[#This Row],[NR_CNPJ]],"")</f>
        <v>52.880.230/0001-18</v>
      </c>
      <c r="C435" t="str">
        <f>_xlfn.XLOOKUP(A435,tblVendas[[#This Row],[NR_SIMULACAO]],tblVendas[[#This Row],[STATUS]],"")</f>
        <v>TRAMITANDO</v>
      </c>
      <c r="D435" t="str">
        <f>_xlfn.XLOOKUP(A435,tblVendas[[#This Row],[NR_SIMULACAO]],tblVendas[[#This Row],[MES]],"")</f>
        <v>Junho</v>
      </c>
      <c r="E435">
        <f>SUM(_xlfn.XLOOKUP(tblCalculo[[#This Row],[NR_SIMULACAO]],tblVendas[[#This Row],[NR_SIMULACAO]],tblVendas[[#This Row],[VALOR_MOVEL]],""):_xlfn.XLOOKUP(tblCalculo[[#This Row],[NR_SIMULACAO]],tblVendas[[#This Row],[NR_SIMULACAO]],tblVendas[[#This Row],[VALOR_APARELHO]],""))</f>
        <v>6054.57</v>
      </c>
      <c r="F435">
        <f>IF(tblCalculo[[#This Row],[STATUS]]="CONCLUÍDO",_xlfn.XLOOKUP(tblCalculo[[#This Row],[NR_SIMULACAO]],tblVendas[[#This Row],[NR_SIMULACAO]],tblVendas[[#This Row],[VALOR_MOVEL]],""),0)</f>
        <v>0</v>
      </c>
      <c r="G435">
        <f>IF(tblCalculo[[#This Row],[STATUS]]="CONCLUÍDO",_xlfn.XLOOKUP(tblCalculo[[#This Row],[NR_SIMULACAO]],tblVendas[[#This Row],[NR_SIMULACAO]],tblVendas[[#This Row],[VALOR_AVANCADO]],""),0)</f>
        <v>0</v>
      </c>
      <c r="H435">
        <f>IF(tblCalculo[[#This Row],[STATUS]]="CONCLUÍDO",_xlfn.XLOOKUP(tblCalculo[[#This Row],[NR_SIMULACAO]],tblVendas[[#This Row],[NR_SIMULACAO]],tblVendas[[#This Row],[VALOR_FIXABASICA]],""),0)</f>
        <v>0</v>
      </c>
      <c r="I435">
        <f>IF(tblCalculo[[#This Row],[STATUS]]="CONCLUÍDO",_xlfn.XLOOKUP(tblCalculo[[#This Row],[NR_SIMULACAO]],tblVendas[[#This Row],[NR_SIMULACAO]],tblVendas[[#This Row],[VALOR_TI]],""),0)</f>
        <v>0</v>
      </c>
      <c r="J435">
        <f>IF(tblCalculo[[#This Row],[STATUS]]="CONCLUÍDO",_xlfn.XLOOKUP(tblCalculo[[#This Row],[NR_SIMULACAO]],tblVendas[[#This Row],[NR_SIMULACAO]],tblVendas[[#This Row],[VALOR_APARELHO]],""),0)</f>
        <v>0</v>
      </c>
      <c r="K435" t="str">
        <f>IF(tblCalculo[[#This Row],[STATUS]]="NEGOCIANDO",tblCalculo[[#This Row],[VALOR_TOTAL]],"")</f>
        <v/>
      </c>
      <c r="L435" t="str">
        <f>IF(tblCalculo[[#This Row],[STATUS]]="ALÇADA",tblCalculo[[#This Row],[VALOR_TOTAL]],"")</f>
        <v/>
      </c>
      <c r="M435" t="str">
        <f>IF(tblCalculo[[#This Row],[STATUS]]="EM ANÁLISE",tblCalculo[[#This Row],[VALOR_TOTAL]],"")</f>
        <v/>
      </c>
      <c r="N435">
        <f>IF(tblCalculo[[#This Row],[STATUS]]="TRAMITANDO",tblCalculo[[#This Row],[VALOR_TOTAL]],"")</f>
        <v>6054.57</v>
      </c>
      <c r="O435" t="str">
        <f>IF(tblCalculo[[#This Row],[STATUS]]="PERDIDO",tblCalculo[[#This Row],[VALOR_TOTAL]],"")</f>
        <v/>
      </c>
      <c r="P435" t="str">
        <f>IF(tblCalculo[[#This Row],[STATUS]]="CONCLUÍDO",tblCalculo[[#This Row],[VALOR_TOTAL]],"")</f>
        <v/>
      </c>
    </row>
    <row r="436" spans="1:16" x14ac:dyDescent="0.25">
      <c r="A436" t="str">
        <f>tblVendas[[#This Row],[NR_SIMULACAO]]</f>
        <v>SIM1426</v>
      </c>
      <c r="B436" s="34" t="str">
        <f>_xlfn.XLOOKUP(A436,tblVendas[[#This Row],[NR_SIMULACAO]],tblVendas[[#This Row],[NR_CNPJ]],"")</f>
        <v>76.126.597/0001-84</v>
      </c>
      <c r="C436" t="str">
        <f>_xlfn.XLOOKUP(A436,tblVendas[[#This Row],[NR_SIMULACAO]],tblVendas[[#This Row],[STATUS]],"")</f>
        <v>ALÇADA</v>
      </c>
      <c r="D436" t="str">
        <f>_xlfn.XLOOKUP(A436,tblVendas[[#This Row],[NR_SIMULACAO]],tblVendas[[#This Row],[MES]],"")</f>
        <v>Julho</v>
      </c>
      <c r="E436">
        <f>SUM(_xlfn.XLOOKUP(tblCalculo[[#This Row],[NR_SIMULACAO]],tblVendas[[#This Row],[NR_SIMULACAO]],tblVendas[[#This Row],[VALOR_MOVEL]],""):_xlfn.XLOOKUP(tblCalculo[[#This Row],[NR_SIMULACAO]],tblVendas[[#This Row],[NR_SIMULACAO]],tblVendas[[#This Row],[VALOR_APARELHO]],""))</f>
        <v>15549.36</v>
      </c>
      <c r="F436">
        <f>IF(tblCalculo[[#This Row],[STATUS]]="CONCLUÍDO",_xlfn.XLOOKUP(tblCalculo[[#This Row],[NR_SIMULACAO]],tblVendas[[#This Row],[NR_SIMULACAO]],tblVendas[[#This Row],[VALOR_MOVEL]],""),0)</f>
        <v>0</v>
      </c>
      <c r="G436">
        <f>IF(tblCalculo[[#This Row],[STATUS]]="CONCLUÍDO",_xlfn.XLOOKUP(tblCalculo[[#This Row],[NR_SIMULACAO]],tblVendas[[#This Row],[NR_SIMULACAO]],tblVendas[[#This Row],[VALOR_AVANCADO]],""),0)</f>
        <v>0</v>
      </c>
      <c r="H436">
        <f>IF(tblCalculo[[#This Row],[STATUS]]="CONCLUÍDO",_xlfn.XLOOKUP(tblCalculo[[#This Row],[NR_SIMULACAO]],tblVendas[[#This Row],[NR_SIMULACAO]],tblVendas[[#This Row],[VALOR_FIXABASICA]],""),0)</f>
        <v>0</v>
      </c>
      <c r="I436">
        <f>IF(tblCalculo[[#This Row],[STATUS]]="CONCLUÍDO",_xlfn.XLOOKUP(tblCalculo[[#This Row],[NR_SIMULACAO]],tblVendas[[#This Row],[NR_SIMULACAO]],tblVendas[[#This Row],[VALOR_TI]],""),0)</f>
        <v>0</v>
      </c>
      <c r="J436">
        <f>IF(tblCalculo[[#This Row],[STATUS]]="CONCLUÍDO",_xlfn.XLOOKUP(tblCalculo[[#This Row],[NR_SIMULACAO]],tblVendas[[#This Row],[NR_SIMULACAO]],tblVendas[[#This Row],[VALOR_APARELHO]],""),0)</f>
        <v>0</v>
      </c>
      <c r="K436" t="str">
        <f>IF(tblCalculo[[#This Row],[STATUS]]="NEGOCIANDO",tblCalculo[[#This Row],[VALOR_TOTAL]],"")</f>
        <v/>
      </c>
      <c r="L436">
        <f>IF(tblCalculo[[#This Row],[STATUS]]="ALÇADA",tblCalculo[[#This Row],[VALOR_TOTAL]],"")</f>
        <v>15549.36</v>
      </c>
      <c r="M436" t="str">
        <f>IF(tblCalculo[[#This Row],[STATUS]]="EM ANÁLISE",tblCalculo[[#This Row],[VALOR_TOTAL]],"")</f>
        <v/>
      </c>
      <c r="N436" t="str">
        <f>IF(tblCalculo[[#This Row],[STATUS]]="TRAMITANDO",tblCalculo[[#This Row],[VALOR_TOTAL]],"")</f>
        <v/>
      </c>
      <c r="O436" t="str">
        <f>IF(tblCalculo[[#This Row],[STATUS]]="PERDIDO",tblCalculo[[#This Row],[VALOR_TOTAL]],"")</f>
        <v/>
      </c>
      <c r="P436" t="str">
        <f>IF(tblCalculo[[#This Row],[STATUS]]="CONCLUÍDO",tblCalculo[[#This Row],[VALOR_TOTAL]],"")</f>
        <v/>
      </c>
    </row>
    <row r="437" spans="1:16" x14ac:dyDescent="0.25">
      <c r="A437" t="str">
        <f>tblVendas[[#This Row],[NR_SIMULACAO]]</f>
        <v>SIM1427</v>
      </c>
      <c r="B437" s="34" t="str">
        <f>_xlfn.XLOOKUP(A437,tblVendas[[#This Row],[NR_SIMULACAO]],tblVendas[[#This Row],[NR_CNPJ]],"")</f>
        <v>89.259.402/0001-96</v>
      </c>
      <c r="C437" t="str">
        <f>_xlfn.XLOOKUP(A437,tblVendas[[#This Row],[NR_SIMULACAO]],tblVendas[[#This Row],[STATUS]],"")</f>
        <v>PERDIDO</v>
      </c>
      <c r="D437" t="str">
        <f>_xlfn.XLOOKUP(A437,tblVendas[[#This Row],[NR_SIMULACAO]],tblVendas[[#This Row],[MES]],"")</f>
        <v>Novembro</v>
      </c>
      <c r="E437">
        <f>SUM(_xlfn.XLOOKUP(tblCalculo[[#This Row],[NR_SIMULACAO]],tblVendas[[#This Row],[NR_SIMULACAO]],tblVendas[[#This Row],[VALOR_MOVEL]],""):_xlfn.XLOOKUP(tblCalculo[[#This Row],[NR_SIMULACAO]],tblVendas[[#This Row],[NR_SIMULACAO]],tblVendas[[#This Row],[VALOR_APARELHO]],""))</f>
        <v>12665.55</v>
      </c>
      <c r="F437">
        <f>IF(tblCalculo[[#This Row],[STATUS]]="CONCLUÍDO",_xlfn.XLOOKUP(tblCalculo[[#This Row],[NR_SIMULACAO]],tblVendas[[#This Row],[NR_SIMULACAO]],tblVendas[[#This Row],[VALOR_MOVEL]],""),0)</f>
        <v>0</v>
      </c>
      <c r="G437">
        <f>IF(tblCalculo[[#This Row],[STATUS]]="CONCLUÍDO",_xlfn.XLOOKUP(tblCalculo[[#This Row],[NR_SIMULACAO]],tblVendas[[#This Row],[NR_SIMULACAO]],tblVendas[[#This Row],[VALOR_AVANCADO]],""),0)</f>
        <v>0</v>
      </c>
      <c r="H437">
        <f>IF(tblCalculo[[#This Row],[STATUS]]="CONCLUÍDO",_xlfn.XLOOKUP(tblCalculo[[#This Row],[NR_SIMULACAO]],tblVendas[[#This Row],[NR_SIMULACAO]],tblVendas[[#This Row],[VALOR_FIXABASICA]],""),0)</f>
        <v>0</v>
      </c>
      <c r="I437">
        <f>IF(tblCalculo[[#This Row],[STATUS]]="CONCLUÍDO",_xlfn.XLOOKUP(tblCalculo[[#This Row],[NR_SIMULACAO]],tblVendas[[#This Row],[NR_SIMULACAO]],tblVendas[[#This Row],[VALOR_TI]],""),0)</f>
        <v>0</v>
      </c>
      <c r="J437">
        <f>IF(tblCalculo[[#This Row],[STATUS]]="CONCLUÍDO",_xlfn.XLOOKUP(tblCalculo[[#This Row],[NR_SIMULACAO]],tblVendas[[#This Row],[NR_SIMULACAO]],tblVendas[[#This Row],[VALOR_APARELHO]],""),0)</f>
        <v>0</v>
      </c>
      <c r="K437" t="str">
        <f>IF(tblCalculo[[#This Row],[STATUS]]="NEGOCIANDO",tblCalculo[[#This Row],[VALOR_TOTAL]],"")</f>
        <v/>
      </c>
      <c r="L437" t="str">
        <f>IF(tblCalculo[[#This Row],[STATUS]]="ALÇADA",tblCalculo[[#This Row],[VALOR_TOTAL]],"")</f>
        <v/>
      </c>
      <c r="M437" t="str">
        <f>IF(tblCalculo[[#This Row],[STATUS]]="EM ANÁLISE",tblCalculo[[#This Row],[VALOR_TOTAL]],"")</f>
        <v/>
      </c>
      <c r="N437" t="str">
        <f>IF(tblCalculo[[#This Row],[STATUS]]="TRAMITANDO",tblCalculo[[#This Row],[VALOR_TOTAL]],"")</f>
        <v/>
      </c>
      <c r="O437">
        <f>IF(tblCalculo[[#This Row],[STATUS]]="PERDIDO",tblCalculo[[#This Row],[VALOR_TOTAL]],"")</f>
        <v>12665.55</v>
      </c>
      <c r="P437" t="str">
        <f>IF(tblCalculo[[#This Row],[STATUS]]="CONCLUÍDO",tblCalculo[[#This Row],[VALOR_TOTAL]],"")</f>
        <v/>
      </c>
    </row>
    <row r="438" spans="1:16" x14ac:dyDescent="0.25">
      <c r="A438" t="str">
        <f>tblVendas[[#This Row],[NR_SIMULACAO]]</f>
        <v>SIM1428</v>
      </c>
      <c r="B438" s="34" t="str">
        <f>_xlfn.XLOOKUP(A438,tblVendas[[#This Row],[NR_SIMULACAO]],tblVendas[[#This Row],[NR_CNPJ]],"")</f>
        <v>13.691.130/0001-25</v>
      </c>
      <c r="C438" t="str">
        <f>_xlfn.XLOOKUP(A438,tblVendas[[#This Row],[NR_SIMULACAO]],tblVendas[[#This Row],[STATUS]],"")</f>
        <v>ALÇADA</v>
      </c>
      <c r="D438" t="str">
        <f>_xlfn.XLOOKUP(A438,tblVendas[[#This Row],[NR_SIMULACAO]],tblVendas[[#This Row],[MES]],"")</f>
        <v>Setembro</v>
      </c>
      <c r="E438">
        <f>SUM(_xlfn.XLOOKUP(tblCalculo[[#This Row],[NR_SIMULACAO]],tblVendas[[#This Row],[NR_SIMULACAO]],tblVendas[[#This Row],[VALOR_MOVEL]],""):_xlfn.XLOOKUP(tblCalculo[[#This Row],[NR_SIMULACAO]],tblVendas[[#This Row],[NR_SIMULACAO]],tblVendas[[#This Row],[VALOR_APARELHO]],""))</f>
        <v>11198.66</v>
      </c>
      <c r="F438">
        <f>IF(tblCalculo[[#This Row],[STATUS]]="CONCLUÍDO",_xlfn.XLOOKUP(tblCalculo[[#This Row],[NR_SIMULACAO]],tblVendas[[#This Row],[NR_SIMULACAO]],tblVendas[[#This Row],[VALOR_MOVEL]],""),0)</f>
        <v>0</v>
      </c>
      <c r="G438">
        <f>IF(tblCalculo[[#This Row],[STATUS]]="CONCLUÍDO",_xlfn.XLOOKUP(tblCalculo[[#This Row],[NR_SIMULACAO]],tblVendas[[#This Row],[NR_SIMULACAO]],tblVendas[[#This Row],[VALOR_AVANCADO]],""),0)</f>
        <v>0</v>
      </c>
      <c r="H438">
        <f>IF(tblCalculo[[#This Row],[STATUS]]="CONCLUÍDO",_xlfn.XLOOKUP(tblCalculo[[#This Row],[NR_SIMULACAO]],tblVendas[[#This Row],[NR_SIMULACAO]],tblVendas[[#This Row],[VALOR_FIXABASICA]],""),0)</f>
        <v>0</v>
      </c>
      <c r="I438">
        <f>IF(tblCalculo[[#This Row],[STATUS]]="CONCLUÍDO",_xlfn.XLOOKUP(tblCalculo[[#This Row],[NR_SIMULACAO]],tblVendas[[#This Row],[NR_SIMULACAO]],tblVendas[[#This Row],[VALOR_TI]],""),0)</f>
        <v>0</v>
      </c>
      <c r="J438">
        <f>IF(tblCalculo[[#This Row],[STATUS]]="CONCLUÍDO",_xlfn.XLOOKUP(tblCalculo[[#This Row],[NR_SIMULACAO]],tblVendas[[#This Row],[NR_SIMULACAO]],tblVendas[[#This Row],[VALOR_APARELHO]],""),0)</f>
        <v>0</v>
      </c>
      <c r="K438" t="str">
        <f>IF(tblCalculo[[#This Row],[STATUS]]="NEGOCIANDO",tblCalculo[[#This Row],[VALOR_TOTAL]],"")</f>
        <v/>
      </c>
      <c r="L438">
        <f>IF(tblCalculo[[#This Row],[STATUS]]="ALÇADA",tblCalculo[[#This Row],[VALOR_TOTAL]],"")</f>
        <v>11198.66</v>
      </c>
      <c r="M438" t="str">
        <f>IF(tblCalculo[[#This Row],[STATUS]]="EM ANÁLISE",tblCalculo[[#This Row],[VALOR_TOTAL]],"")</f>
        <v/>
      </c>
      <c r="N438" t="str">
        <f>IF(tblCalculo[[#This Row],[STATUS]]="TRAMITANDO",tblCalculo[[#This Row],[VALOR_TOTAL]],"")</f>
        <v/>
      </c>
      <c r="O438" t="str">
        <f>IF(tblCalculo[[#This Row],[STATUS]]="PERDIDO",tblCalculo[[#This Row],[VALOR_TOTAL]],"")</f>
        <v/>
      </c>
      <c r="P438" t="str">
        <f>IF(tblCalculo[[#This Row],[STATUS]]="CONCLUÍDO",tblCalculo[[#This Row],[VALOR_TOTAL]],"")</f>
        <v/>
      </c>
    </row>
    <row r="439" spans="1:16" x14ac:dyDescent="0.25">
      <c r="A439" t="str">
        <f>tblVendas[[#This Row],[NR_SIMULACAO]]</f>
        <v>SIM1429</v>
      </c>
      <c r="B439" s="34" t="str">
        <f>_xlfn.XLOOKUP(A439,tblVendas[[#This Row],[NR_SIMULACAO]],tblVendas[[#This Row],[NR_CNPJ]],"")</f>
        <v>43.760.667/0001-43</v>
      </c>
      <c r="C439" t="str">
        <f>_xlfn.XLOOKUP(A439,tblVendas[[#This Row],[NR_SIMULACAO]],tblVendas[[#This Row],[STATUS]],"")</f>
        <v>ALÇADA</v>
      </c>
      <c r="D439" t="str">
        <f>_xlfn.XLOOKUP(A439,tblVendas[[#This Row],[NR_SIMULACAO]],tblVendas[[#This Row],[MES]],"")</f>
        <v>Abril</v>
      </c>
      <c r="E439">
        <f>SUM(_xlfn.XLOOKUP(tblCalculo[[#This Row],[NR_SIMULACAO]],tblVendas[[#This Row],[NR_SIMULACAO]],tblVendas[[#This Row],[VALOR_MOVEL]],""):_xlfn.XLOOKUP(tblCalculo[[#This Row],[NR_SIMULACAO]],tblVendas[[#This Row],[NR_SIMULACAO]],tblVendas[[#This Row],[VALOR_APARELHO]],""))</f>
        <v>3564.58</v>
      </c>
      <c r="F439">
        <f>IF(tblCalculo[[#This Row],[STATUS]]="CONCLUÍDO",_xlfn.XLOOKUP(tblCalculo[[#This Row],[NR_SIMULACAO]],tblVendas[[#This Row],[NR_SIMULACAO]],tblVendas[[#This Row],[VALOR_MOVEL]],""),0)</f>
        <v>0</v>
      </c>
      <c r="G439">
        <f>IF(tblCalculo[[#This Row],[STATUS]]="CONCLUÍDO",_xlfn.XLOOKUP(tblCalculo[[#This Row],[NR_SIMULACAO]],tblVendas[[#This Row],[NR_SIMULACAO]],tblVendas[[#This Row],[VALOR_AVANCADO]],""),0)</f>
        <v>0</v>
      </c>
      <c r="H439">
        <f>IF(tblCalculo[[#This Row],[STATUS]]="CONCLUÍDO",_xlfn.XLOOKUP(tblCalculo[[#This Row],[NR_SIMULACAO]],tblVendas[[#This Row],[NR_SIMULACAO]],tblVendas[[#This Row],[VALOR_FIXABASICA]],""),0)</f>
        <v>0</v>
      </c>
      <c r="I439">
        <f>IF(tblCalculo[[#This Row],[STATUS]]="CONCLUÍDO",_xlfn.XLOOKUP(tblCalculo[[#This Row],[NR_SIMULACAO]],tblVendas[[#This Row],[NR_SIMULACAO]],tblVendas[[#This Row],[VALOR_TI]],""),0)</f>
        <v>0</v>
      </c>
      <c r="J439">
        <f>IF(tblCalculo[[#This Row],[STATUS]]="CONCLUÍDO",_xlfn.XLOOKUP(tblCalculo[[#This Row],[NR_SIMULACAO]],tblVendas[[#This Row],[NR_SIMULACAO]],tblVendas[[#This Row],[VALOR_APARELHO]],""),0)</f>
        <v>0</v>
      </c>
      <c r="K439" t="str">
        <f>IF(tblCalculo[[#This Row],[STATUS]]="NEGOCIANDO",tblCalculo[[#This Row],[VALOR_TOTAL]],"")</f>
        <v/>
      </c>
      <c r="L439">
        <f>IF(tblCalculo[[#This Row],[STATUS]]="ALÇADA",tblCalculo[[#This Row],[VALOR_TOTAL]],"")</f>
        <v>3564.58</v>
      </c>
      <c r="M439" t="str">
        <f>IF(tblCalculo[[#This Row],[STATUS]]="EM ANÁLISE",tblCalculo[[#This Row],[VALOR_TOTAL]],"")</f>
        <v/>
      </c>
      <c r="N439" t="str">
        <f>IF(tblCalculo[[#This Row],[STATUS]]="TRAMITANDO",tblCalculo[[#This Row],[VALOR_TOTAL]],"")</f>
        <v/>
      </c>
      <c r="O439" t="str">
        <f>IF(tblCalculo[[#This Row],[STATUS]]="PERDIDO",tblCalculo[[#This Row],[VALOR_TOTAL]],"")</f>
        <v/>
      </c>
      <c r="P439" t="str">
        <f>IF(tblCalculo[[#This Row],[STATUS]]="CONCLUÍDO",tblCalculo[[#This Row],[VALOR_TOTAL]],"")</f>
        <v/>
      </c>
    </row>
    <row r="440" spans="1:16" x14ac:dyDescent="0.25">
      <c r="A440" t="str">
        <f>tblVendas[[#This Row],[NR_SIMULACAO]]</f>
        <v>SIM1430</v>
      </c>
      <c r="B440" s="34" t="str">
        <f>_xlfn.XLOOKUP(A440,tblVendas[[#This Row],[NR_SIMULACAO]],tblVendas[[#This Row],[NR_CNPJ]],"")</f>
        <v>67.641.408/0001-29</v>
      </c>
      <c r="C440" t="str">
        <f>_xlfn.XLOOKUP(A440,tblVendas[[#This Row],[NR_SIMULACAO]],tblVendas[[#This Row],[STATUS]],"")</f>
        <v>EM ANÁLISE</v>
      </c>
      <c r="D440" t="str">
        <f>_xlfn.XLOOKUP(A440,tblVendas[[#This Row],[NR_SIMULACAO]],tblVendas[[#This Row],[MES]],"")</f>
        <v>Julho</v>
      </c>
      <c r="E440">
        <f>SUM(_xlfn.XLOOKUP(tblCalculo[[#This Row],[NR_SIMULACAO]],tblVendas[[#This Row],[NR_SIMULACAO]],tblVendas[[#This Row],[VALOR_MOVEL]],""):_xlfn.XLOOKUP(tblCalculo[[#This Row],[NR_SIMULACAO]],tblVendas[[#This Row],[NR_SIMULACAO]],tblVendas[[#This Row],[VALOR_APARELHO]],""))</f>
        <v>5347.14</v>
      </c>
      <c r="F440">
        <f>IF(tblCalculo[[#This Row],[STATUS]]="CONCLUÍDO",_xlfn.XLOOKUP(tblCalculo[[#This Row],[NR_SIMULACAO]],tblVendas[[#This Row],[NR_SIMULACAO]],tblVendas[[#This Row],[VALOR_MOVEL]],""),0)</f>
        <v>0</v>
      </c>
      <c r="G440">
        <f>IF(tblCalculo[[#This Row],[STATUS]]="CONCLUÍDO",_xlfn.XLOOKUP(tblCalculo[[#This Row],[NR_SIMULACAO]],tblVendas[[#This Row],[NR_SIMULACAO]],tblVendas[[#This Row],[VALOR_AVANCADO]],""),0)</f>
        <v>0</v>
      </c>
      <c r="H440">
        <f>IF(tblCalculo[[#This Row],[STATUS]]="CONCLUÍDO",_xlfn.XLOOKUP(tblCalculo[[#This Row],[NR_SIMULACAO]],tblVendas[[#This Row],[NR_SIMULACAO]],tblVendas[[#This Row],[VALOR_FIXABASICA]],""),0)</f>
        <v>0</v>
      </c>
      <c r="I440">
        <f>IF(tblCalculo[[#This Row],[STATUS]]="CONCLUÍDO",_xlfn.XLOOKUP(tblCalculo[[#This Row],[NR_SIMULACAO]],tblVendas[[#This Row],[NR_SIMULACAO]],tblVendas[[#This Row],[VALOR_TI]],""),0)</f>
        <v>0</v>
      </c>
      <c r="J440">
        <f>IF(tblCalculo[[#This Row],[STATUS]]="CONCLUÍDO",_xlfn.XLOOKUP(tblCalculo[[#This Row],[NR_SIMULACAO]],tblVendas[[#This Row],[NR_SIMULACAO]],tblVendas[[#This Row],[VALOR_APARELHO]],""),0)</f>
        <v>0</v>
      </c>
      <c r="K440" t="str">
        <f>IF(tblCalculo[[#This Row],[STATUS]]="NEGOCIANDO",tblCalculo[[#This Row],[VALOR_TOTAL]],"")</f>
        <v/>
      </c>
      <c r="L440" t="str">
        <f>IF(tblCalculo[[#This Row],[STATUS]]="ALÇADA",tblCalculo[[#This Row],[VALOR_TOTAL]],"")</f>
        <v/>
      </c>
      <c r="M440">
        <f>IF(tblCalculo[[#This Row],[STATUS]]="EM ANÁLISE",tblCalculo[[#This Row],[VALOR_TOTAL]],"")</f>
        <v>5347.14</v>
      </c>
      <c r="N440" t="str">
        <f>IF(tblCalculo[[#This Row],[STATUS]]="TRAMITANDO",tblCalculo[[#This Row],[VALOR_TOTAL]],"")</f>
        <v/>
      </c>
      <c r="O440" t="str">
        <f>IF(tblCalculo[[#This Row],[STATUS]]="PERDIDO",tblCalculo[[#This Row],[VALOR_TOTAL]],"")</f>
        <v/>
      </c>
      <c r="P440" t="str">
        <f>IF(tblCalculo[[#This Row],[STATUS]]="CONCLUÍDO",tblCalculo[[#This Row],[VALOR_TOTAL]],"")</f>
        <v/>
      </c>
    </row>
    <row r="441" spans="1:16" x14ac:dyDescent="0.25">
      <c r="A441" t="str">
        <f>tblVendas[[#This Row],[NR_SIMULACAO]]</f>
        <v>SIM1431</v>
      </c>
      <c r="B441" s="34" t="str">
        <f>_xlfn.XLOOKUP(A441,tblVendas[[#This Row],[NR_SIMULACAO]],tblVendas[[#This Row],[NR_CNPJ]],"")</f>
        <v>93.892.987/0001-91</v>
      </c>
      <c r="C441" t="str">
        <f>_xlfn.XLOOKUP(A441,tblVendas[[#This Row],[NR_SIMULACAO]],tblVendas[[#This Row],[STATUS]],"")</f>
        <v>EM ANÁLISE</v>
      </c>
      <c r="D441" t="str">
        <f>_xlfn.XLOOKUP(A441,tblVendas[[#This Row],[NR_SIMULACAO]],tblVendas[[#This Row],[MES]],"")</f>
        <v>Agosto</v>
      </c>
      <c r="E441">
        <f>SUM(_xlfn.XLOOKUP(tblCalculo[[#This Row],[NR_SIMULACAO]],tblVendas[[#This Row],[NR_SIMULACAO]],tblVendas[[#This Row],[VALOR_MOVEL]],""):_xlfn.XLOOKUP(tblCalculo[[#This Row],[NR_SIMULACAO]],tblVendas[[#This Row],[NR_SIMULACAO]],tblVendas[[#This Row],[VALOR_APARELHO]],""))</f>
        <v>3613.42</v>
      </c>
      <c r="F441">
        <f>IF(tblCalculo[[#This Row],[STATUS]]="CONCLUÍDO",_xlfn.XLOOKUP(tblCalculo[[#This Row],[NR_SIMULACAO]],tblVendas[[#This Row],[NR_SIMULACAO]],tblVendas[[#This Row],[VALOR_MOVEL]],""),0)</f>
        <v>0</v>
      </c>
      <c r="G441">
        <f>IF(tblCalculo[[#This Row],[STATUS]]="CONCLUÍDO",_xlfn.XLOOKUP(tblCalculo[[#This Row],[NR_SIMULACAO]],tblVendas[[#This Row],[NR_SIMULACAO]],tblVendas[[#This Row],[VALOR_AVANCADO]],""),0)</f>
        <v>0</v>
      </c>
      <c r="H441">
        <f>IF(tblCalculo[[#This Row],[STATUS]]="CONCLUÍDO",_xlfn.XLOOKUP(tblCalculo[[#This Row],[NR_SIMULACAO]],tblVendas[[#This Row],[NR_SIMULACAO]],tblVendas[[#This Row],[VALOR_FIXABASICA]],""),0)</f>
        <v>0</v>
      </c>
      <c r="I441">
        <f>IF(tblCalculo[[#This Row],[STATUS]]="CONCLUÍDO",_xlfn.XLOOKUP(tblCalculo[[#This Row],[NR_SIMULACAO]],tblVendas[[#This Row],[NR_SIMULACAO]],tblVendas[[#This Row],[VALOR_TI]],""),0)</f>
        <v>0</v>
      </c>
      <c r="J441">
        <f>IF(tblCalculo[[#This Row],[STATUS]]="CONCLUÍDO",_xlfn.XLOOKUP(tblCalculo[[#This Row],[NR_SIMULACAO]],tblVendas[[#This Row],[NR_SIMULACAO]],tblVendas[[#This Row],[VALOR_APARELHO]],""),0)</f>
        <v>0</v>
      </c>
      <c r="K441" t="str">
        <f>IF(tblCalculo[[#This Row],[STATUS]]="NEGOCIANDO",tblCalculo[[#This Row],[VALOR_TOTAL]],"")</f>
        <v/>
      </c>
      <c r="L441" t="str">
        <f>IF(tblCalculo[[#This Row],[STATUS]]="ALÇADA",tblCalculo[[#This Row],[VALOR_TOTAL]],"")</f>
        <v/>
      </c>
      <c r="M441">
        <f>IF(tblCalculo[[#This Row],[STATUS]]="EM ANÁLISE",tblCalculo[[#This Row],[VALOR_TOTAL]],"")</f>
        <v>3613.42</v>
      </c>
      <c r="N441" t="str">
        <f>IF(tblCalculo[[#This Row],[STATUS]]="TRAMITANDO",tblCalculo[[#This Row],[VALOR_TOTAL]],"")</f>
        <v/>
      </c>
      <c r="O441" t="str">
        <f>IF(tblCalculo[[#This Row],[STATUS]]="PERDIDO",tblCalculo[[#This Row],[VALOR_TOTAL]],"")</f>
        <v/>
      </c>
      <c r="P441" t="str">
        <f>IF(tblCalculo[[#This Row],[STATUS]]="CONCLUÍDO",tblCalculo[[#This Row],[VALOR_TOTAL]],"")</f>
        <v/>
      </c>
    </row>
    <row r="442" spans="1:16" x14ac:dyDescent="0.25">
      <c r="A442" t="str">
        <f>tblVendas[[#This Row],[NR_SIMULACAO]]</f>
        <v>SIM1432</v>
      </c>
      <c r="B442" s="34" t="str">
        <f>_xlfn.XLOOKUP(A442,tblVendas[[#This Row],[NR_SIMULACAO]],tblVendas[[#This Row],[NR_CNPJ]],"")</f>
        <v>10.675.333/0001-28</v>
      </c>
      <c r="C442" t="str">
        <f>_xlfn.XLOOKUP(A442,tblVendas[[#This Row],[NR_SIMULACAO]],tblVendas[[#This Row],[STATUS]],"")</f>
        <v>ALÇADA</v>
      </c>
      <c r="D442" t="str">
        <f>_xlfn.XLOOKUP(A442,tblVendas[[#This Row],[NR_SIMULACAO]],tblVendas[[#This Row],[MES]],"")</f>
        <v>Julho</v>
      </c>
      <c r="E442">
        <f>SUM(_xlfn.XLOOKUP(tblCalculo[[#This Row],[NR_SIMULACAO]],tblVendas[[#This Row],[NR_SIMULACAO]],tblVendas[[#This Row],[VALOR_MOVEL]],""):_xlfn.XLOOKUP(tblCalculo[[#This Row],[NR_SIMULACAO]],tblVendas[[#This Row],[NR_SIMULACAO]],tblVendas[[#This Row],[VALOR_APARELHO]],""))</f>
        <v>1925.17</v>
      </c>
      <c r="F442">
        <f>IF(tblCalculo[[#This Row],[STATUS]]="CONCLUÍDO",_xlfn.XLOOKUP(tblCalculo[[#This Row],[NR_SIMULACAO]],tblVendas[[#This Row],[NR_SIMULACAO]],tblVendas[[#This Row],[VALOR_MOVEL]],""),0)</f>
        <v>0</v>
      </c>
      <c r="G442">
        <f>IF(tblCalculo[[#This Row],[STATUS]]="CONCLUÍDO",_xlfn.XLOOKUP(tblCalculo[[#This Row],[NR_SIMULACAO]],tblVendas[[#This Row],[NR_SIMULACAO]],tblVendas[[#This Row],[VALOR_AVANCADO]],""),0)</f>
        <v>0</v>
      </c>
      <c r="H442">
        <f>IF(tblCalculo[[#This Row],[STATUS]]="CONCLUÍDO",_xlfn.XLOOKUP(tblCalculo[[#This Row],[NR_SIMULACAO]],tblVendas[[#This Row],[NR_SIMULACAO]],tblVendas[[#This Row],[VALOR_FIXABASICA]],""),0)</f>
        <v>0</v>
      </c>
      <c r="I442">
        <f>IF(tblCalculo[[#This Row],[STATUS]]="CONCLUÍDO",_xlfn.XLOOKUP(tblCalculo[[#This Row],[NR_SIMULACAO]],tblVendas[[#This Row],[NR_SIMULACAO]],tblVendas[[#This Row],[VALOR_TI]],""),0)</f>
        <v>0</v>
      </c>
      <c r="J442">
        <f>IF(tblCalculo[[#This Row],[STATUS]]="CONCLUÍDO",_xlfn.XLOOKUP(tblCalculo[[#This Row],[NR_SIMULACAO]],tblVendas[[#This Row],[NR_SIMULACAO]],tblVendas[[#This Row],[VALOR_APARELHO]],""),0)</f>
        <v>0</v>
      </c>
      <c r="K442" t="str">
        <f>IF(tblCalculo[[#This Row],[STATUS]]="NEGOCIANDO",tblCalculo[[#This Row],[VALOR_TOTAL]],"")</f>
        <v/>
      </c>
      <c r="L442">
        <f>IF(tblCalculo[[#This Row],[STATUS]]="ALÇADA",tblCalculo[[#This Row],[VALOR_TOTAL]],"")</f>
        <v>1925.17</v>
      </c>
      <c r="M442" t="str">
        <f>IF(tblCalculo[[#This Row],[STATUS]]="EM ANÁLISE",tblCalculo[[#This Row],[VALOR_TOTAL]],"")</f>
        <v/>
      </c>
      <c r="N442" t="str">
        <f>IF(tblCalculo[[#This Row],[STATUS]]="TRAMITANDO",tblCalculo[[#This Row],[VALOR_TOTAL]],"")</f>
        <v/>
      </c>
      <c r="O442" t="str">
        <f>IF(tblCalculo[[#This Row],[STATUS]]="PERDIDO",tblCalculo[[#This Row],[VALOR_TOTAL]],"")</f>
        <v/>
      </c>
      <c r="P442" t="str">
        <f>IF(tblCalculo[[#This Row],[STATUS]]="CONCLUÍDO",tblCalculo[[#This Row],[VALOR_TOTAL]],"")</f>
        <v/>
      </c>
    </row>
    <row r="443" spans="1:16" x14ac:dyDescent="0.25">
      <c r="A443" t="str">
        <f>tblVendas[[#This Row],[NR_SIMULACAO]]</f>
        <v>SIM1433</v>
      </c>
      <c r="B443" s="34" t="str">
        <f>_xlfn.XLOOKUP(A443,tblVendas[[#This Row],[NR_SIMULACAO]],tblVendas[[#This Row],[NR_CNPJ]],"")</f>
        <v>53.849.199/0001-94</v>
      </c>
      <c r="C443" t="str">
        <f>_xlfn.XLOOKUP(A443,tblVendas[[#This Row],[NR_SIMULACAO]],tblVendas[[#This Row],[STATUS]],"")</f>
        <v>NEGOCIANDO</v>
      </c>
      <c r="D443" t="str">
        <f>_xlfn.XLOOKUP(A443,tblVendas[[#This Row],[NR_SIMULACAO]],tblVendas[[#This Row],[MES]],"")</f>
        <v>Junho</v>
      </c>
      <c r="E443">
        <f>SUM(_xlfn.XLOOKUP(tblCalculo[[#This Row],[NR_SIMULACAO]],tblVendas[[#This Row],[NR_SIMULACAO]],tblVendas[[#This Row],[VALOR_MOVEL]],""):_xlfn.XLOOKUP(tblCalculo[[#This Row],[NR_SIMULACAO]],tblVendas[[#This Row],[NR_SIMULACAO]],tblVendas[[#This Row],[VALOR_APARELHO]],""))</f>
        <v>1003.36</v>
      </c>
      <c r="F443">
        <f>IF(tblCalculo[[#This Row],[STATUS]]="CONCLUÍDO",_xlfn.XLOOKUP(tblCalculo[[#This Row],[NR_SIMULACAO]],tblVendas[[#This Row],[NR_SIMULACAO]],tblVendas[[#This Row],[VALOR_MOVEL]],""),0)</f>
        <v>0</v>
      </c>
      <c r="G443">
        <f>IF(tblCalculo[[#This Row],[STATUS]]="CONCLUÍDO",_xlfn.XLOOKUP(tblCalculo[[#This Row],[NR_SIMULACAO]],tblVendas[[#This Row],[NR_SIMULACAO]],tblVendas[[#This Row],[VALOR_AVANCADO]],""),0)</f>
        <v>0</v>
      </c>
      <c r="H443">
        <f>IF(tblCalculo[[#This Row],[STATUS]]="CONCLUÍDO",_xlfn.XLOOKUP(tblCalculo[[#This Row],[NR_SIMULACAO]],tblVendas[[#This Row],[NR_SIMULACAO]],tblVendas[[#This Row],[VALOR_FIXABASICA]],""),0)</f>
        <v>0</v>
      </c>
      <c r="I443">
        <f>IF(tblCalculo[[#This Row],[STATUS]]="CONCLUÍDO",_xlfn.XLOOKUP(tblCalculo[[#This Row],[NR_SIMULACAO]],tblVendas[[#This Row],[NR_SIMULACAO]],tblVendas[[#This Row],[VALOR_TI]],""),0)</f>
        <v>0</v>
      </c>
      <c r="J443">
        <f>IF(tblCalculo[[#This Row],[STATUS]]="CONCLUÍDO",_xlfn.XLOOKUP(tblCalculo[[#This Row],[NR_SIMULACAO]],tblVendas[[#This Row],[NR_SIMULACAO]],tblVendas[[#This Row],[VALOR_APARELHO]],""),0)</f>
        <v>0</v>
      </c>
      <c r="K443">
        <f>IF(tblCalculo[[#This Row],[STATUS]]="NEGOCIANDO",tblCalculo[[#This Row],[VALOR_TOTAL]],"")</f>
        <v>1003.36</v>
      </c>
      <c r="L443" t="str">
        <f>IF(tblCalculo[[#This Row],[STATUS]]="ALÇADA",tblCalculo[[#This Row],[VALOR_TOTAL]],"")</f>
        <v/>
      </c>
      <c r="M443" t="str">
        <f>IF(tblCalculo[[#This Row],[STATUS]]="EM ANÁLISE",tblCalculo[[#This Row],[VALOR_TOTAL]],"")</f>
        <v/>
      </c>
      <c r="N443" t="str">
        <f>IF(tblCalculo[[#This Row],[STATUS]]="TRAMITANDO",tblCalculo[[#This Row],[VALOR_TOTAL]],"")</f>
        <v/>
      </c>
      <c r="O443" t="str">
        <f>IF(tblCalculo[[#This Row],[STATUS]]="PERDIDO",tblCalculo[[#This Row],[VALOR_TOTAL]],"")</f>
        <v/>
      </c>
      <c r="P443" t="str">
        <f>IF(tblCalculo[[#This Row],[STATUS]]="CONCLUÍDO",tblCalculo[[#This Row],[VALOR_TOTAL]],"")</f>
        <v/>
      </c>
    </row>
    <row r="444" spans="1:16" x14ac:dyDescent="0.25">
      <c r="A444" t="str">
        <f>tblVendas[[#This Row],[NR_SIMULACAO]]</f>
        <v>SIM1434</v>
      </c>
      <c r="B444" s="34" t="str">
        <f>_xlfn.XLOOKUP(A444,tblVendas[[#This Row],[NR_SIMULACAO]],tblVendas[[#This Row],[NR_CNPJ]],"")</f>
        <v>19.313.293/0001-27</v>
      </c>
      <c r="C444" t="str">
        <f>_xlfn.XLOOKUP(A444,tblVendas[[#This Row],[NR_SIMULACAO]],tblVendas[[#This Row],[STATUS]],"")</f>
        <v>TRAMITANDO</v>
      </c>
      <c r="D444" t="str">
        <f>_xlfn.XLOOKUP(A444,tblVendas[[#This Row],[NR_SIMULACAO]],tblVendas[[#This Row],[MES]],"")</f>
        <v>Janeiro</v>
      </c>
      <c r="E444">
        <f>SUM(_xlfn.XLOOKUP(tblCalculo[[#This Row],[NR_SIMULACAO]],tblVendas[[#This Row],[NR_SIMULACAO]],tblVendas[[#This Row],[VALOR_MOVEL]],""):_xlfn.XLOOKUP(tblCalculo[[#This Row],[NR_SIMULACAO]],tblVendas[[#This Row],[NR_SIMULACAO]],tblVendas[[#This Row],[VALOR_APARELHO]],""))</f>
        <v>14426.27</v>
      </c>
      <c r="F444">
        <f>IF(tblCalculo[[#This Row],[STATUS]]="CONCLUÍDO",_xlfn.XLOOKUP(tblCalculo[[#This Row],[NR_SIMULACAO]],tblVendas[[#This Row],[NR_SIMULACAO]],tblVendas[[#This Row],[VALOR_MOVEL]],""),0)</f>
        <v>0</v>
      </c>
      <c r="G444">
        <f>IF(tblCalculo[[#This Row],[STATUS]]="CONCLUÍDO",_xlfn.XLOOKUP(tblCalculo[[#This Row],[NR_SIMULACAO]],tblVendas[[#This Row],[NR_SIMULACAO]],tblVendas[[#This Row],[VALOR_AVANCADO]],""),0)</f>
        <v>0</v>
      </c>
      <c r="H444">
        <f>IF(tblCalculo[[#This Row],[STATUS]]="CONCLUÍDO",_xlfn.XLOOKUP(tblCalculo[[#This Row],[NR_SIMULACAO]],tblVendas[[#This Row],[NR_SIMULACAO]],tblVendas[[#This Row],[VALOR_FIXABASICA]],""),0)</f>
        <v>0</v>
      </c>
      <c r="I444">
        <f>IF(tblCalculo[[#This Row],[STATUS]]="CONCLUÍDO",_xlfn.XLOOKUP(tblCalculo[[#This Row],[NR_SIMULACAO]],tblVendas[[#This Row],[NR_SIMULACAO]],tblVendas[[#This Row],[VALOR_TI]],""),0)</f>
        <v>0</v>
      </c>
      <c r="J444">
        <f>IF(tblCalculo[[#This Row],[STATUS]]="CONCLUÍDO",_xlfn.XLOOKUP(tblCalculo[[#This Row],[NR_SIMULACAO]],tblVendas[[#This Row],[NR_SIMULACAO]],tblVendas[[#This Row],[VALOR_APARELHO]],""),0)</f>
        <v>0</v>
      </c>
      <c r="K444" t="str">
        <f>IF(tblCalculo[[#This Row],[STATUS]]="NEGOCIANDO",tblCalculo[[#This Row],[VALOR_TOTAL]],"")</f>
        <v/>
      </c>
      <c r="L444" t="str">
        <f>IF(tblCalculo[[#This Row],[STATUS]]="ALÇADA",tblCalculo[[#This Row],[VALOR_TOTAL]],"")</f>
        <v/>
      </c>
      <c r="M444" t="str">
        <f>IF(tblCalculo[[#This Row],[STATUS]]="EM ANÁLISE",tblCalculo[[#This Row],[VALOR_TOTAL]],"")</f>
        <v/>
      </c>
      <c r="N444">
        <f>IF(tblCalculo[[#This Row],[STATUS]]="TRAMITANDO",tblCalculo[[#This Row],[VALOR_TOTAL]],"")</f>
        <v>14426.27</v>
      </c>
      <c r="O444" t="str">
        <f>IF(tblCalculo[[#This Row],[STATUS]]="PERDIDO",tblCalculo[[#This Row],[VALOR_TOTAL]],"")</f>
        <v/>
      </c>
      <c r="P444" t="str">
        <f>IF(tblCalculo[[#This Row],[STATUS]]="CONCLUÍDO",tblCalculo[[#This Row],[VALOR_TOTAL]],"")</f>
        <v/>
      </c>
    </row>
    <row r="445" spans="1:16" x14ac:dyDescent="0.25">
      <c r="A445" t="str">
        <f>tblVendas[[#This Row],[NR_SIMULACAO]]</f>
        <v>SIM1435</v>
      </c>
      <c r="B445" s="34" t="str">
        <f>_xlfn.XLOOKUP(A445,tblVendas[[#This Row],[NR_SIMULACAO]],tblVendas[[#This Row],[NR_CNPJ]],"")</f>
        <v>73.957.514/0001-43</v>
      </c>
      <c r="C445" t="str">
        <f>_xlfn.XLOOKUP(A445,tblVendas[[#This Row],[NR_SIMULACAO]],tblVendas[[#This Row],[STATUS]],"")</f>
        <v>CONCLUÍDO</v>
      </c>
      <c r="D445" t="str">
        <f>_xlfn.XLOOKUP(A445,tblVendas[[#This Row],[NR_SIMULACAO]],tblVendas[[#This Row],[MES]],"")</f>
        <v>Fevereiro</v>
      </c>
      <c r="E445">
        <f>SUM(_xlfn.XLOOKUP(tblCalculo[[#This Row],[NR_SIMULACAO]],tblVendas[[#This Row],[NR_SIMULACAO]],tblVendas[[#This Row],[VALOR_MOVEL]],""):_xlfn.XLOOKUP(tblCalculo[[#This Row],[NR_SIMULACAO]],tblVendas[[#This Row],[NR_SIMULACAO]],tblVendas[[#This Row],[VALOR_APARELHO]],""))</f>
        <v>2337.0500000000002</v>
      </c>
      <c r="F445">
        <f>IF(tblCalculo[[#This Row],[STATUS]]="CONCLUÍDO",_xlfn.XLOOKUP(tblCalculo[[#This Row],[NR_SIMULACAO]],tblVendas[[#This Row],[NR_SIMULACAO]],tblVendas[[#This Row],[VALOR_MOVEL]],""),0)</f>
        <v>2337.0500000000002</v>
      </c>
      <c r="G445">
        <f>IF(tblCalculo[[#This Row],[STATUS]]="CONCLUÍDO",_xlfn.XLOOKUP(tblCalculo[[#This Row],[NR_SIMULACAO]],tblVendas[[#This Row],[NR_SIMULACAO]],tblVendas[[#This Row],[VALOR_AVANCADO]],""),0)</f>
        <v>0</v>
      </c>
      <c r="H445">
        <f>IF(tblCalculo[[#This Row],[STATUS]]="CONCLUÍDO",_xlfn.XLOOKUP(tblCalculo[[#This Row],[NR_SIMULACAO]],tblVendas[[#This Row],[NR_SIMULACAO]],tblVendas[[#This Row],[VALOR_FIXABASICA]],""),0)</f>
        <v>0</v>
      </c>
      <c r="I445">
        <f>IF(tblCalculo[[#This Row],[STATUS]]="CONCLUÍDO",_xlfn.XLOOKUP(tblCalculo[[#This Row],[NR_SIMULACAO]],tblVendas[[#This Row],[NR_SIMULACAO]],tblVendas[[#This Row],[VALOR_TI]],""),0)</f>
        <v>0</v>
      </c>
      <c r="J445">
        <f>IF(tblCalculo[[#This Row],[STATUS]]="CONCLUÍDO",_xlfn.XLOOKUP(tblCalculo[[#This Row],[NR_SIMULACAO]],tblVendas[[#This Row],[NR_SIMULACAO]],tblVendas[[#This Row],[VALOR_APARELHO]],""),0)</f>
        <v>0</v>
      </c>
      <c r="K445" t="str">
        <f>IF(tblCalculo[[#This Row],[STATUS]]="NEGOCIANDO",tblCalculo[[#This Row],[VALOR_TOTAL]],"")</f>
        <v/>
      </c>
      <c r="L445" t="str">
        <f>IF(tblCalculo[[#This Row],[STATUS]]="ALÇADA",tblCalculo[[#This Row],[VALOR_TOTAL]],"")</f>
        <v/>
      </c>
      <c r="M445" t="str">
        <f>IF(tblCalculo[[#This Row],[STATUS]]="EM ANÁLISE",tblCalculo[[#This Row],[VALOR_TOTAL]],"")</f>
        <v/>
      </c>
      <c r="N445" t="str">
        <f>IF(tblCalculo[[#This Row],[STATUS]]="TRAMITANDO",tblCalculo[[#This Row],[VALOR_TOTAL]],"")</f>
        <v/>
      </c>
      <c r="O445" t="str">
        <f>IF(tblCalculo[[#This Row],[STATUS]]="PERDIDO",tblCalculo[[#This Row],[VALOR_TOTAL]],"")</f>
        <v/>
      </c>
      <c r="P445">
        <f>IF(tblCalculo[[#This Row],[STATUS]]="CONCLUÍDO",tblCalculo[[#This Row],[VALOR_TOTAL]],"")</f>
        <v>2337.0500000000002</v>
      </c>
    </row>
    <row r="446" spans="1:16" x14ac:dyDescent="0.25">
      <c r="A446" t="str">
        <f>tblVendas[[#This Row],[NR_SIMULACAO]]</f>
        <v>SIM1436</v>
      </c>
      <c r="B446" s="34" t="str">
        <f>_xlfn.XLOOKUP(A446,tblVendas[[#This Row],[NR_SIMULACAO]],tblVendas[[#This Row],[NR_CNPJ]],"")</f>
        <v>56.600.840/0001-10</v>
      </c>
      <c r="C446" t="str">
        <f>_xlfn.XLOOKUP(A446,tblVendas[[#This Row],[NR_SIMULACAO]],tblVendas[[#This Row],[STATUS]],"")</f>
        <v>CONCLUÍDO</v>
      </c>
      <c r="D446" t="str">
        <f>_xlfn.XLOOKUP(A446,tblVendas[[#This Row],[NR_SIMULACAO]],tblVendas[[#This Row],[MES]],"")</f>
        <v>Maio</v>
      </c>
      <c r="E446">
        <f>SUM(_xlfn.XLOOKUP(tblCalculo[[#This Row],[NR_SIMULACAO]],tblVendas[[#This Row],[NR_SIMULACAO]],tblVendas[[#This Row],[VALOR_MOVEL]],""):_xlfn.XLOOKUP(tblCalculo[[#This Row],[NR_SIMULACAO]],tblVendas[[#This Row],[NR_SIMULACAO]],tblVendas[[#This Row],[VALOR_APARELHO]],""))</f>
        <v>11702.93</v>
      </c>
      <c r="F446">
        <f>IF(tblCalculo[[#This Row],[STATUS]]="CONCLUÍDO",_xlfn.XLOOKUP(tblCalculo[[#This Row],[NR_SIMULACAO]],tblVendas[[#This Row],[NR_SIMULACAO]],tblVendas[[#This Row],[VALOR_MOVEL]],""),0)</f>
        <v>0</v>
      </c>
      <c r="G446">
        <f>IF(tblCalculo[[#This Row],[STATUS]]="CONCLUÍDO",_xlfn.XLOOKUP(tblCalculo[[#This Row],[NR_SIMULACAO]],tblVendas[[#This Row],[NR_SIMULACAO]],tblVendas[[#This Row],[VALOR_AVANCADO]],""),0)</f>
        <v>4065.32</v>
      </c>
      <c r="H446">
        <f>IF(tblCalculo[[#This Row],[STATUS]]="CONCLUÍDO",_xlfn.XLOOKUP(tblCalculo[[#This Row],[NR_SIMULACAO]],tblVendas[[#This Row],[NR_SIMULACAO]],tblVendas[[#This Row],[VALOR_FIXABASICA]],""),0)</f>
        <v>0</v>
      </c>
      <c r="I446">
        <f>IF(tblCalculo[[#This Row],[STATUS]]="CONCLUÍDO",_xlfn.XLOOKUP(tblCalculo[[#This Row],[NR_SIMULACAO]],tblVendas[[#This Row],[NR_SIMULACAO]],tblVendas[[#This Row],[VALOR_TI]],""),0)</f>
        <v>6149.32</v>
      </c>
      <c r="J446">
        <f>IF(tblCalculo[[#This Row],[STATUS]]="CONCLUÍDO",_xlfn.XLOOKUP(tblCalculo[[#This Row],[NR_SIMULACAO]],tblVendas[[#This Row],[NR_SIMULACAO]],tblVendas[[#This Row],[VALOR_APARELHO]],""),0)</f>
        <v>1488.29</v>
      </c>
      <c r="K446" t="str">
        <f>IF(tblCalculo[[#This Row],[STATUS]]="NEGOCIANDO",tblCalculo[[#This Row],[VALOR_TOTAL]],"")</f>
        <v/>
      </c>
      <c r="L446" t="str">
        <f>IF(tblCalculo[[#This Row],[STATUS]]="ALÇADA",tblCalculo[[#This Row],[VALOR_TOTAL]],"")</f>
        <v/>
      </c>
      <c r="M446" t="str">
        <f>IF(tblCalculo[[#This Row],[STATUS]]="EM ANÁLISE",tblCalculo[[#This Row],[VALOR_TOTAL]],"")</f>
        <v/>
      </c>
      <c r="N446" t="str">
        <f>IF(tblCalculo[[#This Row],[STATUS]]="TRAMITANDO",tblCalculo[[#This Row],[VALOR_TOTAL]],"")</f>
        <v/>
      </c>
      <c r="O446" t="str">
        <f>IF(tblCalculo[[#This Row],[STATUS]]="PERDIDO",tblCalculo[[#This Row],[VALOR_TOTAL]],"")</f>
        <v/>
      </c>
      <c r="P446">
        <f>IF(tblCalculo[[#This Row],[STATUS]]="CONCLUÍDO",tblCalculo[[#This Row],[VALOR_TOTAL]],"")</f>
        <v>11702.93</v>
      </c>
    </row>
    <row r="447" spans="1:16" x14ac:dyDescent="0.25">
      <c r="A447" t="str">
        <f>tblVendas[[#This Row],[NR_SIMULACAO]]</f>
        <v>SIM1437</v>
      </c>
      <c r="B447" s="34" t="str">
        <f>_xlfn.XLOOKUP(A447,tblVendas[[#This Row],[NR_SIMULACAO]],tblVendas[[#This Row],[NR_CNPJ]],"")</f>
        <v>44.677.395/0001-55</v>
      </c>
      <c r="C447" t="str">
        <f>_xlfn.XLOOKUP(A447,tblVendas[[#This Row],[NR_SIMULACAO]],tblVendas[[#This Row],[STATUS]],"")</f>
        <v>PERDIDO</v>
      </c>
      <c r="D447" t="str">
        <f>_xlfn.XLOOKUP(A447,tblVendas[[#This Row],[NR_SIMULACAO]],tblVendas[[#This Row],[MES]],"")</f>
        <v>Outubro</v>
      </c>
      <c r="E447">
        <f>SUM(_xlfn.XLOOKUP(tblCalculo[[#This Row],[NR_SIMULACAO]],tblVendas[[#This Row],[NR_SIMULACAO]],tblVendas[[#This Row],[VALOR_MOVEL]],""):_xlfn.XLOOKUP(tblCalculo[[#This Row],[NR_SIMULACAO]],tblVendas[[#This Row],[NR_SIMULACAO]],tblVendas[[#This Row],[VALOR_APARELHO]],""))</f>
        <v>1685.2</v>
      </c>
      <c r="F447">
        <f>IF(tblCalculo[[#This Row],[STATUS]]="CONCLUÍDO",_xlfn.XLOOKUP(tblCalculo[[#This Row],[NR_SIMULACAO]],tblVendas[[#This Row],[NR_SIMULACAO]],tblVendas[[#This Row],[VALOR_MOVEL]],""),0)</f>
        <v>0</v>
      </c>
      <c r="G447">
        <f>IF(tblCalculo[[#This Row],[STATUS]]="CONCLUÍDO",_xlfn.XLOOKUP(tblCalculo[[#This Row],[NR_SIMULACAO]],tblVendas[[#This Row],[NR_SIMULACAO]],tblVendas[[#This Row],[VALOR_AVANCADO]],""),0)</f>
        <v>0</v>
      </c>
      <c r="H447">
        <f>IF(tblCalculo[[#This Row],[STATUS]]="CONCLUÍDO",_xlfn.XLOOKUP(tblCalculo[[#This Row],[NR_SIMULACAO]],tblVendas[[#This Row],[NR_SIMULACAO]],tblVendas[[#This Row],[VALOR_FIXABASICA]],""),0)</f>
        <v>0</v>
      </c>
      <c r="I447">
        <f>IF(tblCalculo[[#This Row],[STATUS]]="CONCLUÍDO",_xlfn.XLOOKUP(tblCalculo[[#This Row],[NR_SIMULACAO]],tblVendas[[#This Row],[NR_SIMULACAO]],tblVendas[[#This Row],[VALOR_TI]],""),0)</f>
        <v>0</v>
      </c>
      <c r="J447">
        <f>IF(tblCalculo[[#This Row],[STATUS]]="CONCLUÍDO",_xlfn.XLOOKUP(tblCalculo[[#This Row],[NR_SIMULACAO]],tblVendas[[#This Row],[NR_SIMULACAO]],tblVendas[[#This Row],[VALOR_APARELHO]],""),0)</f>
        <v>0</v>
      </c>
      <c r="K447" t="str">
        <f>IF(tblCalculo[[#This Row],[STATUS]]="NEGOCIANDO",tblCalculo[[#This Row],[VALOR_TOTAL]],"")</f>
        <v/>
      </c>
      <c r="L447" t="str">
        <f>IF(tblCalculo[[#This Row],[STATUS]]="ALÇADA",tblCalculo[[#This Row],[VALOR_TOTAL]],"")</f>
        <v/>
      </c>
      <c r="M447" t="str">
        <f>IF(tblCalculo[[#This Row],[STATUS]]="EM ANÁLISE",tblCalculo[[#This Row],[VALOR_TOTAL]],"")</f>
        <v/>
      </c>
      <c r="N447" t="str">
        <f>IF(tblCalculo[[#This Row],[STATUS]]="TRAMITANDO",tblCalculo[[#This Row],[VALOR_TOTAL]],"")</f>
        <v/>
      </c>
      <c r="O447">
        <f>IF(tblCalculo[[#This Row],[STATUS]]="PERDIDO",tblCalculo[[#This Row],[VALOR_TOTAL]],"")</f>
        <v>1685.2</v>
      </c>
      <c r="P447" t="str">
        <f>IF(tblCalculo[[#This Row],[STATUS]]="CONCLUÍDO",tblCalculo[[#This Row],[VALOR_TOTAL]],"")</f>
        <v/>
      </c>
    </row>
    <row r="448" spans="1:16" x14ac:dyDescent="0.25">
      <c r="A448" t="str">
        <f>tblVendas[[#This Row],[NR_SIMULACAO]]</f>
        <v>SIM1438</v>
      </c>
      <c r="B448" s="34" t="str">
        <f>_xlfn.XLOOKUP(A448,tblVendas[[#This Row],[NR_SIMULACAO]],tblVendas[[#This Row],[NR_CNPJ]],"")</f>
        <v>27.854.606/0001-15</v>
      </c>
      <c r="C448" t="str">
        <f>_xlfn.XLOOKUP(A448,tblVendas[[#This Row],[NR_SIMULACAO]],tblVendas[[#This Row],[STATUS]],"")</f>
        <v>NEGOCIANDO</v>
      </c>
      <c r="D448" t="str">
        <f>_xlfn.XLOOKUP(A448,tblVendas[[#This Row],[NR_SIMULACAO]],tblVendas[[#This Row],[MES]],"")</f>
        <v>Novembro</v>
      </c>
      <c r="E448">
        <f>SUM(_xlfn.XLOOKUP(tblCalculo[[#This Row],[NR_SIMULACAO]],tblVendas[[#This Row],[NR_SIMULACAO]],tblVendas[[#This Row],[VALOR_MOVEL]],""):_xlfn.XLOOKUP(tblCalculo[[#This Row],[NR_SIMULACAO]],tblVendas[[#This Row],[NR_SIMULACAO]],tblVendas[[#This Row],[VALOR_APARELHO]],""))</f>
        <v>16340.039999999999</v>
      </c>
      <c r="F448">
        <f>IF(tblCalculo[[#This Row],[STATUS]]="CONCLUÍDO",_xlfn.XLOOKUP(tblCalculo[[#This Row],[NR_SIMULACAO]],tblVendas[[#This Row],[NR_SIMULACAO]],tblVendas[[#This Row],[VALOR_MOVEL]],""),0)</f>
        <v>0</v>
      </c>
      <c r="G448">
        <f>IF(tblCalculo[[#This Row],[STATUS]]="CONCLUÍDO",_xlfn.XLOOKUP(tblCalculo[[#This Row],[NR_SIMULACAO]],tblVendas[[#This Row],[NR_SIMULACAO]],tblVendas[[#This Row],[VALOR_AVANCADO]],""),0)</f>
        <v>0</v>
      </c>
      <c r="H448">
        <f>IF(tblCalculo[[#This Row],[STATUS]]="CONCLUÍDO",_xlfn.XLOOKUP(tblCalculo[[#This Row],[NR_SIMULACAO]],tblVendas[[#This Row],[NR_SIMULACAO]],tblVendas[[#This Row],[VALOR_FIXABASICA]],""),0)</f>
        <v>0</v>
      </c>
      <c r="I448">
        <f>IF(tblCalculo[[#This Row],[STATUS]]="CONCLUÍDO",_xlfn.XLOOKUP(tblCalculo[[#This Row],[NR_SIMULACAO]],tblVendas[[#This Row],[NR_SIMULACAO]],tblVendas[[#This Row],[VALOR_TI]],""),0)</f>
        <v>0</v>
      </c>
      <c r="J448">
        <f>IF(tblCalculo[[#This Row],[STATUS]]="CONCLUÍDO",_xlfn.XLOOKUP(tblCalculo[[#This Row],[NR_SIMULACAO]],tblVendas[[#This Row],[NR_SIMULACAO]],tblVendas[[#This Row],[VALOR_APARELHO]],""),0)</f>
        <v>0</v>
      </c>
      <c r="K448">
        <f>IF(tblCalculo[[#This Row],[STATUS]]="NEGOCIANDO",tblCalculo[[#This Row],[VALOR_TOTAL]],"")</f>
        <v>16340.039999999999</v>
      </c>
      <c r="L448" t="str">
        <f>IF(tblCalculo[[#This Row],[STATUS]]="ALÇADA",tblCalculo[[#This Row],[VALOR_TOTAL]],"")</f>
        <v/>
      </c>
      <c r="M448" t="str">
        <f>IF(tblCalculo[[#This Row],[STATUS]]="EM ANÁLISE",tblCalculo[[#This Row],[VALOR_TOTAL]],"")</f>
        <v/>
      </c>
      <c r="N448" t="str">
        <f>IF(tblCalculo[[#This Row],[STATUS]]="TRAMITANDO",tblCalculo[[#This Row],[VALOR_TOTAL]],"")</f>
        <v/>
      </c>
      <c r="O448" t="str">
        <f>IF(tblCalculo[[#This Row],[STATUS]]="PERDIDO",tblCalculo[[#This Row],[VALOR_TOTAL]],"")</f>
        <v/>
      </c>
      <c r="P448" t="str">
        <f>IF(tblCalculo[[#This Row],[STATUS]]="CONCLUÍDO",tblCalculo[[#This Row],[VALOR_TOTAL]],"")</f>
        <v/>
      </c>
    </row>
    <row r="449" spans="1:16" x14ac:dyDescent="0.25">
      <c r="A449" t="str">
        <f>tblVendas[[#This Row],[NR_SIMULACAO]]</f>
        <v>SIM1439</v>
      </c>
      <c r="B449" s="34" t="str">
        <f>_xlfn.XLOOKUP(A449,tblVendas[[#This Row],[NR_SIMULACAO]],tblVendas[[#This Row],[NR_CNPJ]],"")</f>
        <v>12.177.607/0001-94</v>
      </c>
      <c r="C449" t="str">
        <f>_xlfn.XLOOKUP(A449,tblVendas[[#This Row],[NR_SIMULACAO]],tblVendas[[#This Row],[STATUS]],"")</f>
        <v>PERDIDO</v>
      </c>
      <c r="D449" t="str">
        <f>_xlfn.XLOOKUP(A449,tblVendas[[#This Row],[NR_SIMULACAO]],tblVendas[[#This Row],[MES]],"")</f>
        <v>Dezembro</v>
      </c>
      <c r="E449">
        <f>SUM(_xlfn.XLOOKUP(tblCalculo[[#This Row],[NR_SIMULACAO]],tblVendas[[#This Row],[NR_SIMULACAO]],tblVendas[[#This Row],[VALOR_MOVEL]],""):_xlfn.XLOOKUP(tblCalculo[[#This Row],[NR_SIMULACAO]],tblVendas[[#This Row],[NR_SIMULACAO]],tblVendas[[#This Row],[VALOR_APARELHO]],""))</f>
        <v>19702.09</v>
      </c>
      <c r="F449">
        <f>IF(tblCalculo[[#This Row],[STATUS]]="CONCLUÍDO",_xlfn.XLOOKUP(tblCalculo[[#This Row],[NR_SIMULACAO]],tblVendas[[#This Row],[NR_SIMULACAO]],tblVendas[[#This Row],[VALOR_MOVEL]],""),0)</f>
        <v>0</v>
      </c>
      <c r="G449">
        <f>IF(tblCalculo[[#This Row],[STATUS]]="CONCLUÍDO",_xlfn.XLOOKUP(tblCalculo[[#This Row],[NR_SIMULACAO]],tblVendas[[#This Row],[NR_SIMULACAO]],tblVendas[[#This Row],[VALOR_AVANCADO]],""),0)</f>
        <v>0</v>
      </c>
      <c r="H449">
        <f>IF(tblCalculo[[#This Row],[STATUS]]="CONCLUÍDO",_xlfn.XLOOKUP(tblCalculo[[#This Row],[NR_SIMULACAO]],tblVendas[[#This Row],[NR_SIMULACAO]],tblVendas[[#This Row],[VALOR_FIXABASICA]],""),0)</f>
        <v>0</v>
      </c>
      <c r="I449">
        <f>IF(tblCalculo[[#This Row],[STATUS]]="CONCLUÍDO",_xlfn.XLOOKUP(tblCalculo[[#This Row],[NR_SIMULACAO]],tblVendas[[#This Row],[NR_SIMULACAO]],tblVendas[[#This Row],[VALOR_TI]],""),0)</f>
        <v>0</v>
      </c>
      <c r="J449">
        <f>IF(tblCalculo[[#This Row],[STATUS]]="CONCLUÍDO",_xlfn.XLOOKUP(tblCalculo[[#This Row],[NR_SIMULACAO]],tblVendas[[#This Row],[NR_SIMULACAO]],tblVendas[[#This Row],[VALOR_APARELHO]],""),0)</f>
        <v>0</v>
      </c>
      <c r="K449" t="str">
        <f>IF(tblCalculo[[#This Row],[STATUS]]="NEGOCIANDO",tblCalculo[[#This Row],[VALOR_TOTAL]],"")</f>
        <v/>
      </c>
      <c r="L449" t="str">
        <f>IF(tblCalculo[[#This Row],[STATUS]]="ALÇADA",tblCalculo[[#This Row],[VALOR_TOTAL]],"")</f>
        <v/>
      </c>
      <c r="M449" t="str">
        <f>IF(tblCalculo[[#This Row],[STATUS]]="EM ANÁLISE",tblCalculo[[#This Row],[VALOR_TOTAL]],"")</f>
        <v/>
      </c>
      <c r="N449" t="str">
        <f>IF(tblCalculo[[#This Row],[STATUS]]="TRAMITANDO",tblCalculo[[#This Row],[VALOR_TOTAL]],"")</f>
        <v/>
      </c>
      <c r="O449">
        <f>IF(tblCalculo[[#This Row],[STATUS]]="PERDIDO",tblCalculo[[#This Row],[VALOR_TOTAL]],"")</f>
        <v>19702.09</v>
      </c>
      <c r="P449" t="str">
        <f>IF(tblCalculo[[#This Row],[STATUS]]="CONCLUÍDO",tblCalculo[[#This Row],[VALOR_TOTAL]],"")</f>
        <v/>
      </c>
    </row>
    <row r="450" spans="1:16" x14ac:dyDescent="0.25">
      <c r="A450" t="str">
        <f>tblVendas[[#This Row],[NR_SIMULACAO]]</f>
        <v>SIM1440</v>
      </c>
      <c r="B450" s="34" t="str">
        <f>_xlfn.XLOOKUP(A450,tblVendas[[#This Row],[NR_SIMULACAO]],tblVendas[[#This Row],[NR_CNPJ]],"")</f>
        <v>17.551.900/0001-54</v>
      </c>
      <c r="C450" t="str">
        <f>_xlfn.XLOOKUP(A450,tblVendas[[#This Row],[NR_SIMULACAO]],tblVendas[[#This Row],[STATUS]],"")</f>
        <v>EM ANÁLISE</v>
      </c>
      <c r="D450" t="str">
        <f>_xlfn.XLOOKUP(A450,tblVendas[[#This Row],[NR_SIMULACAO]],tblVendas[[#This Row],[MES]],"")</f>
        <v>Novembro</v>
      </c>
      <c r="E450">
        <f>SUM(_xlfn.XLOOKUP(tblCalculo[[#This Row],[NR_SIMULACAO]],tblVendas[[#This Row],[NR_SIMULACAO]],tblVendas[[#This Row],[VALOR_MOVEL]],""):_xlfn.XLOOKUP(tblCalculo[[#This Row],[NR_SIMULACAO]],tblVendas[[#This Row],[NR_SIMULACAO]],tblVendas[[#This Row],[VALOR_APARELHO]],""))</f>
        <v>10732.77</v>
      </c>
      <c r="F450">
        <f>IF(tblCalculo[[#This Row],[STATUS]]="CONCLUÍDO",_xlfn.XLOOKUP(tblCalculo[[#This Row],[NR_SIMULACAO]],tblVendas[[#This Row],[NR_SIMULACAO]],tblVendas[[#This Row],[VALOR_MOVEL]],""),0)</f>
        <v>0</v>
      </c>
      <c r="G450">
        <f>IF(tblCalculo[[#This Row],[STATUS]]="CONCLUÍDO",_xlfn.XLOOKUP(tblCalculo[[#This Row],[NR_SIMULACAO]],tblVendas[[#This Row],[NR_SIMULACAO]],tblVendas[[#This Row],[VALOR_AVANCADO]],""),0)</f>
        <v>0</v>
      </c>
      <c r="H450">
        <f>IF(tblCalculo[[#This Row],[STATUS]]="CONCLUÍDO",_xlfn.XLOOKUP(tblCalculo[[#This Row],[NR_SIMULACAO]],tblVendas[[#This Row],[NR_SIMULACAO]],tblVendas[[#This Row],[VALOR_FIXABASICA]],""),0)</f>
        <v>0</v>
      </c>
      <c r="I450">
        <f>IF(tblCalculo[[#This Row],[STATUS]]="CONCLUÍDO",_xlfn.XLOOKUP(tblCalculo[[#This Row],[NR_SIMULACAO]],tblVendas[[#This Row],[NR_SIMULACAO]],tblVendas[[#This Row],[VALOR_TI]],""),0)</f>
        <v>0</v>
      </c>
      <c r="J450">
        <f>IF(tblCalculo[[#This Row],[STATUS]]="CONCLUÍDO",_xlfn.XLOOKUP(tblCalculo[[#This Row],[NR_SIMULACAO]],tblVendas[[#This Row],[NR_SIMULACAO]],tblVendas[[#This Row],[VALOR_APARELHO]],""),0)</f>
        <v>0</v>
      </c>
      <c r="K450" t="str">
        <f>IF(tblCalculo[[#This Row],[STATUS]]="NEGOCIANDO",tblCalculo[[#This Row],[VALOR_TOTAL]],"")</f>
        <v/>
      </c>
      <c r="L450" t="str">
        <f>IF(tblCalculo[[#This Row],[STATUS]]="ALÇADA",tblCalculo[[#This Row],[VALOR_TOTAL]],"")</f>
        <v/>
      </c>
      <c r="M450">
        <f>IF(tblCalculo[[#This Row],[STATUS]]="EM ANÁLISE",tblCalculo[[#This Row],[VALOR_TOTAL]],"")</f>
        <v>10732.77</v>
      </c>
      <c r="N450" t="str">
        <f>IF(tblCalculo[[#This Row],[STATUS]]="TRAMITANDO",tblCalculo[[#This Row],[VALOR_TOTAL]],"")</f>
        <v/>
      </c>
      <c r="O450" t="str">
        <f>IF(tblCalculo[[#This Row],[STATUS]]="PERDIDO",tblCalculo[[#This Row],[VALOR_TOTAL]],"")</f>
        <v/>
      </c>
      <c r="P450" t="str">
        <f>IF(tblCalculo[[#This Row],[STATUS]]="CONCLUÍDO",tblCalculo[[#This Row],[VALOR_TOTAL]],"")</f>
        <v/>
      </c>
    </row>
    <row r="451" spans="1:16" x14ac:dyDescent="0.25">
      <c r="A451" t="str">
        <f>tblVendas[[#This Row],[NR_SIMULACAO]]</f>
        <v>SIM1441</v>
      </c>
      <c r="B451" s="34" t="str">
        <f>_xlfn.XLOOKUP(A451,tblVendas[[#This Row],[NR_SIMULACAO]],tblVendas[[#This Row],[NR_CNPJ]],"")</f>
        <v>53.763.775/0001-70</v>
      </c>
      <c r="C451" t="str">
        <f>_xlfn.XLOOKUP(A451,tblVendas[[#This Row],[NR_SIMULACAO]],tblVendas[[#This Row],[STATUS]],"")</f>
        <v>EM ANÁLISE</v>
      </c>
      <c r="D451" t="str">
        <f>_xlfn.XLOOKUP(A451,tblVendas[[#This Row],[NR_SIMULACAO]],tblVendas[[#This Row],[MES]],"")</f>
        <v>Novembro</v>
      </c>
      <c r="E451">
        <f>SUM(_xlfn.XLOOKUP(tblCalculo[[#This Row],[NR_SIMULACAO]],tblVendas[[#This Row],[NR_SIMULACAO]],tblVendas[[#This Row],[VALOR_MOVEL]],""):_xlfn.XLOOKUP(tblCalculo[[#This Row],[NR_SIMULACAO]],tblVendas[[#This Row],[NR_SIMULACAO]],tblVendas[[#This Row],[VALOR_APARELHO]],""))</f>
        <v>14920.16</v>
      </c>
      <c r="F451">
        <f>IF(tblCalculo[[#This Row],[STATUS]]="CONCLUÍDO",_xlfn.XLOOKUP(tblCalculo[[#This Row],[NR_SIMULACAO]],tblVendas[[#This Row],[NR_SIMULACAO]],tblVendas[[#This Row],[VALOR_MOVEL]],""),0)</f>
        <v>0</v>
      </c>
      <c r="G451">
        <f>IF(tblCalculo[[#This Row],[STATUS]]="CONCLUÍDO",_xlfn.XLOOKUP(tblCalculo[[#This Row],[NR_SIMULACAO]],tblVendas[[#This Row],[NR_SIMULACAO]],tblVendas[[#This Row],[VALOR_AVANCADO]],""),0)</f>
        <v>0</v>
      </c>
      <c r="H451">
        <f>IF(tblCalculo[[#This Row],[STATUS]]="CONCLUÍDO",_xlfn.XLOOKUP(tblCalculo[[#This Row],[NR_SIMULACAO]],tblVendas[[#This Row],[NR_SIMULACAO]],tblVendas[[#This Row],[VALOR_FIXABASICA]],""),0)</f>
        <v>0</v>
      </c>
      <c r="I451">
        <f>IF(tblCalculo[[#This Row],[STATUS]]="CONCLUÍDO",_xlfn.XLOOKUP(tblCalculo[[#This Row],[NR_SIMULACAO]],tblVendas[[#This Row],[NR_SIMULACAO]],tblVendas[[#This Row],[VALOR_TI]],""),0)</f>
        <v>0</v>
      </c>
      <c r="J451">
        <f>IF(tblCalculo[[#This Row],[STATUS]]="CONCLUÍDO",_xlfn.XLOOKUP(tblCalculo[[#This Row],[NR_SIMULACAO]],tblVendas[[#This Row],[NR_SIMULACAO]],tblVendas[[#This Row],[VALOR_APARELHO]],""),0)</f>
        <v>0</v>
      </c>
      <c r="K451" t="str">
        <f>IF(tblCalculo[[#This Row],[STATUS]]="NEGOCIANDO",tblCalculo[[#This Row],[VALOR_TOTAL]],"")</f>
        <v/>
      </c>
      <c r="L451" t="str">
        <f>IF(tblCalculo[[#This Row],[STATUS]]="ALÇADA",tblCalculo[[#This Row],[VALOR_TOTAL]],"")</f>
        <v/>
      </c>
      <c r="M451">
        <f>IF(tblCalculo[[#This Row],[STATUS]]="EM ANÁLISE",tblCalculo[[#This Row],[VALOR_TOTAL]],"")</f>
        <v>14920.16</v>
      </c>
      <c r="N451" t="str">
        <f>IF(tblCalculo[[#This Row],[STATUS]]="TRAMITANDO",tblCalculo[[#This Row],[VALOR_TOTAL]],"")</f>
        <v/>
      </c>
      <c r="O451" t="str">
        <f>IF(tblCalculo[[#This Row],[STATUS]]="PERDIDO",tblCalculo[[#This Row],[VALOR_TOTAL]],"")</f>
        <v/>
      </c>
      <c r="P451" t="str">
        <f>IF(tblCalculo[[#This Row],[STATUS]]="CONCLUÍDO",tblCalculo[[#This Row],[VALOR_TOTAL]],"")</f>
        <v/>
      </c>
    </row>
    <row r="452" spans="1:16" x14ac:dyDescent="0.25">
      <c r="A452" t="str">
        <f>tblVendas[[#This Row],[NR_SIMULACAO]]</f>
        <v>SIM1442</v>
      </c>
      <c r="B452" s="34" t="str">
        <f>_xlfn.XLOOKUP(A452,tblVendas[[#This Row],[NR_SIMULACAO]],tblVendas[[#This Row],[NR_CNPJ]],"")</f>
        <v>38.711.258/0001-71</v>
      </c>
      <c r="C452" t="str">
        <f>_xlfn.XLOOKUP(A452,tblVendas[[#This Row],[NR_SIMULACAO]],tblVendas[[#This Row],[STATUS]],"")</f>
        <v>ALÇADA</v>
      </c>
      <c r="D452" t="str">
        <f>_xlfn.XLOOKUP(A452,tblVendas[[#This Row],[NR_SIMULACAO]],tblVendas[[#This Row],[MES]],"")</f>
        <v>Junho</v>
      </c>
      <c r="E452">
        <f>SUM(_xlfn.XLOOKUP(tblCalculo[[#This Row],[NR_SIMULACAO]],tblVendas[[#This Row],[NR_SIMULACAO]],tblVendas[[#This Row],[VALOR_MOVEL]],""):_xlfn.XLOOKUP(tblCalculo[[#This Row],[NR_SIMULACAO]],tblVendas[[#This Row],[NR_SIMULACAO]],tblVendas[[#This Row],[VALOR_APARELHO]],""))</f>
        <v>13542.21</v>
      </c>
      <c r="F452">
        <f>IF(tblCalculo[[#This Row],[STATUS]]="CONCLUÍDO",_xlfn.XLOOKUP(tblCalculo[[#This Row],[NR_SIMULACAO]],tblVendas[[#This Row],[NR_SIMULACAO]],tblVendas[[#This Row],[VALOR_MOVEL]],""),0)</f>
        <v>0</v>
      </c>
      <c r="G452">
        <f>IF(tblCalculo[[#This Row],[STATUS]]="CONCLUÍDO",_xlfn.XLOOKUP(tblCalculo[[#This Row],[NR_SIMULACAO]],tblVendas[[#This Row],[NR_SIMULACAO]],tblVendas[[#This Row],[VALOR_AVANCADO]],""),0)</f>
        <v>0</v>
      </c>
      <c r="H452">
        <f>IF(tblCalculo[[#This Row],[STATUS]]="CONCLUÍDO",_xlfn.XLOOKUP(tblCalculo[[#This Row],[NR_SIMULACAO]],tblVendas[[#This Row],[NR_SIMULACAO]],tblVendas[[#This Row],[VALOR_FIXABASICA]],""),0)</f>
        <v>0</v>
      </c>
      <c r="I452">
        <f>IF(tblCalculo[[#This Row],[STATUS]]="CONCLUÍDO",_xlfn.XLOOKUP(tblCalculo[[#This Row],[NR_SIMULACAO]],tblVendas[[#This Row],[NR_SIMULACAO]],tblVendas[[#This Row],[VALOR_TI]],""),0)</f>
        <v>0</v>
      </c>
      <c r="J452">
        <f>IF(tblCalculo[[#This Row],[STATUS]]="CONCLUÍDO",_xlfn.XLOOKUP(tblCalculo[[#This Row],[NR_SIMULACAO]],tblVendas[[#This Row],[NR_SIMULACAO]],tblVendas[[#This Row],[VALOR_APARELHO]],""),0)</f>
        <v>0</v>
      </c>
      <c r="K452" t="str">
        <f>IF(tblCalculo[[#This Row],[STATUS]]="NEGOCIANDO",tblCalculo[[#This Row],[VALOR_TOTAL]],"")</f>
        <v/>
      </c>
      <c r="L452">
        <f>IF(tblCalculo[[#This Row],[STATUS]]="ALÇADA",tblCalculo[[#This Row],[VALOR_TOTAL]],"")</f>
        <v>13542.21</v>
      </c>
      <c r="M452" t="str">
        <f>IF(tblCalculo[[#This Row],[STATUS]]="EM ANÁLISE",tblCalculo[[#This Row],[VALOR_TOTAL]],"")</f>
        <v/>
      </c>
      <c r="N452" t="str">
        <f>IF(tblCalculo[[#This Row],[STATUS]]="TRAMITANDO",tblCalculo[[#This Row],[VALOR_TOTAL]],"")</f>
        <v/>
      </c>
      <c r="O452" t="str">
        <f>IF(tblCalculo[[#This Row],[STATUS]]="PERDIDO",tblCalculo[[#This Row],[VALOR_TOTAL]],"")</f>
        <v/>
      </c>
      <c r="P452" t="str">
        <f>IF(tblCalculo[[#This Row],[STATUS]]="CONCLUÍDO",tblCalculo[[#This Row],[VALOR_TOTAL]],"")</f>
        <v/>
      </c>
    </row>
    <row r="453" spans="1:16" x14ac:dyDescent="0.25">
      <c r="A453" t="str">
        <f>tblVendas[[#This Row],[NR_SIMULACAO]]</f>
        <v>SIM1443</v>
      </c>
      <c r="B453" s="34" t="str">
        <f>_xlfn.XLOOKUP(A453,tblVendas[[#This Row],[NR_SIMULACAO]],tblVendas[[#This Row],[NR_CNPJ]],"")</f>
        <v>91.860.726/0001-98</v>
      </c>
      <c r="C453" t="str">
        <f>_xlfn.XLOOKUP(A453,tblVendas[[#This Row],[NR_SIMULACAO]],tblVendas[[#This Row],[STATUS]],"")</f>
        <v>ALÇADA</v>
      </c>
      <c r="D453" t="str">
        <f>_xlfn.XLOOKUP(A453,tblVendas[[#This Row],[NR_SIMULACAO]],tblVendas[[#This Row],[MES]],"")</f>
        <v>Agosto</v>
      </c>
      <c r="E453">
        <f>SUM(_xlfn.XLOOKUP(tblCalculo[[#This Row],[NR_SIMULACAO]],tblVendas[[#This Row],[NR_SIMULACAO]],tblVendas[[#This Row],[VALOR_MOVEL]],""):_xlfn.XLOOKUP(tblCalculo[[#This Row],[NR_SIMULACAO]],tblVendas[[#This Row],[NR_SIMULACAO]],tblVendas[[#This Row],[VALOR_APARELHO]],""))</f>
        <v>10637.660000000002</v>
      </c>
      <c r="F453">
        <f>IF(tblCalculo[[#This Row],[STATUS]]="CONCLUÍDO",_xlfn.XLOOKUP(tblCalculo[[#This Row],[NR_SIMULACAO]],tblVendas[[#This Row],[NR_SIMULACAO]],tblVendas[[#This Row],[VALOR_MOVEL]],""),0)</f>
        <v>0</v>
      </c>
      <c r="G453">
        <f>IF(tblCalculo[[#This Row],[STATUS]]="CONCLUÍDO",_xlfn.XLOOKUP(tblCalculo[[#This Row],[NR_SIMULACAO]],tblVendas[[#This Row],[NR_SIMULACAO]],tblVendas[[#This Row],[VALOR_AVANCADO]],""),0)</f>
        <v>0</v>
      </c>
      <c r="H453">
        <f>IF(tblCalculo[[#This Row],[STATUS]]="CONCLUÍDO",_xlfn.XLOOKUP(tblCalculo[[#This Row],[NR_SIMULACAO]],tblVendas[[#This Row],[NR_SIMULACAO]],tblVendas[[#This Row],[VALOR_FIXABASICA]],""),0)</f>
        <v>0</v>
      </c>
      <c r="I453">
        <f>IF(tblCalculo[[#This Row],[STATUS]]="CONCLUÍDO",_xlfn.XLOOKUP(tblCalculo[[#This Row],[NR_SIMULACAO]],tblVendas[[#This Row],[NR_SIMULACAO]],tblVendas[[#This Row],[VALOR_TI]],""),0)</f>
        <v>0</v>
      </c>
      <c r="J453">
        <f>IF(tblCalculo[[#This Row],[STATUS]]="CONCLUÍDO",_xlfn.XLOOKUP(tblCalculo[[#This Row],[NR_SIMULACAO]],tblVendas[[#This Row],[NR_SIMULACAO]],tblVendas[[#This Row],[VALOR_APARELHO]],""),0)</f>
        <v>0</v>
      </c>
      <c r="K453" t="str">
        <f>IF(tblCalculo[[#This Row],[STATUS]]="NEGOCIANDO",tblCalculo[[#This Row],[VALOR_TOTAL]],"")</f>
        <v/>
      </c>
      <c r="L453">
        <f>IF(tblCalculo[[#This Row],[STATUS]]="ALÇADA",tblCalculo[[#This Row],[VALOR_TOTAL]],"")</f>
        <v>10637.660000000002</v>
      </c>
      <c r="M453" t="str">
        <f>IF(tblCalculo[[#This Row],[STATUS]]="EM ANÁLISE",tblCalculo[[#This Row],[VALOR_TOTAL]],"")</f>
        <v/>
      </c>
      <c r="N453" t="str">
        <f>IF(tblCalculo[[#This Row],[STATUS]]="TRAMITANDO",tblCalculo[[#This Row],[VALOR_TOTAL]],"")</f>
        <v/>
      </c>
      <c r="O453" t="str">
        <f>IF(tblCalculo[[#This Row],[STATUS]]="PERDIDO",tblCalculo[[#This Row],[VALOR_TOTAL]],"")</f>
        <v/>
      </c>
      <c r="P453" t="str">
        <f>IF(tblCalculo[[#This Row],[STATUS]]="CONCLUÍDO",tblCalculo[[#This Row],[VALOR_TOTAL]],"")</f>
        <v/>
      </c>
    </row>
    <row r="454" spans="1:16" x14ac:dyDescent="0.25">
      <c r="A454" t="str">
        <f>tblVendas[[#This Row],[NR_SIMULACAO]]</f>
        <v>SIM1444</v>
      </c>
      <c r="B454" s="34" t="str">
        <f>_xlfn.XLOOKUP(A454,tblVendas[[#This Row],[NR_SIMULACAO]],tblVendas[[#This Row],[NR_CNPJ]],"")</f>
        <v>63.250.375/0001-94</v>
      </c>
      <c r="C454" t="str">
        <f>_xlfn.XLOOKUP(A454,tblVendas[[#This Row],[NR_SIMULACAO]],tblVendas[[#This Row],[STATUS]],"")</f>
        <v>CONCLUÍDO</v>
      </c>
      <c r="D454" t="str">
        <f>_xlfn.XLOOKUP(A454,tblVendas[[#This Row],[NR_SIMULACAO]],tblVendas[[#This Row],[MES]],"")</f>
        <v>Janeiro</v>
      </c>
      <c r="E454">
        <f>SUM(_xlfn.XLOOKUP(tblCalculo[[#This Row],[NR_SIMULACAO]],tblVendas[[#This Row],[NR_SIMULACAO]],tblVendas[[#This Row],[VALOR_MOVEL]],""):_xlfn.XLOOKUP(tblCalculo[[#This Row],[NR_SIMULACAO]],tblVendas[[#This Row],[NR_SIMULACAO]],tblVendas[[#This Row],[VALOR_APARELHO]],""))</f>
        <v>3666.1</v>
      </c>
      <c r="F454">
        <f>IF(tblCalculo[[#This Row],[STATUS]]="CONCLUÍDO",_xlfn.XLOOKUP(tblCalculo[[#This Row],[NR_SIMULACAO]],tblVendas[[#This Row],[NR_SIMULACAO]],tblVendas[[#This Row],[VALOR_MOVEL]],""),0)</f>
        <v>121.97</v>
      </c>
      <c r="G454">
        <f>IF(tblCalculo[[#This Row],[STATUS]]="CONCLUÍDO",_xlfn.XLOOKUP(tblCalculo[[#This Row],[NR_SIMULACAO]],tblVendas[[#This Row],[NR_SIMULACAO]],tblVendas[[#This Row],[VALOR_AVANCADO]],""),0)</f>
        <v>0</v>
      </c>
      <c r="H454">
        <f>IF(tblCalculo[[#This Row],[STATUS]]="CONCLUÍDO",_xlfn.XLOOKUP(tblCalculo[[#This Row],[NR_SIMULACAO]],tblVendas[[#This Row],[NR_SIMULACAO]],tblVendas[[#This Row],[VALOR_FIXABASICA]],""),0)</f>
        <v>0</v>
      </c>
      <c r="I454">
        <f>IF(tblCalculo[[#This Row],[STATUS]]="CONCLUÍDO",_xlfn.XLOOKUP(tblCalculo[[#This Row],[NR_SIMULACAO]],tblVendas[[#This Row],[NR_SIMULACAO]],tblVendas[[#This Row],[VALOR_TI]],""),0)</f>
        <v>3544.13</v>
      </c>
      <c r="J454">
        <f>IF(tblCalculo[[#This Row],[STATUS]]="CONCLUÍDO",_xlfn.XLOOKUP(tblCalculo[[#This Row],[NR_SIMULACAO]],tblVendas[[#This Row],[NR_SIMULACAO]],tblVendas[[#This Row],[VALOR_APARELHO]],""),0)</f>
        <v>0</v>
      </c>
      <c r="K454" t="str">
        <f>IF(tblCalculo[[#This Row],[STATUS]]="NEGOCIANDO",tblCalculo[[#This Row],[VALOR_TOTAL]],"")</f>
        <v/>
      </c>
      <c r="L454" t="str">
        <f>IF(tblCalculo[[#This Row],[STATUS]]="ALÇADA",tblCalculo[[#This Row],[VALOR_TOTAL]],"")</f>
        <v/>
      </c>
      <c r="M454" t="str">
        <f>IF(tblCalculo[[#This Row],[STATUS]]="EM ANÁLISE",tblCalculo[[#This Row],[VALOR_TOTAL]],"")</f>
        <v/>
      </c>
      <c r="N454" t="str">
        <f>IF(tblCalculo[[#This Row],[STATUS]]="TRAMITANDO",tblCalculo[[#This Row],[VALOR_TOTAL]],"")</f>
        <v/>
      </c>
      <c r="O454" t="str">
        <f>IF(tblCalculo[[#This Row],[STATUS]]="PERDIDO",tblCalculo[[#This Row],[VALOR_TOTAL]],"")</f>
        <v/>
      </c>
      <c r="P454">
        <f>IF(tblCalculo[[#This Row],[STATUS]]="CONCLUÍDO",tblCalculo[[#This Row],[VALOR_TOTAL]],"")</f>
        <v>3666.1</v>
      </c>
    </row>
    <row r="455" spans="1:16" x14ac:dyDescent="0.25">
      <c r="A455" t="str">
        <f>tblVendas[[#This Row],[NR_SIMULACAO]]</f>
        <v>SIM1445</v>
      </c>
      <c r="B455" s="34" t="str">
        <f>_xlfn.XLOOKUP(A455,tblVendas[[#This Row],[NR_SIMULACAO]],tblVendas[[#This Row],[NR_CNPJ]],"")</f>
        <v>22.317.267/0001-55</v>
      </c>
      <c r="C455" t="str">
        <f>_xlfn.XLOOKUP(A455,tblVendas[[#This Row],[NR_SIMULACAO]],tblVendas[[#This Row],[STATUS]],"")</f>
        <v>NEGOCIANDO</v>
      </c>
      <c r="D455" t="str">
        <f>_xlfn.XLOOKUP(A455,tblVendas[[#This Row],[NR_SIMULACAO]],tblVendas[[#This Row],[MES]],"")</f>
        <v>Dezembro</v>
      </c>
      <c r="E455">
        <f>SUM(_xlfn.XLOOKUP(tblCalculo[[#This Row],[NR_SIMULACAO]],tblVendas[[#This Row],[NR_SIMULACAO]],tblVendas[[#This Row],[VALOR_MOVEL]],""):_xlfn.XLOOKUP(tblCalculo[[#This Row],[NR_SIMULACAO]],tblVendas[[#This Row],[NR_SIMULACAO]],tblVendas[[#This Row],[VALOR_APARELHO]],""))</f>
        <v>12706.24</v>
      </c>
      <c r="F455">
        <f>IF(tblCalculo[[#This Row],[STATUS]]="CONCLUÍDO",_xlfn.XLOOKUP(tblCalculo[[#This Row],[NR_SIMULACAO]],tblVendas[[#This Row],[NR_SIMULACAO]],tblVendas[[#This Row],[VALOR_MOVEL]],""),0)</f>
        <v>0</v>
      </c>
      <c r="G455">
        <f>IF(tblCalculo[[#This Row],[STATUS]]="CONCLUÍDO",_xlfn.XLOOKUP(tblCalculo[[#This Row],[NR_SIMULACAO]],tblVendas[[#This Row],[NR_SIMULACAO]],tblVendas[[#This Row],[VALOR_AVANCADO]],""),0)</f>
        <v>0</v>
      </c>
      <c r="H455">
        <f>IF(tblCalculo[[#This Row],[STATUS]]="CONCLUÍDO",_xlfn.XLOOKUP(tblCalculo[[#This Row],[NR_SIMULACAO]],tblVendas[[#This Row],[NR_SIMULACAO]],tblVendas[[#This Row],[VALOR_FIXABASICA]],""),0)</f>
        <v>0</v>
      </c>
      <c r="I455">
        <f>IF(tblCalculo[[#This Row],[STATUS]]="CONCLUÍDO",_xlfn.XLOOKUP(tblCalculo[[#This Row],[NR_SIMULACAO]],tblVendas[[#This Row],[NR_SIMULACAO]],tblVendas[[#This Row],[VALOR_TI]],""),0)</f>
        <v>0</v>
      </c>
      <c r="J455">
        <f>IF(tblCalculo[[#This Row],[STATUS]]="CONCLUÍDO",_xlfn.XLOOKUP(tblCalculo[[#This Row],[NR_SIMULACAO]],tblVendas[[#This Row],[NR_SIMULACAO]],tblVendas[[#This Row],[VALOR_APARELHO]],""),0)</f>
        <v>0</v>
      </c>
      <c r="K455">
        <f>IF(tblCalculo[[#This Row],[STATUS]]="NEGOCIANDO",tblCalculo[[#This Row],[VALOR_TOTAL]],"")</f>
        <v>12706.24</v>
      </c>
      <c r="L455" t="str">
        <f>IF(tblCalculo[[#This Row],[STATUS]]="ALÇADA",tblCalculo[[#This Row],[VALOR_TOTAL]],"")</f>
        <v/>
      </c>
      <c r="M455" t="str">
        <f>IF(tblCalculo[[#This Row],[STATUS]]="EM ANÁLISE",tblCalculo[[#This Row],[VALOR_TOTAL]],"")</f>
        <v/>
      </c>
      <c r="N455" t="str">
        <f>IF(tblCalculo[[#This Row],[STATUS]]="TRAMITANDO",tblCalculo[[#This Row],[VALOR_TOTAL]],"")</f>
        <v/>
      </c>
      <c r="O455" t="str">
        <f>IF(tblCalculo[[#This Row],[STATUS]]="PERDIDO",tblCalculo[[#This Row],[VALOR_TOTAL]],"")</f>
        <v/>
      </c>
      <c r="P455" t="str">
        <f>IF(tblCalculo[[#This Row],[STATUS]]="CONCLUÍDO",tblCalculo[[#This Row],[VALOR_TOTAL]],"")</f>
        <v/>
      </c>
    </row>
    <row r="456" spans="1:16" x14ac:dyDescent="0.25">
      <c r="A456" t="str">
        <f>tblVendas[[#This Row],[NR_SIMULACAO]]</f>
        <v>SIM1446</v>
      </c>
      <c r="B456" s="34" t="str">
        <f>_xlfn.XLOOKUP(A456,tblVendas[[#This Row],[NR_SIMULACAO]],tblVendas[[#This Row],[NR_CNPJ]],"")</f>
        <v>84.992.967/0001-63</v>
      </c>
      <c r="C456" t="str">
        <f>_xlfn.XLOOKUP(A456,tblVendas[[#This Row],[NR_SIMULACAO]],tblVendas[[#This Row],[STATUS]],"")</f>
        <v>ALÇADA</v>
      </c>
      <c r="D456" t="str">
        <f>_xlfn.XLOOKUP(A456,tblVendas[[#This Row],[NR_SIMULACAO]],tblVendas[[#This Row],[MES]],"")</f>
        <v>Dezembro</v>
      </c>
      <c r="E456">
        <f>SUM(_xlfn.XLOOKUP(tblCalculo[[#This Row],[NR_SIMULACAO]],tblVendas[[#This Row],[NR_SIMULACAO]],tblVendas[[#This Row],[VALOR_MOVEL]],""):_xlfn.XLOOKUP(tblCalculo[[#This Row],[NR_SIMULACAO]],tblVendas[[#This Row],[NR_SIMULACAO]],tblVendas[[#This Row],[VALOR_APARELHO]],""))</f>
        <v>22053.1</v>
      </c>
      <c r="F456">
        <f>IF(tblCalculo[[#This Row],[STATUS]]="CONCLUÍDO",_xlfn.XLOOKUP(tblCalculo[[#This Row],[NR_SIMULACAO]],tblVendas[[#This Row],[NR_SIMULACAO]],tblVendas[[#This Row],[VALOR_MOVEL]],""),0)</f>
        <v>0</v>
      </c>
      <c r="G456">
        <f>IF(tblCalculo[[#This Row],[STATUS]]="CONCLUÍDO",_xlfn.XLOOKUP(tblCalculo[[#This Row],[NR_SIMULACAO]],tblVendas[[#This Row],[NR_SIMULACAO]],tblVendas[[#This Row],[VALOR_AVANCADO]],""),0)</f>
        <v>0</v>
      </c>
      <c r="H456">
        <f>IF(tblCalculo[[#This Row],[STATUS]]="CONCLUÍDO",_xlfn.XLOOKUP(tblCalculo[[#This Row],[NR_SIMULACAO]],tblVendas[[#This Row],[NR_SIMULACAO]],tblVendas[[#This Row],[VALOR_FIXABASICA]],""),0)</f>
        <v>0</v>
      </c>
      <c r="I456">
        <f>IF(tblCalculo[[#This Row],[STATUS]]="CONCLUÍDO",_xlfn.XLOOKUP(tblCalculo[[#This Row],[NR_SIMULACAO]],tblVendas[[#This Row],[NR_SIMULACAO]],tblVendas[[#This Row],[VALOR_TI]],""),0)</f>
        <v>0</v>
      </c>
      <c r="J456">
        <f>IF(tblCalculo[[#This Row],[STATUS]]="CONCLUÍDO",_xlfn.XLOOKUP(tblCalculo[[#This Row],[NR_SIMULACAO]],tblVendas[[#This Row],[NR_SIMULACAO]],tblVendas[[#This Row],[VALOR_APARELHO]],""),0)</f>
        <v>0</v>
      </c>
      <c r="K456" t="str">
        <f>IF(tblCalculo[[#This Row],[STATUS]]="NEGOCIANDO",tblCalculo[[#This Row],[VALOR_TOTAL]],"")</f>
        <v/>
      </c>
      <c r="L456">
        <f>IF(tblCalculo[[#This Row],[STATUS]]="ALÇADA",tblCalculo[[#This Row],[VALOR_TOTAL]],"")</f>
        <v>22053.1</v>
      </c>
      <c r="M456" t="str">
        <f>IF(tblCalculo[[#This Row],[STATUS]]="EM ANÁLISE",tblCalculo[[#This Row],[VALOR_TOTAL]],"")</f>
        <v/>
      </c>
      <c r="N456" t="str">
        <f>IF(tblCalculo[[#This Row],[STATUS]]="TRAMITANDO",tblCalculo[[#This Row],[VALOR_TOTAL]],"")</f>
        <v/>
      </c>
      <c r="O456" t="str">
        <f>IF(tblCalculo[[#This Row],[STATUS]]="PERDIDO",tblCalculo[[#This Row],[VALOR_TOTAL]],"")</f>
        <v/>
      </c>
      <c r="P456" t="str">
        <f>IF(tblCalculo[[#This Row],[STATUS]]="CONCLUÍDO",tblCalculo[[#This Row],[VALOR_TOTAL]],"")</f>
        <v/>
      </c>
    </row>
    <row r="457" spans="1:16" x14ac:dyDescent="0.25">
      <c r="A457" t="str">
        <f>tblVendas[[#This Row],[NR_SIMULACAO]]</f>
        <v>SIM1447</v>
      </c>
      <c r="B457" s="34" t="str">
        <f>_xlfn.XLOOKUP(A457,tblVendas[[#This Row],[NR_SIMULACAO]],tblVendas[[#This Row],[NR_CNPJ]],"")</f>
        <v>20.967.988/0001-27</v>
      </c>
      <c r="C457" t="str">
        <f>_xlfn.XLOOKUP(A457,tblVendas[[#This Row],[NR_SIMULACAO]],tblVendas[[#This Row],[STATUS]],"")</f>
        <v>PERDIDO</v>
      </c>
      <c r="D457" t="str">
        <f>_xlfn.XLOOKUP(A457,tblVendas[[#This Row],[NR_SIMULACAO]],tblVendas[[#This Row],[MES]],"")</f>
        <v>Agosto</v>
      </c>
      <c r="E457">
        <f>SUM(_xlfn.XLOOKUP(tblCalculo[[#This Row],[NR_SIMULACAO]],tblVendas[[#This Row],[NR_SIMULACAO]],tblVendas[[#This Row],[VALOR_MOVEL]],""):_xlfn.XLOOKUP(tblCalculo[[#This Row],[NR_SIMULACAO]],tblVendas[[#This Row],[NR_SIMULACAO]],tblVendas[[#This Row],[VALOR_APARELHO]],""))</f>
        <v>3769.2</v>
      </c>
      <c r="F457">
        <f>IF(tblCalculo[[#This Row],[STATUS]]="CONCLUÍDO",_xlfn.XLOOKUP(tblCalculo[[#This Row],[NR_SIMULACAO]],tblVendas[[#This Row],[NR_SIMULACAO]],tblVendas[[#This Row],[VALOR_MOVEL]],""),0)</f>
        <v>0</v>
      </c>
      <c r="G457">
        <f>IF(tblCalculo[[#This Row],[STATUS]]="CONCLUÍDO",_xlfn.XLOOKUP(tblCalculo[[#This Row],[NR_SIMULACAO]],tblVendas[[#This Row],[NR_SIMULACAO]],tblVendas[[#This Row],[VALOR_AVANCADO]],""),0)</f>
        <v>0</v>
      </c>
      <c r="H457">
        <f>IF(tblCalculo[[#This Row],[STATUS]]="CONCLUÍDO",_xlfn.XLOOKUP(tblCalculo[[#This Row],[NR_SIMULACAO]],tblVendas[[#This Row],[NR_SIMULACAO]],tblVendas[[#This Row],[VALOR_FIXABASICA]],""),0)</f>
        <v>0</v>
      </c>
      <c r="I457">
        <f>IF(tblCalculo[[#This Row],[STATUS]]="CONCLUÍDO",_xlfn.XLOOKUP(tblCalculo[[#This Row],[NR_SIMULACAO]],tblVendas[[#This Row],[NR_SIMULACAO]],tblVendas[[#This Row],[VALOR_TI]],""),0)</f>
        <v>0</v>
      </c>
      <c r="J457">
        <f>IF(tblCalculo[[#This Row],[STATUS]]="CONCLUÍDO",_xlfn.XLOOKUP(tblCalculo[[#This Row],[NR_SIMULACAO]],tblVendas[[#This Row],[NR_SIMULACAO]],tblVendas[[#This Row],[VALOR_APARELHO]],""),0)</f>
        <v>0</v>
      </c>
      <c r="K457" t="str">
        <f>IF(tblCalculo[[#This Row],[STATUS]]="NEGOCIANDO",tblCalculo[[#This Row],[VALOR_TOTAL]],"")</f>
        <v/>
      </c>
      <c r="L457" t="str">
        <f>IF(tblCalculo[[#This Row],[STATUS]]="ALÇADA",tblCalculo[[#This Row],[VALOR_TOTAL]],"")</f>
        <v/>
      </c>
      <c r="M457" t="str">
        <f>IF(tblCalculo[[#This Row],[STATUS]]="EM ANÁLISE",tblCalculo[[#This Row],[VALOR_TOTAL]],"")</f>
        <v/>
      </c>
      <c r="N457" t="str">
        <f>IF(tblCalculo[[#This Row],[STATUS]]="TRAMITANDO",tblCalculo[[#This Row],[VALOR_TOTAL]],"")</f>
        <v/>
      </c>
      <c r="O457">
        <f>IF(tblCalculo[[#This Row],[STATUS]]="PERDIDO",tblCalculo[[#This Row],[VALOR_TOTAL]],"")</f>
        <v>3769.2</v>
      </c>
      <c r="P457" t="str">
        <f>IF(tblCalculo[[#This Row],[STATUS]]="CONCLUÍDO",tblCalculo[[#This Row],[VALOR_TOTAL]],"")</f>
        <v/>
      </c>
    </row>
    <row r="458" spans="1:16" x14ac:dyDescent="0.25">
      <c r="A458" t="str">
        <f>tblVendas[[#This Row],[NR_SIMULACAO]]</f>
        <v>SIM1448</v>
      </c>
      <c r="B458" s="34" t="str">
        <f>_xlfn.XLOOKUP(A458,tblVendas[[#This Row],[NR_SIMULACAO]],tblVendas[[#This Row],[NR_CNPJ]],"")</f>
        <v>82.719.275/0001-62</v>
      </c>
      <c r="C458" t="str">
        <f>_xlfn.XLOOKUP(A458,tblVendas[[#This Row],[NR_SIMULACAO]],tblVendas[[#This Row],[STATUS]],"")</f>
        <v>NEGOCIANDO</v>
      </c>
      <c r="D458" t="str">
        <f>_xlfn.XLOOKUP(A458,tblVendas[[#This Row],[NR_SIMULACAO]],tblVendas[[#This Row],[MES]],"")</f>
        <v>Maio</v>
      </c>
      <c r="E458">
        <f>SUM(_xlfn.XLOOKUP(tblCalculo[[#This Row],[NR_SIMULACAO]],tblVendas[[#This Row],[NR_SIMULACAO]],tblVendas[[#This Row],[VALOR_MOVEL]],""):_xlfn.XLOOKUP(tblCalculo[[#This Row],[NR_SIMULACAO]],tblVendas[[#This Row],[NR_SIMULACAO]],tblVendas[[#This Row],[VALOR_APARELHO]],""))</f>
        <v>13614.56</v>
      </c>
      <c r="F458">
        <f>IF(tblCalculo[[#This Row],[STATUS]]="CONCLUÍDO",_xlfn.XLOOKUP(tblCalculo[[#This Row],[NR_SIMULACAO]],tblVendas[[#This Row],[NR_SIMULACAO]],tblVendas[[#This Row],[VALOR_MOVEL]],""),0)</f>
        <v>0</v>
      </c>
      <c r="G458">
        <f>IF(tblCalculo[[#This Row],[STATUS]]="CONCLUÍDO",_xlfn.XLOOKUP(tblCalculo[[#This Row],[NR_SIMULACAO]],tblVendas[[#This Row],[NR_SIMULACAO]],tblVendas[[#This Row],[VALOR_AVANCADO]],""),0)</f>
        <v>0</v>
      </c>
      <c r="H458">
        <f>IF(tblCalculo[[#This Row],[STATUS]]="CONCLUÍDO",_xlfn.XLOOKUP(tblCalculo[[#This Row],[NR_SIMULACAO]],tblVendas[[#This Row],[NR_SIMULACAO]],tblVendas[[#This Row],[VALOR_FIXABASICA]],""),0)</f>
        <v>0</v>
      </c>
      <c r="I458">
        <f>IF(tblCalculo[[#This Row],[STATUS]]="CONCLUÍDO",_xlfn.XLOOKUP(tblCalculo[[#This Row],[NR_SIMULACAO]],tblVendas[[#This Row],[NR_SIMULACAO]],tblVendas[[#This Row],[VALOR_TI]],""),0)</f>
        <v>0</v>
      </c>
      <c r="J458">
        <f>IF(tblCalculo[[#This Row],[STATUS]]="CONCLUÍDO",_xlfn.XLOOKUP(tblCalculo[[#This Row],[NR_SIMULACAO]],tblVendas[[#This Row],[NR_SIMULACAO]],tblVendas[[#This Row],[VALOR_APARELHO]],""),0)</f>
        <v>0</v>
      </c>
      <c r="K458">
        <f>IF(tblCalculo[[#This Row],[STATUS]]="NEGOCIANDO",tblCalculo[[#This Row],[VALOR_TOTAL]],"")</f>
        <v>13614.56</v>
      </c>
      <c r="L458" t="str">
        <f>IF(tblCalculo[[#This Row],[STATUS]]="ALÇADA",tblCalculo[[#This Row],[VALOR_TOTAL]],"")</f>
        <v/>
      </c>
      <c r="M458" t="str">
        <f>IF(tblCalculo[[#This Row],[STATUS]]="EM ANÁLISE",tblCalculo[[#This Row],[VALOR_TOTAL]],"")</f>
        <v/>
      </c>
      <c r="N458" t="str">
        <f>IF(tblCalculo[[#This Row],[STATUS]]="TRAMITANDO",tblCalculo[[#This Row],[VALOR_TOTAL]],"")</f>
        <v/>
      </c>
      <c r="O458" t="str">
        <f>IF(tblCalculo[[#This Row],[STATUS]]="PERDIDO",tblCalculo[[#This Row],[VALOR_TOTAL]],"")</f>
        <v/>
      </c>
      <c r="P458" t="str">
        <f>IF(tblCalculo[[#This Row],[STATUS]]="CONCLUÍDO",tblCalculo[[#This Row],[VALOR_TOTAL]],"")</f>
        <v/>
      </c>
    </row>
    <row r="459" spans="1:16" x14ac:dyDescent="0.25">
      <c r="A459" t="str">
        <f>tblVendas[[#This Row],[NR_SIMULACAO]]</f>
        <v>SIM1449</v>
      </c>
      <c r="B459" s="34" t="str">
        <f>_xlfn.XLOOKUP(A459,tblVendas[[#This Row],[NR_SIMULACAO]],tblVendas[[#This Row],[NR_CNPJ]],"")</f>
        <v>29.907.326/0001-11</v>
      </c>
      <c r="C459" t="str">
        <f>_xlfn.XLOOKUP(A459,tblVendas[[#This Row],[NR_SIMULACAO]],tblVendas[[#This Row],[STATUS]],"")</f>
        <v>ALÇADA</v>
      </c>
      <c r="D459" t="str">
        <f>_xlfn.XLOOKUP(A459,tblVendas[[#This Row],[NR_SIMULACAO]],tblVendas[[#This Row],[MES]],"")</f>
        <v>Agosto</v>
      </c>
      <c r="E459">
        <f>SUM(_xlfn.XLOOKUP(tblCalculo[[#This Row],[NR_SIMULACAO]],tblVendas[[#This Row],[NR_SIMULACAO]],tblVendas[[#This Row],[VALOR_MOVEL]],""):_xlfn.XLOOKUP(tblCalculo[[#This Row],[NR_SIMULACAO]],tblVendas[[#This Row],[NR_SIMULACAO]],tblVendas[[#This Row],[VALOR_APARELHO]],""))</f>
        <v>7678.73</v>
      </c>
      <c r="F459">
        <f>IF(tblCalculo[[#This Row],[STATUS]]="CONCLUÍDO",_xlfn.XLOOKUP(tblCalculo[[#This Row],[NR_SIMULACAO]],tblVendas[[#This Row],[NR_SIMULACAO]],tblVendas[[#This Row],[VALOR_MOVEL]],""),0)</f>
        <v>0</v>
      </c>
      <c r="G459">
        <f>IF(tblCalculo[[#This Row],[STATUS]]="CONCLUÍDO",_xlfn.XLOOKUP(tblCalculo[[#This Row],[NR_SIMULACAO]],tblVendas[[#This Row],[NR_SIMULACAO]],tblVendas[[#This Row],[VALOR_AVANCADO]],""),0)</f>
        <v>0</v>
      </c>
      <c r="H459">
        <f>IF(tblCalculo[[#This Row],[STATUS]]="CONCLUÍDO",_xlfn.XLOOKUP(tblCalculo[[#This Row],[NR_SIMULACAO]],tblVendas[[#This Row],[NR_SIMULACAO]],tblVendas[[#This Row],[VALOR_FIXABASICA]],""),0)</f>
        <v>0</v>
      </c>
      <c r="I459">
        <f>IF(tblCalculo[[#This Row],[STATUS]]="CONCLUÍDO",_xlfn.XLOOKUP(tblCalculo[[#This Row],[NR_SIMULACAO]],tblVendas[[#This Row],[NR_SIMULACAO]],tblVendas[[#This Row],[VALOR_TI]],""),0)</f>
        <v>0</v>
      </c>
      <c r="J459">
        <f>IF(tblCalculo[[#This Row],[STATUS]]="CONCLUÍDO",_xlfn.XLOOKUP(tblCalculo[[#This Row],[NR_SIMULACAO]],tblVendas[[#This Row],[NR_SIMULACAO]],tblVendas[[#This Row],[VALOR_APARELHO]],""),0)</f>
        <v>0</v>
      </c>
      <c r="K459" t="str">
        <f>IF(tblCalculo[[#This Row],[STATUS]]="NEGOCIANDO",tblCalculo[[#This Row],[VALOR_TOTAL]],"")</f>
        <v/>
      </c>
      <c r="L459">
        <f>IF(tblCalculo[[#This Row],[STATUS]]="ALÇADA",tblCalculo[[#This Row],[VALOR_TOTAL]],"")</f>
        <v>7678.73</v>
      </c>
      <c r="M459" t="str">
        <f>IF(tblCalculo[[#This Row],[STATUS]]="EM ANÁLISE",tblCalculo[[#This Row],[VALOR_TOTAL]],"")</f>
        <v/>
      </c>
      <c r="N459" t="str">
        <f>IF(tblCalculo[[#This Row],[STATUS]]="TRAMITANDO",tblCalculo[[#This Row],[VALOR_TOTAL]],"")</f>
        <v/>
      </c>
      <c r="O459" t="str">
        <f>IF(tblCalculo[[#This Row],[STATUS]]="PERDIDO",tblCalculo[[#This Row],[VALOR_TOTAL]],"")</f>
        <v/>
      </c>
      <c r="P459" t="str">
        <f>IF(tblCalculo[[#This Row],[STATUS]]="CONCLUÍDO",tblCalculo[[#This Row],[VALOR_TOTAL]],"")</f>
        <v/>
      </c>
    </row>
    <row r="460" spans="1:16" x14ac:dyDescent="0.25">
      <c r="A460" t="str">
        <f>tblVendas[[#This Row],[NR_SIMULACAO]]</f>
        <v>SIM1450</v>
      </c>
      <c r="B460" s="34" t="str">
        <f>_xlfn.XLOOKUP(A460,tblVendas[[#This Row],[NR_SIMULACAO]],tblVendas[[#This Row],[NR_CNPJ]],"")</f>
        <v>78.190.381/0001-67</v>
      </c>
      <c r="C460" t="str">
        <f>_xlfn.XLOOKUP(A460,tblVendas[[#This Row],[NR_SIMULACAO]],tblVendas[[#This Row],[STATUS]],"")</f>
        <v>ALÇADA</v>
      </c>
      <c r="D460" t="str">
        <f>_xlfn.XLOOKUP(A460,tblVendas[[#This Row],[NR_SIMULACAO]],tblVendas[[#This Row],[MES]],"")</f>
        <v>Fevereiro</v>
      </c>
      <c r="E460">
        <f>SUM(_xlfn.XLOOKUP(tblCalculo[[#This Row],[NR_SIMULACAO]],tblVendas[[#This Row],[NR_SIMULACAO]],tblVendas[[#This Row],[VALOR_MOVEL]],""):_xlfn.XLOOKUP(tblCalculo[[#This Row],[NR_SIMULACAO]],tblVendas[[#This Row],[NR_SIMULACAO]],tblVendas[[#This Row],[VALOR_APARELHO]],""))</f>
        <v>1843.66</v>
      </c>
      <c r="F460">
        <f>IF(tblCalculo[[#This Row],[STATUS]]="CONCLUÍDO",_xlfn.XLOOKUP(tblCalculo[[#This Row],[NR_SIMULACAO]],tblVendas[[#This Row],[NR_SIMULACAO]],tblVendas[[#This Row],[VALOR_MOVEL]],""),0)</f>
        <v>0</v>
      </c>
      <c r="G460">
        <f>IF(tblCalculo[[#This Row],[STATUS]]="CONCLUÍDO",_xlfn.XLOOKUP(tblCalculo[[#This Row],[NR_SIMULACAO]],tblVendas[[#This Row],[NR_SIMULACAO]],tblVendas[[#This Row],[VALOR_AVANCADO]],""),0)</f>
        <v>0</v>
      </c>
      <c r="H460">
        <f>IF(tblCalculo[[#This Row],[STATUS]]="CONCLUÍDO",_xlfn.XLOOKUP(tblCalculo[[#This Row],[NR_SIMULACAO]],tblVendas[[#This Row],[NR_SIMULACAO]],tblVendas[[#This Row],[VALOR_FIXABASICA]],""),0)</f>
        <v>0</v>
      </c>
      <c r="I460">
        <f>IF(tblCalculo[[#This Row],[STATUS]]="CONCLUÍDO",_xlfn.XLOOKUP(tblCalculo[[#This Row],[NR_SIMULACAO]],tblVendas[[#This Row],[NR_SIMULACAO]],tblVendas[[#This Row],[VALOR_TI]],""),0)</f>
        <v>0</v>
      </c>
      <c r="J460">
        <f>IF(tblCalculo[[#This Row],[STATUS]]="CONCLUÍDO",_xlfn.XLOOKUP(tblCalculo[[#This Row],[NR_SIMULACAO]],tblVendas[[#This Row],[NR_SIMULACAO]],tblVendas[[#This Row],[VALOR_APARELHO]],""),0)</f>
        <v>0</v>
      </c>
      <c r="K460" t="str">
        <f>IF(tblCalculo[[#This Row],[STATUS]]="NEGOCIANDO",tblCalculo[[#This Row],[VALOR_TOTAL]],"")</f>
        <v/>
      </c>
      <c r="L460">
        <f>IF(tblCalculo[[#This Row],[STATUS]]="ALÇADA",tblCalculo[[#This Row],[VALOR_TOTAL]],"")</f>
        <v>1843.66</v>
      </c>
      <c r="M460" t="str">
        <f>IF(tblCalculo[[#This Row],[STATUS]]="EM ANÁLISE",tblCalculo[[#This Row],[VALOR_TOTAL]],"")</f>
        <v/>
      </c>
      <c r="N460" t="str">
        <f>IF(tblCalculo[[#This Row],[STATUS]]="TRAMITANDO",tblCalculo[[#This Row],[VALOR_TOTAL]],"")</f>
        <v/>
      </c>
      <c r="O460" t="str">
        <f>IF(tblCalculo[[#This Row],[STATUS]]="PERDIDO",tblCalculo[[#This Row],[VALOR_TOTAL]],"")</f>
        <v/>
      </c>
      <c r="P460" t="str">
        <f>IF(tblCalculo[[#This Row],[STATUS]]="CONCLUÍDO",tblCalculo[[#This Row],[VALOR_TOTAL]],"")</f>
        <v/>
      </c>
    </row>
    <row r="461" spans="1:16" x14ac:dyDescent="0.25">
      <c r="A461" t="str">
        <f>tblVendas[[#This Row],[NR_SIMULACAO]]</f>
        <v>SIM1451</v>
      </c>
      <c r="B461" s="34" t="str">
        <f>_xlfn.XLOOKUP(A461,tblVendas[[#This Row],[NR_SIMULACAO]],tblVendas[[#This Row],[NR_CNPJ]],"")</f>
        <v>81.817.436/0001-39</v>
      </c>
      <c r="C461" t="str">
        <f>_xlfn.XLOOKUP(A461,tblVendas[[#This Row],[NR_SIMULACAO]],tblVendas[[#This Row],[STATUS]],"")</f>
        <v>ALÇADA</v>
      </c>
      <c r="D461" t="str">
        <f>_xlfn.XLOOKUP(A461,tblVendas[[#This Row],[NR_SIMULACAO]],tblVendas[[#This Row],[MES]],"")</f>
        <v>Outubro</v>
      </c>
      <c r="E461">
        <f>SUM(_xlfn.XLOOKUP(tblCalculo[[#This Row],[NR_SIMULACAO]],tblVendas[[#This Row],[NR_SIMULACAO]],tblVendas[[#This Row],[VALOR_MOVEL]],""):_xlfn.XLOOKUP(tblCalculo[[#This Row],[NR_SIMULACAO]],tblVendas[[#This Row],[NR_SIMULACAO]],tblVendas[[#This Row],[VALOR_APARELHO]],""))</f>
        <v>33501.89</v>
      </c>
      <c r="F461">
        <f>IF(tblCalculo[[#This Row],[STATUS]]="CONCLUÍDO",_xlfn.XLOOKUP(tblCalculo[[#This Row],[NR_SIMULACAO]],tblVendas[[#This Row],[NR_SIMULACAO]],tblVendas[[#This Row],[VALOR_MOVEL]],""),0)</f>
        <v>0</v>
      </c>
      <c r="G461">
        <f>IF(tblCalculo[[#This Row],[STATUS]]="CONCLUÍDO",_xlfn.XLOOKUP(tblCalculo[[#This Row],[NR_SIMULACAO]],tblVendas[[#This Row],[NR_SIMULACAO]],tblVendas[[#This Row],[VALOR_AVANCADO]],""),0)</f>
        <v>0</v>
      </c>
      <c r="H461">
        <f>IF(tblCalculo[[#This Row],[STATUS]]="CONCLUÍDO",_xlfn.XLOOKUP(tblCalculo[[#This Row],[NR_SIMULACAO]],tblVendas[[#This Row],[NR_SIMULACAO]],tblVendas[[#This Row],[VALOR_FIXABASICA]],""),0)</f>
        <v>0</v>
      </c>
      <c r="I461">
        <f>IF(tblCalculo[[#This Row],[STATUS]]="CONCLUÍDO",_xlfn.XLOOKUP(tblCalculo[[#This Row],[NR_SIMULACAO]],tblVendas[[#This Row],[NR_SIMULACAO]],tblVendas[[#This Row],[VALOR_TI]],""),0)</f>
        <v>0</v>
      </c>
      <c r="J461">
        <f>IF(tblCalculo[[#This Row],[STATUS]]="CONCLUÍDO",_xlfn.XLOOKUP(tblCalculo[[#This Row],[NR_SIMULACAO]],tblVendas[[#This Row],[NR_SIMULACAO]],tblVendas[[#This Row],[VALOR_APARELHO]],""),0)</f>
        <v>0</v>
      </c>
      <c r="K461" t="str">
        <f>IF(tblCalculo[[#This Row],[STATUS]]="NEGOCIANDO",tblCalculo[[#This Row],[VALOR_TOTAL]],"")</f>
        <v/>
      </c>
      <c r="L461">
        <f>IF(tblCalculo[[#This Row],[STATUS]]="ALÇADA",tblCalculo[[#This Row],[VALOR_TOTAL]],"")</f>
        <v>33501.89</v>
      </c>
      <c r="M461" t="str">
        <f>IF(tblCalculo[[#This Row],[STATUS]]="EM ANÁLISE",tblCalculo[[#This Row],[VALOR_TOTAL]],"")</f>
        <v/>
      </c>
      <c r="N461" t="str">
        <f>IF(tblCalculo[[#This Row],[STATUS]]="TRAMITANDO",tblCalculo[[#This Row],[VALOR_TOTAL]],"")</f>
        <v/>
      </c>
      <c r="O461" t="str">
        <f>IF(tblCalculo[[#This Row],[STATUS]]="PERDIDO",tblCalculo[[#This Row],[VALOR_TOTAL]],"")</f>
        <v/>
      </c>
      <c r="P461" t="str">
        <f>IF(tblCalculo[[#This Row],[STATUS]]="CONCLUÍDO",tblCalculo[[#This Row],[VALOR_TOTAL]],"")</f>
        <v/>
      </c>
    </row>
    <row r="462" spans="1:16" x14ac:dyDescent="0.25">
      <c r="A462" t="str">
        <f>tblVendas[[#This Row],[NR_SIMULACAO]]</f>
        <v>SIM1452</v>
      </c>
      <c r="B462" s="34" t="str">
        <f>_xlfn.XLOOKUP(A462,tblVendas[[#This Row],[NR_SIMULACAO]],tblVendas[[#This Row],[NR_CNPJ]],"")</f>
        <v>36.661.836/0001-80</v>
      </c>
      <c r="C462" t="str">
        <f>_xlfn.XLOOKUP(A462,tblVendas[[#This Row],[NR_SIMULACAO]],tblVendas[[#This Row],[STATUS]],"")</f>
        <v>PERDIDO</v>
      </c>
      <c r="D462" t="str">
        <f>_xlfn.XLOOKUP(A462,tblVendas[[#This Row],[NR_SIMULACAO]],tblVendas[[#This Row],[MES]],"")</f>
        <v>Julho</v>
      </c>
      <c r="E462">
        <f>SUM(_xlfn.XLOOKUP(tblCalculo[[#This Row],[NR_SIMULACAO]],tblVendas[[#This Row],[NR_SIMULACAO]],tblVendas[[#This Row],[VALOR_MOVEL]],""):_xlfn.XLOOKUP(tblCalculo[[#This Row],[NR_SIMULACAO]],tblVendas[[#This Row],[NR_SIMULACAO]],tblVendas[[#This Row],[VALOR_APARELHO]],""))</f>
        <v>10410.439999999999</v>
      </c>
      <c r="F462">
        <f>IF(tblCalculo[[#This Row],[STATUS]]="CONCLUÍDO",_xlfn.XLOOKUP(tblCalculo[[#This Row],[NR_SIMULACAO]],tblVendas[[#This Row],[NR_SIMULACAO]],tblVendas[[#This Row],[VALOR_MOVEL]],""),0)</f>
        <v>0</v>
      </c>
      <c r="G462">
        <f>IF(tblCalculo[[#This Row],[STATUS]]="CONCLUÍDO",_xlfn.XLOOKUP(tblCalculo[[#This Row],[NR_SIMULACAO]],tblVendas[[#This Row],[NR_SIMULACAO]],tblVendas[[#This Row],[VALOR_AVANCADO]],""),0)</f>
        <v>0</v>
      </c>
      <c r="H462">
        <f>IF(tblCalculo[[#This Row],[STATUS]]="CONCLUÍDO",_xlfn.XLOOKUP(tblCalculo[[#This Row],[NR_SIMULACAO]],tblVendas[[#This Row],[NR_SIMULACAO]],tblVendas[[#This Row],[VALOR_FIXABASICA]],""),0)</f>
        <v>0</v>
      </c>
      <c r="I462">
        <f>IF(tblCalculo[[#This Row],[STATUS]]="CONCLUÍDO",_xlfn.XLOOKUP(tblCalculo[[#This Row],[NR_SIMULACAO]],tblVendas[[#This Row],[NR_SIMULACAO]],tblVendas[[#This Row],[VALOR_TI]],""),0)</f>
        <v>0</v>
      </c>
      <c r="J462">
        <f>IF(tblCalculo[[#This Row],[STATUS]]="CONCLUÍDO",_xlfn.XLOOKUP(tblCalculo[[#This Row],[NR_SIMULACAO]],tblVendas[[#This Row],[NR_SIMULACAO]],tblVendas[[#This Row],[VALOR_APARELHO]],""),0)</f>
        <v>0</v>
      </c>
      <c r="K462" t="str">
        <f>IF(tblCalculo[[#This Row],[STATUS]]="NEGOCIANDO",tblCalculo[[#This Row],[VALOR_TOTAL]],"")</f>
        <v/>
      </c>
      <c r="L462" t="str">
        <f>IF(tblCalculo[[#This Row],[STATUS]]="ALÇADA",tblCalculo[[#This Row],[VALOR_TOTAL]],"")</f>
        <v/>
      </c>
      <c r="M462" t="str">
        <f>IF(tblCalculo[[#This Row],[STATUS]]="EM ANÁLISE",tblCalculo[[#This Row],[VALOR_TOTAL]],"")</f>
        <v/>
      </c>
      <c r="N462" t="str">
        <f>IF(tblCalculo[[#This Row],[STATUS]]="TRAMITANDO",tblCalculo[[#This Row],[VALOR_TOTAL]],"")</f>
        <v/>
      </c>
      <c r="O462">
        <f>IF(tblCalculo[[#This Row],[STATUS]]="PERDIDO",tblCalculo[[#This Row],[VALOR_TOTAL]],"")</f>
        <v>10410.439999999999</v>
      </c>
      <c r="P462" t="str">
        <f>IF(tblCalculo[[#This Row],[STATUS]]="CONCLUÍDO",tblCalculo[[#This Row],[VALOR_TOTAL]],"")</f>
        <v/>
      </c>
    </row>
    <row r="463" spans="1:16" x14ac:dyDescent="0.25">
      <c r="A463" t="str">
        <f>tblVendas[[#This Row],[NR_SIMULACAO]]</f>
        <v>SIM1453</v>
      </c>
      <c r="B463" s="34" t="str">
        <f>_xlfn.XLOOKUP(A463,tblVendas[[#This Row],[NR_SIMULACAO]],tblVendas[[#This Row],[NR_CNPJ]],"")</f>
        <v>49.957.248/0001-19</v>
      </c>
      <c r="C463" t="str">
        <f>_xlfn.XLOOKUP(A463,tblVendas[[#This Row],[NR_SIMULACAO]],tblVendas[[#This Row],[STATUS]],"")</f>
        <v>EM ANÁLISE</v>
      </c>
      <c r="D463" t="str">
        <f>_xlfn.XLOOKUP(A463,tblVendas[[#This Row],[NR_SIMULACAO]],tblVendas[[#This Row],[MES]],"")</f>
        <v>Fevereiro</v>
      </c>
      <c r="E463">
        <f>SUM(_xlfn.XLOOKUP(tblCalculo[[#This Row],[NR_SIMULACAO]],tblVendas[[#This Row],[NR_SIMULACAO]],tblVendas[[#This Row],[VALOR_MOVEL]],""):_xlfn.XLOOKUP(tblCalculo[[#This Row],[NR_SIMULACAO]],tblVendas[[#This Row],[NR_SIMULACAO]],tblVendas[[#This Row],[VALOR_APARELHO]],""))</f>
        <v>10794.990000000002</v>
      </c>
      <c r="F463">
        <f>IF(tblCalculo[[#This Row],[STATUS]]="CONCLUÍDO",_xlfn.XLOOKUP(tblCalculo[[#This Row],[NR_SIMULACAO]],tblVendas[[#This Row],[NR_SIMULACAO]],tblVendas[[#This Row],[VALOR_MOVEL]],""),0)</f>
        <v>0</v>
      </c>
      <c r="G463">
        <f>IF(tblCalculo[[#This Row],[STATUS]]="CONCLUÍDO",_xlfn.XLOOKUP(tblCalculo[[#This Row],[NR_SIMULACAO]],tblVendas[[#This Row],[NR_SIMULACAO]],tblVendas[[#This Row],[VALOR_AVANCADO]],""),0)</f>
        <v>0</v>
      </c>
      <c r="H463">
        <f>IF(tblCalculo[[#This Row],[STATUS]]="CONCLUÍDO",_xlfn.XLOOKUP(tblCalculo[[#This Row],[NR_SIMULACAO]],tblVendas[[#This Row],[NR_SIMULACAO]],tblVendas[[#This Row],[VALOR_FIXABASICA]],""),0)</f>
        <v>0</v>
      </c>
      <c r="I463">
        <f>IF(tblCalculo[[#This Row],[STATUS]]="CONCLUÍDO",_xlfn.XLOOKUP(tblCalculo[[#This Row],[NR_SIMULACAO]],tblVendas[[#This Row],[NR_SIMULACAO]],tblVendas[[#This Row],[VALOR_TI]],""),0)</f>
        <v>0</v>
      </c>
      <c r="J463">
        <f>IF(tblCalculo[[#This Row],[STATUS]]="CONCLUÍDO",_xlfn.XLOOKUP(tblCalculo[[#This Row],[NR_SIMULACAO]],tblVendas[[#This Row],[NR_SIMULACAO]],tblVendas[[#This Row],[VALOR_APARELHO]],""),0)</f>
        <v>0</v>
      </c>
      <c r="K463" t="str">
        <f>IF(tblCalculo[[#This Row],[STATUS]]="NEGOCIANDO",tblCalculo[[#This Row],[VALOR_TOTAL]],"")</f>
        <v/>
      </c>
      <c r="L463" t="str">
        <f>IF(tblCalculo[[#This Row],[STATUS]]="ALÇADA",tblCalculo[[#This Row],[VALOR_TOTAL]],"")</f>
        <v/>
      </c>
      <c r="M463">
        <f>IF(tblCalculo[[#This Row],[STATUS]]="EM ANÁLISE",tblCalculo[[#This Row],[VALOR_TOTAL]],"")</f>
        <v>10794.990000000002</v>
      </c>
      <c r="N463" t="str">
        <f>IF(tblCalculo[[#This Row],[STATUS]]="TRAMITANDO",tblCalculo[[#This Row],[VALOR_TOTAL]],"")</f>
        <v/>
      </c>
      <c r="O463" t="str">
        <f>IF(tblCalculo[[#This Row],[STATUS]]="PERDIDO",tblCalculo[[#This Row],[VALOR_TOTAL]],"")</f>
        <v/>
      </c>
      <c r="P463" t="str">
        <f>IF(tblCalculo[[#This Row],[STATUS]]="CONCLUÍDO",tblCalculo[[#This Row],[VALOR_TOTAL]],"")</f>
        <v/>
      </c>
    </row>
    <row r="464" spans="1:16" x14ac:dyDescent="0.25">
      <c r="A464" t="str">
        <f>tblVendas[[#This Row],[NR_SIMULACAO]]</f>
        <v>SIM1454</v>
      </c>
      <c r="B464" s="34" t="str">
        <f>_xlfn.XLOOKUP(A464,tblVendas[[#This Row],[NR_SIMULACAO]],tblVendas[[#This Row],[NR_CNPJ]],"")</f>
        <v>52.872.593/0001-28</v>
      </c>
      <c r="C464" t="str">
        <f>_xlfn.XLOOKUP(A464,tblVendas[[#This Row],[NR_SIMULACAO]],tblVendas[[#This Row],[STATUS]],"")</f>
        <v>TRAMITANDO</v>
      </c>
      <c r="D464" t="str">
        <f>_xlfn.XLOOKUP(A464,tblVendas[[#This Row],[NR_SIMULACAO]],tblVendas[[#This Row],[MES]],"")</f>
        <v>Março</v>
      </c>
      <c r="E464">
        <f>SUM(_xlfn.XLOOKUP(tblCalculo[[#This Row],[NR_SIMULACAO]],tblVendas[[#This Row],[NR_SIMULACAO]],tblVendas[[#This Row],[VALOR_MOVEL]],""):_xlfn.XLOOKUP(tblCalculo[[#This Row],[NR_SIMULACAO]],tblVendas[[#This Row],[NR_SIMULACAO]],tblVendas[[#This Row],[VALOR_APARELHO]],""))</f>
        <v>5497.37</v>
      </c>
      <c r="F464">
        <f>IF(tblCalculo[[#This Row],[STATUS]]="CONCLUÍDO",_xlfn.XLOOKUP(tblCalculo[[#This Row],[NR_SIMULACAO]],tblVendas[[#This Row],[NR_SIMULACAO]],tblVendas[[#This Row],[VALOR_MOVEL]],""),0)</f>
        <v>0</v>
      </c>
      <c r="G464">
        <f>IF(tblCalculo[[#This Row],[STATUS]]="CONCLUÍDO",_xlfn.XLOOKUP(tblCalculo[[#This Row],[NR_SIMULACAO]],tblVendas[[#This Row],[NR_SIMULACAO]],tblVendas[[#This Row],[VALOR_AVANCADO]],""),0)</f>
        <v>0</v>
      </c>
      <c r="H464">
        <f>IF(tblCalculo[[#This Row],[STATUS]]="CONCLUÍDO",_xlfn.XLOOKUP(tblCalculo[[#This Row],[NR_SIMULACAO]],tblVendas[[#This Row],[NR_SIMULACAO]],tblVendas[[#This Row],[VALOR_FIXABASICA]],""),0)</f>
        <v>0</v>
      </c>
      <c r="I464">
        <f>IF(tblCalculo[[#This Row],[STATUS]]="CONCLUÍDO",_xlfn.XLOOKUP(tblCalculo[[#This Row],[NR_SIMULACAO]],tblVendas[[#This Row],[NR_SIMULACAO]],tblVendas[[#This Row],[VALOR_TI]],""),0)</f>
        <v>0</v>
      </c>
      <c r="J464">
        <f>IF(tblCalculo[[#This Row],[STATUS]]="CONCLUÍDO",_xlfn.XLOOKUP(tblCalculo[[#This Row],[NR_SIMULACAO]],tblVendas[[#This Row],[NR_SIMULACAO]],tblVendas[[#This Row],[VALOR_APARELHO]],""),0)</f>
        <v>0</v>
      </c>
      <c r="K464" t="str">
        <f>IF(tblCalculo[[#This Row],[STATUS]]="NEGOCIANDO",tblCalculo[[#This Row],[VALOR_TOTAL]],"")</f>
        <v/>
      </c>
      <c r="L464" t="str">
        <f>IF(tblCalculo[[#This Row],[STATUS]]="ALÇADA",tblCalculo[[#This Row],[VALOR_TOTAL]],"")</f>
        <v/>
      </c>
      <c r="M464" t="str">
        <f>IF(tblCalculo[[#This Row],[STATUS]]="EM ANÁLISE",tblCalculo[[#This Row],[VALOR_TOTAL]],"")</f>
        <v/>
      </c>
      <c r="N464">
        <f>IF(tblCalculo[[#This Row],[STATUS]]="TRAMITANDO",tblCalculo[[#This Row],[VALOR_TOTAL]],"")</f>
        <v>5497.37</v>
      </c>
      <c r="O464" t="str">
        <f>IF(tblCalculo[[#This Row],[STATUS]]="PERDIDO",tblCalculo[[#This Row],[VALOR_TOTAL]],"")</f>
        <v/>
      </c>
      <c r="P464" t="str">
        <f>IF(tblCalculo[[#This Row],[STATUS]]="CONCLUÍDO",tblCalculo[[#This Row],[VALOR_TOTAL]],"")</f>
        <v/>
      </c>
    </row>
    <row r="465" spans="1:16" x14ac:dyDescent="0.25">
      <c r="A465" t="str">
        <f>tblVendas[[#This Row],[NR_SIMULACAO]]</f>
        <v>SIM1455</v>
      </c>
      <c r="B465" s="34" t="str">
        <f>_xlfn.XLOOKUP(A465,tblVendas[[#This Row],[NR_SIMULACAO]],tblVendas[[#This Row],[NR_CNPJ]],"")</f>
        <v>75.882.470/0001-81</v>
      </c>
      <c r="C465" t="str">
        <f>_xlfn.XLOOKUP(A465,tblVendas[[#This Row],[NR_SIMULACAO]],tblVendas[[#This Row],[STATUS]],"")</f>
        <v>EM ANÁLISE</v>
      </c>
      <c r="D465" t="str">
        <f>_xlfn.XLOOKUP(A465,tblVendas[[#This Row],[NR_SIMULACAO]],tblVendas[[#This Row],[MES]],"")</f>
        <v>Novembro</v>
      </c>
      <c r="E465">
        <f>SUM(_xlfn.XLOOKUP(tblCalculo[[#This Row],[NR_SIMULACAO]],tblVendas[[#This Row],[NR_SIMULACAO]],tblVendas[[#This Row],[VALOR_MOVEL]],""):_xlfn.XLOOKUP(tblCalculo[[#This Row],[NR_SIMULACAO]],tblVendas[[#This Row],[NR_SIMULACAO]],tblVendas[[#This Row],[VALOR_APARELHO]],""))</f>
        <v>21920</v>
      </c>
      <c r="F465">
        <f>IF(tblCalculo[[#This Row],[STATUS]]="CONCLUÍDO",_xlfn.XLOOKUP(tblCalculo[[#This Row],[NR_SIMULACAO]],tblVendas[[#This Row],[NR_SIMULACAO]],tblVendas[[#This Row],[VALOR_MOVEL]],""),0)</f>
        <v>0</v>
      </c>
      <c r="G465">
        <f>IF(tblCalculo[[#This Row],[STATUS]]="CONCLUÍDO",_xlfn.XLOOKUP(tblCalculo[[#This Row],[NR_SIMULACAO]],tblVendas[[#This Row],[NR_SIMULACAO]],tblVendas[[#This Row],[VALOR_AVANCADO]],""),0)</f>
        <v>0</v>
      </c>
      <c r="H465">
        <f>IF(tblCalculo[[#This Row],[STATUS]]="CONCLUÍDO",_xlfn.XLOOKUP(tblCalculo[[#This Row],[NR_SIMULACAO]],tblVendas[[#This Row],[NR_SIMULACAO]],tblVendas[[#This Row],[VALOR_FIXABASICA]],""),0)</f>
        <v>0</v>
      </c>
      <c r="I465">
        <f>IF(tblCalculo[[#This Row],[STATUS]]="CONCLUÍDO",_xlfn.XLOOKUP(tblCalculo[[#This Row],[NR_SIMULACAO]],tblVendas[[#This Row],[NR_SIMULACAO]],tblVendas[[#This Row],[VALOR_TI]],""),0)</f>
        <v>0</v>
      </c>
      <c r="J465">
        <f>IF(tblCalculo[[#This Row],[STATUS]]="CONCLUÍDO",_xlfn.XLOOKUP(tblCalculo[[#This Row],[NR_SIMULACAO]],tblVendas[[#This Row],[NR_SIMULACAO]],tblVendas[[#This Row],[VALOR_APARELHO]],""),0)</f>
        <v>0</v>
      </c>
      <c r="K465" t="str">
        <f>IF(tblCalculo[[#This Row],[STATUS]]="NEGOCIANDO",tblCalculo[[#This Row],[VALOR_TOTAL]],"")</f>
        <v/>
      </c>
      <c r="L465" t="str">
        <f>IF(tblCalculo[[#This Row],[STATUS]]="ALÇADA",tblCalculo[[#This Row],[VALOR_TOTAL]],"")</f>
        <v/>
      </c>
      <c r="M465">
        <f>IF(tblCalculo[[#This Row],[STATUS]]="EM ANÁLISE",tblCalculo[[#This Row],[VALOR_TOTAL]],"")</f>
        <v>21920</v>
      </c>
      <c r="N465" t="str">
        <f>IF(tblCalculo[[#This Row],[STATUS]]="TRAMITANDO",tblCalculo[[#This Row],[VALOR_TOTAL]],"")</f>
        <v/>
      </c>
      <c r="O465" t="str">
        <f>IF(tblCalculo[[#This Row],[STATUS]]="PERDIDO",tblCalculo[[#This Row],[VALOR_TOTAL]],"")</f>
        <v/>
      </c>
      <c r="P465" t="str">
        <f>IF(tblCalculo[[#This Row],[STATUS]]="CONCLUÍDO",tblCalculo[[#This Row],[VALOR_TOTAL]],"")</f>
        <v/>
      </c>
    </row>
    <row r="466" spans="1:16" x14ac:dyDescent="0.25">
      <c r="A466" t="str">
        <f>tblVendas[[#This Row],[NR_SIMULACAO]]</f>
        <v>SIM1456</v>
      </c>
      <c r="B466" s="34" t="str">
        <f>_xlfn.XLOOKUP(A466,tblVendas[[#This Row],[NR_SIMULACAO]],tblVendas[[#This Row],[NR_CNPJ]],"")</f>
        <v>77.755.541/0001-55</v>
      </c>
      <c r="C466" t="str">
        <f>_xlfn.XLOOKUP(A466,tblVendas[[#This Row],[NR_SIMULACAO]],tblVendas[[#This Row],[STATUS]],"")</f>
        <v>NEGOCIANDO</v>
      </c>
      <c r="D466" t="str">
        <f>_xlfn.XLOOKUP(A466,tblVendas[[#This Row],[NR_SIMULACAO]],tblVendas[[#This Row],[MES]],"")</f>
        <v>Agosto</v>
      </c>
      <c r="E466">
        <f>SUM(_xlfn.XLOOKUP(tblCalculo[[#This Row],[NR_SIMULACAO]],tblVendas[[#This Row],[NR_SIMULACAO]],tblVendas[[#This Row],[VALOR_MOVEL]],""):_xlfn.XLOOKUP(tblCalculo[[#This Row],[NR_SIMULACAO]],tblVendas[[#This Row],[NR_SIMULACAO]],tblVendas[[#This Row],[VALOR_APARELHO]],""))</f>
        <v>15392.39</v>
      </c>
      <c r="F466">
        <f>IF(tblCalculo[[#This Row],[STATUS]]="CONCLUÍDO",_xlfn.XLOOKUP(tblCalculo[[#This Row],[NR_SIMULACAO]],tblVendas[[#This Row],[NR_SIMULACAO]],tblVendas[[#This Row],[VALOR_MOVEL]],""),0)</f>
        <v>0</v>
      </c>
      <c r="G466">
        <f>IF(tblCalculo[[#This Row],[STATUS]]="CONCLUÍDO",_xlfn.XLOOKUP(tblCalculo[[#This Row],[NR_SIMULACAO]],tblVendas[[#This Row],[NR_SIMULACAO]],tblVendas[[#This Row],[VALOR_AVANCADO]],""),0)</f>
        <v>0</v>
      </c>
      <c r="H466">
        <f>IF(tblCalculo[[#This Row],[STATUS]]="CONCLUÍDO",_xlfn.XLOOKUP(tblCalculo[[#This Row],[NR_SIMULACAO]],tblVendas[[#This Row],[NR_SIMULACAO]],tblVendas[[#This Row],[VALOR_FIXABASICA]],""),0)</f>
        <v>0</v>
      </c>
      <c r="I466">
        <f>IF(tblCalculo[[#This Row],[STATUS]]="CONCLUÍDO",_xlfn.XLOOKUP(tblCalculo[[#This Row],[NR_SIMULACAO]],tblVendas[[#This Row],[NR_SIMULACAO]],tblVendas[[#This Row],[VALOR_TI]],""),0)</f>
        <v>0</v>
      </c>
      <c r="J466">
        <f>IF(tblCalculo[[#This Row],[STATUS]]="CONCLUÍDO",_xlfn.XLOOKUP(tblCalculo[[#This Row],[NR_SIMULACAO]],tblVendas[[#This Row],[NR_SIMULACAO]],tblVendas[[#This Row],[VALOR_APARELHO]],""),0)</f>
        <v>0</v>
      </c>
      <c r="K466">
        <f>IF(tblCalculo[[#This Row],[STATUS]]="NEGOCIANDO",tblCalculo[[#This Row],[VALOR_TOTAL]],"")</f>
        <v>15392.39</v>
      </c>
      <c r="L466" t="str">
        <f>IF(tblCalculo[[#This Row],[STATUS]]="ALÇADA",tblCalculo[[#This Row],[VALOR_TOTAL]],"")</f>
        <v/>
      </c>
      <c r="M466" t="str">
        <f>IF(tblCalculo[[#This Row],[STATUS]]="EM ANÁLISE",tblCalculo[[#This Row],[VALOR_TOTAL]],"")</f>
        <v/>
      </c>
      <c r="N466" t="str">
        <f>IF(tblCalculo[[#This Row],[STATUS]]="TRAMITANDO",tblCalculo[[#This Row],[VALOR_TOTAL]],"")</f>
        <v/>
      </c>
      <c r="O466" t="str">
        <f>IF(tblCalculo[[#This Row],[STATUS]]="PERDIDO",tblCalculo[[#This Row],[VALOR_TOTAL]],"")</f>
        <v/>
      </c>
      <c r="P466" t="str">
        <f>IF(tblCalculo[[#This Row],[STATUS]]="CONCLUÍDO",tblCalculo[[#This Row],[VALOR_TOTAL]],"")</f>
        <v/>
      </c>
    </row>
    <row r="467" spans="1:16" x14ac:dyDescent="0.25">
      <c r="A467" t="str">
        <f>tblVendas[[#This Row],[NR_SIMULACAO]]</f>
        <v>SIM1457</v>
      </c>
      <c r="B467" s="34" t="str">
        <f>_xlfn.XLOOKUP(A467,tblVendas[[#This Row],[NR_SIMULACAO]],tblVendas[[#This Row],[NR_CNPJ]],"")</f>
        <v>36.412.757/0001-32</v>
      </c>
      <c r="C467" t="str">
        <f>_xlfn.XLOOKUP(A467,tblVendas[[#This Row],[NR_SIMULACAO]],tblVendas[[#This Row],[STATUS]],"")</f>
        <v>ALÇADA</v>
      </c>
      <c r="D467" t="str">
        <f>_xlfn.XLOOKUP(A467,tblVendas[[#This Row],[NR_SIMULACAO]],tblVendas[[#This Row],[MES]],"")</f>
        <v>Novembro</v>
      </c>
      <c r="E467">
        <f>SUM(_xlfn.XLOOKUP(tblCalculo[[#This Row],[NR_SIMULACAO]],tblVendas[[#This Row],[NR_SIMULACAO]],tblVendas[[#This Row],[VALOR_MOVEL]],""):_xlfn.XLOOKUP(tblCalculo[[#This Row],[NR_SIMULACAO]],tblVendas[[#This Row],[NR_SIMULACAO]],tblVendas[[#This Row],[VALOR_APARELHO]],""))</f>
        <v>7814.2500000000009</v>
      </c>
      <c r="F467">
        <f>IF(tblCalculo[[#This Row],[STATUS]]="CONCLUÍDO",_xlfn.XLOOKUP(tblCalculo[[#This Row],[NR_SIMULACAO]],tblVendas[[#This Row],[NR_SIMULACAO]],tblVendas[[#This Row],[VALOR_MOVEL]],""),0)</f>
        <v>0</v>
      </c>
      <c r="G467">
        <f>IF(tblCalculo[[#This Row],[STATUS]]="CONCLUÍDO",_xlfn.XLOOKUP(tblCalculo[[#This Row],[NR_SIMULACAO]],tblVendas[[#This Row],[NR_SIMULACAO]],tblVendas[[#This Row],[VALOR_AVANCADO]],""),0)</f>
        <v>0</v>
      </c>
      <c r="H467">
        <f>IF(tblCalculo[[#This Row],[STATUS]]="CONCLUÍDO",_xlfn.XLOOKUP(tblCalculo[[#This Row],[NR_SIMULACAO]],tblVendas[[#This Row],[NR_SIMULACAO]],tblVendas[[#This Row],[VALOR_FIXABASICA]],""),0)</f>
        <v>0</v>
      </c>
      <c r="I467">
        <f>IF(tblCalculo[[#This Row],[STATUS]]="CONCLUÍDO",_xlfn.XLOOKUP(tblCalculo[[#This Row],[NR_SIMULACAO]],tblVendas[[#This Row],[NR_SIMULACAO]],tblVendas[[#This Row],[VALOR_TI]],""),0)</f>
        <v>0</v>
      </c>
      <c r="J467">
        <f>IF(tblCalculo[[#This Row],[STATUS]]="CONCLUÍDO",_xlfn.XLOOKUP(tblCalculo[[#This Row],[NR_SIMULACAO]],tblVendas[[#This Row],[NR_SIMULACAO]],tblVendas[[#This Row],[VALOR_APARELHO]],""),0)</f>
        <v>0</v>
      </c>
      <c r="K467" t="str">
        <f>IF(tblCalculo[[#This Row],[STATUS]]="NEGOCIANDO",tblCalculo[[#This Row],[VALOR_TOTAL]],"")</f>
        <v/>
      </c>
      <c r="L467">
        <f>IF(tblCalculo[[#This Row],[STATUS]]="ALÇADA",tblCalculo[[#This Row],[VALOR_TOTAL]],"")</f>
        <v>7814.2500000000009</v>
      </c>
      <c r="M467" t="str">
        <f>IF(tblCalculo[[#This Row],[STATUS]]="EM ANÁLISE",tblCalculo[[#This Row],[VALOR_TOTAL]],"")</f>
        <v/>
      </c>
      <c r="N467" t="str">
        <f>IF(tblCalculo[[#This Row],[STATUS]]="TRAMITANDO",tblCalculo[[#This Row],[VALOR_TOTAL]],"")</f>
        <v/>
      </c>
      <c r="O467" t="str">
        <f>IF(tblCalculo[[#This Row],[STATUS]]="PERDIDO",tblCalculo[[#This Row],[VALOR_TOTAL]],"")</f>
        <v/>
      </c>
      <c r="P467" t="str">
        <f>IF(tblCalculo[[#This Row],[STATUS]]="CONCLUÍDO",tblCalculo[[#This Row],[VALOR_TOTAL]],"")</f>
        <v/>
      </c>
    </row>
    <row r="468" spans="1:16" x14ac:dyDescent="0.25">
      <c r="A468" t="str">
        <f>tblVendas[[#This Row],[NR_SIMULACAO]]</f>
        <v>SIM1458</v>
      </c>
      <c r="B468" s="34" t="str">
        <f>_xlfn.XLOOKUP(A468,tblVendas[[#This Row],[NR_SIMULACAO]],tblVendas[[#This Row],[NR_CNPJ]],"")</f>
        <v>69.481.218/0001-54</v>
      </c>
      <c r="C468" t="str">
        <f>_xlfn.XLOOKUP(A468,tblVendas[[#This Row],[NR_SIMULACAO]],tblVendas[[#This Row],[STATUS]],"")</f>
        <v>TRAMITANDO</v>
      </c>
      <c r="D468" t="str">
        <f>_xlfn.XLOOKUP(A468,tblVendas[[#This Row],[NR_SIMULACAO]],tblVendas[[#This Row],[MES]],"")</f>
        <v>Novembro</v>
      </c>
      <c r="E468">
        <f>SUM(_xlfn.XLOOKUP(tblCalculo[[#This Row],[NR_SIMULACAO]],tblVendas[[#This Row],[NR_SIMULACAO]],tblVendas[[#This Row],[VALOR_MOVEL]],""):_xlfn.XLOOKUP(tblCalculo[[#This Row],[NR_SIMULACAO]],tblVendas[[#This Row],[NR_SIMULACAO]],tblVendas[[#This Row],[VALOR_APARELHO]],""))</f>
        <v>4437.5600000000004</v>
      </c>
      <c r="F468">
        <f>IF(tblCalculo[[#This Row],[STATUS]]="CONCLUÍDO",_xlfn.XLOOKUP(tblCalculo[[#This Row],[NR_SIMULACAO]],tblVendas[[#This Row],[NR_SIMULACAO]],tblVendas[[#This Row],[VALOR_MOVEL]],""),0)</f>
        <v>0</v>
      </c>
      <c r="G468">
        <f>IF(tblCalculo[[#This Row],[STATUS]]="CONCLUÍDO",_xlfn.XLOOKUP(tblCalculo[[#This Row],[NR_SIMULACAO]],tblVendas[[#This Row],[NR_SIMULACAO]],tblVendas[[#This Row],[VALOR_AVANCADO]],""),0)</f>
        <v>0</v>
      </c>
      <c r="H468">
        <f>IF(tblCalculo[[#This Row],[STATUS]]="CONCLUÍDO",_xlfn.XLOOKUP(tblCalculo[[#This Row],[NR_SIMULACAO]],tblVendas[[#This Row],[NR_SIMULACAO]],tblVendas[[#This Row],[VALOR_FIXABASICA]],""),0)</f>
        <v>0</v>
      </c>
      <c r="I468">
        <f>IF(tblCalculo[[#This Row],[STATUS]]="CONCLUÍDO",_xlfn.XLOOKUP(tblCalculo[[#This Row],[NR_SIMULACAO]],tblVendas[[#This Row],[NR_SIMULACAO]],tblVendas[[#This Row],[VALOR_TI]],""),0)</f>
        <v>0</v>
      </c>
      <c r="J468">
        <f>IF(tblCalculo[[#This Row],[STATUS]]="CONCLUÍDO",_xlfn.XLOOKUP(tblCalculo[[#This Row],[NR_SIMULACAO]],tblVendas[[#This Row],[NR_SIMULACAO]],tblVendas[[#This Row],[VALOR_APARELHO]],""),0)</f>
        <v>0</v>
      </c>
      <c r="K468" t="str">
        <f>IF(tblCalculo[[#This Row],[STATUS]]="NEGOCIANDO",tblCalculo[[#This Row],[VALOR_TOTAL]],"")</f>
        <v/>
      </c>
      <c r="L468" t="str">
        <f>IF(tblCalculo[[#This Row],[STATUS]]="ALÇADA",tblCalculo[[#This Row],[VALOR_TOTAL]],"")</f>
        <v/>
      </c>
      <c r="M468" t="str">
        <f>IF(tblCalculo[[#This Row],[STATUS]]="EM ANÁLISE",tblCalculo[[#This Row],[VALOR_TOTAL]],"")</f>
        <v/>
      </c>
      <c r="N468">
        <f>IF(tblCalculo[[#This Row],[STATUS]]="TRAMITANDO",tblCalculo[[#This Row],[VALOR_TOTAL]],"")</f>
        <v>4437.5600000000004</v>
      </c>
      <c r="O468" t="str">
        <f>IF(tblCalculo[[#This Row],[STATUS]]="PERDIDO",tblCalculo[[#This Row],[VALOR_TOTAL]],"")</f>
        <v/>
      </c>
      <c r="P468" t="str">
        <f>IF(tblCalculo[[#This Row],[STATUS]]="CONCLUÍDO",tblCalculo[[#This Row],[VALOR_TOTAL]],"")</f>
        <v/>
      </c>
    </row>
    <row r="469" spans="1:16" x14ac:dyDescent="0.25">
      <c r="A469" t="str">
        <f>tblVendas[[#This Row],[NR_SIMULACAO]]</f>
        <v>SIM1459</v>
      </c>
      <c r="B469" s="34" t="str">
        <f>_xlfn.XLOOKUP(A469,tblVendas[[#This Row],[NR_SIMULACAO]],tblVendas[[#This Row],[NR_CNPJ]],"")</f>
        <v>40.891.312/0001-46</v>
      </c>
      <c r="C469" t="str">
        <f>_xlfn.XLOOKUP(A469,tblVendas[[#This Row],[NR_SIMULACAO]],tblVendas[[#This Row],[STATUS]],"")</f>
        <v>ALÇADA</v>
      </c>
      <c r="D469" t="str">
        <f>_xlfn.XLOOKUP(A469,tblVendas[[#This Row],[NR_SIMULACAO]],tblVendas[[#This Row],[MES]],"")</f>
        <v>Fevereiro</v>
      </c>
      <c r="E469">
        <f>SUM(_xlfn.XLOOKUP(tblCalculo[[#This Row],[NR_SIMULACAO]],tblVendas[[#This Row],[NR_SIMULACAO]],tblVendas[[#This Row],[VALOR_MOVEL]],""):_xlfn.XLOOKUP(tblCalculo[[#This Row],[NR_SIMULACAO]],tblVendas[[#This Row],[NR_SIMULACAO]],tblVendas[[#This Row],[VALOR_APARELHO]],""))</f>
        <v>19961.5</v>
      </c>
      <c r="F469">
        <f>IF(tblCalculo[[#This Row],[STATUS]]="CONCLUÍDO",_xlfn.XLOOKUP(tblCalculo[[#This Row],[NR_SIMULACAO]],tblVendas[[#This Row],[NR_SIMULACAO]],tblVendas[[#This Row],[VALOR_MOVEL]],""),0)</f>
        <v>0</v>
      </c>
      <c r="G469">
        <f>IF(tblCalculo[[#This Row],[STATUS]]="CONCLUÍDO",_xlfn.XLOOKUP(tblCalculo[[#This Row],[NR_SIMULACAO]],tblVendas[[#This Row],[NR_SIMULACAO]],tblVendas[[#This Row],[VALOR_AVANCADO]],""),0)</f>
        <v>0</v>
      </c>
      <c r="H469">
        <f>IF(tblCalculo[[#This Row],[STATUS]]="CONCLUÍDO",_xlfn.XLOOKUP(tblCalculo[[#This Row],[NR_SIMULACAO]],tblVendas[[#This Row],[NR_SIMULACAO]],tblVendas[[#This Row],[VALOR_FIXABASICA]],""),0)</f>
        <v>0</v>
      </c>
      <c r="I469">
        <f>IF(tblCalculo[[#This Row],[STATUS]]="CONCLUÍDO",_xlfn.XLOOKUP(tblCalculo[[#This Row],[NR_SIMULACAO]],tblVendas[[#This Row],[NR_SIMULACAO]],tblVendas[[#This Row],[VALOR_TI]],""),0)</f>
        <v>0</v>
      </c>
      <c r="J469">
        <f>IF(tblCalculo[[#This Row],[STATUS]]="CONCLUÍDO",_xlfn.XLOOKUP(tblCalculo[[#This Row],[NR_SIMULACAO]],tblVendas[[#This Row],[NR_SIMULACAO]],tblVendas[[#This Row],[VALOR_APARELHO]],""),0)</f>
        <v>0</v>
      </c>
      <c r="K469" t="str">
        <f>IF(tblCalculo[[#This Row],[STATUS]]="NEGOCIANDO",tblCalculo[[#This Row],[VALOR_TOTAL]],"")</f>
        <v/>
      </c>
      <c r="L469">
        <f>IF(tblCalculo[[#This Row],[STATUS]]="ALÇADA",tblCalculo[[#This Row],[VALOR_TOTAL]],"")</f>
        <v>19961.5</v>
      </c>
      <c r="M469" t="str">
        <f>IF(tblCalculo[[#This Row],[STATUS]]="EM ANÁLISE",tblCalculo[[#This Row],[VALOR_TOTAL]],"")</f>
        <v/>
      </c>
      <c r="N469" t="str">
        <f>IF(tblCalculo[[#This Row],[STATUS]]="TRAMITANDO",tblCalculo[[#This Row],[VALOR_TOTAL]],"")</f>
        <v/>
      </c>
      <c r="O469" t="str">
        <f>IF(tblCalculo[[#This Row],[STATUS]]="PERDIDO",tblCalculo[[#This Row],[VALOR_TOTAL]],"")</f>
        <v/>
      </c>
      <c r="P469" t="str">
        <f>IF(tblCalculo[[#This Row],[STATUS]]="CONCLUÍDO",tblCalculo[[#This Row],[VALOR_TOTAL]],"")</f>
        <v/>
      </c>
    </row>
    <row r="470" spans="1:16" x14ac:dyDescent="0.25">
      <c r="A470" t="str">
        <f>tblVendas[[#This Row],[NR_SIMULACAO]]</f>
        <v>SIM1460</v>
      </c>
      <c r="B470" s="34" t="str">
        <f>_xlfn.XLOOKUP(A470,tblVendas[[#This Row],[NR_SIMULACAO]],tblVendas[[#This Row],[NR_CNPJ]],"")</f>
        <v>69.730.349/0001-74</v>
      </c>
      <c r="C470" t="str">
        <f>_xlfn.XLOOKUP(A470,tblVendas[[#This Row],[NR_SIMULACAO]],tblVendas[[#This Row],[STATUS]],"")</f>
        <v>CONCLUÍDO</v>
      </c>
      <c r="D470" t="str">
        <f>_xlfn.XLOOKUP(A470,tblVendas[[#This Row],[NR_SIMULACAO]],tblVendas[[#This Row],[MES]],"")</f>
        <v>Junho</v>
      </c>
      <c r="E470">
        <f>SUM(_xlfn.XLOOKUP(tblCalculo[[#This Row],[NR_SIMULACAO]],tblVendas[[#This Row],[NR_SIMULACAO]],tblVendas[[#This Row],[VALOR_MOVEL]],""):_xlfn.XLOOKUP(tblCalculo[[#This Row],[NR_SIMULACAO]],tblVendas[[#This Row],[NR_SIMULACAO]],tblVendas[[#This Row],[VALOR_APARELHO]],""))</f>
        <v>12021.220000000001</v>
      </c>
      <c r="F470">
        <f>IF(tblCalculo[[#This Row],[STATUS]]="CONCLUÍDO",_xlfn.XLOOKUP(tblCalculo[[#This Row],[NR_SIMULACAO]],tblVendas[[#This Row],[NR_SIMULACAO]],tblVendas[[#This Row],[VALOR_MOVEL]],""),0)</f>
        <v>4609.17</v>
      </c>
      <c r="G470">
        <f>IF(tblCalculo[[#This Row],[STATUS]]="CONCLUÍDO",_xlfn.XLOOKUP(tblCalculo[[#This Row],[NR_SIMULACAO]],tblVendas[[#This Row],[NR_SIMULACAO]],tblVendas[[#This Row],[VALOR_AVANCADO]],""),0)</f>
        <v>4924.8900000000003</v>
      </c>
      <c r="H470">
        <f>IF(tblCalculo[[#This Row],[STATUS]]="CONCLUÍDO",_xlfn.XLOOKUP(tblCalculo[[#This Row],[NR_SIMULACAO]],tblVendas[[#This Row],[NR_SIMULACAO]],tblVendas[[#This Row],[VALOR_FIXABASICA]],""),0)</f>
        <v>2487.16</v>
      </c>
      <c r="I470">
        <f>IF(tblCalculo[[#This Row],[STATUS]]="CONCLUÍDO",_xlfn.XLOOKUP(tblCalculo[[#This Row],[NR_SIMULACAO]],tblVendas[[#This Row],[NR_SIMULACAO]],tblVendas[[#This Row],[VALOR_TI]],""),0)</f>
        <v>0</v>
      </c>
      <c r="J470">
        <f>IF(tblCalculo[[#This Row],[STATUS]]="CONCLUÍDO",_xlfn.XLOOKUP(tblCalculo[[#This Row],[NR_SIMULACAO]],tblVendas[[#This Row],[NR_SIMULACAO]],tblVendas[[#This Row],[VALOR_APARELHO]],""),0)</f>
        <v>0</v>
      </c>
      <c r="K470" t="str">
        <f>IF(tblCalculo[[#This Row],[STATUS]]="NEGOCIANDO",tblCalculo[[#This Row],[VALOR_TOTAL]],"")</f>
        <v/>
      </c>
      <c r="L470" t="str">
        <f>IF(tblCalculo[[#This Row],[STATUS]]="ALÇADA",tblCalculo[[#This Row],[VALOR_TOTAL]],"")</f>
        <v/>
      </c>
      <c r="M470" t="str">
        <f>IF(tblCalculo[[#This Row],[STATUS]]="EM ANÁLISE",tblCalculo[[#This Row],[VALOR_TOTAL]],"")</f>
        <v/>
      </c>
      <c r="N470" t="str">
        <f>IF(tblCalculo[[#This Row],[STATUS]]="TRAMITANDO",tblCalculo[[#This Row],[VALOR_TOTAL]],"")</f>
        <v/>
      </c>
      <c r="O470" t="str">
        <f>IF(tblCalculo[[#This Row],[STATUS]]="PERDIDO",tblCalculo[[#This Row],[VALOR_TOTAL]],"")</f>
        <v/>
      </c>
      <c r="P470">
        <f>IF(tblCalculo[[#This Row],[STATUS]]="CONCLUÍDO",tblCalculo[[#This Row],[VALOR_TOTAL]],"")</f>
        <v>12021.220000000001</v>
      </c>
    </row>
    <row r="471" spans="1:16" x14ac:dyDescent="0.25">
      <c r="A471" t="str">
        <f>tblVendas[[#This Row],[NR_SIMULACAO]]</f>
        <v>SIM1461</v>
      </c>
      <c r="B471" s="34" t="str">
        <f>_xlfn.XLOOKUP(A471,tblVendas[[#This Row],[NR_SIMULACAO]],tblVendas[[#This Row],[NR_CNPJ]],"")</f>
        <v>94.442.259/0001-75</v>
      </c>
      <c r="C471" t="str">
        <f>_xlfn.XLOOKUP(A471,tblVendas[[#This Row],[NR_SIMULACAO]],tblVendas[[#This Row],[STATUS]],"")</f>
        <v>PERDIDO</v>
      </c>
      <c r="D471" t="str">
        <f>_xlfn.XLOOKUP(A471,tblVendas[[#This Row],[NR_SIMULACAO]],tblVendas[[#This Row],[MES]],"")</f>
        <v>Outubro</v>
      </c>
      <c r="E471">
        <f>SUM(_xlfn.XLOOKUP(tblCalculo[[#This Row],[NR_SIMULACAO]],tblVendas[[#This Row],[NR_SIMULACAO]],tblVendas[[#This Row],[VALOR_MOVEL]],""):_xlfn.XLOOKUP(tblCalculo[[#This Row],[NR_SIMULACAO]],tblVendas[[#This Row],[NR_SIMULACAO]],tblVendas[[#This Row],[VALOR_APARELHO]],""))</f>
        <v>7295.82</v>
      </c>
      <c r="F471">
        <f>IF(tblCalculo[[#This Row],[STATUS]]="CONCLUÍDO",_xlfn.XLOOKUP(tblCalculo[[#This Row],[NR_SIMULACAO]],tblVendas[[#This Row],[NR_SIMULACAO]],tblVendas[[#This Row],[VALOR_MOVEL]],""),0)</f>
        <v>0</v>
      </c>
      <c r="G471">
        <f>IF(tblCalculo[[#This Row],[STATUS]]="CONCLUÍDO",_xlfn.XLOOKUP(tblCalculo[[#This Row],[NR_SIMULACAO]],tblVendas[[#This Row],[NR_SIMULACAO]],tblVendas[[#This Row],[VALOR_AVANCADO]],""),0)</f>
        <v>0</v>
      </c>
      <c r="H471">
        <f>IF(tblCalculo[[#This Row],[STATUS]]="CONCLUÍDO",_xlfn.XLOOKUP(tblCalculo[[#This Row],[NR_SIMULACAO]],tblVendas[[#This Row],[NR_SIMULACAO]],tblVendas[[#This Row],[VALOR_FIXABASICA]],""),0)</f>
        <v>0</v>
      </c>
      <c r="I471">
        <f>IF(tblCalculo[[#This Row],[STATUS]]="CONCLUÍDO",_xlfn.XLOOKUP(tblCalculo[[#This Row],[NR_SIMULACAO]],tblVendas[[#This Row],[NR_SIMULACAO]],tblVendas[[#This Row],[VALOR_TI]],""),0)</f>
        <v>0</v>
      </c>
      <c r="J471">
        <f>IF(tblCalculo[[#This Row],[STATUS]]="CONCLUÍDO",_xlfn.XLOOKUP(tblCalculo[[#This Row],[NR_SIMULACAO]],tblVendas[[#This Row],[NR_SIMULACAO]],tblVendas[[#This Row],[VALOR_APARELHO]],""),0)</f>
        <v>0</v>
      </c>
      <c r="K471" t="str">
        <f>IF(tblCalculo[[#This Row],[STATUS]]="NEGOCIANDO",tblCalculo[[#This Row],[VALOR_TOTAL]],"")</f>
        <v/>
      </c>
      <c r="L471" t="str">
        <f>IF(tblCalculo[[#This Row],[STATUS]]="ALÇADA",tblCalculo[[#This Row],[VALOR_TOTAL]],"")</f>
        <v/>
      </c>
      <c r="M471" t="str">
        <f>IF(tblCalculo[[#This Row],[STATUS]]="EM ANÁLISE",tblCalculo[[#This Row],[VALOR_TOTAL]],"")</f>
        <v/>
      </c>
      <c r="N471" t="str">
        <f>IF(tblCalculo[[#This Row],[STATUS]]="TRAMITANDO",tblCalculo[[#This Row],[VALOR_TOTAL]],"")</f>
        <v/>
      </c>
      <c r="O471">
        <f>IF(tblCalculo[[#This Row],[STATUS]]="PERDIDO",tblCalculo[[#This Row],[VALOR_TOTAL]],"")</f>
        <v>7295.82</v>
      </c>
      <c r="P471" t="str">
        <f>IF(tblCalculo[[#This Row],[STATUS]]="CONCLUÍDO",tblCalculo[[#This Row],[VALOR_TOTAL]],"")</f>
        <v/>
      </c>
    </row>
    <row r="472" spans="1:16" x14ac:dyDescent="0.25">
      <c r="A472" t="str">
        <f>tblVendas[[#This Row],[NR_SIMULACAO]]</f>
        <v>SIM1462</v>
      </c>
      <c r="B472" s="34" t="str">
        <f>_xlfn.XLOOKUP(A472,tblVendas[[#This Row],[NR_SIMULACAO]],tblVendas[[#This Row],[NR_CNPJ]],"")</f>
        <v>53.921.826/0001-80</v>
      </c>
      <c r="C472" t="str">
        <f>_xlfn.XLOOKUP(A472,tblVendas[[#This Row],[NR_SIMULACAO]],tblVendas[[#This Row],[STATUS]],"")</f>
        <v>ALÇADA</v>
      </c>
      <c r="D472" t="str">
        <f>_xlfn.XLOOKUP(A472,tblVendas[[#This Row],[NR_SIMULACAO]],tblVendas[[#This Row],[MES]],"")</f>
        <v>Novembro</v>
      </c>
      <c r="E472">
        <f>SUM(_xlfn.XLOOKUP(tblCalculo[[#This Row],[NR_SIMULACAO]],tblVendas[[#This Row],[NR_SIMULACAO]],tblVendas[[#This Row],[VALOR_MOVEL]],""):_xlfn.XLOOKUP(tblCalculo[[#This Row],[NR_SIMULACAO]],tblVendas[[#This Row],[NR_SIMULACAO]],tblVendas[[#This Row],[VALOR_APARELHO]],""))</f>
        <v>11141.89</v>
      </c>
      <c r="F472">
        <f>IF(tblCalculo[[#This Row],[STATUS]]="CONCLUÍDO",_xlfn.XLOOKUP(tblCalculo[[#This Row],[NR_SIMULACAO]],tblVendas[[#This Row],[NR_SIMULACAO]],tblVendas[[#This Row],[VALOR_MOVEL]],""),0)</f>
        <v>0</v>
      </c>
      <c r="G472">
        <f>IF(tblCalculo[[#This Row],[STATUS]]="CONCLUÍDO",_xlfn.XLOOKUP(tblCalculo[[#This Row],[NR_SIMULACAO]],tblVendas[[#This Row],[NR_SIMULACAO]],tblVendas[[#This Row],[VALOR_AVANCADO]],""),0)</f>
        <v>0</v>
      </c>
      <c r="H472">
        <f>IF(tblCalculo[[#This Row],[STATUS]]="CONCLUÍDO",_xlfn.XLOOKUP(tblCalculo[[#This Row],[NR_SIMULACAO]],tblVendas[[#This Row],[NR_SIMULACAO]],tblVendas[[#This Row],[VALOR_FIXABASICA]],""),0)</f>
        <v>0</v>
      </c>
      <c r="I472">
        <f>IF(tblCalculo[[#This Row],[STATUS]]="CONCLUÍDO",_xlfn.XLOOKUP(tblCalculo[[#This Row],[NR_SIMULACAO]],tblVendas[[#This Row],[NR_SIMULACAO]],tblVendas[[#This Row],[VALOR_TI]],""),0)</f>
        <v>0</v>
      </c>
      <c r="J472">
        <f>IF(tblCalculo[[#This Row],[STATUS]]="CONCLUÍDO",_xlfn.XLOOKUP(tblCalculo[[#This Row],[NR_SIMULACAO]],tblVendas[[#This Row],[NR_SIMULACAO]],tblVendas[[#This Row],[VALOR_APARELHO]],""),0)</f>
        <v>0</v>
      </c>
      <c r="K472" t="str">
        <f>IF(tblCalculo[[#This Row],[STATUS]]="NEGOCIANDO",tblCalculo[[#This Row],[VALOR_TOTAL]],"")</f>
        <v/>
      </c>
      <c r="L472">
        <f>IF(tblCalculo[[#This Row],[STATUS]]="ALÇADA",tblCalculo[[#This Row],[VALOR_TOTAL]],"")</f>
        <v>11141.89</v>
      </c>
      <c r="M472" t="str">
        <f>IF(tblCalculo[[#This Row],[STATUS]]="EM ANÁLISE",tblCalculo[[#This Row],[VALOR_TOTAL]],"")</f>
        <v/>
      </c>
      <c r="N472" t="str">
        <f>IF(tblCalculo[[#This Row],[STATUS]]="TRAMITANDO",tblCalculo[[#This Row],[VALOR_TOTAL]],"")</f>
        <v/>
      </c>
      <c r="O472" t="str">
        <f>IF(tblCalculo[[#This Row],[STATUS]]="PERDIDO",tblCalculo[[#This Row],[VALOR_TOTAL]],"")</f>
        <v/>
      </c>
      <c r="P472" t="str">
        <f>IF(tblCalculo[[#This Row],[STATUS]]="CONCLUÍDO",tblCalculo[[#This Row],[VALOR_TOTAL]],"")</f>
        <v/>
      </c>
    </row>
    <row r="473" spans="1:16" x14ac:dyDescent="0.25">
      <c r="A473" t="str">
        <f>tblVendas[[#This Row],[NR_SIMULACAO]]</f>
        <v>SIM1463</v>
      </c>
      <c r="B473" s="34" t="str">
        <f>_xlfn.XLOOKUP(A473,tblVendas[[#This Row],[NR_SIMULACAO]],tblVendas[[#This Row],[NR_CNPJ]],"")</f>
        <v>71.233.850/0001-85</v>
      </c>
      <c r="C473" t="str">
        <f>_xlfn.XLOOKUP(A473,tblVendas[[#This Row],[NR_SIMULACAO]],tblVendas[[#This Row],[STATUS]],"")</f>
        <v>PERDIDO</v>
      </c>
      <c r="D473" t="str">
        <f>_xlfn.XLOOKUP(A473,tblVendas[[#This Row],[NR_SIMULACAO]],tblVendas[[#This Row],[MES]],"")</f>
        <v>Outubro</v>
      </c>
      <c r="E473">
        <f>SUM(_xlfn.XLOOKUP(tblCalculo[[#This Row],[NR_SIMULACAO]],tblVendas[[#This Row],[NR_SIMULACAO]],tblVendas[[#This Row],[VALOR_MOVEL]],""):_xlfn.XLOOKUP(tblCalculo[[#This Row],[NR_SIMULACAO]],tblVendas[[#This Row],[NR_SIMULACAO]],tblVendas[[#This Row],[VALOR_APARELHO]],""))</f>
        <v>22392.75</v>
      </c>
      <c r="F473">
        <f>IF(tblCalculo[[#This Row],[STATUS]]="CONCLUÍDO",_xlfn.XLOOKUP(tblCalculo[[#This Row],[NR_SIMULACAO]],tblVendas[[#This Row],[NR_SIMULACAO]],tblVendas[[#This Row],[VALOR_MOVEL]],""),0)</f>
        <v>0</v>
      </c>
      <c r="G473">
        <f>IF(tblCalculo[[#This Row],[STATUS]]="CONCLUÍDO",_xlfn.XLOOKUP(tblCalculo[[#This Row],[NR_SIMULACAO]],tblVendas[[#This Row],[NR_SIMULACAO]],tblVendas[[#This Row],[VALOR_AVANCADO]],""),0)</f>
        <v>0</v>
      </c>
      <c r="H473">
        <f>IF(tblCalculo[[#This Row],[STATUS]]="CONCLUÍDO",_xlfn.XLOOKUP(tblCalculo[[#This Row],[NR_SIMULACAO]],tblVendas[[#This Row],[NR_SIMULACAO]],tblVendas[[#This Row],[VALOR_FIXABASICA]],""),0)</f>
        <v>0</v>
      </c>
      <c r="I473">
        <f>IF(tblCalculo[[#This Row],[STATUS]]="CONCLUÍDO",_xlfn.XLOOKUP(tblCalculo[[#This Row],[NR_SIMULACAO]],tblVendas[[#This Row],[NR_SIMULACAO]],tblVendas[[#This Row],[VALOR_TI]],""),0)</f>
        <v>0</v>
      </c>
      <c r="J473">
        <f>IF(tblCalculo[[#This Row],[STATUS]]="CONCLUÍDO",_xlfn.XLOOKUP(tblCalculo[[#This Row],[NR_SIMULACAO]],tblVendas[[#This Row],[NR_SIMULACAO]],tblVendas[[#This Row],[VALOR_APARELHO]],""),0)</f>
        <v>0</v>
      </c>
      <c r="K473" t="str">
        <f>IF(tblCalculo[[#This Row],[STATUS]]="NEGOCIANDO",tblCalculo[[#This Row],[VALOR_TOTAL]],"")</f>
        <v/>
      </c>
      <c r="L473" t="str">
        <f>IF(tblCalculo[[#This Row],[STATUS]]="ALÇADA",tblCalculo[[#This Row],[VALOR_TOTAL]],"")</f>
        <v/>
      </c>
      <c r="M473" t="str">
        <f>IF(tblCalculo[[#This Row],[STATUS]]="EM ANÁLISE",tblCalculo[[#This Row],[VALOR_TOTAL]],"")</f>
        <v/>
      </c>
      <c r="N473" t="str">
        <f>IF(tblCalculo[[#This Row],[STATUS]]="TRAMITANDO",tblCalculo[[#This Row],[VALOR_TOTAL]],"")</f>
        <v/>
      </c>
      <c r="O473">
        <f>IF(tblCalculo[[#This Row],[STATUS]]="PERDIDO",tblCalculo[[#This Row],[VALOR_TOTAL]],"")</f>
        <v>22392.75</v>
      </c>
      <c r="P473" t="str">
        <f>IF(tblCalculo[[#This Row],[STATUS]]="CONCLUÍDO",tblCalculo[[#This Row],[VALOR_TOTAL]],"")</f>
        <v/>
      </c>
    </row>
    <row r="474" spans="1:16" x14ac:dyDescent="0.25">
      <c r="A474" t="str">
        <f>tblVendas[[#This Row],[NR_SIMULACAO]]</f>
        <v>SIM1464</v>
      </c>
      <c r="B474" s="34" t="str">
        <f>_xlfn.XLOOKUP(A474,tblVendas[[#This Row],[NR_SIMULACAO]],tblVendas[[#This Row],[NR_CNPJ]],"")</f>
        <v>70.259.402/0001-60</v>
      </c>
      <c r="C474" t="str">
        <f>_xlfn.XLOOKUP(A474,tblVendas[[#This Row],[NR_SIMULACAO]],tblVendas[[#This Row],[STATUS]],"")</f>
        <v>EM ANÁLISE</v>
      </c>
      <c r="D474" t="str">
        <f>_xlfn.XLOOKUP(A474,tblVendas[[#This Row],[NR_SIMULACAO]],tblVendas[[#This Row],[MES]],"")</f>
        <v>Novembro</v>
      </c>
      <c r="E474">
        <f>SUM(_xlfn.XLOOKUP(tblCalculo[[#This Row],[NR_SIMULACAO]],tblVendas[[#This Row],[NR_SIMULACAO]],tblVendas[[#This Row],[VALOR_MOVEL]],""):_xlfn.XLOOKUP(tblCalculo[[#This Row],[NR_SIMULACAO]],tblVendas[[#This Row],[NR_SIMULACAO]],tblVendas[[#This Row],[VALOR_APARELHO]],""))</f>
        <v>17517.650000000001</v>
      </c>
      <c r="F474">
        <f>IF(tblCalculo[[#This Row],[STATUS]]="CONCLUÍDO",_xlfn.XLOOKUP(tblCalculo[[#This Row],[NR_SIMULACAO]],tblVendas[[#This Row],[NR_SIMULACAO]],tblVendas[[#This Row],[VALOR_MOVEL]],""),0)</f>
        <v>0</v>
      </c>
      <c r="G474">
        <f>IF(tblCalculo[[#This Row],[STATUS]]="CONCLUÍDO",_xlfn.XLOOKUP(tblCalculo[[#This Row],[NR_SIMULACAO]],tblVendas[[#This Row],[NR_SIMULACAO]],tblVendas[[#This Row],[VALOR_AVANCADO]],""),0)</f>
        <v>0</v>
      </c>
      <c r="H474">
        <f>IF(tblCalculo[[#This Row],[STATUS]]="CONCLUÍDO",_xlfn.XLOOKUP(tblCalculo[[#This Row],[NR_SIMULACAO]],tblVendas[[#This Row],[NR_SIMULACAO]],tblVendas[[#This Row],[VALOR_FIXABASICA]],""),0)</f>
        <v>0</v>
      </c>
      <c r="I474">
        <f>IF(tblCalculo[[#This Row],[STATUS]]="CONCLUÍDO",_xlfn.XLOOKUP(tblCalculo[[#This Row],[NR_SIMULACAO]],tblVendas[[#This Row],[NR_SIMULACAO]],tblVendas[[#This Row],[VALOR_TI]],""),0)</f>
        <v>0</v>
      </c>
      <c r="J474">
        <f>IF(tblCalculo[[#This Row],[STATUS]]="CONCLUÍDO",_xlfn.XLOOKUP(tblCalculo[[#This Row],[NR_SIMULACAO]],tblVendas[[#This Row],[NR_SIMULACAO]],tblVendas[[#This Row],[VALOR_APARELHO]],""),0)</f>
        <v>0</v>
      </c>
      <c r="K474" t="str">
        <f>IF(tblCalculo[[#This Row],[STATUS]]="NEGOCIANDO",tblCalculo[[#This Row],[VALOR_TOTAL]],"")</f>
        <v/>
      </c>
      <c r="L474" t="str">
        <f>IF(tblCalculo[[#This Row],[STATUS]]="ALÇADA",tblCalculo[[#This Row],[VALOR_TOTAL]],"")</f>
        <v/>
      </c>
      <c r="M474">
        <f>IF(tblCalculo[[#This Row],[STATUS]]="EM ANÁLISE",tblCalculo[[#This Row],[VALOR_TOTAL]],"")</f>
        <v>17517.650000000001</v>
      </c>
      <c r="N474" t="str">
        <f>IF(tblCalculo[[#This Row],[STATUS]]="TRAMITANDO",tblCalculo[[#This Row],[VALOR_TOTAL]],"")</f>
        <v/>
      </c>
      <c r="O474" t="str">
        <f>IF(tblCalculo[[#This Row],[STATUS]]="PERDIDO",tblCalculo[[#This Row],[VALOR_TOTAL]],"")</f>
        <v/>
      </c>
      <c r="P474" t="str">
        <f>IF(tblCalculo[[#This Row],[STATUS]]="CONCLUÍDO",tblCalculo[[#This Row],[VALOR_TOTAL]],"")</f>
        <v/>
      </c>
    </row>
    <row r="475" spans="1:16" x14ac:dyDescent="0.25">
      <c r="A475" t="str">
        <f>tblVendas[[#This Row],[NR_SIMULACAO]]</f>
        <v>SIM1465</v>
      </c>
      <c r="B475" s="34" t="str">
        <f>_xlfn.XLOOKUP(A475,tblVendas[[#This Row],[NR_SIMULACAO]],tblVendas[[#This Row],[NR_CNPJ]],"")</f>
        <v>57.371.794/0001-39</v>
      </c>
      <c r="C475" t="str">
        <f>_xlfn.XLOOKUP(A475,tblVendas[[#This Row],[NR_SIMULACAO]],tblVendas[[#This Row],[STATUS]],"")</f>
        <v>EM ANÁLISE</v>
      </c>
      <c r="D475" t="str">
        <f>_xlfn.XLOOKUP(A475,tblVendas[[#This Row],[NR_SIMULACAO]],tblVendas[[#This Row],[MES]],"")</f>
        <v>Julho</v>
      </c>
      <c r="E475">
        <f>SUM(_xlfn.XLOOKUP(tblCalculo[[#This Row],[NR_SIMULACAO]],tblVendas[[#This Row],[NR_SIMULACAO]],tblVendas[[#This Row],[VALOR_MOVEL]],""):_xlfn.XLOOKUP(tblCalculo[[#This Row],[NR_SIMULACAO]],tblVendas[[#This Row],[NR_SIMULACAO]],tblVendas[[#This Row],[VALOR_APARELHO]],""))</f>
        <v>3601.56</v>
      </c>
      <c r="F475">
        <f>IF(tblCalculo[[#This Row],[STATUS]]="CONCLUÍDO",_xlfn.XLOOKUP(tblCalculo[[#This Row],[NR_SIMULACAO]],tblVendas[[#This Row],[NR_SIMULACAO]],tblVendas[[#This Row],[VALOR_MOVEL]],""),0)</f>
        <v>0</v>
      </c>
      <c r="G475">
        <f>IF(tblCalculo[[#This Row],[STATUS]]="CONCLUÍDO",_xlfn.XLOOKUP(tblCalculo[[#This Row],[NR_SIMULACAO]],tblVendas[[#This Row],[NR_SIMULACAO]],tblVendas[[#This Row],[VALOR_AVANCADO]],""),0)</f>
        <v>0</v>
      </c>
      <c r="H475">
        <f>IF(tblCalculo[[#This Row],[STATUS]]="CONCLUÍDO",_xlfn.XLOOKUP(tblCalculo[[#This Row],[NR_SIMULACAO]],tblVendas[[#This Row],[NR_SIMULACAO]],tblVendas[[#This Row],[VALOR_FIXABASICA]],""),0)</f>
        <v>0</v>
      </c>
      <c r="I475">
        <f>IF(tblCalculo[[#This Row],[STATUS]]="CONCLUÍDO",_xlfn.XLOOKUP(tblCalculo[[#This Row],[NR_SIMULACAO]],tblVendas[[#This Row],[NR_SIMULACAO]],tblVendas[[#This Row],[VALOR_TI]],""),0)</f>
        <v>0</v>
      </c>
      <c r="J475">
        <f>IF(tblCalculo[[#This Row],[STATUS]]="CONCLUÍDO",_xlfn.XLOOKUP(tblCalculo[[#This Row],[NR_SIMULACAO]],tblVendas[[#This Row],[NR_SIMULACAO]],tblVendas[[#This Row],[VALOR_APARELHO]],""),0)</f>
        <v>0</v>
      </c>
      <c r="K475" t="str">
        <f>IF(tblCalculo[[#This Row],[STATUS]]="NEGOCIANDO",tblCalculo[[#This Row],[VALOR_TOTAL]],"")</f>
        <v/>
      </c>
      <c r="L475" t="str">
        <f>IF(tblCalculo[[#This Row],[STATUS]]="ALÇADA",tblCalculo[[#This Row],[VALOR_TOTAL]],"")</f>
        <v/>
      </c>
      <c r="M475">
        <f>IF(tblCalculo[[#This Row],[STATUS]]="EM ANÁLISE",tblCalculo[[#This Row],[VALOR_TOTAL]],"")</f>
        <v>3601.56</v>
      </c>
      <c r="N475" t="str">
        <f>IF(tblCalculo[[#This Row],[STATUS]]="TRAMITANDO",tblCalculo[[#This Row],[VALOR_TOTAL]],"")</f>
        <v/>
      </c>
      <c r="O475" t="str">
        <f>IF(tblCalculo[[#This Row],[STATUS]]="PERDIDO",tblCalculo[[#This Row],[VALOR_TOTAL]],"")</f>
        <v/>
      </c>
      <c r="P475" t="str">
        <f>IF(tblCalculo[[#This Row],[STATUS]]="CONCLUÍDO",tblCalculo[[#This Row],[VALOR_TOTAL]],"")</f>
        <v/>
      </c>
    </row>
    <row r="476" spans="1:16" x14ac:dyDescent="0.25">
      <c r="A476" t="str">
        <f>tblVendas[[#This Row],[NR_SIMULACAO]]</f>
        <v>SIM1466</v>
      </c>
      <c r="B476" s="34" t="str">
        <f>_xlfn.XLOOKUP(A476,tblVendas[[#This Row],[NR_SIMULACAO]],tblVendas[[#This Row],[NR_CNPJ]],"")</f>
        <v>45.613.251/0001-86</v>
      </c>
      <c r="C476" t="str">
        <f>_xlfn.XLOOKUP(A476,tblVendas[[#This Row],[NR_SIMULACAO]],tblVendas[[#This Row],[STATUS]],"")</f>
        <v>CONCLUÍDO</v>
      </c>
      <c r="D476" t="str">
        <f>_xlfn.XLOOKUP(A476,tblVendas[[#This Row],[NR_SIMULACAO]],tblVendas[[#This Row],[MES]],"")</f>
        <v>Janeiro</v>
      </c>
      <c r="E476">
        <f>SUM(_xlfn.XLOOKUP(tblCalculo[[#This Row],[NR_SIMULACAO]],tblVendas[[#This Row],[NR_SIMULACAO]],tblVendas[[#This Row],[VALOR_MOVEL]],""):_xlfn.XLOOKUP(tblCalculo[[#This Row],[NR_SIMULACAO]],tblVendas[[#This Row],[NR_SIMULACAO]],tblVendas[[#This Row],[VALOR_APARELHO]],""))</f>
        <v>5068.91</v>
      </c>
      <c r="F476">
        <f>IF(tblCalculo[[#This Row],[STATUS]]="CONCLUÍDO",_xlfn.XLOOKUP(tblCalculo[[#This Row],[NR_SIMULACAO]],tblVendas[[#This Row],[NR_SIMULACAO]],tblVendas[[#This Row],[VALOR_MOVEL]],""),0)</f>
        <v>5068.91</v>
      </c>
      <c r="G476">
        <f>IF(tblCalculo[[#This Row],[STATUS]]="CONCLUÍDO",_xlfn.XLOOKUP(tblCalculo[[#This Row],[NR_SIMULACAO]],tblVendas[[#This Row],[NR_SIMULACAO]],tblVendas[[#This Row],[VALOR_AVANCADO]],""),0)</f>
        <v>0</v>
      </c>
      <c r="H476">
        <f>IF(tblCalculo[[#This Row],[STATUS]]="CONCLUÍDO",_xlfn.XLOOKUP(tblCalculo[[#This Row],[NR_SIMULACAO]],tblVendas[[#This Row],[NR_SIMULACAO]],tblVendas[[#This Row],[VALOR_FIXABASICA]],""),0)</f>
        <v>0</v>
      </c>
      <c r="I476">
        <f>IF(tblCalculo[[#This Row],[STATUS]]="CONCLUÍDO",_xlfn.XLOOKUP(tblCalculo[[#This Row],[NR_SIMULACAO]],tblVendas[[#This Row],[NR_SIMULACAO]],tblVendas[[#This Row],[VALOR_TI]],""),0)</f>
        <v>0</v>
      </c>
      <c r="J476">
        <f>IF(tblCalculo[[#This Row],[STATUS]]="CONCLUÍDO",_xlfn.XLOOKUP(tblCalculo[[#This Row],[NR_SIMULACAO]],tblVendas[[#This Row],[NR_SIMULACAO]],tblVendas[[#This Row],[VALOR_APARELHO]],""),0)</f>
        <v>0</v>
      </c>
      <c r="K476" t="str">
        <f>IF(tblCalculo[[#This Row],[STATUS]]="NEGOCIANDO",tblCalculo[[#This Row],[VALOR_TOTAL]],"")</f>
        <v/>
      </c>
      <c r="L476" t="str">
        <f>IF(tblCalculo[[#This Row],[STATUS]]="ALÇADA",tblCalculo[[#This Row],[VALOR_TOTAL]],"")</f>
        <v/>
      </c>
      <c r="M476" t="str">
        <f>IF(tblCalculo[[#This Row],[STATUS]]="EM ANÁLISE",tblCalculo[[#This Row],[VALOR_TOTAL]],"")</f>
        <v/>
      </c>
      <c r="N476" t="str">
        <f>IF(tblCalculo[[#This Row],[STATUS]]="TRAMITANDO",tblCalculo[[#This Row],[VALOR_TOTAL]],"")</f>
        <v/>
      </c>
      <c r="O476" t="str">
        <f>IF(tblCalculo[[#This Row],[STATUS]]="PERDIDO",tblCalculo[[#This Row],[VALOR_TOTAL]],"")</f>
        <v/>
      </c>
      <c r="P476">
        <f>IF(tblCalculo[[#This Row],[STATUS]]="CONCLUÍDO",tblCalculo[[#This Row],[VALOR_TOTAL]],"")</f>
        <v>5068.91</v>
      </c>
    </row>
    <row r="477" spans="1:16" x14ac:dyDescent="0.25">
      <c r="A477" t="str">
        <f>tblVendas[[#This Row],[NR_SIMULACAO]]</f>
        <v>SIM1467</v>
      </c>
      <c r="B477" s="34" t="str">
        <f>_xlfn.XLOOKUP(A477,tblVendas[[#This Row],[NR_SIMULACAO]],tblVendas[[#This Row],[NR_CNPJ]],"")</f>
        <v>81.458.569/0001-47</v>
      </c>
      <c r="C477" t="str">
        <f>_xlfn.XLOOKUP(A477,tblVendas[[#This Row],[NR_SIMULACAO]],tblVendas[[#This Row],[STATUS]],"")</f>
        <v>NEGOCIANDO</v>
      </c>
      <c r="D477" t="str">
        <f>_xlfn.XLOOKUP(A477,tblVendas[[#This Row],[NR_SIMULACAO]],tblVendas[[#This Row],[MES]],"")</f>
        <v>Novembro</v>
      </c>
      <c r="E477">
        <f>SUM(_xlfn.XLOOKUP(tblCalculo[[#This Row],[NR_SIMULACAO]],tblVendas[[#This Row],[NR_SIMULACAO]],tblVendas[[#This Row],[VALOR_MOVEL]],""):_xlfn.XLOOKUP(tblCalculo[[#This Row],[NR_SIMULACAO]],tblVendas[[#This Row],[NR_SIMULACAO]],tblVendas[[#This Row],[VALOR_APARELHO]],""))</f>
        <v>15145.550000000001</v>
      </c>
      <c r="F477">
        <f>IF(tblCalculo[[#This Row],[STATUS]]="CONCLUÍDO",_xlfn.XLOOKUP(tblCalculo[[#This Row],[NR_SIMULACAO]],tblVendas[[#This Row],[NR_SIMULACAO]],tblVendas[[#This Row],[VALOR_MOVEL]],""),0)</f>
        <v>0</v>
      </c>
      <c r="G477">
        <f>IF(tblCalculo[[#This Row],[STATUS]]="CONCLUÍDO",_xlfn.XLOOKUP(tblCalculo[[#This Row],[NR_SIMULACAO]],tblVendas[[#This Row],[NR_SIMULACAO]],tblVendas[[#This Row],[VALOR_AVANCADO]],""),0)</f>
        <v>0</v>
      </c>
      <c r="H477">
        <f>IF(tblCalculo[[#This Row],[STATUS]]="CONCLUÍDO",_xlfn.XLOOKUP(tblCalculo[[#This Row],[NR_SIMULACAO]],tblVendas[[#This Row],[NR_SIMULACAO]],tblVendas[[#This Row],[VALOR_FIXABASICA]],""),0)</f>
        <v>0</v>
      </c>
      <c r="I477">
        <f>IF(tblCalculo[[#This Row],[STATUS]]="CONCLUÍDO",_xlfn.XLOOKUP(tblCalculo[[#This Row],[NR_SIMULACAO]],tblVendas[[#This Row],[NR_SIMULACAO]],tblVendas[[#This Row],[VALOR_TI]],""),0)</f>
        <v>0</v>
      </c>
      <c r="J477">
        <f>IF(tblCalculo[[#This Row],[STATUS]]="CONCLUÍDO",_xlfn.XLOOKUP(tblCalculo[[#This Row],[NR_SIMULACAO]],tblVendas[[#This Row],[NR_SIMULACAO]],tblVendas[[#This Row],[VALOR_APARELHO]],""),0)</f>
        <v>0</v>
      </c>
      <c r="K477">
        <f>IF(tblCalculo[[#This Row],[STATUS]]="NEGOCIANDO",tblCalculo[[#This Row],[VALOR_TOTAL]],"")</f>
        <v>15145.550000000001</v>
      </c>
      <c r="L477" t="str">
        <f>IF(tblCalculo[[#This Row],[STATUS]]="ALÇADA",tblCalculo[[#This Row],[VALOR_TOTAL]],"")</f>
        <v/>
      </c>
      <c r="M477" t="str">
        <f>IF(tblCalculo[[#This Row],[STATUS]]="EM ANÁLISE",tblCalculo[[#This Row],[VALOR_TOTAL]],"")</f>
        <v/>
      </c>
      <c r="N477" t="str">
        <f>IF(tblCalculo[[#This Row],[STATUS]]="TRAMITANDO",tblCalculo[[#This Row],[VALOR_TOTAL]],"")</f>
        <v/>
      </c>
      <c r="O477" t="str">
        <f>IF(tblCalculo[[#This Row],[STATUS]]="PERDIDO",tblCalculo[[#This Row],[VALOR_TOTAL]],"")</f>
        <v/>
      </c>
      <c r="P477" t="str">
        <f>IF(tblCalculo[[#This Row],[STATUS]]="CONCLUÍDO",tblCalculo[[#This Row],[VALOR_TOTAL]],"")</f>
        <v/>
      </c>
    </row>
    <row r="478" spans="1:16" x14ac:dyDescent="0.25">
      <c r="A478" t="str">
        <f>tblVendas[[#This Row],[NR_SIMULACAO]]</f>
        <v>SIM1468</v>
      </c>
      <c r="B478" s="34" t="str">
        <f>_xlfn.XLOOKUP(A478,tblVendas[[#This Row],[NR_SIMULACAO]],tblVendas[[#This Row],[NR_CNPJ]],"")</f>
        <v>56.224.912/0001-26</v>
      </c>
      <c r="C478" t="str">
        <f>_xlfn.XLOOKUP(A478,tblVendas[[#This Row],[NR_SIMULACAO]],tblVendas[[#This Row],[STATUS]],"")</f>
        <v>PERDIDO</v>
      </c>
      <c r="D478" t="str">
        <f>_xlfn.XLOOKUP(A478,tblVendas[[#This Row],[NR_SIMULACAO]],tblVendas[[#This Row],[MES]],"")</f>
        <v>Dezembro</v>
      </c>
      <c r="E478">
        <f>SUM(_xlfn.XLOOKUP(tblCalculo[[#This Row],[NR_SIMULACAO]],tblVendas[[#This Row],[NR_SIMULACAO]],tblVendas[[#This Row],[VALOR_MOVEL]],""):_xlfn.XLOOKUP(tblCalculo[[#This Row],[NR_SIMULACAO]],tblVendas[[#This Row],[NR_SIMULACAO]],tblVendas[[#This Row],[VALOR_APARELHO]],""))</f>
        <v>10651.04</v>
      </c>
      <c r="F478">
        <f>IF(tblCalculo[[#This Row],[STATUS]]="CONCLUÍDO",_xlfn.XLOOKUP(tblCalculo[[#This Row],[NR_SIMULACAO]],tblVendas[[#This Row],[NR_SIMULACAO]],tblVendas[[#This Row],[VALOR_MOVEL]],""),0)</f>
        <v>0</v>
      </c>
      <c r="G478">
        <f>IF(tblCalculo[[#This Row],[STATUS]]="CONCLUÍDO",_xlfn.XLOOKUP(tblCalculo[[#This Row],[NR_SIMULACAO]],tblVendas[[#This Row],[NR_SIMULACAO]],tblVendas[[#This Row],[VALOR_AVANCADO]],""),0)</f>
        <v>0</v>
      </c>
      <c r="H478">
        <f>IF(tblCalculo[[#This Row],[STATUS]]="CONCLUÍDO",_xlfn.XLOOKUP(tblCalculo[[#This Row],[NR_SIMULACAO]],tblVendas[[#This Row],[NR_SIMULACAO]],tblVendas[[#This Row],[VALOR_FIXABASICA]],""),0)</f>
        <v>0</v>
      </c>
      <c r="I478">
        <f>IF(tblCalculo[[#This Row],[STATUS]]="CONCLUÍDO",_xlfn.XLOOKUP(tblCalculo[[#This Row],[NR_SIMULACAO]],tblVendas[[#This Row],[NR_SIMULACAO]],tblVendas[[#This Row],[VALOR_TI]],""),0)</f>
        <v>0</v>
      </c>
      <c r="J478">
        <f>IF(tblCalculo[[#This Row],[STATUS]]="CONCLUÍDO",_xlfn.XLOOKUP(tblCalculo[[#This Row],[NR_SIMULACAO]],tblVendas[[#This Row],[NR_SIMULACAO]],tblVendas[[#This Row],[VALOR_APARELHO]],""),0)</f>
        <v>0</v>
      </c>
      <c r="K478" t="str">
        <f>IF(tblCalculo[[#This Row],[STATUS]]="NEGOCIANDO",tblCalculo[[#This Row],[VALOR_TOTAL]],"")</f>
        <v/>
      </c>
      <c r="L478" t="str">
        <f>IF(tblCalculo[[#This Row],[STATUS]]="ALÇADA",tblCalculo[[#This Row],[VALOR_TOTAL]],"")</f>
        <v/>
      </c>
      <c r="M478" t="str">
        <f>IF(tblCalculo[[#This Row],[STATUS]]="EM ANÁLISE",tblCalculo[[#This Row],[VALOR_TOTAL]],"")</f>
        <v/>
      </c>
      <c r="N478" t="str">
        <f>IF(tblCalculo[[#This Row],[STATUS]]="TRAMITANDO",tblCalculo[[#This Row],[VALOR_TOTAL]],"")</f>
        <v/>
      </c>
      <c r="O478">
        <f>IF(tblCalculo[[#This Row],[STATUS]]="PERDIDO",tblCalculo[[#This Row],[VALOR_TOTAL]],"")</f>
        <v>10651.04</v>
      </c>
      <c r="P478" t="str">
        <f>IF(tblCalculo[[#This Row],[STATUS]]="CONCLUÍDO",tblCalculo[[#This Row],[VALOR_TOTAL]],"")</f>
        <v/>
      </c>
    </row>
    <row r="479" spans="1:16" x14ac:dyDescent="0.25">
      <c r="A479" t="str">
        <f>tblVendas[[#This Row],[NR_SIMULACAO]]</f>
        <v>SIM1469</v>
      </c>
      <c r="B479" s="34" t="str">
        <f>_xlfn.XLOOKUP(A479,tblVendas[[#This Row],[NR_SIMULACAO]],tblVendas[[#This Row],[NR_CNPJ]],"")</f>
        <v>26.271.558/0001-99</v>
      </c>
      <c r="C479" t="str">
        <f>_xlfn.XLOOKUP(A479,tblVendas[[#This Row],[NR_SIMULACAO]],tblVendas[[#This Row],[STATUS]],"")</f>
        <v>NEGOCIANDO</v>
      </c>
      <c r="D479" t="str">
        <f>_xlfn.XLOOKUP(A479,tblVendas[[#This Row],[NR_SIMULACAO]],tblVendas[[#This Row],[MES]],"")</f>
        <v>Outubro</v>
      </c>
      <c r="E479">
        <f>SUM(_xlfn.XLOOKUP(tblCalculo[[#This Row],[NR_SIMULACAO]],tblVendas[[#This Row],[NR_SIMULACAO]],tblVendas[[#This Row],[VALOR_MOVEL]],""):_xlfn.XLOOKUP(tblCalculo[[#This Row],[NR_SIMULACAO]],tblVendas[[#This Row],[NR_SIMULACAO]],tblVendas[[#This Row],[VALOR_APARELHO]],""))</f>
        <v>955.87</v>
      </c>
      <c r="F479">
        <f>IF(tblCalculo[[#This Row],[STATUS]]="CONCLUÍDO",_xlfn.XLOOKUP(tblCalculo[[#This Row],[NR_SIMULACAO]],tblVendas[[#This Row],[NR_SIMULACAO]],tblVendas[[#This Row],[VALOR_MOVEL]],""),0)</f>
        <v>0</v>
      </c>
      <c r="G479">
        <f>IF(tblCalculo[[#This Row],[STATUS]]="CONCLUÍDO",_xlfn.XLOOKUP(tblCalculo[[#This Row],[NR_SIMULACAO]],tblVendas[[#This Row],[NR_SIMULACAO]],tblVendas[[#This Row],[VALOR_AVANCADO]],""),0)</f>
        <v>0</v>
      </c>
      <c r="H479">
        <f>IF(tblCalculo[[#This Row],[STATUS]]="CONCLUÍDO",_xlfn.XLOOKUP(tblCalculo[[#This Row],[NR_SIMULACAO]],tblVendas[[#This Row],[NR_SIMULACAO]],tblVendas[[#This Row],[VALOR_FIXABASICA]],""),0)</f>
        <v>0</v>
      </c>
      <c r="I479">
        <f>IF(tblCalculo[[#This Row],[STATUS]]="CONCLUÍDO",_xlfn.XLOOKUP(tblCalculo[[#This Row],[NR_SIMULACAO]],tblVendas[[#This Row],[NR_SIMULACAO]],tblVendas[[#This Row],[VALOR_TI]],""),0)</f>
        <v>0</v>
      </c>
      <c r="J479">
        <f>IF(tblCalculo[[#This Row],[STATUS]]="CONCLUÍDO",_xlfn.XLOOKUP(tblCalculo[[#This Row],[NR_SIMULACAO]],tblVendas[[#This Row],[NR_SIMULACAO]],tblVendas[[#This Row],[VALOR_APARELHO]],""),0)</f>
        <v>0</v>
      </c>
      <c r="K479">
        <f>IF(tblCalculo[[#This Row],[STATUS]]="NEGOCIANDO",tblCalculo[[#This Row],[VALOR_TOTAL]],"")</f>
        <v>955.87</v>
      </c>
      <c r="L479" t="str">
        <f>IF(tblCalculo[[#This Row],[STATUS]]="ALÇADA",tblCalculo[[#This Row],[VALOR_TOTAL]],"")</f>
        <v/>
      </c>
      <c r="M479" t="str">
        <f>IF(tblCalculo[[#This Row],[STATUS]]="EM ANÁLISE",tblCalculo[[#This Row],[VALOR_TOTAL]],"")</f>
        <v/>
      </c>
      <c r="N479" t="str">
        <f>IF(tblCalculo[[#This Row],[STATUS]]="TRAMITANDO",tblCalculo[[#This Row],[VALOR_TOTAL]],"")</f>
        <v/>
      </c>
      <c r="O479" t="str">
        <f>IF(tblCalculo[[#This Row],[STATUS]]="PERDIDO",tblCalculo[[#This Row],[VALOR_TOTAL]],"")</f>
        <v/>
      </c>
      <c r="P479" t="str">
        <f>IF(tblCalculo[[#This Row],[STATUS]]="CONCLUÍDO",tblCalculo[[#This Row],[VALOR_TOTAL]],"")</f>
        <v/>
      </c>
    </row>
    <row r="480" spans="1:16" x14ac:dyDescent="0.25">
      <c r="A480" t="str">
        <f>tblVendas[[#This Row],[NR_SIMULACAO]]</f>
        <v>SIM1470</v>
      </c>
      <c r="B480" s="34" t="str">
        <f>_xlfn.XLOOKUP(A480,tblVendas[[#This Row],[NR_SIMULACAO]],tblVendas[[#This Row],[NR_CNPJ]],"")</f>
        <v>71.972.190/0001-54</v>
      </c>
      <c r="C480" t="str">
        <f>_xlfn.XLOOKUP(A480,tblVendas[[#This Row],[NR_SIMULACAO]],tblVendas[[#This Row],[STATUS]],"")</f>
        <v>PERDIDO</v>
      </c>
      <c r="D480" t="str">
        <f>_xlfn.XLOOKUP(A480,tblVendas[[#This Row],[NR_SIMULACAO]],tblVendas[[#This Row],[MES]],"")</f>
        <v>Maio</v>
      </c>
      <c r="E480">
        <f>SUM(_xlfn.XLOOKUP(tblCalculo[[#This Row],[NR_SIMULACAO]],tblVendas[[#This Row],[NR_SIMULACAO]],tblVendas[[#This Row],[VALOR_MOVEL]],""):_xlfn.XLOOKUP(tblCalculo[[#This Row],[NR_SIMULACAO]],tblVendas[[#This Row],[NR_SIMULACAO]],tblVendas[[#This Row],[VALOR_APARELHO]],""))</f>
        <v>20615.310000000001</v>
      </c>
      <c r="F480">
        <f>IF(tblCalculo[[#This Row],[STATUS]]="CONCLUÍDO",_xlfn.XLOOKUP(tblCalculo[[#This Row],[NR_SIMULACAO]],tblVendas[[#This Row],[NR_SIMULACAO]],tblVendas[[#This Row],[VALOR_MOVEL]],""),0)</f>
        <v>0</v>
      </c>
      <c r="G480">
        <f>IF(tblCalculo[[#This Row],[STATUS]]="CONCLUÍDO",_xlfn.XLOOKUP(tblCalculo[[#This Row],[NR_SIMULACAO]],tblVendas[[#This Row],[NR_SIMULACAO]],tblVendas[[#This Row],[VALOR_AVANCADO]],""),0)</f>
        <v>0</v>
      </c>
      <c r="H480">
        <f>IF(tblCalculo[[#This Row],[STATUS]]="CONCLUÍDO",_xlfn.XLOOKUP(tblCalculo[[#This Row],[NR_SIMULACAO]],tblVendas[[#This Row],[NR_SIMULACAO]],tblVendas[[#This Row],[VALOR_FIXABASICA]],""),0)</f>
        <v>0</v>
      </c>
      <c r="I480">
        <f>IF(tblCalculo[[#This Row],[STATUS]]="CONCLUÍDO",_xlfn.XLOOKUP(tblCalculo[[#This Row],[NR_SIMULACAO]],tblVendas[[#This Row],[NR_SIMULACAO]],tblVendas[[#This Row],[VALOR_TI]],""),0)</f>
        <v>0</v>
      </c>
      <c r="J480">
        <f>IF(tblCalculo[[#This Row],[STATUS]]="CONCLUÍDO",_xlfn.XLOOKUP(tblCalculo[[#This Row],[NR_SIMULACAO]],tblVendas[[#This Row],[NR_SIMULACAO]],tblVendas[[#This Row],[VALOR_APARELHO]],""),0)</f>
        <v>0</v>
      </c>
      <c r="K480" t="str">
        <f>IF(tblCalculo[[#This Row],[STATUS]]="NEGOCIANDO",tblCalculo[[#This Row],[VALOR_TOTAL]],"")</f>
        <v/>
      </c>
      <c r="L480" t="str">
        <f>IF(tblCalculo[[#This Row],[STATUS]]="ALÇADA",tblCalculo[[#This Row],[VALOR_TOTAL]],"")</f>
        <v/>
      </c>
      <c r="M480" t="str">
        <f>IF(tblCalculo[[#This Row],[STATUS]]="EM ANÁLISE",tblCalculo[[#This Row],[VALOR_TOTAL]],"")</f>
        <v/>
      </c>
      <c r="N480" t="str">
        <f>IF(tblCalculo[[#This Row],[STATUS]]="TRAMITANDO",tblCalculo[[#This Row],[VALOR_TOTAL]],"")</f>
        <v/>
      </c>
      <c r="O480">
        <f>IF(tblCalculo[[#This Row],[STATUS]]="PERDIDO",tblCalculo[[#This Row],[VALOR_TOTAL]],"")</f>
        <v>20615.310000000001</v>
      </c>
      <c r="P480" t="str">
        <f>IF(tblCalculo[[#This Row],[STATUS]]="CONCLUÍDO",tblCalculo[[#This Row],[VALOR_TOTAL]],"")</f>
        <v/>
      </c>
    </row>
    <row r="481" spans="1:16" x14ac:dyDescent="0.25">
      <c r="A481" t="str">
        <f>tblVendas[[#This Row],[NR_SIMULACAO]]</f>
        <v>SIM1471</v>
      </c>
      <c r="B481" s="34" t="str">
        <f>_xlfn.XLOOKUP(A481,tblVendas[[#This Row],[NR_SIMULACAO]],tblVendas[[#This Row],[NR_CNPJ]],"")</f>
        <v>42.978.539/0001-73</v>
      </c>
      <c r="C481" t="str">
        <f>_xlfn.XLOOKUP(A481,tblVendas[[#This Row],[NR_SIMULACAO]],tblVendas[[#This Row],[STATUS]],"")</f>
        <v>TRAMITANDO</v>
      </c>
      <c r="D481" t="str">
        <f>_xlfn.XLOOKUP(A481,tblVendas[[#This Row],[NR_SIMULACAO]],tblVendas[[#This Row],[MES]],"")</f>
        <v>Novembro</v>
      </c>
      <c r="E481">
        <f>SUM(_xlfn.XLOOKUP(tblCalculo[[#This Row],[NR_SIMULACAO]],tblVendas[[#This Row],[NR_SIMULACAO]],tblVendas[[#This Row],[VALOR_MOVEL]],""):_xlfn.XLOOKUP(tblCalculo[[#This Row],[NR_SIMULACAO]],tblVendas[[#This Row],[NR_SIMULACAO]],tblVendas[[#This Row],[VALOR_APARELHO]],""))</f>
        <v>7929.17</v>
      </c>
      <c r="F481">
        <f>IF(tblCalculo[[#This Row],[STATUS]]="CONCLUÍDO",_xlfn.XLOOKUP(tblCalculo[[#This Row],[NR_SIMULACAO]],tblVendas[[#This Row],[NR_SIMULACAO]],tblVendas[[#This Row],[VALOR_MOVEL]],""),0)</f>
        <v>0</v>
      </c>
      <c r="G481">
        <f>IF(tblCalculo[[#This Row],[STATUS]]="CONCLUÍDO",_xlfn.XLOOKUP(tblCalculo[[#This Row],[NR_SIMULACAO]],tblVendas[[#This Row],[NR_SIMULACAO]],tblVendas[[#This Row],[VALOR_AVANCADO]],""),0)</f>
        <v>0</v>
      </c>
      <c r="H481">
        <f>IF(tblCalculo[[#This Row],[STATUS]]="CONCLUÍDO",_xlfn.XLOOKUP(tblCalculo[[#This Row],[NR_SIMULACAO]],tblVendas[[#This Row],[NR_SIMULACAO]],tblVendas[[#This Row],[VALOR_FIXABASICA]],""),0)</f>
        <v>0</v>
      </c>
      <c r="I481">
        <f>IF(tblCalculo[[#This Row],[STATUS]]="CONCLUÍDO",_xlfn.XLOOKUP(tblCalculo[[#This Row],[NR_SIMULACAO]],tblVendas[[#This Row],[NR_SIMULACAO]],tblVendas[[#This Row],[VALOR_TI]],""),0)</f>
        <v>0</v>
      </c>
      <c r="J481">
        <f>IF(tblCalculo[[#This Row],[STATUS]]="CONCLUÍDO",_xlfn.XLOOKUP(tblCalculo[[#This Row],[NR_SIMULACAO]],tblVendas[[#This Row],[NR_SIMULACAO]],tblVendas[[#This Row],[VALOR_APARELHO]],""),0)</f>
        <v>0</v>
      </c>
      <c r="K481" t="str">
        <f>IF(tblCalculo[[#This Row],[STATUS]]="NEGOCIANDO",tblCalculo[[#This Row],[VALOR_TOTAL]],"")</f>
        <v/>
      </c>
      <c r="L481" t="str">
        <f>IF(tblCalculo[[#This Row],[STATUS]]="ALÇADA",tblCalculo[[#This Row],[VALOR_TOTAL]],"")</f>
        <v/>
      </c>
      <c r="M481" t="str">
        <f>IF(tblCalculo[[#This Row],[STATUS]]="EM ANÁLISE",tblCalculo[[#This Row],[VALOR_TOTAL]],"")</f>
        <v/>
      </c>
      <c r="N481">
        <f>IF(tblCalculo[[#This Row],[STATUS]]="TRAMITANDO",tblCalculo[[#This Row],[VALOR_TOTAL]],"")</f>
        <v>7929.17</v>
      </c>
      <c r="O481" t="str">
        <f>IF(tblCalculo[[#This Row],[STATUS]]="PERDIDO",tblCalculo[[#This Row],[VALOR_TOTAL]],"")</f>
        <v/>
      </c>
      <c r="P481" t="str">
        <f>IF(tblCalculo[[#This Row],[STATUS]]="CONCLUÍDO",tblCalculo[[#This Row],[VALOR_TOTAL]],"")</f>
        <v/>
      </c>
    </row>
    <row r="482" spans="1:16" x14ac:dyDescent="0.25">
      <c r="A482" t="str">
        <f>tblVendas[[#This Row],[NR_SIMULACAO]]</f>
        <v>SIM1472</v>
      </c>
      <c r="B482" s="34" t="str">
        <f>_xlfn.XLOOKUP(A482,tblVendas[[#This Row],[NR_SIMULACAO]],tblVendas[[#This Row],[NR_CNPJ]],"")</f>
        <v>24.614.777/0001-90</v>
      </c>
      <c r="C482" t="str">
        <f>_xlfn.XLOOKUP(A482,tblVendas[[#This Row],[NR_SIMULACAO]],tblVendas[[#This Row],[STATUS]],"")</f>
        <v>EM ANÁLISE</v>
      </c>
      <c r="D482" t="str">
        <f>_xlfn.XLOOKUP(A482,tblVendas[[#This Row],[NR_SIMULACAO]],tblVendas[[#This Row],[MES]],"")</f>
        <v>Janeiro</v>
      </c>
      <c r="E482">
        <f>SUM(_xlfn.XLOOKUP(tblCalculo[[#This Row],[NR_SIMULACAO]],tblVendas[[#This Row],[NR_SIMULACAO]],tblVendas[[#This Row],[VALOR_MOVEL]],""):_xlfn.XLOOKUP(tblCalculo[[#This Row],[NR_SIMULACAO]],tblVendas[[#This Row],[NR_SIMULACAO]],tblVendas[[#This Row],[VALOR_APARELHO]],""))</f>
        <v>4121.3100000000004</v>
      </c>
      <c r="F482">
        <f>IF(tblCalculo[[#This Row],[STATUS]]="CONCLUÍDO",_xlfn.XLOOKUP(tblCalculo[[#This Row],[NR_SIMULACAO]],tblVendas[[#This Row],[NR_SIMULACAO]],tblVendas[[#This Row],[VALOR_MOVEL]],""),0)</f>
        <v>0</v>
      </c>
      <c r="G482">
        <f>IF(tblCalculo[[#This Row],[STATUS]]="CONCLUÍDO",_xlfn.XLOOKUP(tblCalculo[[#This Row],[NR_SIMULACAO]],tblVendas[[#This Row],[NR_SIMULACAO]],tblVendas[[#This Row],[VALOR_AVANCADO]],""),0)</f>
        <v>0</v>
      </c>
      <c r="H482">
        <f>IF(tblCalculo[[#This Row],[STATUS]]="CONCLUÍDO",_xlfn.XLOOKUP(tblCalculo[[#This Row],[NR_SIMULACAO]],tblVendas[[#This Row],[NR_SIMULACAO]],tblVendas[[#This Row],[VALOR_FIXABASICA]],""),0)</f>
        <v>0</v>
      </c>
      <c r="I482">
        <f>IF(tblCalculo[[#This Row],[STATUS]]="CONCLUÍDO",_xlfn.XLOOKUP(tblCalculo[[#This Row],[NR_SIMULACAO]],tblVendas[[#This Row],[NR_SIMULACAO]],tblVendas[[#This Row],[VALOR_TI]],""),0)</f>
        <v>0</v>
      </c>
      <c r="J482">
        <f>IF(tblCalculo[[#This Row],[STATUS]]="CONCLUÍDO",_xlfn.XLOOKUP(tblCalculo[[#This Row],[NR_SIMULACAO]],tblVendas[[#This Row],[NR_SIMULACAO]],tblVendas[[#This Row],[VALOR_APARELHO]],""),0)</f>
        <v>0</v>
      </c>
      <c r="K482" t="str">
        <f>IF(tblCalculo[[#This Row],[STATUS]]="NEGOCIANDO",tblCalculo[[#This Row],[VALOR_TOTAL]],"")</f>
        <v/>
      </c>
      <c r="L482" t="str">
        <f>IF(tblCalculo[[#This Row],[STATUS]]="ALÇADA",tblCalculo[[#This Row],[VALOR_TOTAL]],"")</f>
        <v/>
      </c>
      <c r="M482">
        <f>IF(tblCalculo[[#This Row],[STATUS]]="EM ANÁLISE",tblCalculo[[#This Row],[VALOR_TOTAL]],"")</f>
        <v>4121.3100000000004</v>
      </c>
      <c r="N482" t="str">
        <f>IF(tblCalculo[[#This Row],[STATUS]]="TRAMITANDO",tblCalculo[[#This Row],[VALOR_TOTAL]],"")</f>
        <v/>
      </c>
      <c r="O482" t="str">
        <f>IF(tblCalculo[[#This Row],[STATUS]]="PERDIDO",tblCalculo[[#This Row],[VALOR_TOTAL]],"")</f>
        <v/>
      </c>
      <c r="P482" t="str">
        <f>IF(tblCalculo[[#This Row],[STATUS]]="CONCLUÍDO",tblCalculo[[#This Row],[VALOR_TOTAL]],"")</f>
        <v/>
      </c>
    </row>
    <row r="483" spans="1:16" x14ac:dyDescent="0.25">
      <c r="A483" t="str">
        <f>tblVendas[[#This Row],[NR_SIMULACAO]]</f>
        <v>SIM1473</v>
      </c>
      <c r="B483" s="34" t="str">
        <f>_xlfn.XLOOKUP(A483,tblVendas[[#This Row],[NR_SIMULACAO]],tblVendas[[#This Row],[NR_CNPJ]],"")</f>
        <v>80.942.197/0001-64</v>
      </c>
      <c r="C483" t="str">
        <f>_xlfn.XLOOKUP(A483,tblVendas[[#This Row],[NR_SIMULACAO]],tblVendas[[#This Row],[STATUS]],"")</f>
        <v>PERDIDO</v>
      </c>
      <c r="D483" t="str">
        <f>_xlfn.XLOOKUP(A483,tblVendas[[#This Row],[NR_SIMULACAO]],tblVendas[[#This Row],[MES]],"")</f>
        <v>Agosto</v>
      </c>
      <c r="E483">
        <f>SUM(_xlfn.XLOOKUP(tblCalculo[[#This Row],[NR_SIMULACAO]],tblVendas[[#This Row],[NR_SIMULACAO]],tblVendas[[#This Row],[VALOR_MOVEL]],""):_xlfn.XLOOKUP(tblCalculo[[#This Row],[NR_SIMULACAO]],tblVendas[[#This Row],[NR_SIMULACAO]],tblVendas[[#This Row],[VALOR_APARELHO]],""))</f>
        <v>15739.58</v>
      </c>
      <c r="F483">
        <f>IF(tblCalculo[[#This Row],[STATUS]]="CONCLUÍDO",_xlfn.XLOOKUP(tblCalculo[[#This Row],[NR_SIMULACAO]],tblVendas[[#This Row],[NR_SIMULACAO]],tblVendas[[#This Row],[VALOR_MOVEL]],""),0)</f>
        <v>0</v>
      </c>
      <c r="G483">
        <f>IF(tblCalculo[[#This Row],[STATUS]]="CONCLUÍDO",_xlfn.XLOOKUP(tblCalculo[[#This Row],[NR_SIMULACAO]],tblVendas[[#This Row],[NR_SIMULACAO]],tblVendas[[#This Row],[VALOR_AVANCADO]],""),0)</f>
        <v>0</v>
      </c>
      <c r="H483">
        <f>IF(tblCalculo[[#This Row],[STATUS]]="CONCLUÍDO",_xlfn.XLOOKUP(tblCalculo[[#This Row],[NR_SIMULACAO]],tblVendas[[#This Row],[NR_SIMULACAO]],tblVendas[[#This Row],[VALOR_FIXABASICA]],""),0)</f>
        <v>0</v>
      </c>
      <c r="I483">
        <f>IF(tblCalculo[[#This Row],[STATUS]]="CONCLUÍDO",_xlfn.XLOOKUP(tblCalculo[[#This Row],[NR_SIMULACAO]],tblVendas[[#This Row],[NR_SIMULACAO]],tblVendas[[#This Row],[VALOR_TI]],""),0)</f>
        <v>0</v>
      </c>
      <c r="J483">
        <f>IF(tblCalculo[[#This Row],[STATUS]]="CONCLUÍDO",_xlfn.XLOOKUP(tblCalculo[[#This Row],[NR_SIMULACAO]],tblVendas[[#This Row],[NR_SIMULACAO]],tblVendas[[#This Row],[VALOR_APARELHO]],""),0)</f>
        <v>0</v>
      </c>
      <c r="K483" t="str">
        <f>IF(tblCalculo[[#This Row],[STATUS]]="NEGOCIANDO",tblCalculo[[#This Row],[VALOR_TOTAL]],"")</f>
        <v/>
      </c>
      <c r="L483" t="str">
        <f>IF(tblCalculo[[#This Row],[STATUS]]="ALÇADA",tblCalculo[[#This Row],[VALOR_TOTAL]],"")</f>
        <v/>
      </c>
      <c r="M483" t="str">
        <f>IF(tblCalculo[[#This Row],[STATUS]]="EM ANÁLISE",tblCalculo[[#This Row],[VALOR_TOTAL]],"")</f>
        <v/>
      </c>
      <c r="N483" t="str">
        <f>IF(tblCalculo[[#This Row],[STATUS]]="TRAMITANDO",tblCalculo[[#This Row],[VALOR_TOTAL]],"")</f>
        <v/>
      </c>
      <c r="O483">
        <f>IF(tblCalculo[[#This Row],[STATUS]]="PERDIDO",tblCalculo[[#This Row],[VALOR_TOTAL]],"")</f>
        <v>15739.58</v>
      </c>
      <c r="P483" t="str">
        <f>IF(tblCalculo[[#This Row],[STATUS]]="CONCLUÍDO",tblCalculo[[#This Row],[VALOR_TOTAL]],"")</f>
        <v/>
      </c>
    </row>
    <row r="484" spans="1:16" x14ac:dyDescent="0.25">
      <c r="A484" t="str">
        <f>tblVendas[[#This Row],[NR_SIMULACAO]]</f>
        <v>SIM1474</v>
      </c>
      <c r="B484" s="34" t="str">
        <f>_xlfn.XLOOKUP(A484,tblVendas[[#This Row],[NR_SIMULACAO]],tblVendas[[#This Row],[NR_CNPJ]],"")</f>
        <v>97.799.317/0001-53</v>
      </c>
      <c r="C484" t="str">
        <f>_xlfn.XLOOKUP(A484,tblVendas[[#This Row],[NR_SIMULACAO]],tblVendas[[#This Row],[STATUS]],"")</f>
        <v>EM ANÁLISE</v>
      </c>
      <c r="D484" t="str">
        <f>_xlfn.XLOOKUP(A484,tblVendas[[#This Row],[NR_SIMULACAO]],tblVendas[[#This Row],[MES]],"")</f>
        <v>Março</v>
      </c>
      <c r="E484">
        <f>SUM(_xlfn.XLOOKUP(tblCalculo[[#This Row],[NR_SIMULACAO]],tblVendas[[#This Row],[NR_SIMULACAO]],tblVendas[[#This Row],[VALOR_MOVEL]],""):_xlfn.XLOOKUP(tblCalculo[[#This Row],[NR_SIMULACAO]],tblVendas[[#This Row],[NR_SIMULACAO]],tblVendas[[#This Row],[VALOR_APARELHO]],""))</f>
        <v>17342.75</v>
      </c>
      <c r="F484">
        <f>IF(tblCalculo[[#This Row],[STATUS]]="CONCLUÍDO",_xlfn.XLOOKUP(tblCalculo[[#This Row],[NR_SIMULACAO]],tblVendas[[#This Row],[NR_SIMULACAO]],tblVendas[[#This Row],[VALOR_MOVEL]],""),0)</f>
        <v>0</v>
      </c>
      <c r="G484">
        <f>IF(tblCalculo[[#This Row],[STATUS]]="CONCLUÍDO",_xlfn.XLOOKUP(tblCalculo[[#This Row],[NR_SIMULACAO]],tblVendas[[#This Row],[NR_SIMULACAO]],tblVendas[[#This Row],[VALOR_AVANCADO]],""),0)</f>
        <v>0</v>
      </c>
      <c r="H484">
        <f>IF(tblCalculo[[#This Row],[STATUS]]="CONCLUÍDO",_xlfn.XLOOKUP(tblCalculo[[#This Row],[NR_SIMULACAO]],tblVendas[[#This Row],[NR_SIMULACAO]],tblVendas[[#This Row],[VALOR_FIXABASICA]],""),0)</f>
        <v>0</v>
      </c>
      <c r="I484">
        <f>IF(tblCalculo[[#This Row],[STATUS]]="CONCLUÍDO",_xlfn.XLOOKUP(tblCalculo[[#This Row],[NR_SIMULACAO]],tblVendas[[#This Row],[NR_SIMULACAO]],tblVendas[[#This Row],[VALOR_TI]],""),0)</f>
        <v>0</v>
      </c>
      <c r="J484">
        <f>IF(tblCalculo[[#This Row],[STATUS]]="CONCLUÍDO",_xlfn.XLOOKUP(tblCalculo[[#This Row],[NR_SIMULACAO]],tblVendas[[#This Row],[NR_SIMULACAO]],tblVendas[[#This Row],[VALOR_APARELHO]],""),0)</f>
        <v>0</v>
      </c>
      <c r="K484" t="str">
        <f>IF(tblCalculo[[#This Row],[STATUS]]="NEGOCIANDO",tblCalculo[[#This Row],[VALOR_TOTAL]],"")</f>
        <v/>
      </c>
      <c r="L484" t="str">
        <f>IF(tblCalculo[[#This Row],[STATUS]]="ALÇADA",tblCalculo[[#This Row],[VALOR_TOTAL]],"")</f>
        <v/>
      </c>
      <c r="M484">
        <f>IF(tblCalculo[[#This Row],[STATUS]]="EM ANÁLISE",tblCalculo[[#This Row],[VALOR_TOTAL]],"")</f>
        <v>17342.75</v>
      </c>
      <c r="N484" t="str">
        <f>IF(tblCalculo[[#This Row],[STATUS]]="TRAMITANDO",tblCalculo[[#This Row],[VALOR_TOTAL]],"")</f>
        <v/>
      </c>
      <c r="O484" t="str">
        <f>IF(tblCalculo[[#This Row],[STATUS]]="PERDIDO",tblCalculo[[#This Row],[VALOR_TOTAL]],"")</f>
        <v/>
      </c>
      <c r="P484" t="str">
        <f>IF(tblCalculo[[#This Row],[STATUS]]="CONCLUÍDO",tblCalculo[[#This Row],[VALOR_TOTAL]],"")</f>
        <v/>
      </c>
    </row>
    <row r="485" spans="1:16" x14ac:dyDescent="0.25">
      <c r="A485" t="str">
        <f>tblVendas[[#This Row],[NR_SIMULACAO]]</f>
        <v>SIM1475</v>
      </c>
      <c r="B485" s="34" t="str">
        <f>_xlfn.XLOOKUP(A485,tblVendas[[#This Row],[NR_SIMULACAO]],tblVendas[[#This Row],[NR_CNPJ]],"")</f>
        <v>25.133.483/0001-62</v>
      </c>
      <c r="C485" t="str">
        <f>_xlfn.XLOOKUP(A485,tblVendas[[#This Row],[NR_SIMULACAO]],tblVendas[[#This Row],[STATUS]],"")</f>
        <v>ALÇADA</v>
      </c>
      <c r="D485" t="str">
        <f>_xlfn.XLOOKUP(A485,tblVendas[[#This Row],[NR_SIMULACAO]],tblVendas[[#This Row],[MES]],"")</f>
        <v>Novembro</v>
      </c>
      <c r="E485">
        <f>SUM(_xlfn.XLOOKUP(tblCalculo[[#This Row],[NR_SIMULACAO]],tblVendas[[#This Row],[NR_SIMULACAO]],tblVendas[[#This Row],[VALOR_MOVEL]],""):_xlfn.XLOOKUP(tblCalculo[[#This Row],[NR_SIMULACAO]],tblVendas[[#This Row],[NR_SIMULACAO]],tblVendas[[#This Row],[VALOR_APARELHO]],""))</f>
        <v>9452.7999999999993</v>
      </c>
      <c r="F485">
        <f>IF(tblCalculo[[#This Row],[STATUS]]="CONCLUÍDO",_xlfn.XLOOKUP(tblCalculo[[#This Row],[NR_SIMULACAO]],tblVendas[[#This Row],[NR_SIMULACAO]],tblVendas[[#This Row],[VALOR_MOVEL]],""),0)</f>
        <v>0</v>
      </c>
      <c r="G485">
        <f>IF(tblCalculo[[#This Row],[STATUS]]="CONCLUÍDO",_xlfn.XLOOKUP(tblCalculo[[#This Row],[NR_SIMULACAO]],tblVendas[[#This Row],[NR_SIMULACAO]],tblVendas[[#This Row],[VALOR_AVANCADO]],""),0)</f>
        <v>0</v>
      </c>
      <c r="H485">
        <f>IF(tblCalculo[[#This Row],[STATUS]]="CONCLUÍDO",_xlfn.XLOOKUP(tblCalculo[[#This Row],[NR_SIMULACAO]],tblVendas[[#This Row],[NR_SIMULACAO]],tblVendas[[#This Row],[VALOR_FIXABASICA]],""),0)</f>
        <v>0</v>
      </c>
      <c r="I485">
        <f>IF(tblCalculo[[#This Row],[STATUS]]="CONCLUÍDO",_xlfn.XLOOKUP(tblCalculo[[#This Row],[NR_SIMULACAO]],tblVendas[[#This Row],[NR_SIMULACAO]],tblVendas[[#This Row],[VALOR_TI]],""),0)</f>
        <v>0</v>
      </c>
      <c r="J485">
        <f>IF(tblCalculo[[#This Row],[STATUS]]="CONCLUÍDO",_xlfn.XLOOKUP(tblCalculo[[#This Row],[NR_SIMULACAO]],tblVendas[[#This Row],[NR_SIMULACAO]],tblVendas[[#This Row],[VALOR_APARELHO]],""),0)</f>
        <v>0</v>
      </c>
      <c r="K485" t="str">
        <f>IF(tblCalculo[[#This Row],[STATUS]]="NEGOCIANDO",tblCalculo[[#This Row],[VALOR_TOTAL]],"")</f>
        <v/>
      </c>
      <c r="L485">
        <f>IF(tblCalculo[[#This Row],[STATUS]]="ALÇADA",tblCalculo[[#This Row],[VALOR_TOTAL]],"")</f>
        <v>9452.7999999999993</v>
      </c>
      <c r="M485" t="str">
        <f>IF(tblCalculo[[#This Row],[STATUS]]="EM ANÁLISE",tblCalculo[[#This Row],[VALOR_TOTAL]],"")</f>
        <v/>
      </c>
      <c r="N485" t="str">
        <f>IF(tblCalculo[[#This Row],[STATUS]]="TRAMITANDO",tblCalculo[[#This Row],[VALOR_TOTAL]],"")</f>
        <v/>
      </c>
      <c r="O485" t="str">
        <f>IF(tblCalculo[[#This Row],[STATUS]]="PERDIDO",tblCalculo[[#This Row],[VALOR_TOTAL]],"")</f>
        <v/>
      </c>
      <c r="P485" t="str">
        <f>IF(tblCalculo[[#This Row],[STATUS]]="CONCLUÍDO",tblCalculo[[#This Row],[VALOR_TOTAL]],"")</f>
        <v/>
      </c>
    </row>
    <row r="486" spans="1:16" x14ac:dyDescent="0.25">
      <c r="A486" t="str">
        <f>tblVendas[[#This Row],[NR_SIMULACAO]]</f>
        <v>SIM1476</v>
      </c>
      <c r="B486" s="34" t="str">
        <f>_xlfn.XLOOKUP(A486,tblVendas[[#This Row],[NR_SIMULACAO]],tblVendas[[#This Row],[NR_CNPJ]],"")</f>
        <v>73.363.831/0001-60</v>
      </c>
      <c r="C486" t="str">
        <f>_xlfn.XLOOKUP(A486,tblVendas[[#This Row],[NR_SIMULACAO]],tblVendas[[#This Row],[STATUS]],"")</f>
        <v>PERDIDO</v>
      </c>
      <c r="D486" t="str">
        <f>_xlfn.XLOOKUP(A486,tblVendas[[#This Row],[NR_SIMULACAO]],tblVendas[[#This Row],[MES]],"")</f>
        <v>Março</v>
      </c>
      <c r="E486">
        <f>SUM(_xlfn.XLOOKUP(tblCalculo[[#This Row],[NR_SIMULACAO]],tblVendas[[#This Row],[NR_SIMULACAO]],tblVendas[[#This Row],[VALOR_MOVEL]],""):_xlfn.XLOOKUP(tblCalculo[[#This Row],[NR_SIMULACAO]],tblVendas[[#This Row],[NR_SIMULACAO]],tblVendas[[#This Row],[VALOR_APARELHO]],""))</f>
        <v>11659.060000000001</v>
      </c>
      <c r="F486">
        <f>IF(tblCalculo[[#This Row],[STATUS]]="CONCLUÍDO",_xlfn.XLOOKUP(tblCalculo[[#This Row],[NR_SIMULACAO]],tblVendas[[#This Row],[NR_SIMULACAO]],tblVendas[[#This Row],[VALOR_MOVEL]],""),0)</f>
        <v>0</v>
      </c>
      <c r="G486">
        <f>IF(tblCalculo[[#This Row],[STATUS]]="CONCLUÍDO",_xlfn.XLOOKUP(tblCalculo[[#This Row],[NR_SIMULACAO]],tblVendas[[#This Row],[NR_SIMULACAO]],tblVendas[[#This Row],[VALOR_AVANCADO]],""),0)</f>
        <v>0</v>
      </c>
      <c r="H486">
        <f>IF(tblCalculo[[#This Row],[STATUS]]="CONCLUÍDO",_xlfn.XLOOKUP(tblCalculo[[#This Row],[NR_SIMULACAO]],tblVendas[[#This Row],[NR_SIMULACAO]],tblVendas[[#This Row],[VALOR_FIXABASICA]],""),0)</f>
        <v>0</v>
      </c>
      <c r="I486">
        <f>IF(tblCalculo[[#This Row],[STATUS]]="CONCLUÍDO",_xlfn.XLOOKUP(tblCalculo[[#This Row],[NR_SIMULACAO]],tblVendas[[#This Row],[NR_SIMULACAO]],tblVendas[[#This Row],[VALOR_TI]],""),0)</f>
        <v>0</v>
      </c>
      <c r="J486">
        <f>IF(tblCalculo[[#This Row],[STATUS]]="CONCLUÍDO",_xlfn.XLOOKUP(tblCalculo[[#This Row],[NR_SIMULACAO]],tblVendas[[#This Row],[NR_SIMULACAO]],tblVendas[[#This Row],[VALOR_APARELHO]],""),0)</f>
        <v>0</v>
      </c>
      <c r="K486" t="str">
        <f>IF(tblCalculo[[#This Row],[STATUS]]="NEGOCIANDO",tblCalculo[[#This Row],[VALOR_TOTAL]],"")</f>
        <v/>
      </c>
      <c r="L486" t="str">
        <f>IF(tblCalculo[[#This Row],[STATUS]]="ALÇADA",tblCalculo[[#This Row],[VALOR_TOTAL]],"")</f>
        <v/>
      </c>
      <c r="M486" t="str">
        <f>IF(tblCalculo[[#This Row],[STATUS]]="EM ANÁLISE",tblCalculo[[#This Row],[VALOR_TOTAL]],"")</f>
        <v/>
      </c>
      <c r="N486" t="str">
        <f>IF(tblCalculo[[#This Row],[STATUS]]="TRAMITANDO",tblCalculo[[#This Row],[VALOR_TOTAL]],"")</f>
        <v/>
      </c>
      <c r="O486">
        <f>IF(tblCalculo[[#This Row],[STATUS]]="PERDIDO",tblCalculo[[#This Row],[VALOR_TOTAL]],"")</f>
        <v>11659.060000000001</v>
      </c>
      <c r="P486" t="str">
        <f>IF(tblCalculo[[#This Row],[STATUS]]="CONCLUÍDO",tblCalculo[[#This Row],[VALOR_TOTAL]],"")</f>
        <v/>
      </c>
    </row>
    <row r="487" spans="1:16" x14ac:dyDescent="0.25">
      <c r="A487" t="str">
        <f>tblVendas[[#This Row],[NR_SIMULACAO]]</f>
        <v>SIM1477</v>
      </c>
      <c r="B487" s="34" t="str">
        <f>_xlfn.XLOOKUP(A487,tblVendas[[#This Row],[NR_SIMULACAO]],tblVendas[[#This Row],[NR_CNPJ]],"")</f>
        <v>25.659.623/0001-56</v>
      </c>
      <c r="C487" t="str">
        <f>_xlfn.XLOOKUP(A487,tblVendas[[#This Row],[NR_SIMULACAO]],tblVendas[[#This Row],[STATUS]],"")</f>
        <v>CONCLUÍDO</v>
      </c>
      <c r="D487" t="str">
        <f>_xlfn.XLOOKUP(A487,tblVendas[[#This Row],[NR_SIMULACAO]],tblVendas[[#This Row],[MES]],"")</f>
        <v>Maio</v>
      </c>
      <c r="E487">
        <f>SUM(_xlfn.XLOOKUP(tblCalculo[[#This Row],[NR_SIMULACAO]],tblVendas[[#This Row],[NR_SIMULACAO]],tblVendas[[#This Row],[VALOR_MOVEL]],""):_xlfn.XLOOKUP(tblCalculo[[#This Row],[NR_SIMULACAO]],tblVendas[[#This Row],[NR_SIMULACAO]],tblVendas[[#This Row],[VALOR_APARELHO]],""))</f>
        <v>2972.38</v>
      </c>
      <c r="F487">
        <f>IF(tblCalculo[[#This Row],[STATUS]]="CONCLUÍDO",_xlfn.XLOOKUP(tblCalculo[[#This Row],[NR_SIMULACAO]],tblVendas[[#This Row],[NR_SIMULACAO]],tblVendas[[#This Row],[VALOR_MOVEL]],""),0)</f>
        <v>0</v>
      </c>
      <c r="G487">
        <f>IF(tblCalculo[[#This Row],[STATUS]]="CONCLUÍDO",_xlfn.XLOOKUP(tblCalculo[[#This Row],[NR_SIMULACAO]],tblVendas[[#This Row],[NR_SIMULACAO]],tblVendas[[#This Row],[VALOR_AVANCADO]],""),0)</f>
        <v>0</v>
      </c>
      <c r="H487">
        <f>IF(tblCalculo[[#This Row],[STATUS]]="CONCLUÍDO",_xlfn.XLOOKUP(tblCalculo[[#This Row],[NR_SIMULACAO]],tblVendas[[#This Row],[NR_SIMULACAO]],tblVendas[[#This Row],[VALOR_FIXABASICA]],""),0)</f>
        <v>0</v>
      </c>
      <c r="I487">
        <f>IF(tblCalculo[[#This Row],[STATUS]]="CONCLUÍDO",_xlfn.XLOOKUP(tblCalculo[[#This Row],[NR_SIMULACAO]],tblVendas[[#This Row],[NR_SIMULACAO]],tblVendas[[#This Row],[VALOR_TI]],""),0)</f>
        <v>2972.38</v>
      </c>
      <c r="J487">
        <f>IF(tblCalculo[[#This Row],[STATUS]]="CONCLUÍDO",_xlfn.XLOOKUP(tblCalculo[[#This Row],[NR_SIMULACAO]],tblVendas[[#This Row],[NR_SIMULACAO]],tblVendas[[#This Row],[VALOR_APARELHO]],""),0)</f>
        <v>0</v>
      </c>
      <c r="K487" t="str">
        <f>IF(tblCalculo[[#This Row],[STATUS]]="NEGOCIANDO",tblCalculo[[#This Row],[VALOR_TOTAL]],"")</f>
        <v/>
      </c>
      <c r="L487" t="str">
        <f>IF(tblCalculo[[#This Row],[STATUS]]="ALÇADA",tblCalculo[[#This Row],[VALOR_TOTAL]],"")</f>
        <v/>
      </c>
      <c r="M487" t="str">
        <f>IF(tblCalculo[[#This Row],[STATUS]]="EM ANÁLISE",tblCalculo[[#This Row],[VALOR_TOTAL]],"")</f>
        <v/>
      </c>
      <c r="N487" t="str">
        <f>IF(tblCalculo[[#This Row],[STATUS]]="TRAMITANDO",tblCalculo[[#This Row],[VALOR_TOTAL]],"")</f>
        <v/>
      </c>
      <c r="O487" t="str">
        <f>IF(tblCalculo[[#This Row],[STATUS]]="PERDIDO",tblCalculo[[#This Row],[VALOR_TOTAL]],"")</f>
        <v/>
      </c>
      <c r="P487">
        <f>IF(tblCalculo[[#This Row],[STATUS]]="CONCLUÍDO",tblCalculo[[#This Row],[VALOR_TOTAL]],"")</f>
        <v>2972.38</v>
      </c>
    </row>
    <row r="488" spans="1:16" x14ac:dyDescent="0.25">
      <c r="A488" t="str">
        <f>tblVendas[[#This Row],[NR_SIMULACAO]]</f>
        <v>SIM1478</v>
      </c>
      <c r="B488" s="34" t="str">
        <f>_xlfn.XLOOKUP(A488,tblVendas[[#This Row],[NR_SIMULACAO]],tblVendas[[#This Row],[NR_CNPJ]],"")</f>
        <v>37.895.403/0001-86</v>
      </c>
      <c r="C488" t="str">
        <f>_xlfn.XLOOKUP(A488,tblVendas[[#This Row],[NR_SIMULACAO]],tblVendas[[#This Row],[STATUS]],"")</f>
        <v>NEGOCIANDO</v>
      </c>
      <c r="D488" t="str">
        <f>_xlfn.XLOOKUP(A488,tblVendas[[#This Row],[NR_SIMULACAO]],tblVendas[[#This Row],[MES]],"")</f>
        <v>Junho</v>
      </c>
      <c r="E488">
        <f>SUM(_xlfn.XLOOKUP(tblCalculo[[#This Row],[NR_SIMULACAO]],tblVendas[[#This Row],[NR_SIMULACAO]],tblVendas[[#This Row],[VALOR_MOVEL]],""):_xlfn.XLOOKUP(tblCalculo[[#This Row],[NR_SIMULACAO]],tblVendas[[#This Row],[NR_SIMULACAO]],tblVendas[[#This Row],[VALOR_APARELHO]],""))</f>
        <v>16146.04</v>
      </c>
      <c r="F488">
        <f>IF(tblCalculo[[#This Row],[STATUS]]="CONCLUÍDO",_xlfn.XLOOKUP(tblCalculo[[#This Row],[NR_SIMULACAO]],tblVendas[[#This Row],[NR_SIMULACAO]],tblVendas[[#This Row],[VALOR_MOVEL]],""),0)</f>
        <v>0</v>
      </c>
      <c r="G488">
        <f>IF(tblCalculo[[#This Row],[STATUS]]="CONCLUÍDO",_xlfn.XLOOKUP(tblCalculo[[#This Row],[NR_SIMULACAO]],tblVendas[[#This Row],[NR_SIMULACAO]],tblVendas[[#This Row],[VALOR_AVANCADO]],""),0)</f>
        <v>0</v>
      </c>
      <c r="H488">
        <f>IF(tblCalculo[[#This Row],[STATUS]]="CONCLUÍDO",_xlfn.XLOOKUP(tblCalculo[[#This Row],[NR_SIMULACAO]],tblVendas[[#This Row],[NR_SIMULACAO]],tblVendas[[#This Row],[VALOR_FIXABASICA]],""),0)</f>
        <v>0</v>
      </c>
      <c r="I488">
        <f>IF(tblCalculo[[#This Row],[STATUS]]="CONCLUÍDO",_xlfn.XLOOKUP(tblCalculo[[#This Row],[NR_SIMULACAO]],tblVendas[[#This Row],[NR_SIMULACAO]],tblVendas[[#This Row],[VALOR_TI]],""),0)</f>
        <v>0</v>
      </c>
      <c r="J488">
        <f>IF(tblCalculo[[#This Row],[STATUS]]="CONCLUÍDO",_xlfn.XLOOKUP(tblCalculo[[#This Row],[NR_SIMULACAO]],tblVendas[[#This Row],[NR_SIMULACAO]],tblVendas[[#This Row],[VALOR_APARELHO]],""),0)</f>
        <v>0</v>
      </c>
      <c r="K488">
        <f>IF(tblCalculo[[#This Row],[STATUS]]="NEGOCIANDO",tblCalculo[[#This Row],[VALOR_TOTAL]],"")</f>
        <v>16146.04</v>
      </c>
      <c r="L488" t="str">
        <f>IF(tblCalculo[[#This Row],[STATUS]]="ALÇADA",tblCalculo[[#This Row],[VALOR_TOTAL]],"")</f>
        <v/>
      </c>
      <c r="M488" t="str">
        <f>IF(tblCalculo[[#This Row],[STATUS]]="EM ANÁLISE",tblCalculo[[#This Row],[VALOR_TOTAL]],"")</f>
        <v/>
      </c>
      <c r="N488" t="str">
        <f>IF(tblCalculo[[#This Row],[STATUS]]="TRAMITANDO",tblCalculo[[#This Row],[VALOR_TOTAL]],"")</f>
        <v/>
      </c>
      <c r="O488" t="str">
        <f>IF(tblCalculo[[#This Row],[STATUS]]="PERDIDO",tblCalculo[[#This Row],[VALOR_TOTAL]],"")</f>
        <v/>
      </c>
      <c r="P488" t="str">
        <f>IF(tblCalculo[[#This Row],[STATUS]]="CONCLUÍDO",tblCalculo[[#This Row],[VALOR_TOTAL]],"")</f>
        <v/>
      </c>
    </row>
    <row r="489" spans="1:16" x14ac:dyDescent="0.25">
      <c r="A489" t="str">
        <f>tblVendas[[#This Row],[NR_SIMULACAO]]</f>
        <v>SIM1479</v>
      </c>
      <c r="B489" s="34" t="str">
        <f>_xlfn.XLOOKUP(A489,tblVendas[[#This Row],[NR_SIMULACAO]],tblVendas[[#This Row],[NR_CNPJ]],"")</f>
        <v>16.923.212/0001-47</v>
      </c>
      <c r="C489" t="str">
        <f>_xlfn.XLOOKUP(A489,tblVendas[[#This Row],[NR_SIMULACAO]],tblVendas[[#This Row],[STATUS]],"")</f>
        <v>EM ANÁLISE</v>
      </c>
      <c r="D489" t="str">
        <f>_xlfn.XLOOKUP(A489,tblVendas[[#This Row],[NR_SIMULACAO]],tblVendas[[#This Row],[MES]],"")</f>
        <v>Dezembro</v>
      </c>
      <c r="E489">
        <f>SUM(_xlfn.XLOOKUP(tblCalculo[[#This Row],[NR_SIMULACAO]],tblVendas[[#This Row],[NR_SIMULACAO]],tblVendas[[#This Row],[VALOR_MOVEL]],""):_xlfn.XLOOKUP(tblCalculo[[#This Row],[NR_SIMULACAO]],tblVendas[[#This Row],[NR_SIMULACAO]],tblVendas[[#This Row],[VALOR_APARELHO]],""))</f>
        <v>1757.82</v>
      </c>
      <c r="F489">
        <f>IF(tblCalculo[[#This Row],[STATUS]]="CONCLUÍDO",_xlfn.XLOOKUP(tblCalculo[[#This Row],[NR_SIMULACAO]],tblVendas[[#This Row],[NR_SIMULACAO]],tblVendas[[#This Row],[VALOR_MOVEL]],""),0)</f>
        <v>0</v>
      </c>
      <c r="G489">
        <f>IF(tblCalculo[[#This Row],[STATUS]]="CONCLUÍDO",_xlfn.XLOOKUP(tblCalculo[[#This Row],[NR_SIMULACAO]],tblVendas[[#This Row],[NR_SIMULACAO]],tblVendas[[#This Row],[VALOR_AVANCADO]],""),0)</f>
        <v>0</v>
      </c>
      <c r="H489">
        <f>IF(tblCalculo[[#This Row],[STATUS]]="CONCLUÍDO",_xlfn.XLOOKUP(tblCalculo[[#This Row],[NR_SIMULACAO]],tblVendas[[#This Row],[NR_SIMULACAO]],tblVendas[[#This Row],[VALOR_FIXABASICA]],""),0)</f>
        <v>0</v>
      </c>
      <c r="I489">
        <f>IF(tblCalculo[[#This Row],[STATUS]]="CONCLUÍDO",_xlfn.XLOOKUP(tblCalculo[[#This Row],[NR_SIMULACAO]],tblVendas[[#This Row],[NR_SIMULACAO]],tblVendas[[#This Row],[VALOR_TI]],""),0)</f>
        <v>0</v>
      </c>
      <c r="J489">
        <f>IF(tblCalculo[[#This Row],[STATUS]]="CONCLUÍDO",_xlfn.XLOOKUP(tblCalculo[[#This Row],[NR_SIMULACAO]],tblVendas[[#This Row],[NR_SIMULACAO]],tblVendas[[#This Row],[VALOR_APARELHO]],""),0)</f>
        <v>0</v>
      </c>
      <c r="K489" t="str">
        <f>IF(tblCalculo[[#This Row],[STATUS]]="NEGOCIANDO",tblCalculo[[#This Row],[VALOR_TOTAL]],"")</f>
        <v/>
      </c>
      <c r="L489" t="str">
        <f>IF(tblCalculo[[#This Row],[STATUS]]="ALÇADA",tblCalculo[[#This Row],[VALOR_TOTAL]],"")</f>
        <v/>
      </c>
      <c r="M489">
        <f>IF(tblCalculo[[#This Row],[STATUS]]="EM ANÁLISE",tblCalculo[[#This Row],[VALOR_TOTAL]],"")</f>
        <v>1757.82</v>
      </c>
      <c r="N489" t="str">
        <f>IF(tblCalculo[[#This Row],[STATUS]]="TRAMITANDO",tblCalculo[[#This Row],[VALOR_TOTAL]],"")</f>
        <v/>
      </c>
      <c r="O489" t="str">
        <f>IF(tblCalculo[[#This Row],[STATUS]]="PERDIDO",tblCalculo[[#This Row],[VALOR_TOTAL]],"")</f>
        <v/>
      </c>
      <c r="P489" t="str">
        <f>IF(tblCalculo[[#This Row],[STATUS]]="CONCLUÍDO",tblCalculo[[#This Row],[VALOR_TOTAL]],"")</f>
        <v/>
      </c>
    </row>
    <row r="490" spans="1:16" x14ac:dyDescent="0.25">
      <c r="A490" t="str">
        <f>tblVendas[[#This Row],[NR_SIMULACAO]]</f>
        <v>SIM1480</v>
      </c>
      <c r="B490" s="34" t="str">
        <f>_xlfn.XLOOKUP(A490,tblVendas[[#This Row],[NR_SIMULACAO]],tblVendas[[#This Row],[NR_CNPJ]],"")</f>
        <v>70.247.485/0001-45</v>
      </c>
      <c r="C490" t="str">
        <f>_xlfn.XLOOKUP(A490,tblVendas[[#This Row],[NR_SIMULACAO]],tblVendas[[#This Row],[STATUS]],"")</f>
        <v>CONCLUÍDO</v>
      </c>
      <c r="D490" t="str">
        <f>_xlfn.XLOOKUP(A490,tblVendas[[#This Row],[NR_SIMULACAO]],tblVendas[[#This Row],[MES]],"")</f>
        <v>Setembro</v>
      </c>
      <c r="E490">
        <f>SUM(_xlfn.XLOOKUP(tblCalculo[[#This Row],[NR_SIMULACAO]],tblVendas[[#This Row],[NR_SIMULACAO]],tblVendas[[#This Row],[VALOR_MOVEL]],""):_xlfn.XLOOKUP(tblCalculo[[#This Row],[NR_SIMULACAO]],tblVendas[[#This Row],[NR_SIMULACAO]],tblVendas[[#This Row],[VALOR_APARELHO]],""))</f>
        <v>27245.22</v>
      </c>
      <c r="F490">
        <f>IF(tblCalculo[[#This Row],[STATUS]]="CONCLUÍDO",_xlfn.XLOOKUP(tblCalculo[[#This Row],[NR_SIMULACAO]],tblVendas[[#This Row],[NR_SIMULACAO]],tblVendas[[#This Row],[VALOR_MOVEL]],""),0)</f>
        <v>2984.02</v>
      </c>
      <c r="G490">
        <f>IF(tblCalculo[[#This Row],[STATUS]]="CONCLUÍDO",_xlfn.XLOOKUP(tblCalculo[[#This Row],[NR_SIMULACAO]],tblVendas[[#This Row],[NR_SIMULACAO]],tblVendas[[#This Row],[VALOR_AVANCADO]],""),0)</f>
        <v>0</v>
      </c>
      <c r="H490">
        <f>IF(tblCalculo[[#This Row],[STATUS]]="CONCLUÍDO",_xlfn.XLOOKUP(tblCalculo[[#This Row],[NR_SIMULACAO]],tblVendas[[#This Row],[NR_SIMULACAO]],tblVendas[[#This Row],[VALOR_FIXABASICA]],""),0)</f>
        <v>0</v>
      </c>
      <c r="I490">
        <f>IF(tblCalculo[[#This Row],[STATUS]]="CONCLUÍDO",_xlfn.XLOOKUP(tblCalculo[[#This Row],[NR_SIMULACAO]],tblVendas[[#This Row],[NR_SIMULACAO]],tblVendas[[#This Row],[VALOR_TI]],""),0)</f>
        <v>10125.51</v>
      </c>
      <c r="J490">
        <f>IF(tblCalculo[[#This Row],[STATUS]]="CONCLUÍDO",_xlfn.XLOOKUP(tblCalculo[[#This Row],[NR_SIMULACAO]],tblVendas[[#This Row],[NR_SIMULACAO]],tblVendas[[#This Row],[VALOR_APARELHO]],""),0)</f>
        <v>14135.69</v>
      </c>
      <c r="K490" t="str">
        <f>IF(tblCalculo[[#This Row],[STATUS]]="NEGOCIANDO",tblCalculo[[#This Row],[VALOR_TOTAL]],"")</f>
        <v/>
      </c>
      <c r="L490" t="str">
        <f>IF(tblCalculo[[#This Row],[STATUS]]="ALÇADA",tblCalculo[[#This Row],[VALOR_TOTAL]],"")</f>
        <v/>
      </c>
      <c r="M490" t="str">
        <f>IF(tblCalculo[[#This Row],[STATUS]]="EM ANÁLISE",tblCalculo[[#This Row],[VALOR_TOTAL]],"")</f>
        <v/>
      </c>
      <c r="N490" t="str">
        <f>IF(tblCalculo[[#This Row],[STATUS]]="TRAMITANDO",tblCalculo[[#This Row],[VALOR_TOTAL]],"")</f>
        <v/>
      </c>
      <c r="O490" t="str">
        <f>IF(tblCalculo[[#This Row],[STATUS]]="PERDIDO",tblCalculo[[#This Row],[VALOR_TOTAL]],"")</f>
        <v/>
      </c>
      <c r="P490">
        <f>IF(tblCalculo[[#This Row],[STATUS]]="CONCLUÍDO",tblCalculo[[#This Row],[VALOR_TOTAL]],"")</f>
        <v>27245.22</v>
      </c>
    </row>
    <row r="491" spans="1:16" x14ac:dyDescent="0.25">
      <c r="A491" t="str">
        <f>tblVendas[[#This Row],[NR_SIMULACAO]]</f>
        <v>SIM1481</v>
      </c>
      <c r="B491" s="34" t="str">
        <f>_xlfn.XLOOKUP(A491,tblVendas[[#This Row],[NR_SIMULACAO]],tblVendas[[#This Row],[NR_CNPJ]],"")</f>
        <v>97.179.698/0001-31</v>
      </c>
      <c r="C491" t="str">
        <f>_xlfn.XLOOKUP(A491,tblVendas[[#This Row],[NR_SIMULACAO]],tblVendas[[#This Row],[STATUS]],"")</f>
        <v>CONCLUÍDO</v>
      </c>
      <c r="D491" t="str">
        <f>_xlfn.XLOOKUP(A491,tblVendas[[#This Row],[NR_SIMULACAO]],tblVendas[[#This Row],[MES]],"")</f>
        <v>Agosto</v>
      </c>
      <c r="E491">
        <f>SUM(_xlfn.XLOOKUP(tblCalculo[[#This Row],[NR_SIMULACAO]],tblVendas[[#This Row],[NR_SIMULACAO]],tblVendas[[#This Row],[VALOR_MOVEL]],""):_xlfn.XLOOKUP(tblCalculo[[#This Row],[NR_SIMULACAO]],tblVendas[[#This Row],[NR_SIMULACAO]],tblVendas[[#This Row],[VALOR_APARELHO]],""))</f>
        <v>10130.44</v>
      </c>
      <c r="F491">
        <f>IF(tblCalculo[[#This Row],[STATUS]]="CONCLUÍDO",_xlfn.XLOOKUP(tblCalculo[[#This Row],[NR_SIMULACAO]],tblVendas[[#This Row],[NR_SIMULACAO]],tblVendas[[#This Row],[VALOR_MOVEL]],""),0)</f>
        <v>0</v>
      </c>
      <c r="G491">
        <f>IF(tblCalculo[[#This Row],[STATUS]]="CONCLUÍDO",_xlfn.XLOOKUP(tblCalculo[[#This Row],[NR_SIMULACAO]],tblVendas[[#This Row],[NR_SIMULACAO]],tblVendas[[#This Row],[VALOR_AVANCADO]],""),0)</f>
        <v>0</v>
      </c>
      <c r="H491">
        <f>IF(tblCalculo[[#This Row],[STATUS]]="CONCLUÍDO",_xlfn.XLOOKUP(tblCalculo[[#This Row],[NR_SIMULACAO]],tblVendas[[#This Row],[NR_SIMULACAO]],tblVendas[[#This Row],[VALOR_FIXABASICA]],""),0)</f>
        <v>2166.9299999999998</v>
      </c>
      <c r="I491">
        <f>IF(tblCalculo[[#This Row],[STATUS]]="CONCLUÍDO",_xlfn.XLOOKUP(tblCalculo[[#This Row],[NR_SIMULACAO]],tblVendas[[#This Row],[NR_SIMULACAO]],tblVendas[[#This Row],[VALOR_TI]],""),0)</f>
        <v>0</v>
      </c>
      <c r="J491">
        <f>IF(tblCalculo[[#This Row],[STATUS]]="CONCLUÍDO",_xlfn.XLOOKUP(tblCalculo[[#This Row],[NR_SIMULACAO]],tblVendas[[#This Row],[NR_SIMULACAO]],tblVendas[[#This Row],[VALOR_APARELHO]],""),0)</f>
        <v>7963.51</v>
      </c>
      <c r="K491" t="str">
        <f>IF(tblCalculo[[#This Row],[STATUS]]="NEGOCIANDO",tblCalculo[[#This Row],[VALOR_TOTAL]],"")</f>
        <v/>
      </c>
      <c r="L491" t="str">
        <f>IF(tblCalculo[[#This Row],[STATUS]]="ALÇADA",tblCalculo[[#This Row],[VALOR_TOTAL]],"")</f>
        <v/>
      </c>
      <c r="M491" t="str">
        <f>IF(tblCalculo[[#This Row],[STATUS]]="EM ANÁLISE",tblCalculo[[#This Row],[VALOR_TOTAL]],"")</f>
        <v/>
      </c>
      <c r="N491" t="str">
        <f>IF(tblCalculo[[#This Row],[STATUS]]="TRAMITANDO",tblCalculo[[#This Row],[VALOR_TOTAL]],"")</f>
        <v/>
      </c>
      <c r="O491" t="str">
        <f>IF(tblCalculo[[#This Row],[STATUS]]="PERDIDO",tblCalculo[[#This Row],[VALOR_TOTAL]],"")</f>
        <v/>
      </c>
      <c r="P491">
        <f>IF(tblCalculo[[#This Row],[STATUS]]="CONCLUÍDO",tblCalculo[[#This Row],[VALOR_TOTAL]],"")</f>
        <v>10130.44</v>
      </c>
    </row>
    <row r="492" spans="1:16" x14ac:dyDescent="0.25">
      <c r="A492" t="str">
        <f>tblVendas[[#This Row],[NR_SIMULACAO]]</f>
        <v>SIM1482</v>
      </c>
      <c r="B492" s="34" t="str">
        <f>_xlfn.XLOOKUP(A492,tblVendas[[#This Row],[NR_SIMULACAO]],tblVendas[[#This Row],[NR_CNPJ]],"")</f>
        <v>42.963.506/0001-37</v>
      </c>
      <c r="C492" t="str">
        <f>_xlfn.XLOOKUP(A492,tblVendas[[#This Row],[NR_SIMULACAO]],tblVendas[[#This Row],[STATUS]],"")</f>
        <v>ALÇADA</v>
      </c>
      <c r="D492" t="str">
        <f>_xlfn.XLOOKUP(A492,tblVendas[[#This Row],[NR_SIMULACAO]],tblVendas[[#This Row],[MES]],"")</f>
        <v>Março</v>
      </c>
      <c r="E492">
        <f>SUM(_xlfn.XLOOKUP(tblCalculo[[#This Row],[NR_SIMULACAO]],tblVendas[[#This Row],[NR_SIMULACAO]],tblVendas[[#This Row],[VALOR_MOVEL]],""):_xlfn.XLOOKUP(tblCalculo[[#This Row],[NR_SIMULACAO]],tblVendas[[#This Row],[NR_SIMULACAO]],tblVendas[[#This Row],[VALOR_APARELHO]],""))</f>
        <v>6996.16</v>
      </c>
      <c r="F492">
        <f>IF(tblCalculo[[#This Row],[STATUS]]="CONCLUÍDO",_xlfn.XLOOKUP(tblCalculo[[#This Row],[NR_SIMULACAO]],tblVendas[[#This Row],[NR_SIMULACAO]],tblVendas[[#This Row],[VALOR_MOVEL]],""),0)</f>
        <v>0</v>
      </c>
      <c r="G492">
        <f>IF(tblCalculo[[#This Row],[STATUS]]="CONCLUÍDO",_xlfn.XLOOKUP(tblCalculo[[#This Row],[NR_SIMULACAO]],tblVendas[[#This Row],[NR_SIMULACAO]],tblVendas[[#This Row],[VALOR_AVANCADO]],""),0)</f>
        <v>0</v>
      </c>
      <c r="H492">
        <f>IF(tblCalculo[[#This Row],[STATUS]]="CONCLUÍDO",_xlfn.XLOOKUP(tblCalculo[[#This Row],[NR_SIMULACAO]],tblVendas[[#This Row],[NR_SIMULACAO]],tblVendas[[#This Row],[VALOR_FIXABASICA]],""),0)</f>
        <v>0</v>
      </c>
      <c r="I492">
        <f>IF(tblCalculo[[#This Row],[STATUS]]="CONCLUÍDO",_xlfn.XLOOKUP(tblCalculo[[#This Row],[NR_SIMULACAO]],tblVendas[[#This Row],[NR_SIMULACAO]],tblVendas[[#This Row],[VALOR_TI]],""),0)</f>
        <v>0</v>
      </c>
      <c r="J492">
        <f>IF(tblCalculo[[#This Row],[STATUS]]="CONCLUÍDO",_xlfn.XLOOKUP(tblCalculo[[#This Row],[NR_SIMULACAO]],tblVendas[[#This Row],[NR_SIMULACAO]],tblVendas[[#This Row],[VALOR_APARELHO]],""),0)</f>
        <v>0</v>
      </c>
      <c r="K492" t="str">
        <f>IF(tblCalculo[[#This Row],[STATUS]]="NEGOCIANDO",tblCalculo[[#This Row],[VALOR_TOTAL]],"")</f>
        <v/>
      </c>
      <c r="L492">
        <f>IF(tblCalculo[[#This Row],[STATUS]]="ALÇADA",tblCalculo[[#This Row],[VALOR_TOTAL]],"")</f>
        <v>6996.16</v>
      </c>
      <c r="M492" t="str">
        <f>IF(tblCalculo[[#This Row],[STATUS]]="EM ANÁLISE",tblCalculo[[#This Row],[VALOR_TOTAL]],"")</f>
        <v/>
      </c>
      <c r="N492" t="str">
        <f>IF(tblCalculo[[#This Row],[STATUS]]="TRAMITANDO",tblCalculo[[#This Row],[VALOR_TOTAL]],"")</f>
        <v/>
      </c>
      <c r="O492" t="str">
        <f>IF(tblCalculo[[#This Row],[STATUS]]="PERDIDO",tblCalculo[[#This Row],[VALOR_TOTAL]],"")</f>
        <v/>
      </c>
      <c r="P492" t="str">
        <f>IF(tblCalculo[[#This Row],[STATUS]]="CONCLUÍDO",tblCalculo[[#This Row],[VALOR_TOTAL]],"")</f>
        <v/>
      </c>
    </row>
    <row r="493" spans="1:16" x14ac:dyDescent="0.25">
      <c r="A493" t="str">
        <f>tblVendas[[#This Row],[NR_SIMULACAO]]</f>
        <v>SIM1483</v>
      </c>
      <c r="B493" s="34" t="str">
        <f>_xlfn.XLOOKUP(A493,tblVendas[[#This Row],[NR_SIMULACAO]],tblVendas[[#This Row],[NR_CNPJ]],"")</f>
        <v>77.796.763/0001-89</v>
      </c>
      <c r="C493" t="str">
        <f>_xlfn.XLOOKUP(A493,tblVendas[[#This Row],[NR_SIMULACAO]],tblVendas[[#This Row],[STATUS]],"")</f>
        <v>TRAMITANDO</v>
      </c>
      <c r="D493" t="str">
        <f>_xlfn.XLOOKUP(A493,tblVendas[[#This Row],[NR_SIMULACAO]],tblVendas[[#This Row],[MES]],"")</f>
        <v>Outubro</v>
      </c>
      <c r="E493">
        <f>SUM(_xlfn.XLOOKUP(tblCalculo[[#This Row],[NR_SIMULACAO]],tblVendas[[#This Row],[NR_SIMULACAO]],tblVendas[[#This Row],[VALOR_MOVEL]],""):_xlfn.XLOOKUP(tblCalculo[[#This Row],[NR_SIMULACAO]],tblVendas[[#This Row],[NR_SIMULACAO]],tblVendas[[#This Row],[VALOR_APARELHO]],""))</f>
        <v>13925.380000000001</v>
      </c>
      <c r="F493">
        <f>IF(tblCalculo[[#This Row],[STATUS]]="CONCLUÍDO",_xlfn.XLOOKUP(tblCalculo[[#This Row],[NR_SIMULACAO]],tblVendas[[#This Row],[NR_SIMULACAO]],tblVendas[[#This Row],[VALOR_MOVEL]],""),0)</f>
        <v>0</v>
      </c>
      <c r="G493">
        <f>IF(tblCalculo[[#This Row],[STATUS]]="CONCLUÍDO",_xlfn.XLOOKUP(tblCalculo[[#This Row],[NR_SIMULACAO]],tblVendas[[#This Row],[NR_SIMULACAO]],tblVendas[[#This Row],[VALOR_AVANCADO]],""),0)</f>
        <v>0</v>
      </c>
      <c r="H493">
        <f>IF(tblCalculo[[#This Row],[STATUS]]="CONCLUÍDO",_xlfn.XLOOKUP(tblCalculo[[#This Row],[NR_SIMULACAO]],tblVendas[[#This Row],[NR_SIMULACAO]],tblVendas[[#This Row],[VALOR_FIXABASICA]],""),0)</f>
        <v>0</v>
      </c>
      <c r="I493">
        <f>IF(tblCalculo[[#This Row],[STATUS]]="CONCLUÍDO",_xlfn.XLOOKUP(tblCalculo[[#This Row],[NR_SIMULACAO]],tblVendas[[#This Row],[NR_SIMULACAO]],tblVendas[[#This Row],[VALOR_TI]],""),0)</f>
        <v>0</v>
      </c>
      <c r="J493">
        <f>IF(tblCalculo[[#This Row],[STATUS]]="CONCLUÍDO",_xlfn.XLOOKUP(tblCalculo[[#This Row],[NR_SIMULACAO]],tblVendas[[#This Row],[NR_SIMULACAO]],tblVendas[[#This Row],[VALOR_APARELHO]],""),0)</f>
        <v>0</v>
      </c>
      <c r="K493" t="str">
        <f>IF(tblCalculo[[#This Row],[STATUS]]="NEGOCIANDO",tblCalculo[[#This Row],[VALOR_TOTAL]],"")</f>
        <v/>
      </c>
      <c r="L493" t="str">
        <f>IF(tblCalculo[[#This Row],[STATUS]]="ALÇADA",tblCalculo[[#This Row],[VALOR_TOTAL]],"")</f>
        <v/>
      </c>
      <c r="M493" t="str">
        <f>IF(tblCalculo[[#This Row],[STATUS]]="EM ANÁLISE",tblCalculo[[#This Row],[VALOR_TOTAL]],"")</f>
        <v/>
      </c>
      <c r="N493">
        <f>IF(tblCalculo[[#This Row],[STATUS]]="TRAMITANDO",tblCalculo[[#This Row],[VALOR_TOTAL]],"")</f>
        <v>13925.380000000001</v>
      </c>
      <c r="O493" t="str">
        <f>IF(tblCalculo[[#This Row],[STATUS]]="PERDIDO",tblCalculo[[#This Row],[VALOR_TOTAL]],"")</f>
        <v/>
      </c>
      <c r="P493" t="str">
        <f>IF(tblCalculo[[#This Row],[STATUS]]="CONCLUÍDO",tblCalculo[[#This Row],[VALOR_TOTAL]],"")</f>
        <v/>
      </c>
    </row>
    <row r="494" spans="1:16" x14ac:dyDescent="0.25">
      <c r="A494" t="str">
        <f>tblVendas[[#This Row],[NR_SIMULACAO]]</f>
        <v>SIM1484</v>
      </c>
      <c r="B494" s="34" t="str">
        <f>_xlfn.XLOOKUP(A494,tblVendas[[#This Row],[NR_SIMULACAO]],tblVendas[[#This Row],[NR_CNPJ]],"")</f>
        <v>95.770.507/0001-12</v>
      </c>
      <c r="C494" t="str">
        <f>_xlfn.XLOOKUP(A494,tblVendas[[#This Row],[NR_SIMULACAO]],tblVendas[[#This Row],[STATUS]],"")</f>
        <v>CONCLUÍDO</v>
      </c>
      <c r="D494" t="str">
        <f>_xlfn.XLOOKUP(A494,tblVendas[[#This Row],[NR_SIMULACAO]],tblVendas[[#This Row],[MES]],"")</f>
        <v>Maio</v>
      </c>
      <c r="E494">
        <f>SUM(_xlfn.XLOOKUP(tblCalculo[[#This Row],[NR_SIMULACAO]],tblVendas[[#This Row],[NR_SIMULACAO]],tblVendas[[#This Row],[VALOR_MOVEL]],""):_xlfn.XLOOKUP(tblCalculo[[#This Row],[NR_SIMULACAO]],tblVendas[[#This Row],[NR_SIMULACAO]],tblVendas[[#This Row],[VALOR_APARELHO]],""))</f>
        <v>10826.13</v>
      </c>
      <c r="F494">
        <f>IF(tblCalculo[[#This Row],[STATUS]]="CONCLUÍDO",_xlfn.XLOOKUP(tblCalculo[[#This Row],[NR_SIMULACAO]],tblVendas[[#This Row],[NR_SIMULACAO]],tblVendas[[#This Row],[VALOR_MOVEL]],""),0)</f>
        <v>0</v>
      </c>
      <c r="G494">
        <f>IF(tblCalculo[[#This Row],[STATUS]]="CONCLUÍDO",_xlfn.XLOOKUP(tblCalculo[[#This Row],[NR_SIMULACAO]],tblVendas[[#This Row],[NR_SIMULACAO]],tblVendas[[#This Row],[VALOR_AVANCADO]],""),0)</f>
        <v>0</v>
      </c>
      <c r="H494">
        <f>IF(tblCalculo[[#This Row],[STATUS]]="CONCLUÍDO",_xlfn.XLOOKUP(tblCalculo[[#This Row],[NR_SIMULACAO]],tblVendas[[#This Row],[NR_SIMULACAO]],tblVendas[[#This Row],[VALOR_FIXABASICA]],""),0)</f>
        <v>0</v>
      </c>
      <c r="I494">
        <f>IF(tblCalculo[[#This Row],[STATUS]]="CONCLUÍDO",_xlfn.XLOOKUP(tblCalculo[[#This Row],[NR_SIMULACAO]],tblVendas[[#This Row],[NR_SIMULACAO]],tblVendas[[#This Row],[VALOR_TI]],""),0)</f>
        <v>10826.13</v>
      </c>
      <c r="J494">
        <f>IF(tblCalculo[[#This Row],[STATUS]]="CONCLUÍDO",_xlfn.XLOOKUP(tblCalculo[[#This Row],[NR_SIMULACAO]],tblVendas[[#This Row],[NR_SIMULACAO]],tblVendas[[#This Row],[VALOR_APARELHO]],""),0)</f>
        <v>0</v>
      </c>
      <c r="K494" t="str">
        <f>IF(tblCalculo[[#This Row],[STATUS]]="NEGOCIANDO",tblCalculo[[#This Row],[VALOR_TOTAL]],"")</f>
        <v/>
      </c>
      <c r="L494" t="str">
        <f>IF(tblCalculo[[#This Row],[STATUS]]="ALÇADA",tblCalculo[[#This Row],[VALOR_TOTAL]],"")</f>
        <v/>
      </c>
      <c r="M494" t="str">
        <f>IF(tblCalculo[[#This Row],[STATUS]]="EM ANÁLISE",tblCalculo[[#This Row],[VALOR_TOTAL]],"")</f>
        <v/>
      </c>
      <c r="N494" t="str">
        <f>IF(tblCalculo[[#This Row],[STATUS]]="TRAMITANDO",tblCalculo[[#This Row],[VALOR_TOTAL]],"")</f>
        <v/>
      </c>
      <c r="O494" t="str">
        <f>IF(tblCalculo[[#This Row],[STATUS]]="PERDIDO",tblCalculo[[#This Row],[VALOR_TOTAL]],"")</f>
        <v/>
      </c>
      <c r="P494">
        <f>IF(tblCalculo[[#This Row],[STATUS]]="CONCLUÍDO",tblCalculo[[#This Row],[VALOR_TOTAL]],"")</f>
        <v>10826.13</v>
      </c>
    </row>
    <row r="495" spans="1:16" x14ac:dyDescent="0.25">
      <c r="A495" t="str">
        <f>tblVendas[[#This Row],[NR_SIMULACAO]]</f>
        <v>SIM1485</v>
      </c>
      <c r="B495" s="34" t="str">
        <f>_xlfn.XLOOKUP(A495,tblVendas[[#This Row],[NR_SIMULACAO]],tblVendas[[#This Row],[NR_CNPJ]],"")</f>
        <v>69.297.599/0001-11</v>
      </c>
      <c r="C495" t="str">
        <f>_xlfn.XLOOKUP(A495,tblVendas[[#This Row],[NR_SIMULACAO]],tblVendas[[#This Row],[STATUS]],"")</f>
        <v>EM ANÁLISE</v>
      </c>
      <c r="D495" t="str">
        <f>_xlfn.XLOOKUP(A495,tblVendas[[#This Row],[NR_SIMULACAO]],tblVendas[[#This Row],[MES]],"")</f>
        <v>Abril</v>
      </c>
      <c r="E495">
        <f>SUM(_xlfn.XLOOKUP(tblCalculo[[#This Row],[NR_SIMULACAO]],tblVendas[[#This Row],[NR_SIMULACAO]],tblVendas[[#This Row],[VALOR_MOVEL]],""):_xlfn.XLOOKUP(tblCalculo[[#This Row],[NR_SIMULACAO]],tblVendas[[#This Row],[NR_SIMULACAO]],tblVendas[[#This Row],[VALOR_APARELHO]],""))</f>
        <v>6209.73</v>
      </c>
      <c r="F495">
        <f>IF(tblCalculo[[#This Row],[STATUS]]="CONCLUÍDO",_xlfn.XLOOKUP(tblCalculo[[#This Row],[NR_SIMULACAO]],tblVendas[[#This Row],[NR_SIMULACAO]],tblVendas[[#This Row],[VALOR_MOVEL]],""),0)</f>
        <v>0</v>
      </c>
      <c r="G495">
        <f>IF(tblCalculo[[#This Row],[STATUS]]="CONCLUÍDO",_xlfn.XLOOKUP(tblCalculo[[#This Row],[NR_SIMULACAO]],tblVendas[[#This Row],[NR_SIMULACAO]],tblVendas[[#This Row],[VALOR_AVANCADO]],""),0)</f>
        <v>0</v>
      </c>
      <c r="H495">
        <f>IF(tblCalculo[[#This Row],[STATUS]]="CONCLUÍDO",_xlfn.XLOOKUP(tblCalculo[[#This Row],[NR_SIMULACAO]],tblVendas[[#This Row],[NR_SIMULACAO]],tblVendas[[#This Row],[VALOR_FIXABASICA]],""),0)</f>
        <v>0</v>
      </c>
      <c r="I495">
        <f>IF(tblCalculo[[#This Row],[STATUS]]="CONCLUÍDO",_xlfn.XLOOKUP(tblCalculo[[#This Row],[NR_SIMULACAO]],tblVendas[[#This Row],[NR_SIMULACAO]],tblVendas[[#This Row],[VALOR_TI]],""),0)</f>
        <v>0</v>
      </c>
      <c r="J495">
        <f>IF(tblCalculo[[#This Row],[STATUS]]="CONCLUÍDO",_xlfn.XLOOKUP(tblCalculo[[#This Row],[NR_SIMULACAO]],tblVendas[[#This Row],[NR_SIMULACAO]],tblVendas[[#This Row],[VALOR_APARELHO]],""),0)</f>
        <v>0</v>
      </c>
      <c r="K495" t="str">
        <f>IF(tblCalculo[[#This Row],[STATUS]]="NEGOCIANDO",tblCalculo[[#This Row],[VALOR_TOTAL]],"")</f>
        <v/>
      </c>
      <c r="L495" t="str">
        <f>IF(tblCalculo[[#This Row],[STATUS]]="ALÇADA",tblCalculo[[#This Row],[VALOR_TOTAL]],"")</f>
        <v/>
      </c>
      <c r="M495">
        <f>IF(tblCalculo[[#This Row],[STATUS]]="EM ANÁLISE",tblCalculo[[#This Row],[VALOR_TOTAL]],"")</f>
        <v>6209.73</v>
      </c>
      <c r="N495" t="str">
        <f>IF(tblCalculo[[#This Row],[STATUS]]="TRAMITANDO",tblCalculo[[#This Row],[VALOR_TOTAL]],"")</f>
        <v/>
      </c>
      <c r="O495" t="str">
        <f>IF(tblCalculo[[#This Row],[STATUS]]="PERDIDO",tblCalculo[[#This Row],[VALOR_TOTAL]],"")</f>
        <v/>
      </c>
      <c r="P495" t="str">
        <f>IF(tblCalculo[[#This Row],[STATUS]]="CONCLUÍDO",tblCalculo[[#This Row],[VALOR_TOTAL]],"")</f>
        <v/>
      </c>
    </row>
    <row r="496" spans="1:16" x14ac:dyDescent="0.25">
      <c r="A496" t="str">
        <f>tblVendas[[#This Row],[NR_SIMULACAO]]</f>
        <v>SIM1486</v>
      </c>
      <c r="B496" s="34" t="str">
        <f>_xlfn.XLOOKUP(A496,tblVendas[[#This Row],[NR_SIMULACAO]],tblVendas[[#This Row],[NR_CNPJ]],"")</f>
        <v>32.358.725/0001-17</v>
      </c>
      <c r="C496" t="str">
        <f>_xlfn.XLOOKUP(A496,tblVendas[[#This Row],[NR_SIMULACAO]],tblVendas[[#This Row],[STATUS]],"")</f>
        <v>PERDIDO</v>
      </c>
      <c r="D496" t="str">
        <f>_xlfn.XLOOKUP(A496,tblVendas[[#This Row],[NR_SIMULACAO]],tblVendas[[#This Row],[MES]],"")</f>
        <v>Fevereiro</v>
      </c>
      <c r="E496">
        <f>SUM(_xlfn.XLOOKUP(tblCalculo[[#This Row],[NR_SIMULACAO]],tblVendas[[#This Row],[NR_SIMULACAO]],tblVendas[[#This Row],[VALOR_MOVEL]],""):_xlfn.XLOOKUP(tblCalculo[[#This Row],[NR_SIMULACAO]],tblVendas[[#This Row],[NR_SIMULACAO]],tblVendas[[#This Row],[VALOR_APARELHO]],""))</f>
        <v>6273.3899999999994</v>
      </c>
      <c r="F496">
        <f>IF(tblCalculo[[#This Row],[STATUS]]="CONCLUÍDO",_xlfn.XLOOKUP(tblCalculo[[#This Row],[NR_SIMULACAO]],tblVendas[[#This Row],[NR_SIMULACAO]],tblVendas[[#This Row],[VALOR_MOVEL]],""),0)</f>
        <v>0</v>
      </c>
      <c r="G496">
        <f>IF(tblCalculo[[#This Row],[STATUS]]="CONCLUÍDO",_xlfn.XLOOKUP(tblCalculo[[#This Row],[NR_SIMULACAO]],tblVendas[[#This Row],[NR_SIMULACAO]],tblVendas[[#This Row],[VALOR_AVANCADO]],""),0)</f>
        <v>0</v>
      </c>
      <c r="H496">
        <f>IF(tblCalculo[[#This Row],[STATUS]]="CONCLUÍDO",_xlfn.XLOOKUP(tblCalculo[[#This Row],[NR_SIMULACAO]],tblVendas[[#This Row],[NR_SIMULACAO]],tblVendas[[#This Row],[VALOR_FIXABASICA]],""),0)</f>
        <v>0</v>
      </c>
      <c r="I496">
        <f>IF(tblCalculo[[#This Row],[STATUS]]="CONCLUÍDO",_xlfn.XLOOKUP(tblCalculo[[#This Row],[NR_SIMULACAO]],tblVendas[[#This Row],[NR_SIMULACAO]],tblVendas[[#This Row],[VALOR_TI]],""),0)</f>
        <v>0</v>
      </c>
      <c r="J496">
        <f>IF(tblCalculo[[#This Row],[STATUS]]="CONCLUÍDO",_xlfn.XLOOKUP(tblCalculo[[#This Row],[NR_SIMULACAO]],tblVendas[[#This Row],[NR_SIMULACAO]],tblVendas[[#This Row],[VALOR_APARELHO]],""),0)</f>
        <v>0</v>
      </c>
      <c r="K496" t="str">
        <f>IF(tblCalculo[[#This Row],[STATUS]]="NEGOCIANDO",tblCalculo[[#This Row],[VALOR_TOTAL]],"")</f>
        <v/>
      </c>
      <c r="L496" t="str">
        <f>IF(tblCalculo[[#This Row],[STATUS]]="ALÇADA",tblCalculo[[#This Row],[VALOR_TOTAL]],"")</f>
        <v/>
      </c>
      <c r="M496" t="str">
        <f>IF(tblCalculo[[#This Row],[STATUS]]="EM ANÁLISE",tblCalculo[[#This Row],[VALOR_TOTAL]],"")</f>
        <v/>
      </c>
      <c r="N496" t="str">
        <f>IF(tblCalculo[[#This Row],[STATUS]]="TRAMITANDO",tblCalculo[[#This Row],[VALOR_TOTAL]],"")</f>
        <v/>
      </c>
      <c r="O496">
        <f>IF(tblCalculo[[#This Row],[STATUS]]="PERDIDO",tblCalculo[[#This Row],[VALOR_TOTAL]],"")</f>
        <v>6273.3899999999994</v>
      </c>
      <c r="P496" t="str">
        <f>IF(tblCalculo[[#This Row],[STATUS]]="CONCLUÍDO",tblCalculo[[#This Row],[VALOR_TOTAL]],"")</f>
        <v/>
      </c>
    </row>
    <row r="497" spans="1:16" x14ac:dyDescent="0.25">
      <c r="A497" t="str">
        <f>tblVendas[[#This Row],[NR_SIMULACAO]]</f>
        <v>SIM1487</v>
      </c>
      <c r="B497" s="34" t="str">
        <f>_xlfn.XLOOKUP(A497,tblVendas[[#This Row],[NR_SIMULACAO]],tblVendas[[#This Row],[NR_CNPJ]],"")</f>
        <v>90.185.134/0001-82</v>
      </c>
      <c r="C497" t="str">
        <f>_xlfn.XLOOKUP(A497,tblVendas[[#This Row],[NR_SIMULACAO]],tblVendas[[#This Row],[STATUS]],"")</f>
        <v>EM ANÁLISE</v>
      </c>
      <c r="D497" t="str">
        <f>_xlfn.XLOOKUP(A497,tblVendas[[#This Row],[NR_SIMULACAO]],tblVendas[[#This Row],[MES]],"")</f>
        <v>Maio</v>
      </c>
      <c r="E497">
        <f>SUM(_xlfn.XLOOKUP(tblCalculo[[#This Row],[NR_SIMULACAO]],tblVendas[[#This Row],[NR_SIMULACAO]],tblVendas[[#This Row],[VALOR_MOVEL]],""):_xlfn.XLOOKUP(tblCalculo[[#This Row],[NR_SIMULACAO]],tblVendas[[#This Row],[NR_SIMULACAO]],tblVendas[[#This Row],[VALOR_APARELHO]],""))</f>
        <v>16251.05</v>
      </c>
      <c r="F497">
        <f>IF(tblCalculo[[#This Row],[STATUS]]="CONCLUÍDO",_xlfn.XLOOKUP(tblCalculo[[#This Row],[NR_SIMULACAO]],tblVendas[[#This Row],[NR_SIMULACAO]],tblVendas[[#This Row],[VALOR_MOVEL]],""),0)</f>
        <v>0</v>
      </c>
      <c r="G497">
        <f>IF(tblCalculo[[#This Row],[STATUS]]="CONCLUÍDO",_xlfn.XLOOKUP(tblCalculo[[#This Row],[NR_SIMULACAO]],tblVendas[[#This Row],[NR_SIMULACAO]],tblVendas[[#This Row],[VALOR_AVANCADO]],""),0)</f>
        <v>0</v>
      </c>
      <c r="H497">
        <f>IF(tblCalculo[[#This Row],[STATUS]]="CONCLUÍDO",_xlfn.XLOOKUP(tblCalculo[[#This Row],[NR_SIMULACAO]],tblVendas[[#This Row],[NR_SIMULACAO]],tblVendas[[#This Row],[VALOR_FIXABASICA]],""),0)</f>
        <v>0</v>
      </c>
      <c r="I497">
        <f>IF(tblCalculo[[#This Row],[STATUS]]="CONCLUÍDO",_xlfn.XLOOKUP(tblCalculo[[#This Row],[NR_SIMULACAO]],tblVendas[[#This Row],[NR_SIMULACAO]],tblVendas[[#This Row],[VALOR_TI]],""),0)</f>
        <v>0</v>
      </c>
      <c r="J497">
        <f>IF(tblCalculo[[#This Row],[STATUS]]="CONCLUÍDO",_xlfn.XLOOKUP(tblCalculo[[#This Row],[NR_SIMULACAO]],tblVendas[[#This Row],[NR_SIMULACAO]],tblVendas[[#This Row],[VALOR_APARELHO]],""),0)</f>
        <v>0</v>
      </c>
      <c r="K497" t="str">
        <f>IF(tblCalculo[[#This Row],[STATUS]]="NEGOCIANDO",tblCalculo[[#This Row],[VALOR_TOTAL]],"")</f>
        <v/>
      </c>
      <c r="L497" t="str">
        <f>IF(tblCalculo[[#This Row],[STATUS]]="ALÇADA",tblCalculo[[#This Row],[VALOR_TOTAL]],"")</f>
        <v/>
      </c>
      <c r="M497">
        <f>IF(tblCalculo[[#This Row],[STATUS]]="EM ANÁLISE",tblCalculo[[#This Row],[VALOR_TOTAL]],"")</f>
        <v>16251.05</v>
      </c>
      <c r="N497" t="str">
        <f>IF(tblCalculo[[#This Row],[STATUS]]="TRAMITANDO",tblCalculo[[#This Row],[VALOR_TOTAL]],"")</f>
        <v/>
      </c>
      <c r="O497" t="str">
        <f>IF(tblCalculo[[#This Row],[STATUS]]="PERDIDO",tblCalculo[[#This Row],[VALOR_TOTAL]],"")</f>
        <v/>
      </c>
      <c r="P497" t="str">
        <f>IF(tblCalculo[[#This Row],[STATUS]]="CONCLUÍDO",tblCalculo[[#This Row],[VALOR_TOTAL]],"")</f>
        <v/>
      </c>
    </row>
    <row r="498" spans="1:16" x14ac:dyDescent="0.25">
      <c r="A498" t="str">
        <f>tblVendas[[#This Row],[NR_SIMULACAO]]</f>
        <v>SIM1488</v>
      </c>
      <c r="B498" s="34" t="str">
        <f>_xlfn.XLOOKUP(A498,tblVendas[[#This Row],[NR_SIMULACAO]],tblVendas[[#This Row],[NR_CNPJ]],"")</f>
        <v>12.621.173/0001-62</v>
      </c>
      <c r="C498" t="str">
        <f>_xlfn.XLOOKUP(A498,tblVendas[[#This Row],[NR_SIMULACAO]],tblVendas[[#This Row],[STATUS]],"")</f>
        <v>ALÇADA</v>
      </c>
      <c r="D498" t="str">
        <f>_xlfn.XLOOKUP(A498,tblVendas[[#This Row],[NR_SIMULACAO]],tblVendas[[#This Row],[MES]],"")</f>
        <v>Março</v>
      </c>
      <c r="E498">
        <f>SUM(_xlfn.XLOOKUP(tblCalculo[[#This Row],[NR_SIMULACAO]],tblVendas[[#This Row],[NR_SIMULACAO]],tblVendas[[#This Row],[VALOR_MOVEL]],""):_xlfn.XLOOKUP(tblCalculo[[#This Row],[NR_SIMULACAO]],tblVendas[[#This Row],[NR_SIMULACAO]],tblVendas[[#This Row],[VALOR_APARELHO]],""))</f>
        <v>9375.9699999999993</v>
      </c>
      <c r="F498">
        <f>IF(tblCalculo[[#This Row],[STATUS]]="CONCLUÍDO",_xlfn.XLOOKUP(tblCalculo[[#This Row],[NR_SIMULACAO]],tblVendas[[#This Row],[NR_SIMULACAO]],tblVendas[[#This Row],[VALOR_MOVEL]],""),0)</f>
        <v>0</v>
      </c>
      <c r="G498">
        <f>IF(tblCalculo[[#This Row],[STATUS]]="CONCLUÍDO",_xlfn.XLOOKUP(tblCalculo[[#This Row],[NR_SIMULACAO]],tblVendas[[#This Row],[NR_SIMULACAO]],tblVendas[[#This Row],[VALOR_AVANCADO]],""),0)</f>
        <v>0</v>
      </c>
      <c r="H498">
        <f>IF(tblCalculo[[#This Row],[STATUS]]="CONCLUÍDO",_xlfn.XLOOKUP(tblCalculo[[#This Row],[NR_SIMULACAO]],tblVendas[[#This Row],[NR_SIMULACAO]],tblVendas[[#This Row],[VALOR_FIXABASICA]],""),0)</f>
        <v>0</v>
      </c>
      <c r="I498">
        <f>IF(tblCalculo[[#This Row],[STATUS]]="CONCLUÍDO",_xlfn.XLOOKUP(tblCalculo[[#This Row],[NR_SIMULACAO]],tblVendas[[#This Row],[NR_SIMULACAO]],tblVendas[[#This Row],[VALOR_TI]],""),0)</f>
        <v>0</v>
      </c>
      <c r="J498">
        <f>IF(tblCalculo[[#This Row],[STATUS]]="CONCLUÍDO",_xlfn.XLOOKUP(tblCalculo[[#This Row],[NR_SIMULACAO]],tblVendas[[#This Row],[NR_SIMULACAO]],tblVendas[[#This Row],[VALOR_APARELHO]],""),0)</f>
        <v>0</v>
      </c>
      <c r="K498" t="str">
        <f>IF(tblCalculo[[#This Row],[STATUS]]="NEGOCIANDO",tblCalculo[[#This Row],[VALOR_TOTAL]],"")</f>
        <v/>
      </c>
      <c r="L498">
        <f>IF(tblCalculo[[#This Row],[STATUS]]="ALÇADA",tblCalculo[[#This Row],[VALOR_TOTAL]],"")</f>
        <v>9375.9699999999993</v>
      </c>
      <c r="M498" t="str">
        <f>IF(tblCalculo[[#This Row],[STATUS]]="EM ANÁLISE",tblCalculo[[#This Row],[VALOR_TOTAL]],"")</f>
        <v/>
      </c>
      <c r="N498" t="str">
        <f>IF(tblCalculo[[#This Row],[STATUS]]="TRAMITANDO",tblCalculo[[#This Row],[VALOR_TOTAL]],"")</f>
        <v/>
      </c>
      <c r="O498" t="str">
        <f>IF(tblCalculo[[#This Row],[STATUS]]="PERDIDO",tblCalculo[[#This Row],[VALOR_TOTAL]],"")</f>
        <v/>
      </c>
      <c r="P498" t="str">
        <f>IF(tblCalculo[[#This Row],[STATUS]]="CONCLUÍDO",tblCalculo[[#This Row],[VALOR_TOTAL]],"")</f>
        <v/>
      </c>
    </row>
    <row r="499" spans="1:16" x14ac:dyDescent="0.25">
      <c r="A499" t="str">
        <f>tblVendas[[#This Row],[NR_SIMULACAO]]</f>
        <v>SIM1489</v>
      </c>
      <c r="B499" s="34" t="str">
        <f>_xlfn.XLOOKUP(A499,tblVendas[[#This Row],[NR_SIMULACAO]],tblVendas[[#This Row],[NR_CNPJ]],"")</f>
        <v>25.355.486/0001-49</v>
      </c>
      <c r="C499" t="str">
        <f>_xlfn.XLOOKUP(A499,tblVendas[[#This Row],[NR_SIMULACAO]],tblVendas[[#This Row],[STATUS]],"")</f>
        <v>PERDIDO</v>
      </c>
      <c r="D499" t="str">
        <f>_xlfn.XLOOKUP(A499,tblVendas[[#This Row],[NR_SIMULACAO]],tblVendas[[#This Row],[MES]],"")</f>
        <v>Setembro</v>
      </c>
      <c r="E499">
        <f>SUM(_xlfn.XLOOKUP(tblCalculo[[#This Row],[NR_SIMULACAO]],tblVendas[[#This Row],[NR_SIMULACAO]],tblVendas[[#This Row],[VALOR_MOVEL]],""):_xlfn.XLOOKUP(tblCalculo[[#This Row],[NR_SIMULACAO]],tblVendas[[#This Row],[NR_SIMULACAO]],tblVendas[[#This Row],[VALOR_APARELHO]],""))</f>
        <v>8176.91</v>
      </c>
      <c r="F499">
        <f>IF(tblCalculo[[#This Row],[STATUS]]="CONCLUÍDO",_xlfn.XLOOKUP(tblCalculo[[#This Row],[NR_SIMULACAO]],tblVendas[[#This Row],[NR_SIMULACAO]],tblVendas[[#This Row],[VALOR_MOVEL]],""),0)</f>
        <v>0</v>
      </c>
      <c r="G499">
        <f>IF(tblCalculo[[#This Row],[STATUS]]="CONCLUÍDO",_xlfn.XLOOKUP(tblCalculo[[#This Row],[NR_SIMULACAO]],tblVendas[[#This Row],[NR_SIMULACAO]],tblVendas[[#This Row],[VALOR_AVANCADO]],""),0)</f>
        <v>0</v>
      </c>
      <c r="H499">
        <f>IF(tblCalculo[[#This Row],[STATUS]]="CONCLUÍDO",_xlfn.XLOOKUP(tblCalculo[[#This Row],[NR_SIMULACAO]],tblVendas[[#This Row],[NR_SIMULACAO]],tblVendas[[#This Row],[VALOR_FIXABASICA]],""),0)</f>
        <v>0</v>
      </c>
      <c r="I499">
        <f>IF(tblCalculo[[#This Row],[STATUS]]="CONCLUÍDO",_xlfn.XLOOKUP(tblCalculo[[#This Row],[NR_SIMULACAO]],tblVendas[[#This Row],[NR_SIMULACAO]],tblVendas[[#This Row],[VALOR_TI]],""),0)</f>
        <v>0</v>
      </c>
      <c r="J499">
        <f>IF(tblCalculo[[#This Row],[STATUS]]="CONCLUÍDO",_xlfn.XLOOKUP(tblCalculo[[#This Row],[NR_SIMULACAO]],tblVendas[[#This Row],[NR_SIMULACAO]],tblVendas[[#This Row],[VALOR_APARELHO]],""),0)</f>
        <v>0</v>
      </c>
      <c r="K499" t="str">
        <f>IF(tblCalculo[[#This Row],[STATUS]]="NEGOCIANDO",tblCalculo[[#This Row],[VALOR_TOTAL]],"")</f>
        <v/>
      </c>
      <c r="L499" t="str">
        <f>IF(tblCalculo[[#This Row],[STATUS]]="ALÇADA",tblCalculo[[#This Row],[VALOR_TOTAL]],"")</f>
        <v/>
      </c>
      <c r="M499" t="str">
        <f>IF(tblCalculo[[#This Row],[STATUS]]="EM ANÁLISE",tblCalculo[[#This Row],[VALOR_TOTAL]],"")</f>
        <v/>
      </c>
      <c r="N499" t="str">
        <f>IF(tblCalculo[[#This Row],[STATUS]]="TRAMITANDO",tblCalculo[[#This Row],[VALOR_TOTAL]],"")</f>
        <v/>
      </c>
      <c r="O499">
        <f>IF(tblCalculo[[#This Row],[STATUS]]="PERDIDO",tblCalculo[[#This Row],[VALOR_TOTAL]],"")</f>
        <v>8176.91</v>
      </c>
      <c r="P499" t="str">
        <f>IF(tblCalculo[[#This Row],[STATUS]]="CONCLUÍDO",tblCalculo[[#This Row],[VALOR_TOTAL]],"")</f>
        <v/>
      </c>
    </row>
    <row r="500" spans="1:16" x14ac:dyDescent="0.25">
      <c r="A500" t="str">
        <f>tblVendas[[#This Row],[NR_SIMULACAO]]</f>
        <v>SIM1490</v>
      </c>
      <c r="B500" s="34" t="str">
        <f>_xlfn.XLOOKUP(A500,tblVendas[[#This Row],[NR_SIMULACAO]],tblVendas[[#This Row],[NR_CNPJ]],"")</f>
        <v>96.109.393/0001-64</v>
      </c>
      <c r="C500" t="str">
        <f>_xlfn.XLOOKUP(A500,tblVendas[[#This Row],[NR_SIMULACAO]],tblVendas[[#This Row],[STATUS]],"")</f>
        <v>NEGOCIANDO</v>
      </c>
      <c r="D500" t="str">
        <f>_xlfn.XLOOKUP(A500,tblVendas[[#This Row],[NR_SIMULACAO]],tblVendas[[#This Row],[MES]],"")</f>
        <v>Março</v>
      </c>
      <c r="E500">
        <f>SUM(_xlfn.XLOOKUP(tblCalculo[[#This Row],[NR_SIMULACAO]],tblVendas[[#This Row],[NR_SIMULACAO]],tblVendas[[#This Row],[VALOR_MOVEL]],""):_xlfn.XLOOKUP(tblCalculo[[#This Row],[NR_SIMULACAO]],tblVendas[[#This Row],[NR_SIMULACAO]],tblVendas[[#This Row],[VALOR_APARELHO]],""))</f>
        <v>2284.2600000000002</v>
      </c>
      <c r="F500">
        <f>IF(tblCalculo[[#This Row],[STATUS]]="CONCLUÍDO",_xlfn.XLOOKUP(tblCalculo[[#This Row],[NR_SIMULACAO]],tblVendas[[#This Row],[NR_SIMULACAO]],tblVendas[[#This Row],[VALOR_MOVEL]],""),0)</f>
        <v>0</v>
      </c>
      <c r="G500">
        <f>IF(tblCalculo[[#This Row],[STATUS]]="CONCLUÍDO",_xlfn.XLOOKUP(tblCalculo[[#This Row],[NR_SIMULACAO]],tblVendas[[#This Row],[NR_SIMULACAO]],tblVendas[[#This Row],[VALOR_AVANCADO]],""),0)</f>
        <v>0</v>
      </c>
      <c r="H500">
        <f>IF(tblCalculo[[#This Row],[STATUS]]="CONCLUÍDO",_xlfn.XLOOKUP(tblCalculo[[#This Row],[NR_SIMULACAO]],tblVendas[[#This Row],[NR_SIMULACAO]],tblVendas[[#This Row],[VALOR_FIXABASICA]],""),0)</f>
        <v>0</v>
      </c>
      <c r="I500">
        <f>IF(tblCalculo[[#This Row],[STATUS]]="CONCLUÍDO",_xlfn.XLOOKUP(tblCalculo[[#This Row],[NR_SIMULACAO]],tblVendas[[#This Row],[NR_SIMULACAO]],tblVendas[[#This Row],[VALOR_TI]],""),0)</f>
        <v>0</v>
      </c>
      <c r="J500">
        <f>IF(tblCalculo[[#This Row],[STATUS]]="CONCLUÍDO",_xlfn.XLOOKUP(tblCalculo[[#This Row],[NR_SIMULACAO]],tblVendas[[#This Row],[NR_SIMULACAO]],tblVendas[[#This Row],[VALOR_APARELHO]],""),0)</f>
        <v>0</v>
      </c>
      <c r="K500">
        <f>IF(tblCalculo[[#This Row],[STATUS]]="NEGOCIANDO",tblCalculo[[#This Row],[VALOR_TOTAL]],"")</f>
        <v>2284.2600000000002</v>
      </c>
      <c r="L500" t="str">
        <f>IF(tblCalculo[[#This Row],[STATUS]]="ALÇADA",tblCalculo[[#This Row],[VALOR_TOTAL]],"")</f>
        <v/>
      </c>
      <c r="M500" t="str">
        <f>IF(tblCalculo[[#This Row],[STATUS]]="EM ANÁLISE",tblCalculo[[#This Row],[VALOR_TOTAL]],"")</f>
        <v/>
      </c>
      <c r="N500" t="str">
        <f>IF(tblCalculo[[#This Row],[STATUS]]="TRAMITANDO",tblCalculo[[#This Row],[VALOR_TOTAL]],"")</f>
        <v/>
      </c>
      <c r="O500" t="str">
        <f>IF(tblCalculo[[#This Row],[STATUS]]="PERDIDO",tblCalculo[[#This Row],[VALOR_TOTAL]],"")</f>
        <v/>
      </c>
      <c r="P500" t="str">
        <f>IF(tblCalculo[[#This Row],[STATUS]]="CONCLUÍDO",tblCalculo[[#This Row],[VALOR_TOTAL]],"")</f>
        <v/>
      </c>
    </row>
    <row r="501" spans="1:16" x14ac:dyDescent="0.25">
      <c r="A501" t="str">
        <f>tblVendas[[#This Row],[NR_SIMULACAO]]</f>
        <v>SIM1491</v>
      </c>
      <c r="B501" s="34" t="str">
        <f>_xlfn.XLOOKUP(A501,tblVendas[[#This Row],[NR_SIMULACAO]],tblVendas[[#This Row],[NR_CNPJ]],"")</f>
        <v>39.762.557/0001-62</v>
      </c>
      <c r="C501" t="str">
        <f>_xlfn.XLOOKUP(A501,tblVendas[[#This Row],[NR_SIMULACAO]],tblVendas[[#This Row],[STATUS]],"")</f>
        <v>CONCLUÍDO</v>
      </c>
      <c r="D501" t="str">
        <f>_xlfn.XLOOKUP(A501,tblVendas[[#This Row],[NR_SIMULACAO]],tblVendas[[#This Row],[MES]],"")</f>
        <v>Setembro</v>
      </c>
      <c r="E501">
        <f>SUM(_xlfn.XLOOKUP(tblCalculo[[#This Row],[NR_SIMULACAO]],tblVendas[[#This Row],[NR_SIMULACAO]],tblVendas[[#This Row],[VALOR_MOVEL]],""):_xlfn.XLOOKUP(tblCalculo[[#This Row],[NR_SIMULACAO]],tblVendas[[#This Row],[NR_SIMULACAO]],tblVendas[[#This Row],[VALOR_APARELHO]],""))</f>
        <v>4830.5</v>
      </c>
      <c r="F501">
        <f>IF(tblCalculo[[#This Row],[STATUS]]="CONCLUÍDO",_xlfn.XLOOKUP(tblCalculo[[#This Row],[NR_SIMULACAO]],tblVendas[[#This Row],[NR_SIMULACAO]],tblVendas[[#This Row],[VALOR_MOVEL]],""),0)</f>
        <v>0</v>
      </c>
      <c r="G501">
        <f>IF(tblCalculo[[#This Row],[STATUS]]="CONCLUÍDO",_xlfn.XLOOKUP(tblCalculo[[#This Row],[NR_SIMULACAO]],tblVendas[[#This Row],[NR_SIMULACAO]],tblVendas[[#This Row],[VALOR_AVANCADO]],""),0)</f>
        <v>0</v>
      </c>
      <c r="H501">
        <f>IF(tblCalculo[[#This Row],[STATUS]]="CONCLUÍDO",_xlfn.XLOOKUP(tblCalculo[[#This Row],[NR_SIMULACAO]],tblVendas[[#This Row],[NR_SIMULACAO]],tblVendas[[#This Row],[VALOR_FIXABASICA]],""),0)</f>
        <v>0</v>
      </c>
      <c r="I501">
        <f>IF(tblCalculo[[#This Row],[STATUS]]="CONCLUÍDO",_xlfn.XLOOKUP(tblCalculo[[#This Row],[NR_SIMULACAO]],tblVendas[[#This Row],[NR_SIMULACAO]],tblVendas[[#This Row],[VALOR_TI]],""),0)</f>
        <v>4830.5</v>
      </c>
      <c r="J501">
        <f>IF(tblCalculo[[#This Row],[STATUS]]="CONCLUÍDO",_xlfn.XLOOKUP(tblCalculo[[#This Row],[NR_SIMULACAO]],tblVendas[[#This Row],[NR_SIMULACAO]],tblVendas[[#This Row],[VALOR_APARELHO]],""),0)</f>
        <v>0</v>
      </c>
      <c r="K501" t="str">
        <f>IF(tblCalculo[[#This Row],[STATUS]]="NEGOCIANDO",tblCalculo[[#This Row],[VALOR_TOTAL]],"")</f>
        <v/>
      </c>
      <c r="L501" t="str">
        <f>IF(tblCalculo[[#This Row],[STATUS]]="ALÇADA",tblCalculo[[#This Row],[VALOR_TOTAL]],"")</f>
        <v/>
      </c>
      <c r="M501" t="str">
        <f>IF(tblCalculo[[#This Row],[STATUS]]="EM ANÁLISE",tblCalculo[[#This Row],[VALOR_TOTAL]],"")</f>
        <v/>
      </c>
      <c r="N501" t="str">
        <f>IF(tblCalculo[[#This Row],[STATUS]]="TRAMITANDO",tblCalculo[[#This Row],[VALOR_TOTAL]],"")</f>
        <v/>
      </c>
      <c r="O501" t="str">
        <f>IF(tblCalculo[[#This Row],[STATUS]]="PERDIDO",tblCalculo[[#This Row],[VALOR_TOTAL]],"")</f>
        <v/>
      </c>
      <c r="P501">
        <f>IF(tblCalculo[[#This Row],[STATUS]]="CONCLUÍDO",tblCalculo[[#This Row],[VALOR_TOTAL]],"")</f>
        <v>4830.5</v>
      </c>
    </row>
    <row r="502" spans="1:16" x14ac:dyDescent="0.25">
      <c r="A502" t="str">
        <f>tblVendas[[#This Row],[NR_SIMULACAO]]</f>
        <v>SIM1492</v>
      </c>
      <c r="B502" s="34" t="str">
        <f>_xlfn.XLOOKUP(A502,tblVendas[[#This Row],[NR_SIMULACAO]],tblVendas[[#This Row],[NR_CNPJ]],"")</f>
        <v>21.995.806/0001-16</v>
      </c>
      <c r="C502" t="str">
        <f>_xlfn.XLOOKUP(A502,tblVendas[[#This Row],[NR_SIMULACAO]],tblVendas[[#This Row],[STATUS]],"")</f>
        <v>ALÇADA</v>
      </c>
      <c r="D502" t="str">
        <f>_xlfn.XLOOKUP(A502,tblVendas[[#This Row],[NR_SIMULACAO]],tblVendas[[#This Row],[MES]],"")</f>
        <v>Outubro</v>
      </c>
      <c r="E502">
        <f>SUM(_xlfn.XLOOKUP(tblCalculo[[#This Row],[NR_SIMULACAO]],tblVendas[[#This Row],[NR_SIMULACAO]],tblVendas[[#This Row],[VALOR_MOVEL]],""):_xlfn.XLOOKUP(tblCalculo[[#This Row],[NR_SIMULACAO]],tblVendas[[#This Row],[NR_SIMULACAO]],tblVendas[[#This Row],[VALOR_APARELHO]],""))</f>
        <v>10557.720000000001</v>
      </c>
      <c r="F502">
        <f>IF(tblCalculo[[#This Row],[STATUS]]="CONCLUÍDO",_xlfn.XLOOKUP(tblCalculo[[#This Row],[NR_SIMULACAO]],tblVendas[[#This Row],[NR_SIMULACAO]],tblVendas[[#This Row],[VALOR_MOVEL]],""),0)</f>
        <v>0</v>
      </c>
      <c r="G502">
        <f>IF(tblCalculo[[#This Row],[STATUS]]="CONCLUÍDO",_xlfn.XLOOKUP(tblCalculo[[#This Row],[NR_SIMULACAO]],tblVendas[[#This Row],[NR_SIMULACAO]],tblVendas[[#This Row],[VALOR_AVANCADO]],""),0)</f>
        <v>0</v>
      </c>
      <c r="H502">
        <f>IF(tblCalculo[[#This Row],[STATUS]]="CONCLUÍDO",_xlfn.XLOOKUP(tblCalculo[[#This Row],[NR_SIMULACAO]],tblVendas[[#This Row],[NR_SIMULACAO]],tblVendas[[#This Row],[VALOR_FIXABASICA]],""),0)</f>
        <v>0</v>
      </c>
      <c r="I502">
        <f>IF(tblCalculo[[#This Row],[STATUS]]="CONCLUÍDO",_xlfn.XLOOKUP(tblCalculo[[#This Row],[NR_SIMULACAO]],tblVendas[[#This Row],[NR_SIMULACAO]],tblVendas[[#This Row],[VALOR_TI]],""),0)</f>
        <v>0</v>
      </c>
      <c r="J502">
        <f>IF(tblCalculo[[#This Row],[STATUS]]="CONCLUÍDO",_xlfn.XLOOKUP(tblCalculo[[#This Row],[NR_SIMULACAO]],tblVendas[[#This Row],[NR_SIMULACAO]],tblVendas[[#This Row],[VALOR_APARELHO]],""),0)</f>
        <v>0</v>
      </c>
      <c r="K502" t="str">
        <f>IF(tblCalculo[[#This Row],[STATUS]]="NEGOCIANDO",tblCalculo[[#This Row],[VALOR_TOTAL]],"")</f>
        <v/>
      </c>
      <c r="L502">
        <f>IF(tblCalculo[[#This Row],[STATUS]]="ALÇADA",tblCalculo[[#This Row],[VALOR_TOTAL]],"")</f>
        <v>10557.720000000001</v>
      </c>
      <c r="M502" t="str">
        <f>IF(tblCalculo[[#This Row],[STATUS]]="EM ANÁLISE",tblCalculo[[#This Row],[VALOR_TOTAL]],"")</f>
        <v/>
      </c>
      <c r="N502" t="str">
        <f>IF(tblCalculo[[#This Row],[STATUS]]="TRAMITANDO",tblCalculo[[#This Row],[VALOR_TOTAL]],"")</f>
        <v/>
      </c>
      <c r="O502" t="str">
        <f>IF(tblCalculo[[#This Row],[STATUS]]="PERDIDO",tblCalculo[[#This Row],[VALOR_TOTAL]],"")</f>
        <v/>
      </c>
      <c r="P502" t="str">
        <f>IF(tblCalculo[[#This Row],[STATUS]]="CONCLUÍDO",tblCalculo[[#This Row],[VALOR_TOTAL]],"")</f>
        <v/>
      </c>
    </row>
    <row r="503" spans="1:16" x14ac:dyDescent="0.25">
      <c r="A503" t="str">
        <f>tblVendas[[#This Row],[NR_SIMULACAO]]</f>
        <v>SIM1493</v>
      </c>
      <c r="B503" s="34" t="str">
        <f>_xlfn.XLOOKUP(A503,tblVendas[[#This Row],[NR_SIMULACAO]],tblVendas[[#This Row],[NR_CNPJ]],"")</f>
        <v>80.381.762/0001-57</v>
      </c>
      <c r="C503" t="str">
        <f>_xlfn.XLOOKUP(A503,tblVendas[[#This Row],[NR_SIMULACAO]],tblVendas[[#This Row],[STATUS]],"")</f>
        <v>EM ANÁLISE</v>
      </c>
      <c r="D503" t="str">
        <f>_xlfn.XLOOKUP(A503,tblVendas[[#This Row],[NR_SIMULACAO]],tblVendas[[#This Row],[MES]],"")</f>
        <v>Junho</v>
      </c>
      <c r="E503">
        <f>SUM(_xlfn.XLOOKUP(tblCalculo[[#This Row],[NR_SIMULACAO]],tblVendas[[#This Row],[NR_SIMULACAO]],tblVendas[[#This Row],[VALOR_MOVEL]],""):_xlfn.XLOOKUP(tblCalculo[[#This Row],[NR_SIMULACAO]],tblVendas[[#This Row],[NR_SIMULACAO]],tblVendas[[#This Row],[VALOR_APARELHO]],""))</f>
        <v>7526.44</v>
      </c>
      <c r="F503">
        <f>IF(tblCalculo[[#This Row],[STATUS]]="CONCLUÍDO",_xlfn.XLOOKUP(tblCalculo[[#This Row],[NR_SIMULACAO]],tblVendas[[#This Row],[NR_SIMULACAO]],tblVendas[[#This Row],[VALOR_MOVEL]],""),0)</f>
        <v>0</v>
      </c>
      <c r="G503">
        <f>IF(tblCalculo[[#This Row],[STATUS]]="CONCLUÍDO",_xlfn.XLOOKUP(tblCalculo[[#This Row],[NR_SIMULACAO]],tblVendas[[#This Row],[NR_SIMULACAO]],tblVendas[[#This Row],[VALOR_AVANCADO]],""),0)</f>
        <v>0</v>
      </c>
      <c r="H503">
        <f>IF(tblCalculo[[#This Row],[STATUS]]="CONCLUÍDO",_xlfn.XLOOKUP(tblCalculo[[#This Row],[NR_SIMULACAO]],tblVendas[[#This Row],[NR_SIMULACAO]],tblVendas[[#This Row],[VALOR_FIXABASICA]],""),0)</f>
        <v>0</v>
      </c>
      <c r="I503">
        <f>IF(tblCalculo[[#This Row],[STATUS]]="CONCLUÍDO",_xlfn.XLOOKUP(tblCalculo[[#This Row],[NR_SIMULACAO]],tblVendas[[#This Row],[NR_SIMULACAO]],tblVendas[[#This Row],[VALOR_TI]],""),0)</f>
        <v>0</v>
      </c>
      <c r="J503">
        <f>IF(tblCalculo[[#This Row],[STATUS]]="CONCLUÍDO",_xlfn.XLOOKUP(tblCalculo[[#This Row],[NR_SIMULACAO]],tblVendas[[#This Row],[NR_SIMULACAO]],tblVendas[[#This Row],[VALOR_APARELHO]],""),0)</f>
        <v>0</v>
      </c>
      <c r="K503" t="str">
        <f>IF(tblCalculo[[#This Row],[STATUS]]="NEGOCIANDO",tblCalculo[[#This Row],[VALOR_TOTAL]],"")</f>
        <v/>
      </c>
      <c r="L503" t="str">
        <f>IF(tblCalculo[[#This Row],[STATUS]]="ALÇADA",tblCalculo[[#This Row],[VALOR_TOTAL]],"")</f>
        <v/>
      </c>
      <c r="M503">
        <f>IF(tblCalculo[[#This Row],[STATUS]]="EM ANÁLISE",tblCalculo[[#This Row],[VALOR_TOTAL]],"")</f>
        <v>7526.44</v>
      </c>
      <c r="N503" t="str">
        <f>IF(tblCalculo[[#This Row],[STATUS]]="TRAMITANDO",tblCalculo[[#This Row],[VALOR_TOTAL]],"")</f>
        <v/>
      </c>
      <c r="O503" t="str">
        <f>IF(tblCalculo[[#This Row],[STATUS]]="PERDIDO",tblCalculo[[#This Row],[VALOR_TOTAL]],"")</f>
        <v/>
      </c>
      <c r="P503" t="str">
        <f>IF(tblCalculo[[#This Row],[STATUS]]="CONCLUÍDO",tblCalculo[[#This Row],[VALOR_TOTAL]],"")</f>
        <v/>
      </c>
    </row>
    <row r="504" spans="1:16" x14ac:dyDescent="0.25">
      <c r="A504" t="str">
        <f>tblVendas[[#This Row],[NR_SIMULACAO]]</f>
        <v>SIM1494</v>
      </c>
      <c r="B504" s="34" t="str">
        <f>_xlfn.XLOOKUP(A504,tblVendas[[#This Row],[NR_SIMULACAO]],tblVendas[[#This Row],[NR_CNPJ]],"")</f>
        <v>73.253.810/0001-88</v>
      </c>
      <c r="C504" t="str">
        <f>_xlfn.XLOOKUP(A504,tblVendas[[#This Row],[NR_SIMULACAO]],tblVendas[[#This Row],[STATUS]],"")</f>
        <v>PERDIDO</v>
      </c>
      <c r="D504" t="str">
        <f>_xlfn.XLOOKUP(A504,tblVendas[[#This Row],[NR_SIMULACAO]],tblVendas[[#This Row],[MES]],"")</f>
        <v>Janeiro</v>
      </c>
      <c r="E504">
        <f>SUM(_xlfn.XLOOKUP(tblCalculo[[#This Row],[NR_SIMULACAO]],tblVendas[[#This Row],[NR_SIMULACAO]],tblVendas[[#This Row],[VALOR_MOVEL]],""):_xlfn.XLOOKUP(tblCalculo[[#This Row],[NR_SIMULACAO]],tblVendas[[#This Row],[NR_SIMULACAO]],tblVendas[[#This Row],[VALOR_APARELHO]],""))</f>
        <v>11277.26</v>
      </c>
      <c r="F504">
        <f>IF(tblCalculo[[#This Row],[STATUS]]="CONCLUÍDO",_xlfn.XLOOKUP(tblCalculo[[#This Row],[NR_SIMULACAO]],tblVendas[[#This Row],[NR_SIMULACAO]],tblVendas[[#This Row],[VALOR_MOVEL]],""),0)</f>
        <v>0</v>
      </c>
      <c r="G504">
        <f>IF(tblCalculo[[#This Row],[STATUS]]="CONCLUÍDO",_xlfn.XLOOKUP(tblCalculo[[#This Row],[NR_SIMULACAO]],tblVendas[[#This Row],[NR_SIMULACAO]],tblVendas[[#This Row],[VALOR_AVANCADO]],""),0)</f>
        <v>0</v>
      </c>
      <c r="H504">
        <f>IF(tblCalculo[[#This Row],[STATUS]]="CONCLUÍDO",_xlfn.XLOOKUP(tblCalculo[[#This Row],[NR_SIMULACAO]],tblVendas[[#This Row],[NR_SIMULACAO]],tblVendas[[#This Row],[VALOR_FIXABASICA]],""),0)</f>
        <v>0</v>
      </c>
      <c r="I504">
        <f>IF(tblCalculo[[#This Row],[STATUS]]="CONCLUÍDO",_xlfn.XLOOKUP(tblCalculo[[#This Row],[NR_SIMULACAO]],tblVendas[[#This Row],[NR_SIMULACAO]],tblVendas[[#This Row],[VALOR_TI]],""),0)</f>
        <v>0</v>
      </c>
      <c r="J504">
        <f>IF(tblCalculo[[#This Row],[STATUS]]="CONCLUÍDO",_xlfn.XLOOKUP(tblCalculo[[#This Row],[NR_SIMULACAO]],tblVendas[[#This Row],[NR_SIMULACAO]],tblVendas[[#This Row],[VALOR_APARELHO]],""),0)</f>
        <v>0</v>
      </c>
      <c r="K504" t="str">
        <f>IF(tblCalculo[[#This Row],[STATUS]]="NEGOCIANDO",tblCalculo[[#This Row],[VALOR_TOTAL]],"")</f>
        <v/>
      </c>
      <c r="L504" t="str">
        <f>IF(tblCalculo[[#This Row],[STATUS]]="ALÇADA",tblCalculo[[#This Row],[VALOR_TOTAL]],"")</f>
        <v/>
      </c>
      <c r="M504" t="str">
        <f>IF(tblCalculo[[#This Row],[STATUS]]="EM ANÁLISE",tblCalculo[[#This Row],[VALOR_TOTAL]],"")</f>
        <v/>
      </c>
      <c r="N504" t="str">
        <f>IF(tblCalculo[[#This Row],[STATUS]]="TRAMITANDO",tblCalculo[[#This Row],[VALOR_TOTAL]],"")</f>
        <v/>
      </c>
      <c r="O504">
        <f>IF(tblCalculo[[#This Row],[STATUS]]="PERDIDO",tblCalculo[[#This Row],[VALOR_TOTAL]],"")</f>
        <v>11277.26</v>
      </c>
      <c r="P504" t="str">
        <f>IF(tblCalculo[[#This Row],[STATUS]]="CONCLUÍDO",tblCalculo[[#This Row],[VALOR_TOTAL]],"")</f>
        <v/>
      </c>
    </row>
    <row r="505" spans="1:16" x14ac:dyDescent="0.25">
      <c r="A505" t="str">
        <f>tblVendas[[#This Row],[NR_SIMULACAO]]</f>
        <v>SIM1495</v>
      </c>
      <c r="B505" s="34" t="str">
        <f>_xlfn.XLOOKUP(A505,tblVendas[[#This Row],[NR_SIMULACAO]],tblVendas[[#This Row],[NR_CNPJ]],"")</f>
        <v>82.662.829/0001-48</v>
      </c>
      <c r="C505" t="str">
        <f>_xlfn.XLOOKUP(A505,tblVendas[[#This Row],[NR_SIMULACAO]],tblVendas[[#This Row],[STATUS]],"")</f>
        <v>ALÇADA</v>
      </c>
      <c r="D505" t="str">
        <f>_xlfn.XLOOKUP(A505,tblVendas[[#This Row],[NR_SIMULACAO]],tblVendas[[#This Row],[MES]],"")</f>
        <v>Julho</v>
      </c>
      <c r="E505">
        <f>SUM(_xlfn.XLOOKUP(tblCalculo[[#This Row],[NR_SIMULACAO]],tblVendas[[#This Row],[NR_SIMULACAO]],tblVendas[[#This Row],[VALOR_MOVEL]],""):_xlfn.XLOOKUP(tblCalculo[[#This Row],[NR_SIMULACAO]],tblVendas[[#This Row],[NR_SIMULACAO]],tblVendas[[#This Row],[VALOR_APARELHO]],""))</f>
        <v>835.44</v>
      </c>
      <c r="F505">
        <f>IF(tblCalculo[[#This Row],[STATUS]]="CONCLUÍDO",_xlfn.XLOOKUP(tblCalculo[[#This Row],[NR_SIMULACAO]],tblVendas[[#This Row],[NR_SIMULACAO]],tblVendas[[#This Row],[VALOR_MOVEL]],""),0)</f>
        <v>0</v>
      </c>
      <c r="G505">
        <f>IF(tblCalculo[[#This Row],[STATUS]]="CONCLUÍDO",_xlfn.XLOOKUP(tblCalculo[[#This Row],[NR_SIMULACAO]],tblVendas[[#This Row],[NR_SIMULACAO]],tblVendas[[#This Row],[VALOR_AVANCADO]],""),0)</f>
        <v>0</v>
      </c>
      <c r="H505">
        <f>IF(tblCalculo[[#This Row],[STATUS]]="CONCLUÍDO",_xlfn.XLOOKUP(tblCalculo[[#This Row],[NR_SIMULACAO]],tblVendas[[#This Row],[NR_SIMULACAO]],tblVendas[[#This Row],[VALOR_FIXABASICA]],""),0)</f>
        <v>0</v>
      </c>
      <c r="I505">
        <f>IF(tblCalculo[[#This Row],[STATUS]]="CONCLUÍDO",_xlfn.XLOOKUP(tblCalculo[[#This Row],[NR_SIMULACAO]],tblVendas[[#This Row],[NR_SIMULACAO]],tblVendas[[#This Row],[VALOR_TI]],""),0)</f>
        <v>0</v>
      </c>
      <c r="J505">
        <f>IF(tblCalculo[[#This Row],[STATUS]]="CONCLUÍDO",_xlfn.XLOOKUP(tblCalculo[[#This Row],[NR_SIMULACAO]],tblVendas[[#This Row],[NR_SIMULACAO]],tblVendas[[#This Row],[VALOR_APARELHO]],""),0)</f>
        <v>0</v>
      </c>
      <c r="K505" t="str">
        <f>IF(tblCalculo[[#This Row],[STATUS]]="NEGOCIANDO",tblCalculo[[#This Row],[VALOR_TOTAL]],"")</f>
        <v/>
      </c>
      <c r="L505">
        <f>IF(tblCalculo[[#This Row],[STATUS]]="ALÇADA",tblCalculo[[#This Row],[VALOR_TOTAL]],"")</f>
        <v>835.44</v>
      </c>
      <c r="M505" t="str">
        <f>IF(tblCalculo[[#This Row],[STATUS]]="EM ANÁLISE",tblCalculo[[#This Row],[VALOR_TOTAL]],"")</f>
        <v/>
      </c>
      <c r="N505" t="str">
        <f>IF(tblCalculo[[#This Row],[STATUS]]="TRAMITANDO",tblCalculo[[#This Row],[VALOR_TOTAL]],"")</f>
        <v/>
      </c>
      <c r="O505" t="str">
        <f>IF(tblCalculo[[#This Row],[STATUS]]="PERDIDO",tblCalculo[[#This Row],[VALOR_TOTAL]],"")</f>
        <v/>
      </c>
      <c r="P505" t="str">
        <f>IF(tblCalculo[[#This Row],[STATUS]]="CONCLUÍDO",tblCalculo[[#This Row],[VALOR_TOTAL]],"")</f>
        <v/>
      </c>
    </row>
    <row r="506" spans="1:16" x14ac:dyDescent="0.25">
      <c r="A506" t="str">
        <f>tblVendas[[#This Row],[NR_SIMULACAO]]</f>
        <v>SIM1496</v>
      </c>
      <c r="B506" s="34" t="str">
        <f>_xlfn.XLOOKUP(A506,tblVendas[[#This Row],[NR_SIMULACAO]],tblVendas[[#This Row],[NR_CNPJ]],"")</f>
        <v>68.990.692/0001-76</v>
      </c>
      <c r="C506" t="str">
        <f>_xlfn.XLOOKUP(A506,tblVendas[[#This Row],[NR_SIMULACAO]],tblVendas[[#This Row],[STATUS]],"")</f>
        <v>NEGOCIANDO</v>
      </c>
      <c r="D506" t="str">
        <f>_xlfn.XLOOKUP(A506,tblVendas[[#This Row],[NR_SIMULACAO]],tblVendas[[#This Row],[MES]],"")</f>
        <v>Maio</v>
      </c>
      <c r="E506">
        <f>SUM(_xlfn.XLOOKUP(tblCalculo[[#This Row],[NR_SIMULACAO]],tblVendas[[#This Row],[NR_SIMULACAO]],tblVendas[[#This Row],[VALOR_MOVEL]],""):_xlfn.XLOOKUP(tblCalculo[[#This Row],[NR_SIMULACAO]],tblVendas[[#This Row],[NR_SIMULACAO]],tblVendas[[#This Row],[VALOR_APARELHO]],""))</f>
        <v>5383.41</v>
      </c>
      <c r="F506">
        <f>IF(tblCalculo[[#This Row],[STATUS]]="CONCLUÍDO",_xlfn.XLOOKUP(tblCalculo[[#This Row],[NR_SIMULACAO]],tblVendas[[#This Row],[NR_SIMULACAO]],tblVendas[[#This Row],[VALOR_MOVEL]],""),0)</f>
        <v>0</v>
      </c>
      <c r="G506">
        <f>IF(tblCalculo[[#This Row],[STATUS]]="CONCLUÍDO",_xlfn.XLOOKUP(tblCalculo[[#This Row],[NR_SIMULACAO]],tblVendas[[#This Row],[NR_SIMULACAO]],tblVendas[[#This Row],[VALOR_AVANCADO]],""),0)</f>
        <v>0</v>
      </c>
      <c r="H506">
        <f>IF(tblCalculo[[#This Row],[STATUS]]="CONCLUÍDO",_xlfn.XLOOKUP(tblCalculo[[#This Row],[NR_SIMULACAO]],tblVendas[[#This Row],[NR_SIMULACAO]],tblVendas[[#This Row],[VALOR_FIXABASICA]],""),0)</f>
        <v>0</v>
      </c>
      <c r="I506">
        <f>IF(tblCalculo[[#This Row],[STATUS]]="CONCLUÍDO",_xlfn.XLOOKUP(tblCalculo[[#This Row],[NR_SIMULACAO]],tblVendas[[#This Row],[NR_SIMULACAO]],tblVendas[[#This Row],[VALOR_TI]],""),0)</f>
        <v>0</v>
      </c>
      <c r="J506">
        <f>IF(tblCalculo[[#This Row],[STATUS]]="CONCLUÍDO",_xlfn.XLOOKUP(tblCalculo[[#This Row],[NR_SIMULACAO]],tblVendas[[#This Row],[NR_SIMULACAO]],tblVendas[[#This Row],[VALOR_APARELHO]],""),0)</f>
        <v>0</v>
      </c>
      <c r="K506">
        <f>IF(tblCalculo[[#This Row],[STATUS]]="NEGOCIANDO",tblCalculo[[#This Row],[VALOR_TOTAL]],"")</f>
        <v>5383.41</v>
      </c>
      <c r="L506" t="str">
        <f>IF(tblCalculo[[#This Row],[STATUS]]="ALÇADA",tblCalculo[[#This Row],[VALOR_TOTAL]],"")</f>
        <v/>
      </c>
      <c r="M506" t="str">
        <f>IF(tblCalculo[[#This Row],[STATUS]]="EM ANÁLISE",tblCalculo[[#This Row],[VALOR_TOTAL]],"")</f>
        <v/>
      </c>
      <c r="N506" t="str">
        <f>IF(tblCalculo[[#This Row],[STATUS]]="TRAMITANDO",tblCalculo[[#This Row],[VALOR_TOTAL]],"")</f>
        <v/>
      </c>
      <c r="O506" t="str">
        <f>IF(tblCalculo[[#This Row],[STATUS]]="PERDIDO",tblCalculo[[#This Row],[VALOR_TOTAL]],"")</f>
        <v/>
      </c>
      <c r="P506" t="str">
        <f>IF(tblCalculo[[#This Row],[STATUS]]="CONCLUÍDO",tblCalculo[[#This Row],[VALOR_TOTAL]],"")</f>
        <v/>
      </c>
    </row>
    <row r="507" spans="1:16" x14ac:dyDescent="0.25">
      <c r="A507" t="str">
        <f>tblVendas[[#This Row],[NR_SIMULACAO]]</f>
        <v>SIM1497</v>
      </c>
      <c r="B507" s="34" t="str">
        <f>_xlfn.XLOOKUP(A507,tblVendas[[#This Row],[NR_SIMULACAO]],tblVendas[[#This Row],[NR_CNPJ]],"")</f>
        <v>15.999.773/0001-17</v>
      </c>
      <c r="C507" t="str">
        <f>_xlfn.XLOOKUP(A507,tblVendas[[#This Row],[NR_SIMULACAO]],tblVendas[[#This Row],[STATUS]],"")</f>
        <v>ALÇADA</v>
      </c>
      <c r="D507" t="str">
        <f>_xlfn.XLOOKUP(A507,tblVendas[[#This Row],[NR_SIMULACAO]],tblVendas[[#This Row],[MES]],"")</f>
        <v>Agosto</v>
      </c>
      <c r="E507">
        <f>SUM(_xlfn.XLOOKUP(tblCalculo[[#This Row],[NR_SIMULACAO]],tblVendas[[#This Row],[NR_SIMULACAO]],tblVendas[[#This Row],[VALOR_MOVEL]],""):_xlfn.XLOOKUP(tblCalculo[[#This Row],[NR_SIMULACAO]],tblVendas[[#This Row],[NR_SIMULACAO]],tblVendas[[#This Row],[VALOR_APARELHO]],""))</f>
        <v>7106.08</v>
      </c>
      <c r="F507">
        <f>IF(tblCalculo[[#This Row],[STATUS]]="CONCLUÍDO",_xlfn.XLOOKUP(tblCalculo[[#This Row],[NR_SIMULACAO]],tblVendas[[#This Row],[NR_SIMULACAO]],tblVendas[[#This Row],[VALOR_MOVEL]],""),0)</f>
        <v>0</v>
      </c>
      <c r="G507">
        <f>IF(tblCalculo[[#This Row],[STATUS]]="CONCLUÍDO",_xlfn.XLOOKUP(tblCalculo[[#This Row],[NR_SIMULACAO]],tblVendas[[#This Row],[NR_SIMULACAO]],tblVendas[[#This Row],[VALOR_AVANCADO]],""),0)</f>
        <v>0</v>
      </c>
      <c r="H507">
        <f>IF(tblCalculo[[#This Row],[STATUS]]="CONCLUÍDO",_xlfn.XLOOKUP(tblCalculo[[#This Row],[NR_SIMULACAO]],tblVendas[[#This Row],[NR_SIMULACAO]],tblVendas[[#This Row],[VALOR_FIXABASICA]],""),0)</f>
        <v>0</v>
      </c>
      <c r="I507">
        <f>IF(tblCalculo[[#This Row],[STATUS]]="CONCLUÍDO",_xlfn.XLOOKUP(tblCalculo[[#This Row],[NR_SIMULACAO]],tblVendas[[#This Row],[NR_SIMULACAO]],tblVendas[[#This Row],[VALOR_TI]],""),0)</f>
        <v>0</v>
      </c>
      <c r="J507">
        <f>IF(tblCalculo[[#This Row],[STATUS]]="CONCLUÍDO",_xlfn.XLOOKUP(tblCalculo[[#This Row],[NR_SIMULACAO]],tblVendas[[#This Row],[NR_SIMULACAO]],tblVendas[[#This Row],[VALOR_APARELHO]],""),0)</f>
        <v>0</v>
      </c>
      <c r="K507" t="str">
        <f>IF(tblCalculo[[#This Row],[STATUS]]="NEGOCIANDO",tblCalculo[[#This Row],[VALOR_TOTAL]],"")</f>
        <v/>
      </c>
      <c r="L507">
        <f>IF(tblCalculo[[#This Row],[STATUS]]="ALÇADA",tblCalculo[[#This Row],[VALOR_TOTAL]],"")</f>
        <v>7106.08</v>
      </c>
      <c r="M507" t="str">
        <f>IF(tblCalculo[[#This Row],[STATUS]]="EM ANÁLISE",tblCalculo[[#This Row],[VALOR_TOTAL]],"")</f>
        <v/>
      </c>
      <c r="N507" t="str">
        <f>IF(tblCalculo[[#This Row],[STATUS]]="TRAMITANDO",tblCalculo[[#This Row],[VALOR_TOTAL]],"")</f>
        <v/>
      </c>
      <c r="O507" t="str">
        <f>IF(tblCalculo[[#This Row],[STATUS]]="PERDIDO",tblCalculo[[#This Row],[VALOR_TOTAL]],"")</f>
        <v/>
      </c>
      <c r="P507" t="str">
        <f>IF(tblCalculo[[#This Row],[STATUS]]="CONCLUÍDO",tblCalculo[[#This Row],[VALOR_TOTAL]],"")</f>
        <v/>
      </c>
    </row>
    <row r="508" spans="1:16" x14ac:dyDescent="0.25">
      <c r="A508" t="str">
        <f>tblVendas[[#This Row],[NR_SIMULACAO]]</f>
        <v>SIM1498</v>
      </c>
      <c r="B508" s="34" t="str">
        <f>_xlfn.XLOOKUP(A508,tblVendas[[#This Row],[NR_SIMULACAO]],tblVendas[[#This Row],[NR_CNPJ]],"")</f>
        <v>38.619.883/0001-39</v>
      </c>
      <c r="C508" t="str">
        <f>_xlfn.XLOOKUP(A508,tblVendas[[#This Row],[NR_SIMULACAO]],tblVendas[[#This Row],[STATUS]],"")</f>
        <v>ALÇADA</v>
      </c>
      <c r="D508" t="str">
        <f>_xlfn.XLOOKUP(A508,tblVendas[[#This Row],[NR_SIMULACAO]],tblVendas[[#This Row],[MES]],"")</f>
        <v>Março</v>
      </c>
      <c r="E508">
        <f>SUM(_xlfn.XLOOKUP(tblCalculo[[#This Row],[NR_SIMULACAO]],tblVendas[[#This Row],[NR_SIMULACAO]],tblVendas[[#This Row],[VALOR_MOVEL]],""):_xlfn.XLOOKUP(tblCalculo[[#This Row],[NR_SIMULACAO]],tblVendas[[#This Row],[NR_SIMULACAO]],tblVendas[[#This Row],[VALOR_APARELHO]],""))</f>
        <v>17899.86</v>
      </c>
      <c r="F508">
        <f>IF(tblCalculo[[#This Row],[STATUS]]="CONCLUÍDO",_xlfn.XLOOKUP(tblCalculo[[#This Row],[NR_SIMULACAO]],tblVendas[[#This Row],[NR_SIMULACAO]],tblVendas[[#This Row],[VALOR_MOVEL]],""),0)</f>
        <v>0</v>
      </c>
      <c r="G508">
        <f>IF(tblCalculo[[#This Row],[STATUS]]="CONCLUÍDO",_xlfn.XLOOKUP(tblCalculo[[#This Row],[NR_SIMULACAO]],tblVendas[[#This Row],[NR_SIMULACAO]],tblVendas[[#This Row],[VALOR_AVANCADO]],""),0)</f>
        <v>0</v>
      </c>
      <c r="H508">
        <f>IF(tblCalculo[[#This Row],[STATUS]]="CONCLUÍDO",_xlfn.XLOOKUP(tblCalculo[[#This Row],[NR_SIMULACAO]],tblVendas[[#This Row],[NR_SIMULACAO]],tblVendas[[#This Row],[VALOR_FIXABASICA]],""),0)</f>
        <v>0</v>
      </c>
      <c r="I508">
        <f>IF(tblCalculo[[#This Row],[STATUS]]="CONCLUÍDO",_xlfn.XLOOKUP(tblCalculo[[#This Row],[NR_SIMULACAO]],tblVendas[[#This Row],[NR_SIMULACAO]],tblVendas[[#This Row],[VALOR_TI]],""),0)</f>
        <v>0</v>
      </c>
      <c r="J508">
        <f>IF(tblCalculo[[#This Row],[STATUS]]="CONCLUÍDO",_xlfn.XLOOKUP(tblCalculo[[#This Row],[NR_SIMULACAO]],tblVendas[[#This Row],[NR_SIMULACAO]],tblVendas[[#This Row],[VALOR_APARELHO]],""),0)</f>
        <v>0</v>
      </c>
      <c r="K508" t="str">
        <f>IF(tblCalculo[[#This Row],[STATUS]]="NEGOCIANDO",tblCalculo[[#This Row],[VALOR_TOTAL]],"")</f>
        <v/>
      </c>
      <c r="L508">
        <f>IF(tblCalculo[[#This Row],[STATUS]]="ALÇADA",tblCalculo[[#This Row],[VALOR_TOTAL]],"")</f>
        <v>17899.86</v>
      </c>
      <c r="M508" t="str">
        <f>IF(tblCalculo[[#This Row],[STATUS]]="EM ANÁLISE",tblCalculo[[#This Row],[VALOR_TOTAL]],"")</f>
        <v/>
      </c>
      <c r="N508" t="str">
        <f>IF(tblCalculo[[#This Row],[STATUS]]="TRAMITANDO",tblCalculo[[#This Row],[VALOR_TOTAL]],"")</f>
        <v/>
      </c>
      <c r="O508" t="str">
        <f>IF(tblCalculo[[#This Row],[STATUS]]="PERDIDO",tblCalculo[[#This Row],[VALOR_TOTAL]],"")</f>
        <v/>
      </c>
      <c r="P508" t="str">
        <f>IF(tblCalculo[[#This Row],[STATUS]]="CONCLUÍDO",tblCalculo[[#This Row],[VALOR_TOTAL]],"")</f>
        <v/>
      </c>
    </row>
    <row r="509" spans="1:16" x14ac:dyDescent="0.25">
      <c r="A509" t="str">
        <f>tblVendas[[#This Row],[NR_SIMULACAO]]</f>
        <v>SIM1499</v>
      </c>
      <c r="B509" s="34" t="str">
        <f>_xlfn.XLOOKUP(A509,tblVendas[[#This Row],[NR_SIMULACAO]],tblVendas[[#This Row],[NR_CNPJ]],"")</f>
        <v>48.218.313/0001-64</v>
      </c>
      <c r="C509" t="str">
        <f>_xlfn.XLOOKUP(A509,tblVendas[[#This Row],[NR_SIMULACAO]],tblVendas[[#This Row],[STATUS]],"")</f>
        <v>PERDIDO</v>
      </c>
      <c r="D509" t="str">
        <f>_xlfn.XLOOKUP(A509,tblVendas[[#This Row],[NR_SIMULACAO]],tblVendas[[#This Row],[MES]],"")</f>
        <v>Junho</v>
      </c>
      <c r="E509">
        <f>SUM(_xlfn.XLOOKUP(tblCalculo[[#This Row],[NR_SIMULACAO]],tblVendas[[#This Row],[NR_SIMULACAO]],tblVendas[[#This Row],[VALOR_MOVEL]],""):_xlfn.XLOOKUP(tblCalculo[[#This Row],[NR_SIMULACAO]],tblVendas[[#This Row],[NR_SIMULACAO]],tblVendas[[#This Row],[VALOR_APARELHO]],""))</f>
        <v>12177.42</v>
      </c>
      <c r="F509">
        <f>IF(tblCalculo[[#This Row],[STATUS]]="CONCLUÍDO",_xlfn.XLOOKUP(tblCalculo[[#This Row],[NR_SIMULACAO]],tblVendas[[#This Row],[NR_SIMULACAO]],tblVendas[[#This Row],[VALOR_MOVEL]],""),0)</f>
        <v>0</v>
      </c>
      <c r="G509">
        <f>IF(tblCalculo[[#This Row],[STATUS]]="CONCLUÍDO",_xlfn.XLOOKUP(tblCalculo[[#This Row],[NR_SIMULACAO]],tblVendas[[#This Row],[NR_SIMULACAO]],tblVendas[[#This Row],[VALOR_AVANCADO]],""),0)</f>
        <v>0</v>
      </c>
      <c r="H509">
        <f>IF(tblCalculo[[#This Row],[STATUS]]="CONCLUÍDO",_xlfn.XLOOKUP(tblCalculo[[#This Row],[NR_SIMULACAO]],tblVendas[[#This Row],[NR_SIMULACAO]],tblVendas[[#This Row],[VALOR_FIXABASICA]],""),0)</f>
        <v>0</v>
      </c>
      <c r="I509">
        <f>IF(tblCalculo[[#This Row],[STATUS]]="CONCLUÍDO",_xlfn.XLOOKUP(tblCalculo[[#This Row],[NR_SIMULACAO]],tblVendas[[#This Row],[NR_SIMULACAO]],tblVendas[[#This Row],[VALOR_TI]],""),0)</f>
        <v>0</v>
      </c>
      <c r="J509">
        <f>IF(tblCalculo[[#This Row],[STATUS]]="CONCLUÍDO",_xlfn.XLOOKUP(tblCalculo[[#This Row],[NR_SIMULACAO]],tblVendas[[#This Row],[NR_SIMULACAO]],tblVendas[[#This Row],[VALOR_APARELHO]],""),0)</f>
        <v>0</v>
      </c>
      <c r="K509" t="str">
        <f>IF(tblCalculo[[#This Row],[STATUS]]="NEGOCIANDO",tblCalculo[[#This Row],[VALOR_TOTAL]],"")</f>
        <v/>
      </c>
      <c r="L509" t="str">
        <f>IF(tblCalculo[[#This Row],[STATUS]]="ALÇADA",tblCalculo[[#This Row],[VALOR_TOTAL]],"")</f>
        <v/>
      </c>
      <c r="M509" t="str">
        <f>IF(tblCalculo[[#This Row],[STATUS]]="EM ANÁLISE",tblCalculo[[#This Row],[VALOR_TOTAL]],"")</f>
        <v/>
      </c>
      <c r="N509" t="str">
        <f>IF(tblCalculo[[#This Row],[STATUS]]="TRAMITANDO",tblCalculo[[#This Row],[VALOR_TOTAL]],"")</f>
        <v/>
      </c>
      <c r="O509">
        <f>IF(tblCalculo[[#This Row],[STATUS]]="PERDIDO",tblCalculo[[#This Row],[VALOR_TOTAL]],"")</f>
        <v>12177.42</v>
      </c>
      <c r="P509" t="str">
        <f>IF(tblCalculo[[#This Row],[STATUS]]="CONCLUÍDO",tblCalculo[[#This Row],[VALOR_TOTAL]],"")</f>
        <v/>
      </c>
    </row>
    <row r="510" spans="1:16" x14ac:dyDescent="0.25">
      <c r="A510" t="str">
        <f>tblVendas[[#This Row],[NR_SIMULACAO]]</f>
        <v>SIM1500</v>
      </c>
      <c r="B510" s="34" t="str">
        <f>_xlfn.XLOOKUP(A510,tblVendas[[#This Row],[NR_SIMULACAO]],tblVendas[[#This Row],[NR_CNPJ]],"")</f>
        <v>35.322.867/0001-46</v>
      </c>
      <c r="C510" t="str">
        <f>_xlfn.XLOOKUP(A510,tblVendas[[#This Row],[NR_SIMULACAO]],tblVendas[[#This Row],[STATUS]],"")</f>
        <v>CONCLUÍDO</v>
      </c>
      <c r="D510" t="str">
        <f>_xlfn.XLOOKUP(A510,tblVendas[[#This Row],[NR_SIMULACAO]],tblVendas[[#This Row],[MES]],"")</f>
        <v>Maio</v>
      </c>
      <c r="E510">
        <f>SUM(_xlfn.XLOOKUP(tblCalculo[[#This Row],[NR_SIMULACAO]],tblVendas[[#This Row],[NR_SIMULACAO]],tblVendas[[#This Row],[VALOR_MOVEL]],""):_xlfn.XLOOKUP(tblCalculo[[#This Row],[NR_SIMULACAO]],tblVendas[[#This Row],[NR_SIMULACAO]],tblVendas[[#This Row],[VALOR_APARELHO]],""))</f>
        <v>15911.38</v>
      </c>
      <c r="F510">
        <f>IF(tblCalculo[[#This Row],[STATUS]]="CONCLUÍDO",_xlfn.XLOOKUP(tblCalculo[[#This Row],[NR_SIMULACAO]],tblVendas[[#This Row],[NR_SIMULACAO]],tblVendas[[#This Row],[VALOR_MOVEL]],""),0)</f>
        <v>7925.98</v>
      </c>
      <c r="G510">
        <f>IF(tblCalculo[[#This Row],[STATUS]]="CONCLUÍDO",_xlfn.XLOOKUP(tblCalculo[[#This Row],[NR_SIMULACAO]],tblVendas[[#This Row],[NR_SIMULACAO]],tblVendas[[#This Row],[VALOR_AVANCADO]],""),0)</f>
        <v>0</v>
      </c>
      <c r="H510">
        <f>IF(tblCalculo[[#This Row],[STATUS]]="CONCLUÍDO",_xlfn.XLOOKUP(tblCalculo[[#This Row],[NR_SIMULACAO]],tblVendas[[#This Row],[NR_SIMULACAO]],tblVendas[[#This Row],[VALOR_FIXABASICA]],""),0)</f>
        <v>0</v>
      </c>
      <c r="I510">
        <f>IF(tblCalculo[[#This Row],[STATUS]]="CONCLUÍDO",_xlfn.XLOOKUP(tblCalculo[[#This Row],[NR_SIMULACAO]],tblVendas[[#This Row],[NR_SIMULACAO]],tblVendas[[#This Row],[VALOR_TI]],""),0)</f>
        <v>7985.4</v>
      </c>
      <c r="J510">
        <f>IF(tblCalculo[[#This Row],[STATUS]]="CONCLUÍDO",_xlfn.XLOOKUP(tblCalculo[[#This Row],[NR_SIMULACAO]],tblVendas[[#This Row],[NR_SIMULACAO]],tblVendas[[#This Row],[VALOR_APARELHO]],""),0)</f>
        <v>0</v>
      </c>
      <c r="K510" t="str">
        <f>IF(tblCalculo[[#This Row],[STATUS]]="NEGOCIANDO",tblCalculo[[#This Row],[VALOR_TOTAL]],"")</f>
        <v/>
      </c>
      <c r="L510" t="str">
        <f>IF(tblCalculo[[#This Row],[STATUS]]="ALÇADA",tblCalculo[[#This Row],[VALOR_TOTAL]],"")</f>
        <v/>
      </c>
      <c r="M510" t="str">
        <f>IF(tblCalculo[[#This Row],[STATUS]]="EM ANÁLISE",tblCalculo[[#This Row],[VALOR_TOTAL]],"")</f>
        <v/>
      </c>
      <c r="N510" t="str">
        <f>IF(tblCalculo[[#This Row],[STATUS]]="TRAMITANDO",tblCalculo[[#This Row],[VALOR_TOTAL]],"")</f>
        <v/>
      </c>
      <c r="O510" t="str">
        <f>IF(tblCalculo[[#This Row],[STATUS]]="PERDIDO",tblCalculo[[#This Row],[VALOR_TOTAL]],"")</f>
        <v/>
      </c>
      <c r="P510">
        <f>IF(tblCalculo[[#This Row],[STATUS]]="CONCLUÍDO",tblCalculo[[#This Row],[VALOR_TOTAL]],"")</f>
        <v>15911.38</v>
      </c>
    </row>
    <row r="511" spans="1:16" x14ac:dyDescent="0.25">
      <c r="A511" t="str">
        <f>tblVendas[[#This Row],[NR_SIMULACAO]]</f>
        <v>SIM1501</v>
      </c>
      <c r="B511" s="34" t="str">
        <f>_xlfn.XLOOKUP(A511,tblVendas[[#This Row],[NR_SIMULACAO]],tblVendas[[#This Row],[NR_CNPJ]],"")</f>
        <v>77.982.652/0001-48</v>
      </c>
      <c r="C511" t="str">
        <f>_xlfn.XLOOKUP(A511,tblVendas[[#This Row],[NR_SIMULACAO]],tblVendas[[#This Row],[STATUS]],"")</f>
        <v>NEGOCIANDO</v>
      </c>
      <c r="D511" t="str">
        <f>_xlfn.XLOOKUP(A511,tblVendas[[#This Row],[NR_SIMULACAO]],tblVendas[[#This Row],[MES]],"")</f>
        <v>Abril</v>
      </c>
      <c r="E511">
        <f>SUM(_xlfn.XLOOKUP(tblCalculo[[#This Row],[NR_SIMULACAO]],tblVendas[[#This Row],[NR_SIMULACAO]],tblVendas[[#This Row],[VALOR_MOVEL]],""):_xlfn.XLOOKUP(tblCalculo[[#This Row],[NR_SIMULACAO]],tblVendas[[#This Row],[NR_SIMULACAO]],tblVendas[[#This Row],[VALOR_APARELHO]],""))</f>
        <v>21822.86</v>
      </c>
      <c r="F511">
        <f>IF(tblCalculo[[#This Row],[STATUS]]="CONCLUÍDO",_xlfn.XLOOKUP(tblCalculo[[#This Row],[NR_SIMULACAO]],tblVendas[[#This Row],[NR_SIMULACAO]],tblVendas[[#This Row],[VALOR_MOVEL]],""),0)</f>
        <v>0</v>
      </c>
      <c r="G511">
        <f>IF(tblCalculo[[#This Row],[STATUS]]="CONCLUÍDO",_xlfn.XLOOKUP(tblCalculo[[#This Row],[NR_SIMULACAO]],tblVendas[[#This Row],[NR_SIMULACAO]],tblVendas[[#This Row],[VALOR_AVANCADO]],""),0)</f>
        <v>0</v>
      </c>
      <c r="H511">
        <f>IF(tblCalculo[[#This Row],[STATUS]]="CONCLUÍDO",_xlfn.XLOOKUP(tblCalculo[[#This Row],[NR_SIMULACAO]],tblVendas[[#This Row],[NR_SIMULACAO]],tblVendas[[#This Row],[VALOR_FIXABASICA]],""),0)</f>
        <v>0</v>
      </c>
      <c r="I511">
        <f>IF(tblCalculo[[#This Row],[STATUS]]="CONCLUÍDO",_xlfn.XLOOKUP(tblCalculo[[#This Row],[NR_SIMULACAO]],tblVendas[[#This Row],[NR_SIMULACAO]],tblVendas[[#This Row],[VALOR_TI]],""),0)</f>
        <v>0</v>
      </c>
      <c r="J511">
        <f>IF(tblCalculo[[#This Row],[STATUS]]="CONCLUÍDO",_xlfn.XLOOKUP(tblCalculo[[#This Row],[NR_SIMULACAO]],tblVendas[[#This Row],[NR_SIMULACAO]],tblVendas[[#This Row],[VALOR_APARELHO]],""),0)</f>
        <v>0</v>
      </c>
      <c r="K511">
        <f>IF(tblCalculo[[#This Row],[STATUS]]="NEGOCIANDO",tblCalculo[[#This Row],[VALOR_TOTAL]],"")</f>
        <v>21822.86</v>
      </c>
      <c r="L511" t="str">
        <f>IF(tblCalculo[[#This Row],[STATUS]]="ALÇADA",tblCalculo[[#This Row],[VALOR_TOTAL]],"")</f>
        <v/>
      </c>
      <c r="M511" t="str">
        <f>IF(tblCalculo[[#This Row],[STATUS]]="EM ANÁLISE",tblCalculo[[#This Row],[VALOR_TOTAL]],"")</f>
        <v/>
      </c>
      <c r="N511" t="str">
        <f>IF(tblCalculo[[#This Row],[STATUS]]="TRAMITANDO",tblCalculo[[#This Row],[VALOR_TOTAL]],"")</f>
        <v/>
      </c>
      <c r="O511" t="str">
        <f>IF(tblCalculo[[#This Row],[STATUS]]="PERDIDO",tblCalculo[[#This Row],[VALOR_TOTAL]],"")</f>
        <v/>
      </c>
      <c r="P511" t="str">
        <f>IF(tblCalculo[[#This Row],[STATUS]]="CONCLUÍDO",tblCalculo[[#This Row],[VALOR_TOTAL]],"")</f>
        <v/>
      </c>
    </row>
    <row r="512" spans="1:16" x14ac:dyDescent="0.25">
      <c r="A512" t="str">
        <f>tblVendas[[#This Row],[NR_SIMULACAO]]</f>
        <v>SIM1502</v>
      </c>
      <c r="B512" s="34" t="str">
        <f>_xlfn.XLOOKUP(A512,tblVendas[[#This Row],[NR_SIMULACAO]],tblVendas[[#This Row],[NR_CNPJ]],"")</f>
        <v>71.752.914/0001-57</v>
      </c>
      <c r="C512" t="str">
        <f>_xlfn.XLOOKUP(A512,tblVendas[[#This Row],[NR_SIMULACAO]],tblVendas[[#This Row],[STATUS]],"")</f>
        <v>PERDIDO</v>
      </c>
      <c r="D512" t="str">
        <f>_xlfn.XLOOKUP(A512,tblVendas[[#This Row],[NR_SIMULACAO]],tblVendas[[#This Row],[MES]],"")</f>
        <v>Abril</v>
      </c>
      <c r="E512">
        <f>SUM(_xlfn.XLOOKUP(tblCalculo[[#This Row],[NR_SIMULACAO]],tblVendas[[#This Row],[NR_SIMULACAO]],tblVendas[[#This Row],[VALOR_MOVEL]],""):_xlfn.XLOOKUP(tblCalculo[[#This Row],[NR_SIMULACAO]],tblVendas[[#This Row],[NR_SIMULACAO]],tblVendas[[#This Row],[VALOR_APARELHO]],""))</f>
        <v>8177.8000000000011</v>
      </c>
      <c r="F512">
        <f>IF(tblCalculo[[#This Row],[STATUS]]="CONCLUÍDO",_xlfn.XLOOKUP(tblCalculo[[#This Row],[NR_SIMULACAO]],tblVendas[[#This Row],[NR_SIMULACAO]],tblVendas[[#This Row],[VALOR_MOVEL]],""),0)</f>
        <v>0</v>
      </c>
      <c r="G512">
        <f>IF(tblCalculo[[#This Row],[STATUS]]="CONCLUÍDO",_xlfn.XLOOKUP(tblCalculo[[#This Row],[NR_SIMULACAO]],tblVendas[[#This Row],[NR_SIMULACAO]],tblVendas[[#This Row],[VALOR_AVANCADO]],""),0)</f>
        <v>0</v>
      </c>
      <c r="H512">
        <f>IF(tblCalculo[[#This Row],[STATUS]]="CONCLUÍDO",_xlfn.XLOOKUP(tblCalculo[[#This Row],[NR_SIMULACAO]],tblVendas[[#This Row],[NR_SIMULACAO]],tblVendas[[#This Row],[VALOR_FIXABASICA]],""),0)</f>
        <v>0</v>
      </c>
      <c r="I512">
        <f>IF(tblCalculo[[#This Row],[STATUS]]="CONCLUÍDO",_xlfn.XLOOKUP(tblCalculo[[#This Row],[NR_SIMULACAO]],tblVendas[[#This Row],[NR_SIMULACAO]],tblVendas[[#This Row],[VALOR_TI]],""),0)</f>
        <v>0</v>
      </c>
      <c r="J512">
        <f>IF(tblCalculo[[#This Row],[STATUS]]="CONCLUÍDO",_xlfn.XLOOKUP(tblCalculo[[#This Row],[NR_SIMULACAO]],tblVendas[[#This Row],[NR_SIMULACAO]],tblVendas[[#This Row],[VALOR_APARELHO]],""),0)</f>
        <v>0</v>
      </c>
      <c r="K512" t="str">
        <f>IF(tblCalculo[[#This Row],[STATUS]]="NEGOCIANDO",tblCalculo[[#This Row],[VALOR_TOTAL]],"")</f>
        <v/>
      </c>
      <c r="L512" t="str">
        <f>IF(tblCalculo[[#This Row],[STATUS]]="ALÇADA",tblCalculo[[#This Row],[VALOR_TOTAL]],"")</f>
        <v/>
      </c>
      <c r="M512" t="str">
        <f>IF(tblCalculo[[#This Row],[STATUS]]="EM ANÁLISE",tblCalculo[[#This Row],[VALOR_TOTAL]],"")</f>
        <v/>
      </c>
      <c r="N512" t="str">
        <f>IF(tblCalculo[[#This Row],[STATUS]]="TRAMITANDO",tblCalculo[[#This Row],[VALOR_TOTAL]],"")</f>
        <v/>
      </c>
      <c r="O512">
        <f>IF(tblCalculo[[#This Row],[STATUS]]="PERDIDO",tblCalculo[[#This Row],[VALOR_TOTAL]],"")</f>
        <v>8177.8000000000011</v>
      </c>
      <c r="P512" t="str">
        <f>IF(tblCalculo[[#This Row],[STATUS]]="CONCLUÍDO",tblCalculo[[#This Row],[VALOR_TOTAL]],"")</f>
        <v/>
      </c>
    </row>
    <row r="513" spans="1:16" x14ac:dyDescent="0.25">
      <c r="A513" t="str">
        <f>tblVendas[[#This Row],[NR_SIMULACAO]]</f>
        <v>SIM1503</v>
      </c>
      <c r="B513" s="34" t="str">
        <f>_xlfn.XLOOKUP(A513,tblVendas[[#This Row],[NR_SIMULACAO]],tblVendas[[#This Row],[NR_CNPJ]],"")</f>
        <v>65.575.291/0001-92</v>
      </c>
      <c r="C513" t="str">
        <f>_xlfn.XLOOKUP(A513,tblVendas[[#This Row],[NR_SIMULACAO]],tblVendas[[#This Row],[STATUS]],"")</f>
        <v>NEGOCIANDO</v>
      </c>
      <c r="D513" t="str">
        <f>_xlfn.XLOOKUP(A513,tblVendas[[#This Row],[NR_SIMULACAO]],tblVendas[[#This Row],[MES]],"")</f>
        <v>Outubro</v>
      </c>
      <c r="E513">
        <f>SUM(_xlfn.XLOOKUP(tblCalculo[[#This Row],[NR_SIMULACAO]],tblVendas[[#This Row],[NR_SIMULACAO]],tblVendas[[#This Row],[VALOR_MOVEL]],""):_xlfn.XLOOKUP(tblCalculo[[#This Row],[NR_SIMULACAO]],tblVendas[[#This Row],[NR_SIMULACAO]],tblVendas[[#This Row],[VALOR_APARELHO]],""))</f>
        <v>11549.42</v>
      </c>
      <c r="F513">
        <f>IF(tblCalculo[[#This Row],[STATUS]]="CONCLUÍDO",_xlfn.XLOOKUP(tblCalculo[[#This Row],[NR_SIMULACAO]],tblVendas[[#This Row],[NR_SIMULACAO]],tblVendas[[#This Row],[VALOR_MOVEL]],""),0)</f>
        <v>0</v>
      </c>
      <c r="G513">
        <f>IF(tblCalculo[[#This Row],[STATUS]]="CONCLUÍDO",_xlfn.XLOOKUP(tblCalculo[[#This Row],[NR_SIMULACAO]],tblVendas[[#This Row],[NR_SIMULACAO]],tblVendas[[#This Row],[VALOR_AVANCADO]],""),0)</f>
        <v>0</v>
      </c>
      <c r="H513">
        <f>IF(tblCalculo[[#This Row],[STATUS]]="CONCLUÍDO",_xlfn.XLOOKUP(tblCalculo[[#This Row],[NR_SIMULACAO]],tblVendas[[#This Row],[NR_SIMULACAO]],tblVendas[[#This Row],[VALOR_FIXABASICA]],""),0)</f>
        <v>0</v>
      </c>
      <c r="I513">
        <f>IF(tblCalculo[[#This Row],[STATUS]]="CONCLUÍDO",_xlfn.XLOOKUP(tblCalculo[[#This Row],[NR_SIMULACAO]],tblVendas[[#This Row],[NR_SIMULACAO]],tblVendas[[#This Row],[VALOR_TI]],""),0)</f>
        <v>0</v>
      </c>
      <c r="J513">
        <f>IF(tblCalculo[[#This Row],[STATUS]]="CONCLUÍDO",_xlfn.XLOOKUP(tblCalculo[[#This Row],[NR_SIMULACAO]],tblVendas[[#This Row],[NR_SIMULACAO]],tblVendas[[#This Row],[VALOR_APARELHO]],""),0)</f>
        <v>0</v>
      </c>
      <c r="K513">
        <f>IF(tblCalculo[[#This Row],[STATUS]]="NEGOCIANDO",tblCalculo[[#This Row],[VALOR_TOTAL]],"")</f>
        <v>11549.42</v>
      </c>
      <c r="L513" t="str">
        <f>IF(tblCalculo[[#This Row],[STATUS]]="ALÇADA",tblCalculo[[#This Row],[VALOR_TOTAL]],"")</f>
        <v/>
      </c>
      <c r="M513" t="str">
        <f>IF(tblCalculo[[#This Row],[STATUS]]="EM ANÁLISE",tblCalculo[[#This Row],[VALOR_TOTAL]],"")</f>
        <v/>
      </c>
      <c r="N513" t="str">
        <f>IF(tblCalculo[[#This Row],[STATUS]]="TRAMITANDO",tblCalculo[[#This Row],[VALOR_TOTAL]],"")</f>
        <v/>
      </c>
      <c r="O513" t="str">
        <f>IF(tblCalculo[[#This Row],[STATUS]]="PERDIDO",tblCalculo[[#This Row],[VALOR_TOTAL]],"")</f>
        <v/>
      </c>
      <c r="P513" t="str">
        <f>IF(tblCalculo[[#This Row],[STATUS]]="CONCLUÍDO",tblCalculo[[#This Row],[VALOR_TOTAL]],"")</f>
        <v/>
      </c>
    </row>
    <row r="514" spans="1:16" x14ac:dyDescent="0.25">
      <c r="A514" t="str">
        <f>tblVendas[[#This Row],[NR_SIMULACAO]]</f>
        <v>SIM1504</v>
      </c>
      <c r="B514" s="34" t="str">
        <f>_xlfn.XLOOKUP(A514,tblVendas[[#This Row],[NR_SIMULACAO]],tblVendas[[#This Row],[NR_CNPJ]],"")</f>
        <v>10.729.637/0001-73</v>
      </c>
      <c r="C514" t="str">
        <f>_xlfn.XLOOKUP(A514,tblVendas[[#This Row],[NR_SIMULACAO]],tblVendas[[#This Row],[STATUS]],"")</f>
        <v>CONCLUÍDO</v>
      </c>
      <c r="D514" t="str">
        <f>_xlfn.XLOOKUP(A514,tblVendas[[#This Row],[NR_SIMULACAO]],tblVendas[[#This Row],[MES]],"")</f>
        <v>Dezembro</v>
      </c>
      <c r="E514">
        <f>SUM(_xlfn.XLOOKUP(tblCalculo[[#This Row],[NR_SIMULACAO]],tblVendas[[#This Row],[NR_SIMULACAO]],tblVendas[[#This Row],[VALOR_MOVEL]],""):_xlfn.XLOOKUP(tblCalculo[[#This Row],[NR_SIMULACAO]],tblVendas[[#This Row],[NR_SIMULACAO]],tblVendas[[#This Row],[VALOR_APARELHO]],""))</f>
        <v>5713.7599999999993</v>
      </c>
      <c r="F514">
        <f>IF(tblCalculo[[#This Row],[STATUS]]="CONCLUÍDO",_xlfn.XLOOKUP(tblCalculo[[#This Row],[NR_SIMULACAO]],tblVendas[[#This Row],[NR_SIMULACAO]],tblVendas[[#This Row],[VALOR_MOVEL]],""),0)</f>
        <v>5378.36</v>
      </c>
      <c r="G514">
        <f>IF(tblCalculo[[#This Row],[STATUS]]="CONCLUÍDO",_xlfn.XLOOKUP(tblCalculo[[#This Row],[NR_SIMULACAO]],tblVendas[[#This Row],[NR_SIMULACAO]],tblVendas[[#This Row],[VALOR_AVANCADO]],""),0)</f>
        <v>0</v>
      </c>
      <c r="H514">
        <f>IF(tblCalculo[[#This Row],[STATUS]]="CONCLUÍDO",_xlfn.XLOOKUP(tblCalculo[[#This Row],[NR_SIMULACAO]],tblVendas[[#This Row],[NR_SIMULACAO]],tblVendas[[#This Row],[VALOR_FIXABASICA]],""),0)</f>
        <v>335.4</v>
      </c>
      <c r="I514">
        <f>IF(tblCalculo[[#This Row],[STATUS]]="CONCLUÍDO",_xlfn.XLOOKUP(tblCalculo[[#This Row],[NR_SIMULACAO]],tblVendas[[#This Row],[NR_SIMULACAO]],tblVendas[[#This Row],[VALOR_TI]],""),0)</f>
        <v>0</v>
      </c>
      <c r="J514">
        <f>IF(tblCalculo[[#This Row],[STATUS]]="CONCLUÍDO",_xlfn.XLOOKUP(tblCalculo[[#This Row],[NR_SIMULACAO]],tblVendas[[#This Row],[NR_SIMULACAO]],tblVendas[[#This Row],[VALOR_APARELHO]],""),0)</f>
        <v>0</v>
      </c>
      <c r="K514" t="str">
        <f>IF(tblCalculo[[#This Row],[STATUS]]="NEGOCIANDO",tblCalculo[[#This Row],[VALOR_TOTAL]],"")</f>
        <v/>
      </c>
      <c r="L514" t="str">
        <f>IF(tblCalculo[[#This Row],[STATUS]]="ALÇADA",tblCalculo[[#This Row],[VALOR_TOTAL]],"")</f>
        <v/>
      </c>
      <c r="M514" t="str">
        <f>IF(tblCalculo[[#This Row],[STATUS]]="EM ANÁLISE",tblCalculo[[#This Row],[VALOR_TOTAL]],"")</f>
        <v/>
      </c>
      <c r="N514" t="str">
        <f>IF(tblCalculo[[#This Row],[STATUS]]="TRAMITANDO",tblCalculo[[#This Row],[VALOR_TOTAL]],"")</f>
        <v/>
      </c>
      <c r="O514" t="str">
        <f>IF(tblCalculo[[#This Row],[STATUS]]="PERDIDO",tblCalculo[[#This Row],[VALOR_TOTAL]],"")</f>
        <v/>
      </c>
      <c r="P514">
        <f>IF(tblCalculo[[#This Row],[STATUS]]="CONCLUÍDO",tblCalculo[[#This Row],[VALOR_TOTAL]],"")</f>
        <v>5713.7599999999993</v>
      </c>
    </row>
    <row r="515" spans="1:16" x14ac:dyDescent="0.25">
      <c r="A515" t="str">
        <f>tblVendas[[#This Row],[NR_SIMULACAO]]</f>
        <v>SIM1505</v>
      </c>
      <c r="B515" s="34" t="str">
        <f>_xlfn.XLOOKUP(A515,tblVendas[[#This Row],[NR_SIMULACAO]],tblVendas[[#This Row],[NR_CNPJ]],"")</f>
        <v>45.973.953/0001-93</v>
      </c>
      <c r="C515" t="str">
        <f>_xlfn.XLOOKUP(A515,tblVendas[[#This Row],[NR_SIMULACAO]],tblVendas[[#This Row],[STATUS]],"")</f>
        <v>EM ANÁLISE</v>
      </c>
      <c r="D515" t="str">
        <f>_xlfn.XLOOKUP(A515,tblVendas[[#This Row],[NR_SIMULACAO]],tblVendas[[#This Row],[MES]],"")</f>
        <v>Dezembro</v>
      </c>
      <c r="E515">
        <f>SUM(_xlfn.XLOOKUP(tblCalculo[[#This Row],[NR_SIMULACAO]],tblVendas[[#This Row],[NR_SIMULACAO]],tblVendas[[#This Row],[VALOR_MOVEL]],""):_xlfn.XLOOKUP(tblCalculo[[#This Row],[NR_SIMULACAO]],tblVendas[[#This Row],[NR_SIMULACAO]],tblVendas[[#This Row],[VALOR_APARELHO]],""))</f>
        <v>17994.560000000001</v>
      </c>
      <c r="F515">
        <f>IF(tblCalculo[[#This Row],[STATUS]]="CONCLUÍDO",_xlfn.XLOOKUP(tblCalculo[[#This Row],[NR_SIMULACAO]],tblVendas[[#This Row],[NR_SIMULACAO]],tblVendas[[#This Row],[VALOR_MOVEL]],""),0)</f>
        <v>0</v>
      </c>
      <c r="G515">
        <f>IF(tblCalculo[[#This Row],[STATUS]]="CONCLUÍDO",_xlfn.XLOOKUP(tblCalculo[[#This Row],[NR_SIMULACAO]],tblVendas[[#This Row],[NR_SIMULACAO]],tblVendas[[#This Row],[VALOR_AVANCADO]],""),0)</f>
        <v>0</v>
      </c>
      <c r="H515">
        <f>IF(tblCalculo[[#This Row],[STATUS]]="CONCLUÍDO",_xlfn.XLOOKUP(tblCalculo[[#This Row],[NR_SIMULACAO]],tblVendas[[#This Row],[NR_SIMULACAO]],tblVendas[[#This Row],[VALOR_FIXABASICA]],""),0)</f>
        <v>0</v>
      </c>
      <c r="I515">
        <f>IF(tblCalculo[[#This Row],[STATUS]]="CONCLUÍDO",_xlfn.XLOOKUP(tblCalculo[[#This Row],[NR_SIMULACAO]],tblVendas[[#This Row],[NR_SIMULACAO]],tblVendas[[#This Row],[VALOR_TI]],""),0)</f>
        <v>0</v>
      </c>
      <c r="J515">
        <f>IF(tblCalculo[[#This Row],[STATUS]]="CONCLUÍDO",_xlfn.XLOOKUP(tblCalculo[[#This Row],[NR_SIMULACAO]],tblVendas[[#This Row],[NR_SIMULACAO]],tblVendas[[#This Row],[VALOR_APARELHO]],""),0)</f>
        <v>0</v>
      </c>
      <c r="K515" t="str">
        <f>IF(tblCalculo[[#This Row],[STATUS]]="NEGOCIANDO",tblCalculo[[#This Row],[VALOR_TOTAL]],"")</f>
        <v/>
      </c>
      <c r="L515" t="str">
        <f>IF(tblCalculo[[#This Row],[STATUS]]="ALÇADA",tblCalculo[[#This Row],[VALOR_TOTAL]],"")</f>
        <v/>
      </c>
      <c r="M515">
        <f>IF(tblCalculo[[#This Row],[STATUS]]="EM ANÁLISE",tblCalculo[[#This Row],[VALOR_TOTAL]],"")</f>
        <v>17994.560000000001</v>
      </c>
      <c r="N515" t="str">
        <f>IF(tblCalculo[[#This Row],[STATUS]]="TRAMITANDO",tblCalculo[[#This Row],[VALOR_TOTAL]],"")</f>
        <v/>
      </c>
      <c r="O515" t="str">
        <f>IF(tblCalculo[[#This Row],[STATUS]]="PERDIDO",tblCalculo[[#This Row],[VALOR_TOTAL]],"")</f>
        <v/>
      </c>
      <c r="P515" t="str">
        <f>IF(tblCalculo[[#This Row],[STATUS]]="CONCLUÍDO",tblCalculo[[#This Row],[VALOR_TOTAL]],"")</f>
        <v/>
      </c>
    </row>
    <row r="516" spans="1:16" x14ac:dyDescent="0.25">
      <c r="A516" t="str">
        <f>tblVendas[[#This Row],[NR_SIMULACAO]]</f>
        <v>SIM1506</v>
      </c>
      <c r="B516" s="34" t="str">
        <f>_xlfn.XLOOKUP(A516,tblVendas[[#This Row],[NR_SIMULACAO]],tblVendas[[#This Row],[NR_CNPJ]],"")</f>
        <v>82.345.519/0001-61</v>
      </c>
      <c r="C516" t="str">
        <f>_xlfn.XLOOKUP(A516,tblVendas[[#This Row],[NR_SIMULACAO]],tblVendas[[#This Row],[STATUS]],"")</f>
        <v>TRAMITANDO</v>
      </c>
      <c r="D516" t="str">
        <f>_xlfn.XLOOKUP(A516,tblVendas[[#This Row],[NR_SIMULACAO]],tblVendas[[#This Row],[MES]],"")</f>
        <v>Março</v>
      </c>
      <c r="E516">
        <f>SUM(_xlfn.XLOOKUP(tblCalculo[[#This Row],[NR_SIMULACAO]],tblVendas[[#This Row],[NR_SIMULACAO]],tblVendas[[#This Row],[VALOR_MOVEL]],""):_xlfn.XLOOKUP(tblCalculo[[#This Row],[NR_SIMULACAO]],tblVendas[[#This Row],[NR_SIMULACAO]],tblVendas[[#This Row],[VALOR_APARELHO]],""))</f>
        <v>11318.3</v>
      </c>
      <c r="F516">
        <f>IF(tblCalculo[[#This Row],[STATUS]]="CONCLUÍDO",_xlfn.XLOOKUP(tblCalculo[[#This Row],[NR_SIMULACAO]],tblVendas[[#This Row],[NR_SIMULACAO]],tblVendas[[#This Row],[VALOR_MOVEL]],""),0)</f>
        <v>0</v>
      </c>
      <c r="G516">
        <f>IF(tblCalculo[[#This Row],[STATUS]]="CONCLUÍDO",_xlfn.XLOOKUP(tblCalculo[[#This Row],[NR_SIMULACAO]],tblVendas[[#This Row],[NR_SIMULACAO]],tblVendas[[#This Row],[VALOR_AVANCADO]],""),0)</f>
        <v>0</v>
      </c>
      <c r="H516">
        <f>IF(tblCalculo[[#This Row],[STATUS]]="CONCLUÍDO",_xlfn.XLOOKUP(tblCalculo[[#This Row],[NR_SIMULACAO]],tblVendas[[#This Row],[NR_SIMULACAO]],tblVendas[[#This Row],[VALOR_FIXABASICA]],""),0)</f>
        <v>0</v>
      </c>
      <c r="I516">
        <f>IF(tblCalculo[[#This Row],[STATUS]]="CONCLUÍDO",_xlfn.XLOOKUP(tblCalculo[[#This Row],[NR_SIMULACAO]],tblVendas[[#This Row],[NR_SIMULACAO]],tblVendas[[#This Row],[VALOR_TI]],""),0)</f>
        <v>0</v>
      </c>
      <c r="J516">
        <f>IF(tblCalculo[[#This Row],[STATUS]]="CONCLUÍDO",_xlfn.XLOOKUP(tblCalculo[[#This Row],[NR_SIMULACAO]],tblVendas[[#This Row],[NR_SIMULACAO]],tblVendas[[#This Row],[VALOR_APARELHO]],""),0)</f>
        <v>0</v>
      </c>
      <c r="K516" t="str">
        <f>IF(tblCalculo[[#This Row],[STATUS]]="NEGOCIANDO",tblCalculo[[#This Row],[VALOR_TOTAL]],"")</f>
        <v/>
      </c>
      <c r="L516" t="str">
        <f>IF(tblCalculo[[#This Row],[STATUS]]="ALÇADA",tblCalculo[[#This Row],[VALOR_TOTAL]],"")</f>
        <v/>
      </c>
      <c r="M516" t="str">
        <f>IF(tblCalculo[[#This Row],[STATUS]]="EM ANÁLISE",tblCalculo[[#This Row],[VALOR_TOTAL]],"")</f>
        <v/>
      </c>
      <c r="N516">
        <f>IF(tblCalculo[[#This Row],[STATUS]]="TRAMITANDO",tblCalculo[[#This Row],[VALOR_TOTAL]],"")</f>
        <v>11318.3</v>
      </c>
      <c r="O516" t="str">
        <f>IF(tblCalculo[[#This Row],[STATUS]]="PERDIDO",tblCalculo[[#This Row],[VALOR_TOTAL]],"")</f>
        <v/>
      </c>
      <c r="P516" t="str">
        <f>IF(tblCalculo[[#This Row],[STATUS]]="CONCLUÍDO",tblCalculo[[#This Row],[VALOR_TOTAL]],"")</f>
        <v/>
      </c>
    </row>
    <row r="517" spans="1:16" x14ac:dyDescent="0.25">
      <c r="A517" t="str">
        <f>tblVendas[[#This Row],[NR_SIMULACAO]]</f>
        <v>SIM1507</v>
      </c>
      <c r="B517" s="34" t="str">
        <f>_xlfn.XLOOKUP(A517,tblVendas[[#This Row],[NR_SIMULACAO]],tblVendas[[#This Row],[NR_CNPJ]],"")</f>
        <v>33.561.653/0001-74</v>
      </c>
      <c r="C517" t="str">
        <f>_xlfn.XLOOKUP(A517,tblVendas[[#This Row],[NR_SIMULACAO]],tblVendas[[#This Row],[STATUS]],"")</f>
        <v>EM ANÁLISE</v>
      </c>
      <c r="D517" t="str">
        <f>_xlfn.XLOOKUP(A517,tblVendas[[#This Row],[NR_SIMULACAO]],tblVendas[[#This Row],[MES]],"")</f>
        <v>Abril</v>
      </c>
      <c r="E517">
        <f>SUM(_xlfn.XLOOKUP(tblCalculo[[#This Row],[NR_SIMULACAO]],tblVendas[[#This Row],[NR_SIMULACAO]],tblVendas[[#This Row],[VALOR_MOVEL]],""):_xlfn.XLOOKUP(tblCalculo[[#This Row],[NR_SIMULACAO]],tblVendas[[#This Row],[NR_SIMULACAO]],tblVendas[[#This Row],[VALOR_APARELHO]],""))</f>
        <v>7874.07</v>
      </c>
      <c r="F517">
        <f>IF(tblCalculo[[#This Row],[STATUS]]="CONCLUÍDO",_xlfn.XLOOKUP(tblCalculo[[#This Row],[NR_SIMULACAO]],tblVendas[[#This Row],[NR_SIMULACAO]],tblVendas[[#This Row],[VALOR_MOVEL]],""),0)</f>
        <v>0</v>
      </c>
      <c r="G517">
        <f>IF(tblCalculo[[#This Row],[STATUS]]="CONCLUÍDO",_xlfn.XLOOKUP(tblCalculo[[#This Row],[NR_SIMULACAO]],tblVendas[[#This Row],[NR_SIMULACAO]],tblVendas[[#This Row],[VALOR_AVANCADO]],""),0)</f>
        <v>0</v>
      </c>
      <c r="H517">
        <f>IF(tblCalculo[[#This Row],[STATUS]]="CONCLUÍDO",_xlfn.XLOOKUP(tblCalculo[[#This Row],[NR_SIMULACAO]],tblVendas[[#This Row],[NR_SIMULACAO]],tblVendas[[#This Row],[VALOR_FIXABASICA]],""),0)</f>
        <v>0</v>
      </c>
      <c r="I517">
        <f>IF(tblCalculo[[#This Row],[STATUS]]="CONCLUÍDO",_xlfn.XLOOKUP(tblCalculo[[#This Row],[NR_SIMULACAO]],tblVendas[[#This Row],[NR_SIMULACAO]],tblVendas[[#This Row],[VALOR_TI]],""),0)</f>
        <v>0</v>
      </c>
      <c r="J517">
        <f>IF(tblCalculo[[#This Row],[STATUS]]="CONCLUÍDO",_xlfn.XLOOKUP(tblCalculo[[#This Row],[NR_SIMULACAO]],tblVendas[[#This Row],[NR_SIMULACAO]],tblVendas[[#This Row],[VALOR_APARELHO]],""),0)</f>
        <v>0</v>
      </c>
      <c r="K517" t="str">
        <f>IF(tblCalculo[[#This Row],[STATUS]]="NEGOCIANDO",tblCalculo[[#This Row],[VALOR_TOTAL]],"")</f>
        <v/>
      </c>
      <c r="L517" t="str">
        <f>IF(tblCalculo[[#This Row],[STATUS]]="ALÇADA",tblCalculo[[#This Row],[VALOR_TOTAL]],"")</f>
        <v/>
      </c>
      <c r="M517">
        <f>IF(tblCalculo[[#This Row],[STATUS]]="EM ANÁLISE",tblCalculo[[#This Row],[VALOR_TOTAL]],"")</f>
        <v>7874.07</v>
      </c>
      <c r="N517" t="str">
        <f>IF(tblCalculo[[#This Row],[STATUS]]="TRAMITANDO",tblCalculo[[#This Row],[VALOR_TOTAL]],"")</f>
        <v/>
      </c>
      <c r="O517" t="str">
        <f>IF(tblCalculo[[#This Row],[STATUS]]="PERDIDO",tblCalculo[[#This Row],[VALOR_TOTAL]],"")</f>
        <v/>
      </c>
      <c r="P517" t="str">
        <f>IF(tblCalculo[[#This Row],[STATUS]]="CONCLUÍDO",tblCalculo[[#This Row],[VALOR_TOTAL]],"")</f>
        <v/>
      </c>
    </row>
    <row r="518" spans="1:16" x14ac:dyDescent="0.25">
      <c r="A518" t="str">
        <f>tblVendas[[#This Row],[NR_SIMULACAO]]</f>
        <v>SIM1508</v>
      </c>
      <c r="B518" s="34" t="str">
        <f>_xlfn.XLOOKUP(A518,tblVendas[[#This Row],[NR_SIMULACAO]],tblVendas[[#This Row],[NR_CNPJ]],"")</f>
        <v>99.795.768/0001-41</v>
      </c>
      <c r="C518" t="str">
        <f>_xlfn.XLOOKUP(A518,tblVendas[[#This Row],[NR_SIMULACAO]],tblVendas[[#This Row],[STATUS]],"")</f>
        <v>EM ANÁLISE</v>
      </c>
      <c r="D518" t="str">
        <f>_xlfn.XLOOKUP(A518,tblVendas[[#This Row],[NR_SIMULACAO]],tblVendas[[#This Row],[MES]],"")</f>
        <v>Agosto</v>
      </c>
      <c r="E518">
        <f>SUM(_xlfn.XLOOKUP(tblCalculo[[#This Row],[NR_SIMULACAO]],tblVendas[[#This Row],[NR_SIMULACAO]],tblVendas[[#This Row],[VALOR_MOVEL]],""):_xlfn.XLOOKUP(tblCalculo[[#This Row],[NR_SIMULACAO]],tblVendas[[#This Row],[NR_SIMULACAO]],tblVendas[[#This Row],[VALOR_APARELHO]],""))</f>
        <v>16543.160000000003</v>
      </c>
      <c r="F518">
        <f>IF(tblCalculo[[#This Row],[STATUS]]="CONCLUÍDO",_xlfn.XLOOKUP(tblCalculo[[#This Row],[NR_SIMULACAO]],tblVendas[[#This Row],[NR_SIMULACAO]],tblVendas[[#This Row],[VALOR_MOVEL]],""),0)</f>
        <v>0</v>
      </c>
      <c r="G518">
        <f>IF(tblCalculo[[#This Row],[STATUS]]="CONCLUÍDO",_xlfn.XLOOKUP(tblCalculo[[#This Row],[NR_SIMULACAO]],tblVendas[[#This Row],[NR_SIMULACAO]],tblVendas[[#This Row],[VALOR_AVANCADO]],""),0)</f>
        <v>0</v>
      </c>
      <c r="H518">
        <f>IF(tblCalculo[[#This Row],[STATUS]]="CONCLUÍDO",_xlfn.XLOOKUP(tblCalculo[[#This Row],[NR_SIMULACAO]],tblVendas[[#This Row],[NR_SIMULACAO]],tblVendas[[#This Row],[VALOR_FIXABASICA]],""),0)</f>
        <v>0</v>
      </c>
      <c r="I518">
        <f>IF(tblCalculo[[#This Row],[STATUS]]="CONCLUÍDO",_xlfn.XLOOKUP(tblCalculo[[#This Row],[NR_SIMULACAO]],tblVendas[[#This Row],[NR_SIMULACAO]],tblVendas[[#This Row],[VALOR_TI]],""),0)</f>
        <v>0</v>
      </c>
      <c r="J518">
        <f>IF(tblCalculo[[#This Row],[STATUS]]="CONCLUÍDO",_xlfn.XLOOKUP(tblCalculo[[#This Row],[NR_SIMULACAO]],tblVendas[[#This Row],[NR_SIMULACAO]],tblVendas[[#This Row],[VALOR_APARELHO]],""),0)</f>
        <v>0</v>
      </c>
      <c r="K518" t="str">
        <f>IF(tblCalculo[[#This Row],[STATUS]]="NEGOCIANDO",tblCalculo[[#This Row],[VALOR_TOTAL]],"")</f>
        <v/>
      </c>
      <c r="L518" t="str">
        <f>IF(tblCalculo[[#This Row],[STATUS]]="ALÇADA",tblCalculo[[#This Row],[VALOR_TOTAL]],"")</f>
        <v/>
      </c>
      <c r="M518">
        <f>IF(tblCalculo[[#This Row],[STATUS]]="EM ANÁLISE",tblCalculo[[#This Row],[VALOR_TOTAL]],"")</f>
        <v>16543.160000000003</v>
      </c>
      <c r="N518" t="str">
        <f>IF(tblCalculo[[#This Row],[STATUS]]="TRAMITANDO",tblCalculo[[#This Row],[VALOR_TOTAL]],"")</f>
        <v/>
      </c>
      <c r="O518" t="str">
        <f>IF(tblCalculo[[#This Row],[STATUS]]="PERDIDO",tblCalculo[[#This Row],[VALOR_TOTAL]],"")</f>
        <v/>
      </c>
      <c r="P518" t="str">
        <f>IF(tblCalculo[[#This Row],[STATUS]]="CONCLUÍDO",tblCalculo[[#This Row],[VALOR_TOTAL]],"")</f>
        <v/>
      </c>
    </row>
    <row r="519" spans="1:16" x14ac:dyDescent="0.25">
      <c r="A519" t="str">
        <f>tblVendas[[#This Row],[NR_SIMULACAO]]</f>
        <v>SIM1509</v>
      </c>
      <c r="B519" s="34" t="str">
        <f>_xlfn.XLOOKUP(A519,tblVendas[[#This Row],[NR_SIMULACAO]],tblVendas[[#This Row],[NR_CNPJ]],"")</f>
        <v>20.974.999/0001-11</v>
      </c>
      <c r="C519" t="str">
        <f>_xlfn.XLOOKUP(A519,tblVendas[[#This Row],[NR_SIMULACAO]],tblVendas[[#This Row],[STATUS]],"")</f>
        <v>PERDIDO</v>
      </c>
      <c r="D519" t="str">
        <f>_xlfn.XLOOKUP(A519,tblVendas[[#This Row],[NR_SIMULACAO]],tblVendas[[#This Row],[MES]],"")</f>
        <v>Maio</v>
      </c>
      <c r="E519">
        <f>SUM(_xlfn.XLOOKUP(tblCalculo[[#This Row],[NR_SIMULACAO]],tblVendas[[#This Row],[NR_SIMULACAO]],tblVendas[[#This Row],[VALOR_MOVEL]],""):_xlfn.XLOOKUP(tblCalculo[[#This Row],[NR_SIMULACAO]],tblVendas[[#This Row],[NR_SIMULACAO]],tblVendas[[#This Row],[VALOR_APARELHO]],""))</f>
        <v>29332.73</v>
      </c>
      <c r="F519">
        <f>IF(tblCalculo[[#This Row],[STATUS]]="CONCLUÍDO",_xlfn.XLOOKUP(tblCalculo[[#This Row],[NR_SIMULACAO]],tblVendas[[#This Row],[NR_SIMULACAO]],tblVendas[[#This Row],[VALOR_MOVEL]],""),0)</f>
        <v>0</v>
      </c>
      <c r="G519">
        <f>IF(tblCalculo[[#This Row],[STATUS]]="CONCLUÍDO",_xlfn.XLOOKUP(tblCalculo[[#This Row],[NR_SIMULACAO]],tblVendas[[#This Row],[NR_SIMULACAO]],tblVendas[[#This Row],[VALOR_AVANCADO]],""),0)</f>
        <v>0</v>
      </c>
      <c r="H519">
        <f>IF(tblCalculo[[#This Row],[STATUS]]="CONCLUÍDO",_xlfn.XLOOKUP(tblCalculo[[#This Row],[NR_SIMULACAO]],tblVendas[[#This Row],[NR_SIMULACAO]],tblVendas[[#This Row],[VALOR_FIXABASICA]],""),0)</f>
        <v>0</v>
      </c>
      <c r="I519">
        <f>IF(tblCalculo[[#This Row],[STATUS]]="CONCLUÍDO",_xlfn.XLOOKUP(tblCalculo[[#This Row],[NR_SIMULACAO]],tblVendas[[#This Row],[NR_SIMULACAO]],tblVendas[[#This Row],[VALOR_TI]],""),0)</f>
        <v>0</v>
      </c>
      <c r="J519">
        <f>IF(tblCalculo[[#This Row],[STATUS]]="CONCLUÍDO",_xlfn.XLOOKUP(tblCalculo[[#This Row],[NR_SIMULACAO]],tblVendas[[#This Row],[NR_SIMULACAO]],tblVendas[[#This Row],[VALOR_APARELHO]],""),0)</f>
        <v>0</v>
      </c>
      <c r="K519" t="str">
        <f>IF(tblCalculo[[#This Row],[STATUS]]="NEGOCIANDO",tblCalculo[[#This Row],[VALOR_TOTAL]],"")</f>
        <v/>
      </c>
      <c r="L519" t="str">
        <f>IF(tblCalculo[[#This Row],[STATUS]]="ALÇADA",tblCalculo[[#This Row],[VALOR_TOTAL]],"")</f>
        <v/>
      </c>
      <c r="M519" t="str">
        <f>IF(tblCalculo[[#This Row],[STATUS]]="EM ANÁLISE",tblCalculo[[#This Row],[VALOR_TOTAL]],"")</f>
        <v/>
      </c>
      <c r="N519" t="str">
        <f>IF(tblCalculo[[#This Row],[STATUS]]="TRAMITANDO",tblCalculo[[#This Row],[VALOR_TOTAL]],"")</f>
        <v/>
      </c>
      <c r="O519">
        <f>IF(tblCalculo[[#This Row],[STATUS]]="PERDIDO",tblCalculo[[#This Row],[VALOR_TOTAL]],"")</f>
        <v>29332.73</v>
      </c>
      <c r="P519" t="str">
        <f>IF(tblCalculo[[#This Row],[STATUS]]="CONCLUÍDO",tblCalculo[[#This Row],[VALOR_TOTAL]],"")</f>
        <v/>
      </c>
    </row>
    <row r="520" spans="1:16" x14ac:dyDescent="0.25">
      <c r="A520" t="str">
        <f>tblVendas[[#This Row],[NR_SIMULACAO]]</f>
        <v>SIM1510</v>
      </c>
      <c r="B520" s="34" t="str">
        <f>_xlfn.XLOOKUP(A520,tblVendas[[#This Row],[NR_SIMULACAO]],tblVendas[[#This Row],[NR_CNPJ]],"")</f>
        <v>66.140.695/0001-59</v>
      </c>
      <c r="C520" t="str">
        <f>_xlfn.XLOOKUP(A520,tblVendas[[#This Row],[NR_SIMULACAO]],tblVendas[[#This Row],[STATUS]],"")</f>
        <v>PERDIDO</v>
      </c>
      <c r="D520" t="str">
        <f>_xlfn.XLOOKUP(A520,tblVendas[[#This Row],[NR_SIMULACAO]],tblVendas[[#This Row],[MES]],"")</f>
        <v>Junho</v>
      </c>
      <c r="E520">
        <f>SUM(_xlfn.XLOOKUP(tblCalculo[[#This Row],[NR_SIMULACAO]],tblVendas[[#This Row],[NR_SIMULACAO]],tblVendas[[#This Row],[VALOR_MOVEL]],""):_xlfn.XLOOKUP(tblCalculo[[#This Row],[NR_SIMULACAO]],tblVendas[[#This Row],[NR_SIMULACAO]],tblVendas[[#This Row],[VALOR_APARELHO]],""))</f>
        <v>16197.27</v>
      </c>
      <c r="F520">
        <f>IF(tblCalculo[[#This Row],[STATUS]]="CONCLUÍDO",_xlfn.XLOOKUP(tblCalculo[[#This Row],[NR_SIMULACAO]],tblVendas[[#This Row],[NR_SIMULACAO]],tblVendas[[#This Row],[VALOR_MOVEL]],""),0)</f>
        <v>0</v>
      </c>
      <c r="G520">
        <f>IF(tblCalculo[[#This Row],[STATUS]]="CONCLUÍDO",_xlfn.XLOOKUP(tblCalculo[[#This Row],[NR_SIMULACAO]],tblVendas[[#This Row],[NR_SIMULACAO]],tblVendas[[#This Row],[VALOR_AVANCADO]],""),0)</f>
        <v>0</v>
      </c>
      <c r="H520">
        <f>IF(tblCalculo[[#This Row],[STATUS]]="CONCLUÍDO",_xlfn.XLOOKUP(tblCalculo[[#This Row],[NR_SIMULACAO]],tblVendas[[#This Row],[NR_SIMULACAO]],tblVendas[[#This Row],[VALOR_FIXABASICA]],""),0)</f>
        <v>0</v>
      </c>
      <c r="I520">
        <f>IF(tblCalculo[[#This Row],[STATUS]]="CONCLUÍDO",_xlfn.XLOOKUP(tblCalculo[[#This Row],[NR_SIMULACAO]],tblVendas[[#This Row],[NR_SIMULACAO]],tblVendas[[#This Row],[VALOR_TI]],""),0)</f>
        <v>0</v>
      </c>
      <c r="J520">
        <f>IF(tblCalculo[[#This Row],[STATUS]]="CONCLUÍDO",_xlfn.XLOOKUP(tblCalculo[[#This Row],[NR_SIMULACAO]],tblVendas[[#This Row],[NR_SIMULACAO]],tblVendas[[#This Row],[VALOR_APARELHO]],""),0)</f>
        <v>0</v>
      </c>
      <c r="K520" t="str">
        <f>IF(tblCalculo[[#This Row],[STATUS]]="NEGOCIANDO",tblCalculo[[#This Row],[VALOR_TOTAL]],"")</f>
        <v/>
      </c>
      <c r="L520" t="str">
        <f>IF(tblCalculo[[#This Row],[STATUS]]="ALÇADA",tblCalculo[[#This Row],[VALOR_TOTAL]],"")</f>
        <v/>
      </c>
      <c r="M520" t="str">
        <f>IF(tblCalculo[[#This Row],[STATUS]]="EM ANÁLISE",tblCalculo[[#This Row],[VALOR_TOTAL]],"")</f>
        <v/>
      </c>
      <c r="N520" t="str">
        <f>IF(tblCalculo[[#This Row],[STATUS]]="TRAMITANDO",tblCalculo[[#This Row],[VALOR_TOTAL]],"")</f>
        <v/>
      </c>
      <c r="O520">
        <f>IF(tblCalculo[[#This Row],[STATUS]]="PERDIDO",tblCalculo[[#This Row],[VALOR_TOTAL]],"")</f>
        <v>16197.27</v>
      </c>
      <c r="P520" t="str">
        <f>IF(tblCalculo[[#This Row],[STATUS]]="CONCLUÍDO",tblCalculo[[#This Row],[VALOR_TOTAL]],"")</f>
        <v/>
      </c>
    </row>
    <row r="521" spans="1:16" x14ac:dyDescent="0.25">
      <c r="A521" t="str">
        <f>tblVendas[[#This Row],[NR_SIMULACAO]]</f>
        <v>SIM1511</v>
      </c>
      <c r="B521" s="34" t="str">
        <f>_xlfn.XLOOKUP(A521,tblVendas[[#This Row],[NR_SIMULACAO]],tblVendas[[#This Row],[NR_CNPJ]],"")</f>
        <v>26.689.596/0001-20</v>
      </c>
      <c r="C521" t="str">
        <f>_xlfn.XLOOKUP(A521,tblVendas[[#This Row],[NR_SIMULACAO]],tblVendas[[#This Row],[STATUS]],"")</f>
        <v>TRAMITANDO</v>
      </c>
      <c r="D521" t="str">
        <f>_xlfn.XLOOKUP(A521,tblVendas[[#This Row],[NR_SIMULACAO]],tblVendas[[#This Row],[MES]],"")</f>
        <v>Dezembro</v>
      </c>
      <c r="E521">
        <f>SUM(_xlfn.XLOOKUP(tblCalculo[[#This Row],[NR_SIMULACAO]],tblVendas[[#This Row],[NR_SIMULACAO]],tblVendas[[#This Row],[VALOR_MOVEL]],""):_xlfn.XLOOKUP(tblCalculo[[#This Row],[NR_SIMULACAO]],tblVendas[[#This Row],[NR_SIMULACAO]],tblVendas[[#This Row],[VALOR_APARELHO]],""))</f>
        <v>17073.12</v>
      </c>
      <c r="F521">
        <f>IF(tblCalculo[[#This Row],[STATUS]]="CONCLUÍDO",_xlfn.XLOOKUP(tblCalculo[[#This Row],[NR_SIMULACAO]],tblVendas[[#This Row],[NR_SIMULACAO]],tblVendas[[#This Row],[VALOR_MOVEL]],""),0)</f>
        <v>0</v>
      </c>
      <c r="G521">
        <f>IF(tblCalculo[[#This Row],[STATUS]]="CONCLUÍDO",_xlfn.XLOOKUP(tblCalculo[[#This Row],[NR_SIMULACAO]],tblVendas[[#This Row],[NR_SIMULACAO]],tblVendas[[#This Row],[VALOR_AVANCADO]],""),0)</f>
        <v>0</v>
      </c>
      <c r="H521">
        <f>IF(tblCalculo[[#This Row],[STATUS]]="CONCLUÍDO",_xlfn.XLOOKUP(tblCalculo[[#This Row],[NR_SIMULACAO]],tblVendas[[#This Row],[NR_SIMULACAO]],tblVendas[[#This Row],[VALOR_FIXABASICA]],""),0)</f>
        <v>0</v>
      </c>
      <c r="I521">
        <f>IF(tblCalculo[[#This Row],[STATUS]]="CONCLUÍDO",_xlfn.XLOOKUP(tblCalculo[[#This Row],[NR_SIMULACAO]],tblVendas[[#This Row],[NR_SIMULACAO]],tblVendas[[#This Row],[VALOR_TI]],""),0)</f>
        <v>0</v>
      </c>
      <c r="J521">
        <f>IF(tblCalculo[[#This Row],[STATUS]]="CONCLUÍDO",_xlfn.XLOOKUP(tblCalculo[[#This Row],[NR_SIMULACAO]],tblVendas[[#This Row],[NR_SIMULACAO]],tblVendas[[#This Row],[VALOR_APARELHO]],""),0)</f>
        <v>0</v>
      </c>
      <c r="K521" t="str">
        <f>IF(tblCalculo[[#This Row],[STATUS]]="NEGOCIANDO",tblCalculo[[#This Row],[VALOR_TOTAL]],"")</f>
        <v/>
      </c>
      <c r="L521" t="str">
        <f>IF(tblCalculo[[#This Row],[STATUS]]="ALÇADA",tblCalculo[[#This Row],[VALOR_TOTAL]],"")</f>
        <v/>
      </c>
      <c r="M521" t="str">
        <f>IF(tblCalculo[[#This Row],[STATUS]]="EM ANÁLISE",tblCalculo[[#This Row],[VALOR_TOTAL]],"")</f>
        <v/>
      </c>
      <c r="N521">
        <f>IF(tblCalculo[[#This Row],[STATUS]]="TRAMITANDO",tblCalculo[[#This Row],[VALOR_TOTAL]],"")</f>
        <v>17073.12</v>
      </c>
      <c r="O521" t="str">
        <f>IF(tblCalculo[[#This Row],[STATUS]]="PERDIDO",tblCalculo[[#This Row],[VALOR_TOTAL]],"")</f>
        <v/>
      </c>
      <c r="P521" t="str">
        <f>IF(tblCalculo[[#This Row],[STATUS]]="CONCLUÍDO",tblCalculo[[#This Row],[VALOR_TOTAL]],"")</f>
        <v/>
      </c>
    </row>
    <row r="522" spans="1:16" x14ac:dyDescent="0.25">
      <c r="A522" t="str">
        <f>tblVendas[[#This Row],[NR_SIMULACAO]]</f>
        <v>SIM1512</v>
      </c>
      <c r="B522" s="34" t="str">
        <f>_xlfn.XLOOKUP(A522,tblVendas[[#This Row],[NR_SIMULACAO]],tblVendas[[#This Row],[NR_CNPJ]],"")</f>
        <v>56.932.189/0001-72</v>
      </c>
      <c r="C522" t="str">
        <f>_xlfn.XLOOKUP(A522,tblVendas[[#This Row],[NR_SIMULACAO]],tblVendas[[#This Row],[STATUS]],"")</f>
        <v>EM ANÁLISE</v>
      </c>
      <c r="D522" t="str">
        <f>_xlfn.XLOOKUP(A522,tblVendas[[#This Row],[NR_SIMULACAO]],tblVendas[[#This Row],[MES]],"")</f>
        <v>Outubro</v>
      </c>
      <c r="E522">
        <f>SUM(_xlfn.XLOOKUP(tblCalculo[[#This Row],[NR_SIMULACAO]],tblVendas[[#This Row],[NR_SIMULACAO]],tblVendas[[#This Row],[VALOR_MOVEL]],""):_xlfn.XLOOKUP(tblCalculo[[#This Row],[NR_SIMULACAO]],tblVendas[[#This Row],[NR_SIMULACAO]],tblVendas[[#This Row],[VALOR_APARELHO]],""))</f>
        <v>5184.8200000000006</v>
      </c>
      <c r="F522">
        <f>IF(tblCalculo[[#This Row],[STATUS]]="CONCLUÍDO",_xlfn.XLOOKUP(tblCalculo[[#This Row],[NR_SIMULACAO]],tblVendas[[#This Row],[NR_SIMULACAO]],tblVendas[[#This Row],[VALOR_MOVEL]],""),0)</f>
        <v>0</v>
      </c>
      <c r="G522">
        <f>IF(tblCalculo[[#This Row],[STATUS]]="CONCLUÍDO",_xlfn.XLOOKUP(tblCalculo[[#This Row],[NR_SIMULACAO]],tblVendas[[#This Row],[NR_SIMULACAO]],tblVendas[[#This Row],[VALOR_AVANCADO]],""),0)</f>
        <v>0</v>
      </c>
      <c r="H522">
        <f>IF(tblCalculo[[#This Row],[STATUS]]="CONCLUÍDO",_xlfn.XLOOKUP(tblCalculo[[#This Row],[NR_SIMULACAO]],tblVendas[[#This Row],[NR_SIMULACAO]],tblVendas[[#This Row],[VALOR_FIXABASICA]],""),0)</f>
        <v>0</v>
      </c>
      <c r="I522">
        <f>IF(tblCalculo[[#This Row],[STATUS]]="CONCLUÍDO",_xlfn.XLOOKUP(tblCalculo[[#This Row],[NR_SIMULACAO]],tblVendas[[#This Row],[NR_SIMULACAO]],tblVendas[[#This Row],[VALOR_TI]],""),0)</f>
        <v>0</v>
      </c>
      <c r="J522">
        <f>IF(tblCalculo[[#This Row],[STATUS]]="CONCLUÍDO",_xlfn.XLOOKUP(tblCalculo[[#This Row],[NR_SIMULACAO]],tblVendas[[#This Row],[NR_SIMULACAO]],tblVendas[[#This Row],[VALOR_APARELHO]],""),0)</f>
        <v>0</v>
      </c>
      <c r="K522" t="str">
        <f>IF(tblCalculo[[#This Row],[STATUS]]="NEGOCIANDO",tblCalculo[[#This Row],[VALOR_TOTAL]],"")</f>
        <v/>
      </c>
      <c r="L522" t="str">
        <f>IF(tblCalculo[[#This Row],[STATUS]]="ALÇADA",tblCalculo[[#This Row],[VALOR_TOTAL]],"")</f>
        <v/>
      </c>
      <c r="M522">
        <f>IF(tblCalculo[[#This Row],[STATUS]]="EM ANÁLISE",tblCalculo[[#This Row],[VALOR_TOTAL]],"")</f>
        <v>5184.8200000000006</v>
      </c>
      <c r="N522" t="str">
        <f>IF(tblCalculo[[#This Row],[STATUS]]="TRAMITANDO",tblCalculo[[#This Row],[VALOR_TOTAL]],"")</f>
        <v/>
      </c>
      <c r="O522" t="str">
        <f>IF(tblCalculo[[#This Row],[STATUS]]="PERDIDO",tblCalculo[[#This Row],[VALOR_TOTAL]],"")</f>
        <v/>
      </c>
      <c r="P522" t="str">
        <f>IF(tblCalculo[[#This Row],[STATUS]]="CONCLUÍDO",tblCalculo[[#This Row],[VALOR_TOTAL]],"")</f>
        <v/>
      </c>
    </row>
    <row r="523" spans="1:16" x14ac:dyDescent="0.25">
      <c r="A523" t="str">
        <f>tblVendas[[#This Row],[NR_SIMULACAO]]</f>
        <v>SIM1513</v>
      </c>
      <c r="B523" s="34" t="str">
        <f>_xlfn.XLOOKUP(A523,tblVendas[[#This Row],[NR_SIMULACAO]],tblVendas[[#This Row],[NR_CNPJ]],"")</f>
        <v>24.688.375/0001-90</v>
      </c>
      <c r="C523" t="str">
        <f>_xlfn.XLOOKUP(A523,tblVendas[[#This Row],[NR_SIMULACAO]],tblVendas[[#This Row],[STATUS]],"")</f>
        <v>NEGOCIANDO</v>
      </c>
      <c r="D523" t="str">
        <f>_xlfn.XLOOKUP(A523,tblVendas[[#This Row],[NR_SIMULACAO]],tblVendas[[#This Row],[MES]],"")</f>
        <v>Abril</v>
      </c>
      <c r="E523">
        <f>SUM(_xlfn.XLOOKUP(tblCalculo[[#This Row],[NR_SIMULACAO]],tblVendas[[#This Row],[NR_SIMULACAO]],tblVendas[[#This Row],[VALOR_MOVEL]],""):_xlfn.XLOOKUP(tblCalculo[[#This Row],[NR_SIMULACAO]],tblVendas[[#This Row],[NR_SIMULACAO]],tblVendas[[#This Row],[VALOR_APARELHO]],""))</f>
        <v>2063.2199999999998</v>
      </c>
      <c r="F523">
        <f>IF(tblCalculo[[#This Row],[STATUS]]="CONCLUÍDO",_xlfn.XLOOKUP(tblCalculo[[#This Row],[NR_SIMULACAO]],tblVendas[[#This Row],[NR_SIMULACAO]],tblVendas[[#This Row],[VALOR_MOVEL]],""),0)</f>
        <v>0</v>
      </c>
      <c r="G523">
        <f>IF(tblCalculo[[#This Row],[STATUS]]="CONCLUÍDO",_xlfn.XLOOKUP(tblCalculo[[#This Row],[NR_SIMULACAO]],tblVendas[[#This Row],[NR_SIMULACAO]],tblVendas[[#This Row],[VALOR_AVANCADO]],""),0)</f>
        <v>0</v>
      </c>
      <c r="H523">
        <f>IF(tblCalculo[[#This Row],[STATUS]]="CONCLUÍDO",_xlfn.XLOOKUP(tblCalculo[[#This Row],[NR_SIMULACAO]],tblVendas[[#This Row],[NR_SIMULACAO]],tblVendas[[#This Row],[VALOR_FIXABASICA]],""),0)</f>
        <v>0</v>
      </c>
      <c r="I523">
        <f>IF(tblCalculo[[#This Row],[STATUS]]="CONCLUÍDO",_xlfn.XLOOKUP(tblCalculo[[#This Row],[NR_SIMULACAO]],tblVendas[[#This Row],[NR_SIMULACAO]],tblVendas[[#This Row],[VALOR_TI]],""),0)</f>
        <v>0</v>
      </c>
      <c r="J523">
        <f>IF(tblCalculo[[#This Row],[STATUS]]="CONCLUÍDO",_xlfn.XLOOKUP(tblCalculo[[#This Row],[NR_SIMULACAO]],tblVendas[[#This Row],[NR_SIMULACAO]],tblVendas[[#This Row],[VALOR_APARELHO]],""),0)</f>
        <v>0</v>
      </c>
      <c r="K523">
        <f>IF(tblCalculo[[#This Row],[STATUS]]="NEGOCIANDO",tblCalculo[[#This Row],[VALOR_TOTAL]],"")</f>
        <v>2063.2199999999998</v>
      </c>
      <c r="L523" t="str">
        <f>IF(tblCalculo[[#This Row],[STATUS]]="ALÇADA",tblCalculo[[#This Row],[VALOR_TOTAL]],"")</f>
        <v/>
      </c>
      <c r="M523" t="str">
        <f>IF(tblCalculo[[#This Row],[STATUS]]="EM ANÁLISE",tblCalculo[[#This Row],[VALOR_TOTAL]],"")</f>
        <v/>
      </c>
      <c r="N523" t="str">
        <f>IF(tblCalculo[[#This Row],[STATUS]]="TRAMITANDO",tblCalculo[[#This Row],[VALOR_TOTAL]],"")</f>
        <v/>
      </c>
      <c r="O523" t="str">
        <f>IF(tblCalculo[[#This Row],[STATUS]]="PERDIDO",tblCalculo[[#This Row],[VALOR_TOTAL]],"")</f>
        <v/>
      </c>
      <c r="P523" t="str">
        <f>IF(tblCalculo[[#This Row],[STATUS]]="CONCLUÍDO",tblCalculo[[#This Row],[VALOR_TOTAL]],"")</f>
        <v/>
      </c>
    </row>
    <row r="524" spans="1:16" x14ac:dyDescent="0.25">
      <c r="A524" t="str">
        <f>tblVendas[[#This Row],[NR_SIMULACAO]]</f>
        <v>SIM1514</v>
      </c>
      <c r="B524" s="34" t="str">
        <f>_xlfn.XLOOKUP(A524,tblVendas[[#This Row],[NR_SIMULACAO]],tblVendas[[#This Row],[NR_CNPJ]],"")</f>
        <v>57.503.406/0001-75</v>
      </c>
      <c r="C524" t="str">
        <f>_xlfn.XLOOKUP(A524,tblVendas[[#This Row],[NR_SIMULACAO]],tblVendas[[#This Row],[STATUS]],"")</f>
        <v>NEGOCIANDO</v>
      </c>
      <c r="D524" t="str">
        <f>_xlfn.XLOOKUP(A524,tblVendas[[#This Row],[NR_SIMULACAO]],tblVendas[[#This Row],[MES]],"")</f>
        <v>Janeiro</v>
      </c>
      <c r="E524">
        <f>SUM(_xlfn.XLOOKUP(tblCalculo[[#This Row],[NR_SIMULACAO]],tblVendas[[#This Row],[NR_SIMULACAO]],tblVendas[[#This Row],[VALOR_MOVEL]],""):_xlfn.XLOOKUP(tblCalculo[[#This Row],[NR_SIMULACAO]],tblVendas[[#This Row],[NR_SIMULACAO]],tblVendas[[#This Row],[VALOR_APARELHO]],""))</f>
        <v>2282.94</v>
      </c>
      <c r="F524">
        <f>IF(tblCalculo[[#This Row],[STATUS]]="CONCLUÍDO",_xlfn.XLOOKUP(tblCalculo[[#This Row],[NR_SIMULACAO]],tblVendas[[#This Row],[NR_SIMULACAO]],tblVendas[[#This Row],[VALOR_MOVEL]],""),0)</f>
        <v>0</v>
      </c>
      <c r="G524">
        <f>IF(tblCalculo[[#This Row],[STATUS]]="CONCLUÍDO",_xlfn.XLOOKUP(tblCalculo[[#This Row],[NR_SIMULACAO]],tblVendas[[#This Row],[NR_SIMULACAO]],tblVendas[[#This Row],[VALOR_AVANCADO]],""),0)</f>
        <v>0</v>
      </c>
      <c r="H524">
        <f>IF(tblCalculo[[#This Row],[STATUS]]="CONCLUÍDO",_xlfn.XLOOKUP(tblCalculo[[#This Row],[NR_SIMULACAO]],tblVendas[[#This Row],[NR_SIMULACAO]],tblVendas[[#This Row],[VALOR_FIXABASICA]],""),0)</f>
        <v>0</v>
      </c>
      <c r="I524">
        <f>IF(tblCalculo[[#This Row],[STATUS]]="CONCLUÍDO",_xlfn.XLOOKUP(tblCalculo[[#This Row],[NR_SIMULACAO]],tblVendas[[#This Row],[NR_SIMULACAO]],tblVendas[[#This Row],[VALOR_TI]],""),0)</f>
        <v>0</v>
      </c>
      <c r="J524">
        <f>IF(tblCalculo[[#This Row],[STATUS]]="CONCLUÍDO",_xlfn.XLOOKUP(tblCalculo[[#This Row],[NR_SIMULACAO]],tblVendas[[#This Row],[NR_SIMULACAO]],tblVendas[[#This Row],[VALOR_APARELHO]],""),0)</f>
        <v>0</v>
      </c>
      <c r="K524">
        <f>IF(tblCalculo[[#This Row],[STATUS]]="NEGOCIANDO",tblCalculo[[#This Row],[VALOR_TOTAL]],"")</f>
        <v>2282.94</v>
      </c>
      <c r="L524" t="str">
        <f>IF(tblCalculo[[#This Row],[STATUS]]="ALÇADA",tblCalculo[[#This Row],[VALOR_TOTAL]],"")</f>
        <v/>
      </c>
      <c r="M524" t="str">
        <f>IF(tblCalculo[[#This Row],[STATUS]]="EM ANÁLISE",tblCalculo[[#This Row],[VALOR_TOTAL]],"")</f>
        <v/>
      </c>
      <c r="N524" t="str">
        <f>IF(tblCalculo[[#This Row],[STATUS]]="TRAMITANDO",tblCalculo[[#This Row],[VALOR_TOTAL]],"")</f>
        <v/>
      </c>
      <c r="O524" t="str">
        <f>IF(tblCalculo[[#This Row],[STATUS]]="PERDIDO",tblCalculo[[#This Row],[VALOR_TOTAL]],"")</f>
        <v/>
      </c>
      <c r="P524" t="str">
        <f>IF(tblCalculo[[#This Row],[STATUS]]="CONCLUÍDO",tblCalculo[[#This Row],[VALOR_TOTAL]],"")</f>
        <v/>
      </c>
    </row>
    <row r="525" spans="1:16" x14ac:dyDescent="0.25">
      <c r="A525" t="str">
        <f>tblVendas[[#This Row],[NR_SIMULACAO]]</f>
        <v>SIM1515</v>
      </c>
      <c r="B525" s="34" t="str">
        <f>_xlfn.XLOOKUP(A525,tblVendas[[#This Row],[NR_SIMULACAO]],tblVendas[[#This Row],[NR_CNPJ]],"")</f>
        <v>24.935.508/0001-54</v>
      </c>
      <c r="C525" t="str">
        <f>_xlfn.XLOOKUP(A525,tblVendas[[#This Row],[NR_SIMULACAO]],tblVendas[[#This Row],[STATUS]],"")</f>
        <v>NEGOCIANDO</v>
      </c>
      <c r="D525" t="str">
        <f>_xlfn.XLOOKUP(A525,tblVendas[[#This Row],[NR_SIMULACAO]],tblVendas[[#This Row],[MES]],"")</f>
        <v>Outubro</v>
      </c>
      <c r="E525">
        <f>SUM(_xlfn.XLOOKUP(tblCalculo[[#This Row],[NR_SIMULACAO]],tblVendas[[#This Row],[NR_SIMULACAO]],tblVendas[[#This Row],[VALOR_MOVEL]],""):_xlfn.XLOOKUP(tblCalculo[[#This Row],[NR_SIMULACAO]],tblVendas[[#This Row],[NR_SIMULACAO]],tblVendas[[#This Row],[VALOR_APARELHO]],""))</f>
        <v>11778.02</v>
      </c>
      <c r="F525">
        <f>IF(tblCalculo[[#This Row],[STATUS]]="CONCLUÍDO",_xlfn.XLOOKUP(tblCalculo[[#This Row],[NR_SIMULACAO]],tblVendas[[#This Row],[NR_SIMULACAO]],tblVendas[[#This Row],[VALOR_MOVEL]],""),0)</f>
        <v>0</v>
      </c>
      <c r="G525">
        <f>IF(tblCalculo[[#This Row],[STATUS]]="CONCLUÍDO",_xlfn.XLOOKUP(tblCalculo[[#This Row],[NR_SIMULACAO]],tblVendas[[#This Row],[NR_SIMULACAO]],tblVendas[[#This Row],[VALOR_AVANCADO]],""),0)</f>
        <v>0</v>
      </c>
      <c r="H525">
        <f>IF(tblCalculo[[#This Row],[STATUS]]="CONCLUÍDO",_xlfn.XLOOKUP(tblCalculo[[#This Row],[NR_SIMULACAO]],tblVendas[[#This Row],[NR_SIMULACAO]],tblVendas[[#This Row],[VALOR_FIXABASICA]],""),0)</f>
        <v>0</v>
      </c>
      <c r="I525">
        <f>IF(tblCalculo[[#This Row],[STATUS]]="CONCLUÍDO",_xlfn.XLOOKUP(tblCalculo[[#This Row],[NR_SIMULACAO]],tblVendas[[#This Row],[NR_SIMULACAO]],tblVendas[[#This Row],[VALOR_TI]],""),0)</f>
        <v>0</v>
      </c>
      <c r="J525">
        <f>IF(tblCalculo[[#This Row],[STATUS]]="CONCLUÍDO",_xlfn.XLOOKUP(tblCalculo[[#This Row],[NR_SIMULACAO]],tblVendas[[#This Row],[NR_SIMULACAO]],tblVendas[[#This Row],[VALOR_APARELHO]],""),0)</f>
        <v>0</v>
      </c>
      <c r="K525">
        <f>IF(tblCalculo[[#This Row],[STATUS]]="NEGOCIANDO",tblCalculo[[#This Row],[VALOR_TOTAL]],"")</f>
        <v>11778.02</v>
      </c>
      <c r="L525" t="str">
        <f>IF(tblCalculo[[#This Row],[STATUS]]="ALÇADA",tblCalculo[[#This Row],[VALOR_TOTAL]],"")</f>
        <v/>
      </c>
      <c r="M525" t="str">
        <f>IF(tblCalculo[[#This Row],[STATUS]]="EM ANÁLISE",tblCalculo[[#This Row],[VALOR_TOTAL]],"")</f>
        <v/>
      </c>
      <c r="N525" t="str">
        <f>IF(tblCalculo[[#This Row],[STATUS]]="TRAMITANDO",tblCalculo[[#This Row],[VALOR_TOTAL]],"")</f>
        <v/>
      </c>
      <c r="O525" t="str">
        <f>IF(tblCalculo[[#This Row],[STATUS]]="PERDIDO",tblCalculo[[#This Row],[VALOR_TOTAL]],"")</f>
        <v/>
      </c>
      <c r="P525" t="str">
        <f>IF(tblCalculo[[#This Row],[STATUS]]="CONCLUÍDO",tblCalculo[[#This Row],[VALOR_TOTAL]],"")</f>
        <v/>
      </c>
    </row>
    <row r="526" spans="1:16" x14ac:dyDescent="0.25">
      <c r="A526" t="str">
        <f>tblVendas[[#This Row],[NR_SIMULACAO]]</f>
        <v>SIM1516</v>
      </c>
      <c r="B526" s="34" t="str">
        <f>_xlfn.XLOOKUP(A526,tblVendas[[#This Row],[NR_SIMULACAO]],tblVendas[[#This Row],[NR_CNPJ]],"")</f>
        <v>75.613.914/0001-58</v>
      </c>
      <c r="C526" t="str">
        <f>_xlfn.XLOOKUP(A526,tblVendas[[#This Row],[NR_SIMULACAO]],tblVendas[[#This Row],[STATUS]],"")</f>
        <v>NEGOCIANDO</v>
      </c>
      <c r="D526" t="str">
        <f>_xlfn.XLOOKUP(A526,tblVendas[[#This Row],[NR_SIMULACAO]],tblVendas[[#This Row],[MES]],"")</f>
        <v>Outubro</v>
      </c>
      <c r="E526">
        <f>SUM(_xlfn.XLOOKUP(tblCalculo[[#This Row],[NR_SIMULACAO]],tblVendas[[#This Row],[NR_SIMULACAO]],tblVendas[[#This Row],[VALOR_MOVEL]],""):_xlfn.XLOOKUP(tblCalculo[[#This Row],[NR_SIMULACAO]],tblVendas[[#This Row],[NR_SIMULACAO]],tblVendas[[#This Row],[VALOR_APARELHO]],""))</f>
        <v>6190.15</v>
      </c>
      <c r="F526">
        <f>IF(tblCalculo[[#This Row],[STATUS]]="CONCLUÍDO",_xlfn.XLOOKUP(tblCalculo[[#This Row],[NR_SIMULACAO]],tblVendas[[#This Row],[NR_SIMULACAO]],tblVendas[[#This Row],[VALOR_MOVEL]],""),0)</f>
        <v>0</v>
      </c>
      <c r="G526">
        <f>IF(tblCalculo[[#This Row],[STATUS]]="CONCLUÍDO",_xlfn.XLOOKUP(tblCalculo[[#This Row],[NR_SIMULACAO]],tblVendas[[#This Row],[NR_SIMULACAO]],tblVendas[[#This Row],[VALOR_AVANCADO]],""),0)</f>
        <v>0</v>
      </c>
      <c r="H526">
        <f>IF(tblCalculo[[#This Row],[STATUS]]="CONCLUÍDO",_xlfn.XLOOKUP(tblCalculo[[#This Row],[NR_SIMULACAO]],tblVendas[[#This Row],[NR_SIMULACAO]],tblVendas[[#This Row],[VALOR_FIXABASICA]],""),0)</f>
        <v>0</v>
      </c>
      <c r="I526">
        <f>IF(tblCalculo[[#This Row],[STATUS]]="CONCLUÍDO",_xlfn.XLOOKUP(tblCalculo[[#This Row],[NR_SIMULACAO]],tblVendas[[#This Row],[NR_SIMULACAO]],tblVendas[[#This Row],[VALOR_TI]],""),0)</f>
        <v>0</v>
      </c>
      <c r="J526">
        <f>IF(tblCalculo[[#This Row],[STATUS]]="CONCLUÍDO",_xlfn.XLOOKUP(tblCalculo[[#This Row],[NR_SIMULACAO]],tblVendas[[#This Row],[NR_SIMULACAO]],tblVendas[[#This Row],[VALOR_APARELHO]],""),0)</f>
        <v>0</v>
      </c>
      <c r="K526">
        <f>IF(tblCalculo[[#This Row],[STATUS]]="NEGOCIANDO",tblCalculo[[#This Row],[VALOR_TOTAL]],"")</f>
        <v>6190.15</v>
      </c>
      <c r="L526" t="str">
        <f>IF(tblCalculo[[#This Row],[STATUS]]="ALÇADA",tblCalculo[[#This Row],[VALOR_TOTAL]],"")</f>
        <v/>
      </c>
      <c r="M526" t="str">
        <f>IF(tblCalculo[[#This Row],[STATUS]]="EM ANÁLISE",tblCalculo[[#This Row],[VALOR_TOTAL]],"")</f>
        <v/>
      </c>
      <c r="N526" t="str">
        <f>IF(tblCalculo[[#This Row],[STATUS]]="TRAMITANDO",tblCalculo[[#This Row],[VALOR_TOTAL]],"")</f>
        <v/>
      </c>
      <c r="O526" t="str">
        <f>IF(tblCalculo[[#This Row],[STATUS]]="PERDIDO",tblCalculo[[#This Row],[VALOR_TOTAL]],"")</f>
        <v/>
      </c>
      <c r="P526" t="str">
        <f>IF(tblCalculo[[#This Row],[STATUS]]="CONCLUÍDO",tblCalculo[[#This Row],[VALOR_TOTAL]],"")</f>
        <v/>
      </c>
    </row>
    <row r="527" spans="1:16" x14ac:dyDescent="0.25">
      <c r="A527" t="str">
        <f>tblVendas[[#This Row],[NR_SIMULACAO]]</f>
        <v>SIM1517</v>
      </c>
      <c r="B527" s="34" t="str">
        <f>_xlfn.XLOOKUP(A527,tblVendas[[#This Row],[NR_SIMULACAO]],tblVendas[[#This Row],[NR_CNPJ]],"")</f>
        <v>37.513.146/0001-31</v>
      </c>
      <c r="C527" t="str">
        <f>_xlfn.XLOOKUP(A527,tblVendas[[#This Row],[NR_SIMULACAO]],tblVendas[[#This Row],[STATUS]],"")</f>
        <v>TRAMITANDO</v>
      </c>
      <c r="D527" t="str">
        <f>_xlfn.XLOOKUP(A527,tblVendas[[#This Row],[NR_SIMULACAO]],tblVendas[[#This Row],[MES]],"")</f>
        <v>Dezembro</v>
      </c>
      <c r="E527">
        <f>SUM(_xlfn.XLOOKUP(tblCalculo[[#This Row],[NR_SIMULACAO]],tblVendas[[#This Row],[NR_SIMULACAO]],tblVendas[[#This Row],[VALOR_MOVEL]],""):_xlfn.XLOOKUP(tblCalculo[[#This Row],[NR_SIMULACAO]],tblVendas[[#This Row],[NR_SIMULACAO]],tblVendas[[#This Row],[VALOR_APARELHO]],""))</f>
        <v>4912.5200000000004</v>
      </c>
      <c r="F527">
        <f>IF(tblCalculo[[#This Row],[STATUS]]="CONCLUÍDO",_xlfn.XLOOKUP(tblCalculo[[#This Row],[NR_SIMULACAO]],tblVendas[[#This Row],[NR_SIMULACAO]],tblVendas[[#This Row],[VALOR_MOVEL]],""),0)</f>
        <v>0</v>
      </c>
      <c r="G527">
        <f>IF(tblCalculo[[#This Row],[STATUS]]="CONCLUÍDO",_xlfn.XLOOKUP(tblCalculo[[#This Row],[NR_SIMULACAO]],tblVendas[[#This Row],[NR_SIMULACAO]],tblVendas[[#This Row],[VALOR_AVANCADO]],""),0)</f>
        <v>0</v>
      </c>
      <c r="H527">
        <f>IF(tblCalculo[[#This Row],[STATUS]]="CONCLUÍDO",_xlfn.XLOOKUP(tblCalculo[[#This Row],[NR_SIMULACAO]],tblVendas[[#This Row],[NR_SIMULACAO]],tblVendas[[#This Row],[VALOR_FIXABASICA]],""),0)</f>
        <v>0</v>
      </c>
      <c r="I527">
        <f>IF(tblCalculo[[#This Row],[STATUS]]="CONCLUÍDO",_xlfn.XLOOKUP(tblCalculo[[#This Row],[NR_SIMULACAO]],tblVendas[[#This Row],[NR_SIMULACAO]],tblVendas[[#This Row],[VALOR_TI]],""),0)</f>
        <v>0</v>
      </c>
      <c r="J527">
        <f>IF(tblCalculo[[#This Row],[STATUS]]="CONCLUÍDO",_xlfn.XLOOKUP(tblCalculo[[#This Row],[NR_SIMULACAO]],tblVendas[[#This Row],[NR_SIMULACAO]],tblVendas[[#This Row],[VALOR_APARELHO]],""),0)</f>
        <v>0</v>
      </c>
      <c r="K527" t="str">
        <f>IF(tblCalculo[[#This Row],[STATUS]]="NEGOCIANDO",tblCalculo[[#This Row],[VALOR_TOTAL]],"")</f>
        <v/>
      </c>
      <c r="L527" t="str">
        <f>IF(tblCalculo[[#This Row],[STATUS]]="ALÇADA",tblCalculo[[#This Row],[VALOR_TOTAL]],"")</f>
        <v/>
      </c>
      <c r="M527" t="str">
        <f>IF(tblCalculo[[#This Row],[STATUS]]="EM ANÁLISE",tblCalculo[[#This Row],[VALOR_TOTAL]],"")</f>
        <v/>
      </c>
      <c r="N527">
        <f>IF(tblCalculo[[#This Row],[STATUS]]="TRAMITANDO",tblCalculo[[#This Row],[VALOR_TOTAL]],"")</f>
        <v>4912.5200000000004</v>
      </c>
      <c r="O527" t="str">
        <f>IF(tblCalculo[[#This Row],[STATUS]]="PERDIDO",tblCalculo[[#This Row],[VALOR_TOTAL]],"")</f>
        <v/>
      </c>
      <c r="P527" t="str">
        <f>IF(tblCalculo[[#This Row],[STATUS]]="CONCLUÍDO",tblCalculo[[#This Row],[VALOR_TOTAL]],"")</f>
        <v/>
      </c>
    </row>
    <row r="528" spans="1:16" x14ac:dyDescent="0.25">
      <c r="A528" t="str">
        <f>tblVendas[[#This Row],[NR_SIMULACAO]]</f>
        <v>SIM1518</v>
      </c>
      <c r="B528" s="34" t="str">
        <f>_xlfn.XLOOKUP(A528,tblVendas[[#This Row],[NR_SIMULACAO]],tblVendas[[#This Row],[NR_CNPJ]],"")</f>
        <v>70.580.403/0001-72</v>
      </c>
      <c r="C528" t="str">
        <f>_xlfn.XLOOKUP(A528,tblVendas[[#This Row],[NR_SIMULACAO]],tblVendas[[#This Row],[STATUS]],"")</f>
        <v>CONCLUÍDO</v>
      </c>
      <c r="D528" t="str">
        <f>_xlfn.XLOOKUP(A528,tblVendas[[#This Row],[NR_SIMULACAO]],tblVendas[[#This Row],[MES]],"")</f>
        <v>Fevereiro</v>
      </c>
      <c r="E528">
        <f>SUM(_xlfn.XLOOKUP(tblCalculo[[#This Row],[NR_SIMULACAO]],tblVendas[[#This Row],[NR_SIMULACAO]],tblVendas[[#This Row],[VALOR_MOVEL]],""):_xlfn.XLOOKUP(tblCalculo[[#This Row],[NR_SIMULACAO]],tblVendas[[#This Row],[NR_SIMULACAO]],tblVendas[[#This Row],[VALOR_APARELHO]],""))</f>
        <v>13881.630000000001</v>
      </c>
      <c r="F528">
        <f>IF(tblCalculo[[#This Row],[STATUS]]="CONCLUÍDO",_xlfn.XLOOKUP(tblCalculo[[#This Row],[NR_SIMULACAO]],tblVendas[[#This Row],[NR_SIMULACAO]],tblVendas[[#This Row],[VALOR_MOVEL]],""),0)</f>
        <v>0</v>
      </c>
      <c r="G528">
        <f>IF(tblCalculo[[#This Row],[STATUS]]="CONCLUÍDO",_xlfn.XLOOKUP(tblCalculo[[#This Row],[NR_SIMULACAO]],tblVendas[[#This Row],[NR_SIMULACAO]],tblVendas[[#This Row],[VALOR_AVANCADO]],""),0)</f>
        <v>0</v>
      </c>
      <c r="H528">
        <f>IF(tblCalculo[[#This Row],[STATUS]]="CONCLUÍDO",_xlfn.XLOOKUP(tblCalculo[[#This Row],[NR_SIMULACAO]],tblVendas[[#This Row],[NR_SIMULACAO]],tblVendas[[#This Row],[VALOR_FIXABASICA]],""),0)</f>
        <v>0</v>
      </c>
      <c r="I528">
        <f>IF(tblCalculo[[#This Row],[STATUS]]="CONCLUÍDO",_xlfn.XLOOKUP(tblCalculo[[#This Row],[NR_SIMULACAO]],tblVendas[[#This Row],[NR_SIMULACAO]],tblVendas[[#This Row],[VALOR_TI]],""),0)</f>
        <v>10943.7</v>
      </c>
      <c r="J528">
        <f>IF(tblCalculo[[#This Row],[STATUS]]="CONCLUÍDO",_xlfn.XLOOKUP(tblCalculo[[#This Row],[NR_SIMULACAO]],tblVendas[[#This Row],[NR_SIMULACAO]],tblVendas[[#This Row],[VALOR_APARELHO]],""),0)</f>
        <v>2937.93</v>
      </c>
      <c r="K528" t="str">
        <f>IF(tblCalculo[[#This Row],[STATUS]]="NEGOCIANDO",tblCalculo[[#This Row],[VALOR_TOTAL]],"")</f>
        <v/>
      </c>
      <c r="L528" t="str">
        <f>IF(tblCalculo[[#This Row],[STATUS]]="ALÇADA",tblCalculo[[#This Row],[VALOR_TOTAL]],"")</f>
        <v/>
      </c>
      <c r="M528" t="str">
        <f>IF(tblCalculo[[#This Row],[STATUS]]="EM ANÁLISE",tblCalculo[[#This Row],[VALOR_TOTAL]],"")</f>
        <v/>
      </c>
      <c r="N528" t="str">
        <f>IF(tblCalculo[[#This Row],[STATUS]]="TRAMITANDO",tblCalculo[[#This Row],[VALOR_TOTAL]],"")</f>
        <v/>
      </c>
      <c r="O528" t="str">
        <f>IF(tblCalculo[[#This Row],[STATUS]]="PERDIDO",tblCalculo[[#This Row],[VALOR_TOTAL]],"")</f>
        <v/>
      </c>
      <c r="P528">
        <f>IF(tblCalculo[[#This Row],[STATUS]]="CONCLUÍDO",tblCalculo[[#This Row],[VALOR_TOTAL]],"")</f>
        <v>13881.630000000001</v>
      </c>
    </row>
    <row r="529" spans="1:16" x14ac:dyDescent="0.25">
      <c r="A529" t="str">
        <f>tblVendas[[#This Row],[NR_SIMULACAO]]</f>
        <v>SIM1519</v>
      </c>
      <c r="B529" s="34" t="str">
        <f>_xlfn.XLOOKUP(A529,tblVendas[[#This Row],[NR_SIMULACAO]],tblVendas[[#This Row],[NR_CNPJ]],"")</f>
        <v>64.912.259/0001-49</v>
      </c>
      <c r="C529" t="str">
        <f>_xlfn.XLOOKUP(A529,tblVendas[[#This Row],[NR_SIMULACAO]],tblVendas[[#This Row],[STATUS]],"")</f>
        <v>NEGOCIANDO</v>
      </c>
      <c r="D529" t="str">
        <f>_xlfn.XLOOKUP(A529,tblVendas[[#This Row],[NR_SIMULACAO]],tblVendas[[#This Row],[MES]],"")</f>
        <v>Agosto</v>
      </c>
      <c r="E529">
        <f>SUM(_xlfn.XLOOKUP(tblCalculo[[#This Row],[NR_SIMULACAO]],tblVendas[[#This Row],[NR_SIMULACAO]],tblVendas[[#This Row],[VALOR_MOVEL]],""):_xlfn.XLOOKUP(tblCalculo[[#This Row],[NR_SIMULACAO]],tblVendas[[#This Row],[NR_SIMULACAO]],tblVendas[[#This Row],[VALOR_APARELHO]],""))</f>
        <v>10765.24</v>
      </c>
      <c r="F529">
        <f>IF(tblCalculo[[#This Row],[STATUS]]="CONCLUÍDO",_xlfn.XLOOKUP(tblCalculo[[#This Row],[NR_SIMULACAO]],tblVendas[[#This Row],[NR_SIMULACAO]],tblVendas[[#This Row],[VALOR_MOVEL]],""),0)</f>
        <v>0</v>
      </c>
      <c r="G529">
        <f>IF(tblCalculo[[#This Row],[STATUS]]="CONCLUÍDO",_xlfn.XLOOKUP(tblCalculo[[#This Row],[NR_SIMULACAO]],tblVendas[[#This Row],[NR_SIMULACAO]],tblVendas[[#This Row],[VALOR_AVANCADO]],""),0)</f>
        <v>0</v>
      </c>
      <c r="H529">
        <f>IF(tblCalculo[[#This Row],[STATUS]]="CONCLUÍDO",_xlfn.XLOOKUP(tblCalculo[[#This Row],[NR_SIMULACAO]],tblVendas[[#This Row],[NR_SIMULACAO]],tblVendas[[#This Row],[VALOR_FIXABASICA]],""),0)</f>
        <v>0</v>
      </c>
      <c r="I529">
        <f>IF(tblCalculo[[#This Row],[STATUS]]="CONCLUÍDO",_xlfn.XLOOKUP(tblCalculo[[#This Row],[NR_SIMULACAO]],tblVendas[[#This Row],[NR_SIMULACAO]],tblVendas[[#This Row],[VALOR_TI]],""),0)</f>
        <v>0</v>
      </c>
      <c r="J529">
        <f>IF(tblCalculo[[#This Row],[STATUS]]="CONCLUÍDO",_xlfn.XLOOKUP(tblCalculo[[#This Row],[NR_SIMULACAO]],tblVendas[[#This Row],[NR_SIMULACAO]],tblVendas[[#This Row],[VALOR_APARELHO]],""),0)</f>
        <v>0</v>
      </c>
      <c r="K529">
        <f>IF(tblCalculo[[#This Row],[STATUS]]="NEGOCIANDO",tblCalculo[[#This Row],[VALOR_TOTAL]],"")</f>
        <v>10765.24</v>
      </c>
      <c r="L529" t="str">
        <f>IF(tblCalculo[[#This Row],[STATUS]]="ALÇADA",tblCalculo[[#This Row],[VALOR_TOTAL]],"")</f>
        <v/>
      </c>
      <c r="M529" t="str">
        <f>IF(tblCalculo[[#This Row],[STATUS]]="EM ANÁLISE",tblCalculo[[#This Row],[VALOR_TOTAL]],"")</f>
        <v/>
      </c>
      <c r="N529" t="str">
        <f>IF(tblCalculo[[#This Row],[STATUS]]="TRAMITANDO",tblCalculo[[#This Row],[VALOR_TOTAL]],"")</f>
        <v/>
      </c>
      <c r="O529" t="str">
        <f>IF(tblCalculo[[#This Row],[STATUS]]="PERDIDO",tblCalculo[[#This Row],[VALOR_TOTAL]],"")</f>
        <v/>
      </c>
      <c r="P529" t="str">
        <f>IF(tblCalculo[[#This Row],[STATUS]]="CONCLUÍDO",tblCalculo[[#This Row],[VALOR_TOTAL]],"")</f>
        <v/>
      </c>
    </row>
    <row r="530" spans="1:16" x14ac:dyDescent="0.25">
      <c r="A530" t="str">
        <f>tblVendas[[#This Row],[NR_SIMULACAO]]</f>
        <v>SIM1520</v>
      </c>
      <c r="B530" s="34" t="str">
        <f>_xlfn.XLOOKUP(A530,tblVendas[[#This Row],[NR_SIMULACAO]],tblVendas[[#This Row],[NR_CNPJ]],"")</f>
        <v>88.735.267/0001-78</v>
      </c>
      <c r="C530" t="str">
        <f>_xlfn.XLOOKUP(A530,tblVendas[[#This Row],[NR_SIMULACAO]],tblVendas[[#This Row],[STATUS]],"")</f>
        <v>PERDIDO</v>
      </c>
      <c r="D530" t="str">
        <f>_xlfn.XLOOKUP(A530,tblVendas[[#This Row],[NR_SIMULACAO]],tblVendas[[#This Row],[MES]],"")</f>
        <v>Setembro</v>
      </c>
      <c r="E530">
        <f>SUM(_xlfn.XLOOKUP(tblCalculo[[#This Row],[NR_SIMULACAO]],tblVendas[[#This Row],[NR_SIMULACAO]],tblVendas[[#This Row],[VALOR_MOVEL]],""):_xlfn.XLOOKUP(tblCalculo[[#This Row],[NR_SIMULACAO]],tblVendas[[#This Row],[NR_SIMULACAO]],tblVendas[[#This Row],[VALOR_APARELHO]],""))</f>
        <v>6506.78</v>
      </c>
      <c r="F530">
        <f>IF(tblCalculo[[#This Row],[STATUS]]="CONCLUÍDO",_xlfn.XLOOKUP(tblCalculo[[#This Row],[NR_SIMULACAO]],tblVendas[[#This Row],[NR_SIMULACAO]],tblVendas[[#This Row],[VALOR_MOVEL]],""),0)</f>
        <v>0</v>
      </c>
      <c r="G530">
        <f>IF(tblCalculo[[#This Row],[STATUS]]="CONCLUÍDO",_xlfn.XLOOKUP(tblCalculo[[#This Row],[NR_SIMULACAO]],tblVendas[[#This Row],[NR_SIMULACAO]],tblVendas[[#This Row],[VALOR_AVANCADO]],""),0)</f>
        <v>0</v>
      </c>
      <c r="H530">
        <f>IF(tblCalculo[[#This Row],[STATUS]]="CONCLUÍDO",_xlfn.XLOOKUP(tblCalculo[[#This Row],[NR_SIMULACAO]],tblVendas[[#This Row],[NR_SIMULACAO]],tblVendas[[#This Row],[VALOR_FIXABASICA]],""),0)</f>
        <v>0</v>
      </c>
      <c r="I530">
        <f>IF(tblCalculo[[#This Row],[STATUS]]="CONCLUÍDO",_xlfn.XLOOKUP(tblCalculo[[#This Row],[NR_SIMULACAO]],tblVendas[[#This Row],[NR_SIMULACAO]],tblVendas[[#This Row],[VALOR_TI]],""),0)</f>
        <v>0</v>
      </c>
      <c r="J530">
        <f>IF(tblCalculo[[#This Row],[STATUS]]="CONCLUÍDO",_xlfn.XLOOKUP(tblCalculo[[#This Row],[NR_SIMULACAO]],tblVendas[[#This Row],[NR_SIMULACAO]],tblVendas[[#This Row],[VALOR_APARELHO]],""),0)</f>
        <v>0</v>
      </c>
      <c r="K530" t="str">
        <f>IF(tblCalculo[[#This Row],[STATUS]]="NEGOCIANDO",tblCalculo[[#This Row],[VALOR_TOTAL]],"")</f>
        <v/>
      </c>
      <c r="L530" t="str">
        <f>IF(tblCalculo[[#This Row],[STATUS]]="ALÇADA",tblCalculo[[#This Row],[VALOR_TOTAL]],"")</f>
        <v/>
      </c>
      <c r="M530" t="str">
        <f>IF(tblCalculo[[#This Row],[STATUS]]="EM ANÁLISE",tblCalculo[[#This Row],[VALOR_TOTAL]],"")</f>
        <v/>
      </c>
      <c r="N530" t="str">
        <f>IF(tblCalculo[[#This Row],[STATUS]]="TRAMITANDO",tblCalculo[[#This Row],[VALOR_TOTAL]],"")</f>
        <v/>
      </c>
      <c r="O530">
        <f>IF(tblCalculo[[#This Row],[STATUS]]="PERDIDO",tblCalculo[[#This Row],[VALOR_TOTAL]],"")</f>
        <v>6506.78</v>
      </c>
      <c r="P530" t="str">
        <f>IF(tblCalculo[[#This Row],[STATUS]]="CONCLUÍDO",tblCalculo[[#This Row],[VALOR_TOTAL]],"")</f>
        <v/>
      </c>
    </row>
    <row r="531" spans="1:16" x14ac:dyDescent="0.25">
      <c r="A531" t="str">
        <f>tblVendas[[#This Row],[NR_SIMULACAO]]</f>
        <v>SIM1521</v>
      </c>
      <c r="B531" s="34" t="str">
        <f>_xlfn.XLOOKUP(A531,tblVendas[[#This Row],[NR_SIMULACAO]],tblVendas[[#This Row],[NR_CNPJ]],"")</f>
        <v>51.685.309/0001-50</v>
      </c>
      <c r="C531" t="str">
        <f>_xlfn.XLOOKUP(A531,tblVendas[[#This Row],[NR_SIMULACAO]],tblVendas[[#This Row],[STATUS]],"")</f>
        <v>TRAMITANDO</v>
      </c>
      <c r="D531" t="str">
        <f>_xlfn.XLOOKUP(A531,tblVendas[[#This Row],[NR_SIMULACAO]],tblVendas[[#This Row],[MES]],"")</f>
        <v>Agosto</v>
      </c>
      <c r="E531">
        <f>SUM(_xlfn.XLOOKUP(tblCalculo[[#This Row],[NR_SIMULACAO]],tblVendas[[#This Row],[NR_SIMULACAO]],tblVendas[[#This Row],[VALOR_MOVEL]],""):_xlfn.XLOOKUP(tblCalculo[[#This Row],[NR_SIMULACAO]],tblVendas[[#This Row],[NR_SIMULACAO]],tblVendas[[#This Row],[VALOR_APARELHO]],""))</f>
        <v>18669.53</v>
      </c>
      <c r="F531">
        <f>IF(tblCalculo[[#This Row],[STATUS]]="CONCLUÍDO",_xlfn.XLOOKUP(tblCalculo[[#This Row],[NR_SIMULACAO]],tblVendas[[#This Row],[NR_SIMULACAO]],tblVendas[[#This Row],[VALOR_MOVEL]],""),0)</f>
        <v>0</v>
      </c>
      <c r="G531">
        <f>IF(tblCalculo[[#This Row],[STATUS]]="CONCLUÍDO",_xlfn.XLOOKUP(tblCalculo[[#This Row],[NR_SIMULACAO]],tblVendas[[#This Row],[NR_SIMULACAO]],tblVendas[[#This Row],[VALOR_AVANCADO]],""),0)</f>
        <v>0</v>
      </c>
      <c r="H531">
        <f>IF(tblCalculo[[#This Row],[STATUS]]="CONCLUÍDO",_xlfn.XLOOKUP(tblCalculo[[#This Row],[NR_SIMULACAO]],tblVendas[[#This Row],[NR_SIMULACAO]],tblVendas[[#This Row],[VALOR_FIXABASICA]],""),0)</f>
        <v>0</v>
      </c>
      <c r="I531">
        <f>IF(tblCalculo[[#This Row],[STATUS]]="CONCLUÍDO",_xlfn.XLOOKUP(tblCalculo[[#This Row],[NR_SIMULACAO]],tblVendas[[#This Row],[NR_SIMULACAO]],tblVendas[[#This Row],[VALOR_TI]],""),0)</f>
        <v>0</v>
      </c>
      <c r="J531">
        <f>IF(tblCalculo[[#This Row],[STATUS]]="CONCLUÍDO",_xlfn.XLOOKUP(tblCalculo[[#This Row],[NR_SIMULACAO]],tblVendas[[#This Row],[NR_SIMULACAO]],tblVendas[[#This Row],[VALOR_APARELHO]],""),0)</f>
        <v>0</v>
      </c>
      <c r="K531" t="str">
        <f>IF(tblCalculo[[#This Row],[STATUS]]="NEGOCIANDO",tblCalculo[[#This Row],[VALOR_TOTAL]],"")</f>
        <v/>
      </c>
      <c r="L531" t="str">
        <f>IF(tblCalculo[[#This Row],[STATUS]]="ALÇADA",tblCalculo[[#This Row],[VALOR_TOTAL]],"")</f>
        <v/>
      </c>
      <c r="M531" t="str">
        <f>IF(tblCalculo[[#This Row],[STATUS]]="EM ANÁLISE",tblCalculo[[#This Row],[VALOR_TOTAL]],"")</f>
        <v/>
      </c>
      <c r="N531">
        <f>IF(tblCalculo[[#This Row],[STATUS]]="TRAMITANDO",tblCalculo[[#This Row],[VALOR_TOTAL]],"")</f>
        <v>18669.53</v>
      </c>
      <c r="O531" t="str">
        <f>IF(tblCalculo[[#This Row],[STATUS]]="PERDIDO",tblCalculo[[#This Row],[VALOR_TOTAL]],"")</f>
        <v/>
      </c>
      <c r="P531" t="str">
        <f>IF(tblCalculo[[#This Row],[STATUS]]="CONCLUÍDO",tblCalculo[[#This Row],[VALOR_TOTAL]],"")</f>
        <v/>
      </c>
    </row>
    <row r="532" spans="1:16" x14ac:dyDescent="0.25">
      <c r="A532" t="str">
        <f>tblVendas[[#This Row],[NR_SIMULACAO]]</f>
        <v>SIM1522</v>
      </c>
      <c r="B532" s="34" t="str">
        <f>_xlfn.XLOOKUP(A532,tblVendas[[#This Row],[NR_SIMULACAO]],tblVendas[[#This Row],[NR_CNPJ]],"")</f>
        <v>46.221.571/0001-89</v>
      </c>
      <c r="C532" t="str">
        <f>_xlfn.XLOOKUP(A532,tblVendas[[#This Row],[NR_SIMULACAO]],tblVendas[[#This Row],[STATUS]],"")</f>
        <v>ALÇADA</v>
      </c>
      <c r="D532" t="str">
        <f>_xlfn.XLOOKUP(A532,tblVendas[[#This Row],[NR_SIMULACAO]],tblVendas[[#This Row],[MES]],"")</f>
        <v>Junho</v>
      </c>
      <c r="E532">
        <f>SUM(_xlfn.XLOOKUP(tblCalculo[[#This Row],[NR_SIMULACAO]],tblVendas[[#This Row],[NR_SIMULACAO]],tblVendas[[#This Row],[VALOR_MOVEL]],""):_xlfn.XLOOKUP(tblCalculo[[#This Row],[NR_SIMULACAO]],tblVendas[[#This Row],[NR_SIMULACAO]],tblVendas[[#This Row],[VALOR_APARELHO]],""))</f>
        <v>21296.809999999998</v>
      </c>
      <c r="F532">
        <f>IF(tblCalculo[[#This Row],[STATUS]]="CONCLUÍDO",_xlfn.XLOOKUP(tblCalculo[[#This Row],[NR_SIMULACAO]],tblVendas[[#This Row],[NR_SIMULACAO]],tblVendas[[#This Row],[VALOR_MOVEL]],""),0)</f>
        <v>0</v>
      </c>
      <c r="G532">
        <f>IF(tblCalculo[[#This Row],[STATUS]]="CONCLUÍDO",_xlfn.XLOOKUP(tblCalculo[[#This Row],[NR_SIMULACAO]],tblVendas[[#This Row],[NR_SIMULACAO]],tblVendas[[#This Row],[VALOR_AVANCADO]],""),0)</f>
        <v>0</v>
      </c>
      <c r="H532">
        <f>IF(tblCalculo[[#This Row],[STATUS]]="CONCLUÍDO",_xlfn.XLOOKUP(tblCalculo[[#This Row],[NR_SIMULACAO]],tblVendas[[#This Row],[NR_SIMULACAO]],tblVendas[[#This Row],[VALOR_FIXABASICA]],""),0)</f>
        <v>0</v>
      </c>
      <c r="I532">
        <f>IF(tblCalculo[[#This Row],[STATUS]]="CONCLUÍDO",_xlfn.XLOOKUP(tblCalculo[[#This Row],[NR_SIMULACAO]],tblVendas[[#This Row],[NR_SIMULACAO]],tblVendas[[#This Row],[VALOR_TI]],""),0)</f>
        <v>0</v>
      </c>
      <c r="J532">
        <f>IF(tblCalculo[[#This Row],[STATUS]]="CONCLUÍDO",_xlfn.XLOOKUP(tblCalculo[[#This Row],[NR_SIMULACAO]],tblVendas[[#This Row],[NR_SIMULACAO]],tblVendas[[#This Row],[VALOR_APARELHO]],""),0)</f>
        <v>0</v>
      </c>
      <c r="K532" t="str">
        <f>IF(tblCalculo[[#This Row],[STATUS]]="NEGOCIANDO",tblCalculo[[#This Row],[VALOR_TOTAL]],"")</f>
        <v/>
      </c>
      <c r="L532">
        <f>IF(tblCalculo[[#This Row],[STATUS]]="ALÇADA",tblCalculo[[#This Row],[VALOR_TOTAL]],"")</f>
        <v>21296.809999999998</v>
      </c>
      <c r="M532" t="str">
        <f>IF(tblCalculo[[#This Row],[STATUS]]="EM ANÁLISE",tblCalculo[[#This Row],[VALOR_TOTAL]],"")</f>
        <v/>
      </c>
      <c r="N532" t="str">
        <f>IF(tblCalculo[[#This Row],[STATUS]]="TRAMITANDO",tblCalculo[[#This Row],[VALOR_TOTAL]],"")</f>
        <v/>
      </c>
      <c r="O532" t="str">
        <f>IF(tblCalculo[[#This Row],[STATUS]]="PERDIDO",tblCalculo[[#This Row],[VALOR_TOTAL]],"")</f>
        <v/>
      </c>
      <c r="P532" t="str">
        <f>IF(tblCalculo[[#This Row],[STATUS]]="CONCLUÍDO",tblCalculo[[#This Row],[VALOR_TOTAL]],"")</f>
        <v/>
      </c>
    </row>
    <row r="533" spans="1:16" x14ac:dyDescent="0.25">
      <c r="A533" t="str">
        <f>tblVendas[[#This Row],[NR_SIMULACAO]]</f>
        <v>SIM1523</v>
      </c>
      <c r="B533" s="34" t="str">
        <f>_xlfn.XLOOKUP(A533,tblVendas[[#This Row],[NR_SIMULACAO]],tblVendas[[#This Row],[NR_CNPJ]],"")</f>
        <v>13.372.961/0001-15</v>
      </c>
      <c r="C533" t="str">
        <f>_xlfn.XLOOKUP(A533,tblVendas[[#This Row],[NR_SIMULACAO]],tblVendas[[#This Row],[STATUS]],"")</f>
        <v>ALÇADA</v>
      </c>
      <c r="D533" t="str">
        <f>_xlfn.XLOOKUP(A533,tblVendas[[#This Row],[NR_SIMULACAO]],tblVendas[[#This Row],[MES]],"")</f>
        <v>Maio</v>
      </c>
      <c r="E533">
        <f>SUM(_xlfn.XLOOKUP(tblCalculo[[#This Row],[NR_SIMULACAO]],tblVendas[[#This Row],[NR_SIMULACAO]],tblVendas[[#This Row],[VALOR_MOVEL]],""):_xlfn.XLOOKUP(tblCalculo[[#This Row],[NR_SIMULACAO]],tblVendas[[#This Row],[NR_SIMULACAO]],tblVendas[[#This Row],[VALOR_APARELHO]],""))</f>
        <v>5116.5700000000006</v>
      </c>
      <c r="F533">
        <f>IF(tblCalculo[[#This Row],[STATUS]]="CONCLUÍDO",_xlfn.XLOOKUP(tblCalculo[[#This Row],[NR_SIMULACAO]],tblVendas[[#This Row],[NR_SIMULACAO]],tblVendas[[#This Row],[VALOR_MOVEL]],""),0)</f>
        <v>0</v>
      </c>
      <c r="G533">
        <f>IF(tblCalculo[[#This Row],[STATUS]]="CONCLUÍDO",_xlfn.XLOOKUP(tblCalculo[[#This Row],[NR_SIMULACAO]],tblVendas[[#This Row],[NR_SIMULACAO]],tblVendas[[#This Row],[VALOR_AVANCADO]],""),0)</f>
        <v>0</v>
      </c>
      <c r="H533">
        <f>IF(tblCalculo[[#This Row],[STATUS]]="CONCLUÍDO",_xlfn.XLOOKUP(tblCalculo[[#This Row],[NR_SIMULACAO]],tblVendas[[#This Row],[NR_SIMULACAO]],tblVendas[[#This Row],[VALOR_FIXABASICA]],""),0)</f>
        <v>0</v>
      </c>
      <c r="I533">
        <f>IF(tblCalculo[[#This Row],[STATUS]]="CONCLUÍDO",_xlfn.XLOOKUP(tblCalculo[[#This Row],[NR_SIMULACAO]],tblVendas[[#This Row],[NR_SIMULACAO]],tblVendas[[#This Row],[VALOR_TI]],""),0)</f>
        <v>0</v>
      </c>
      <c r="J533">
        <f>IF(tblCalculo[[#This Row],[STATUS]]="CONCLUÍDO",_xlfn.XLOOKUP(tblCalculo[[#This Row],[NR_SIMULACAO]],tblVendas[[#This Row],[NR_SIMULACAO]],tblVendas[[#This Row],[VALOR_APARELHO]],""),0)</f>
        <v>0</v>
      </c>
      <c r="K533" t="str">
        <f>IF(tblCalculo[[#This Row],[STATUS]]="NEGOCIANDO",tblCalculo[[#This Row],[VALOR_TOTAL]],"")</f>
        <v/>
      </c>
      <c r="L533">
        <f>IF(tblCalculo[[#This Row],[STATUS]]="ALÇADA",tblCalculo[[#This Row],[VALOR_TOTAL]],"")</f>
        <v>5116.5700000000006</v>
      </c>
      <c r="M533" t="str">
        <f>IF(tblCalculo[[#This Row],[STATUS]]="EM ANÁLISE",tblCalculo[[#This Row],[VALOR_TOTAL]],"")</f>
        <v/>
      </c>
      <c r="N533" t="str">
        <f>IF(tblCalculo[[#This Row],[STATUS]]="TRAMITANDO",tblCalculo[[#This Row],[VALOR_TOTAL]],"")</f>
        <v/>
      </c>
      <c r="O533" t="str">
        <f>IF(tblCalculo[[#This Row],[STATUS]]="PERDIDO",tblCalculo[[#This Row],[VALOR_TOTAL]],"")</f>
        <v/>
      </c>
      <c r="P533" t="str">
        <f>IF(tblCalculo[[#This Row],[STATUS]]="CONCLUÍDO",tblCalculo[[#This Row],[VALOR_TOTAL]],"")</f>
        <v/>
      </c>
    </row>
    <row r="534" spans="1:16" x14ac:dyDescent="0.25">
      <c r="A534" t="str">
        <f>tblVendas[[#This Row],[NR_SIMULACAO]]</f>
        <v>SIM1524</v>
      </c>
      <c r="B534" s="34" t="str">
        <f>_xlfn.XLOOKUP(A534,tblVendas[[#This Row],[NR_SIMULACAO]],tblVendas[[#This Row],[NR_CNPJ]],"")</f>
        <v>45.138.220/0001-71</v>
      </c>
      <c r="C534" t="str">
        <f>_xlfn.XLOOKUP(A534,tblVendas[[#This Row],[NR_SIMULACAO]],tblVendas[[#This Row],[STATUS]],"")</f>
        <v>TRAMITANDO</v>
      </c>
      <c r="D534" t="str">
        <f>_xlfn.XLOOKUP(A534,tblVendas[[#This Row],[NR_SIMULACAO]],tblVendas[[#This Row],[MES]],"")</f>
        <v>Março</v>
      </c>
      <c r="E534">
        <f>SUM(_xlfn.XLOOKUP(tblCalculo[[#This Row],[NR_SIMULACAO]],tblVendas[[#This Row],[NR_SIMULACAO]],tblVendas[[#This Row],[VALOR_MOVEL]],""):_xlfn.XLOOKUP(tblCalculo[[#This Row],[NR_SIMULACAO]],tblVendas[[#This Row],[NR_SIMULACAO]],tblVendas[[#This Row],[VALOR_APARELHO]],""))</f>
        <v>7280.58</v>
      </c>
      <c r="F534">
        <f>IF(tblCalculo[[#This Row],[STATUS]]="CONCLUÍDO",_xlfn.XLOOKUP(tblCalculo[[#This Row],[NR_SIMULACAO]],tblVendas[[#This Row],[NR_SIMULACAO]],tblVendas[[#This Row],[VALOR_MOVEL]],""),0)</f>
        <v>0</v>
      </c>
      <c r="G534">
        <f>IF(tblCalculo[[#This Row],[STATUS]]="CONCLUÍDO",_xlfn.XLOOKUP(tblCalculo[[#This Row],[NR_SIMULACAO]],tblVendas[[#This Row],[NR_SIMULACAO]],tblVendas[[#This Row],[VALOR_AVANCADO]],""),0)</f>
        <v>0</v>
      </c>
      <c r="H534">
        <f>IF(tblCalculo[[#This Row],[STATUS]]="CONCLUÍDO",_xlfn.XLOOKUP(tblCalculo[[#This Row],[NR_SIMULACAO]],tblVendas[[#This Row],[NR_SIMULACAO]],tblVendas[[#This Row],[VALOR_FIXABASICA]],""),0)</f>
        <v>0</v>
      </c>
      <c r="I534">
        <f>IF(tblCalculo[[#This Row],[STATUS]]="CONCLUÍDO",_xlfn.XLOOKUP(tblCalculo[[#This Row],[NR_SIMULACAO]],tblVendas[[#This Row],[NR_SIMULACAO]],tblVendas[[#This Row],[VALOR_TI]],""),0)</f>
        <v>0</v>
      </c>
      <c r="J534">
        <f>IF(tblCalculo[[#This Row],[STATUS]]="CONCLUÍDO",_xlfn.XLOOKUP(tblCalculo[[#This Row],[NR_SIMULACAO]],tblVendas[[#This Row],[NR_SIMULACAO]],tblVendas[[#This Row],[VALOR_APARELHO]],""),0)</f>
        <v>0</v>
      </c>
      <c r="K534" t="str">
        <f>IF(tblCalculo[[#This Row],[STATUS]]="NEGOCIANDO",tblCalculo[[#This Row],[VALOR_TOTAL]],"")</f>
        <v/>
      </c>
      <c r="L534" t="str">
        <f>IF(tblCalculo[[#This Row],[STATUS]]="ALÇADA",tblCalculo[[#This Row],[VALOR_TOTAL]],"")</f>
        <v/>
      </c>
      <c r="M534" t="str">
        <f>IF(tblCalculo[[#This Row],[STATUS]]="EM ANÁLISE",tblCalculo[[#This Row],[VALOR_TOTAL]],"")</f>
        <v/>
      </c>
      <c r="N534">
        <f>IF(tblCalculo[[#This Row],[STATUS]]="TRAMITANDO",tblCalculo[[#This Row],[VALOR_TOTAL]],"")</f>
        <v>7280.58</v>
      </c>
      <c r="O534" t="str">
        <f>IF(tblCalculo[[#This Row],[STATUS]]="PERDIDO",tblCalculo[[#This Row],[VALOR_TOTAL]],"")</f>
        <v/>
      </c>
      <c r="P534" t="str">
        <f>IF(tblCalculo[[#This Row],[STATUS]]="CONCLUÍDO",tblCalculo[[#This Row],[VALOR_TOTAL]],"")</f>
        <v/>
      </c>
    </row>
    <row r="535" spans="1:16" x14ac:dyDescent="0.25">
      <c r="A535" t="str">
        <f>tblVendas[[#This Row],[NR_SIMULACAO]]</f>
        <v>SIM1525</v>
      </c>
      <c r="B535" s="34" t="str">
        <f>_xlfn.XLOOKUP(A535,tblVendas[[#This Row],[NR_SIMULACAO]],tblVendas[[#This Row],[NR_CNPJ]],"")</f>
        <v>86.756.997/0001-70</v>
      </c>
      <c r="C535" t="str">
        <f>_xlfn.XLOOKUP(A535,tblVendas[[#This Row],[NR_SIMULACAO]],tblVendas[[#This Row],[STATUS]],"")</f>
        <v>CONCLUÍDO</v>
      </c>
      <c r="D535" t="str">
        <f>_xlfn.XLOOKUP(A535,tblVendas[[#This Row],[NR_SIMULACAO]],tblVendas[[#This Row],[MES]],"")</f>
        <v>Agosto</v>
      </c>
      <c r="E535">
        <f>SUM(_xlfn.XLOOKUP(tblCalculo[[#This Row],[NR_SIMULACAO]],tblVendas[[#This Row],[NR_SIMULACAO]],tblVendas[[#This Row],[VALOR_MOVEL]],""):_xlfn.XLOOKUP(tblCalculo[[#This Row],[NR_SIMULACAO]],tblVendas[[#This Row],[NR_SIMULACAO]],tblVendas[[#This Row],[VALOR_APARELHO]],""))</f>
        <v>10711.52</v>
      </c>
      <c r="F535">
        <f>IF(tblCalculo[[#This Row],[STATUS]]="CONCLUÍDO",_xlfn.XLOOKUP(tblCalculo[[#This Row],[NR_SIMULACAO]],tblVendas[[#This Row],[NR_SIMULACAO]],tblVendas[[#This Row],[VALOR_MOVEL]],""),0)</f>
        <v>112.58</v>
      </c>
      <c r="G535">
        <f>IF(tblCalculo[[#This Row],[STATUS]]="CONCLUÍDO",_xlfn.XLOOKUP(tblCalculo[[#This Row],[NR_SIMULACAO]],tblVendas[[#This Row],[NR_SIMULACAO]],tblVendas[[#This Row],[VALOR_AVANCADO]],""),0)</f>
        <v>0</v>
      </c>
      <c r="H535">
        <f>IF(tblCalculo[[#This Row],[STATUS]]="CONCLUÍDO",_xlfn.XLOOKUP(tblCalculo[[#This Row],[NR_SIMULACAO]],tblVendas[[#This Row],[NR_SIMULACAO]],tblVendas[[#This Row],[VALOR_FIXABASICA]],""),0)</f>
        <v>656.2</v>
      </c>
      <c r="I535">
        <f>IF(tblCalculo[[#This Row],[STATUS]]="CONCLUÍDO",_xlfn.XLOOKUP(tblCalculo[[#This Row],[NR_SIMULACAO]],tblVendas[[#This Row],[NR_SIMULACAO]],tblVendas[[#This Row],[VALOR_TI]],""),0)</f>
        <v>8095.31</v>
      </c>
      <c r="J535">
        <f>IF(tblCalculo[[#This Row],[STATUS]]="CONCLUÍDO",_xlfn.XLOOKUP(tblCalculo[[#This Row],[NR_SIMULACAO]],tblVendas[[#This Row],[NR_SIMULACAO]],tblVendas[[#This Row],[VALOR_APARELHO]],""),0)</f>
        <v>1847.43</v>
      </c>
      <c r="K535" t="str">
        <f>IF(tblCalculo[[#This Row],[STATUS]]="NEGOCIANDO",tblCalculo[[#This Row],[VALOR_TOTAL]],"")</f>
        <v/>
      </c>
      <c r="L535" t="str">
        <f>IF(tblCalculo[[#This Row],[STATUS]]="ALÇADA",tblCalculo[[#This Row],[VALOR_TOTAL]],"")</f>
        <v/>
      </c>
      <c r="M535" t="str">
        <f>IF(tblCalculo[[#This Row],[STATUS]]="EM ANÁLISE",tblCalculo[[#This Row],[VALOR_TOTAL]],"")</f>
        <v/>
      </c>
      <c r="N535" t="str">
        <f>IF(tblCalculo[[#This Row],[STATUS]]="TRAMITANDO",tblCalculo[[#This Row],[VALOR_TOTAL]],"")</f>
        <v/>
      </c>
      <c r="O535" t="str">
        <f>IF(tblCalculo[[#This Row],[STATUS]]="PERDIDO",tblCalculo[[#This Row],[VALOR_TOTAL]],"")</f>
        <v/>
      </c>
      <c r="P535">
        <f>IF(tblCalculo[[#This Row],[STATUS]]="CONCLUÍDO",tblCalculo[[#This Row],[VALOR_TOTAL]],"")</f>
        <v>10711.52</v>
      </c>
    </row>
    <row r="536" spans="1:16" x14ac:dyDescent="0.25">
      <c r="A536" t="str">
        <f>tblVendas[[#This Row],[NR_SIMULACAO]]</f>
        <v>SIM1526</v>
      </c>
      <c r="B536" s="34" t="str">
        <f>_xlfn.XLOOKUP(A536,tblVendas[[#This Row],[NR_SIMULACAO]],tblVendas[[#This Row],[NR_CNPJ]],"")</f>
        <v>85.882.894/0001-63</v>
      </c>
      <c r="C536" t="str">
        <f>_xlfn.XLOOKUP(A536,tblVendas[[#This Row],[NR_SIMULACAO]],tblVendas[[#This Row],[STATUS]],"")</f>
        <v>CONCLUÍDO</v>
      </c>
      <c r="D536" t="str">
        <f>_xlfn.XLOOKUP(A536,tblVendas[[#This Row],[NR_SIMULACAO]],tblVendas[[#This Row],[MES]],"")</f>
        <v>Maio</v>
      </c>
      <c r="E536">
        <f>SUM(_xlfn.XLOOKUP(tblCalculo[[#This Row],[NR_SIMULACAO]],tblVendas[[#This Row],[NR_SIMULACAO]],tblVendas[[#This Row],[VALOR_MOVEL]],""):_xlfn.XLOOKUP(tblCalculo[[#This Row],[NR_SIMULACAO]],tblVendas[[#This Row],[NR_SIMULACAO]],tblVendas[[#This Row],[VALOR_APARELHO]],""))</f>
        <v>18624.96</v>
      </c>
      <c r="F536">
        <f>IF(tblCalculo[[#This Row],[STATUS]]="CONCLUÍDO",_xlfn.XLOOKUP(tblCalculo[[#This Row],[NR_SIMULACAO]],tblVendas[[#This Row],[NR_SIMULACAO]],tblVendas[[#This Row],[VALOR_MOVEL]],""),0)</f>
        <v>0</v>
      </c>
      <c r="G536">
        <f>IF(tblCalculo[[#This Row],[STATUS]]="CONCLUÍDO",_xlfn.XLOOKUP(tblCalculo[[#This Row],[NR_SIMULACAO]],tblVendas[[#This Row],[NR_SIMULACAO]],tblVendas[[#This Row],[VALOR_AVANCADO]],""),0)</f>
        <v>0</v>
      </c>
      <c r="H536">
        <f>IF(tblCalculo[[#This Row],[STATUS]]="CONCLUÍDO",_xlfn.XLOOKUP(tblCalculo[[#This Row],[NR_SIMULACAO]],tblVendas[[#This Row],[NR_SIMULACAO]],tblVendas[[#This Row],[VALOR_FIXABASICA]],""),0)</f>
        <v>0</v>
      </c>
      <c r="I536">
        <f>IF(tblCalculo[[#This Row],[STATUS]]="CONCLUÍDO",_xlfn.XLOOKUP(tblCalculo[[#This Row],[NR_SIMULACAO]],tblVendas[[#This Row],[NR_SIMULACAO]],tblVendas[[#This Row],[VALOR_TI]],""),0)</f>
        <v>4856.72</v>
      </c>
      <c r="J536">
        <f>IF(tblCalculo[[#This Row],[STATUS]]="CONCLUÍDO",_xlfn.XLOOKUP(tblCalculo[[#This Row],[NR_SIMULACAO]],tblVendas[[#This Row],[NR_SIMULACAO]],tblVendas[[#This Row],[VALOR_APARELHO]],""),0)</f>
        <v>13768.24</v>
      </c>
      <c r="K536" t="str">
        <f>IF(tblCalculo[[#This Row],[STATUS]]="NEGOCIANDO",tblCalculo[[#This Row],[VALOR_TOTAL]],"")</f>
        <v/>
      </c>
      <c r="L536" t="str">
        <f>IF(tblCalculo[[#This Row],[STATUS]]="ALÇADA",tblCalculo[[#This Row],[VALOR_TOTAL]],"")</f>
        <v/>
      </c>
      <c r="M536" t="str">
        <f>IF(tblCalculo[[#This Row],[STATUS]]="EM ANÁLISE",tblCalculo[[#This Row],[VALOR_TOTAL]],"")</f>
        <v/>
      </c>
      <c r="N536" t="str">
        <f>IF(tblCalculo[[#This Row],[STATUS]]="TRAMITANDO",tblCalculo[[#This Row],[VALOR_TOTAL]],"")</f>
        <v/>
      </c>
      <c r="O536" t="str">
        <f>IF(tblCalculo[[#This Row],[STATUS]]="PERDIDO",tblCalculo[[#This Row],[VALOR_TOTAL]],"")</f>
        <v/>
      </c>
      <c r="P536">
        <f>IF(tblCalculo[[#This Row],[STATUS]]="CONCLUÍDO",tblCalculo[[#This Row],[VALOR_TOTAL]],"")</f>
        <v>18624.96</v>
      </c>
    </row>
    <row r="537" spans="1:16" x14ac:dyDescent="0.25">
      <c r="A537" t="str">
        <f>tblVendas[[#This Row],[NR_SIMULACAO]]</f>
        <v>SIM1527</v>
      </c>
      <c r="B537" s="34" t="str">
        <f>_xlfn.XLOOKUP(A537,tblVendas[[#This Row],[NR_SIMULACAO]],tblVendas[[#This Row],[NR_CNPJ]],"")</f>
        <v>59.766.525/0001-51</v>
      </c>
      <c r="C537" t="str">
        <f>_xlfn.XLOOKUP(A537,tblVendas[[#This Row],[NR_SIMULACAO]],tblVendas[[#This Row],[STATUS]],"")</f>
        <v>TRAMITANDO</v>
      </c>
      <c r="D537" t="str">
        <f>_xlfn.XLOOKUP(A537,tblVendas[[#This Row],[NR_SIMULACAO]],tblVendas[[#This Row],[MES]],"")</f>
        <v>Dezembro</v>
      </c>
      <c r="E537">
        <f>SUM(_xlfn.XLOOKUP(tblCalculo[[#This Row],[NR_SIMULACAO]],tblVendas[[#This Row],[NR_SIMULACAO]],tblVendas[[#This Row],[VALOR_MOVEL]],""):_xlfn.XLOOKUP(tblCalculo[[#This Row],[NR_SIMULACAO]],tblVendas[[#This Row],[NR_SIMULACAO]],tblVendas[[#This Row],[VALOR_APARELHO]],""))</f>
        <v>8455.01</v>
      </c>
      <c r="F537">
        <f>IF(tblCalculo[[#This Row],[STATUS]]="CONCLUÍDO",_xlfn.XLOOKUP(tblCalculo[[#This Row],[NR_SIMULACAO]],tblVendas[[#This Row],[NR_SIMULACAO]],tblVendas[[#This Row],[VALOR_MOVEL]],""),0)</f>
        <v>0</v>
      </c>
      <c r="G537">
        <f>IF(tblCalculo[[#This Row],[STATUS]]="CONCLUÍDO",_xlfn.XLOOKUP(tblCalculo[[#This Row],[NR_SIMULACAO]],tblVendas[[#This Row],[NR_SIMULACAO]],tblVendas[[#This Row],[VALOR_AVANCADO]],""),0)</f>
        <v>0</v>
      </c>
      <c r="H537">
        <f>IF(tblCalculo[[#This Row],[STATUS]]="CONCLUÍDO",_xlfn.XLOOKUP(tblCalculo[[#This Row],[NR_SIMULACAO]],tblVendas[[#This Row],[NR_SIMULACAO]],tblVendas[[#This Row],[VALOR_FIXABASICA]],""),0)</f>
        <v>0</v>
      </c>
      <c r="I537">
        <f>IF(tblCalculo[[#This Row],[STATUS]]="CONCLUÍDO",_xlfn.XLOOKUP(tblCalculo[[#This Row],[NR_SIMULACAO]],tblVendas[[#This Row],[NR_SIMULACAO]],tblVendas[[#This Row],[VALOR_TI]],""),0)</f>
        <v>0</v>
      </c>
      <c r="J537">
        <f>IF(tblCalculo[[#This Row],[STATUS]]="CONCLUÍDO",_xlfn.XLOOKUP(tblCalculo[[#This Row],[NR_SIMULACAO]],tblVendas[[#This Row],[NR_SIMULACAO]],tblVendas[[#This Row],[VALOR_APARELHO]],""),0)</f>
        <v>0</v>
      </c>
      <c r="K537" t="str">
        <f>IF(tblCalculo[[#This Row],[STATUS]]="NEGOCIANDO",tblCalculo[[#This Row],[VALOR_TOTAL]],"")</f>
        <v/>
      </c>
      <c r="L537" t="str">
        <f>IF(tblCalculo[[#This Row],[STATUS]]="ALÇADA",tblCalculo[[#This Row],[VALOR_TOTAL]],"")</f>
        <v/>
      </c>
      <c r="M537" t="str">
        <f>IF(tblCalculo[[#This Row],[STATUS]]="EM ANÁLISE",tblCalculo[[#This Row],[VALOR_TOTAL]],"")</f>
        <v/>
      </c>
      <c r="N537">
        <f>IF(tblCalculo[[#This Row],[STATUS]]="TRAMITANDO",tblCalculo[[#This Row],[VALOR_TOTAL]],"")</f>
        <v>8455.01</v>
      </c>
      <c r="O537" t="str">
        <f>IF(tblCalculo[[#This Row],[STATUS]]="PERDIDO",tblCalculo[[#This Row],[VALOR_TOTAL]],"")</f>
        <v/>
      </c>
      <c r="P537" t="str">
        <f>IF(tblCalculo[[#This Row],[STATUS]]="CONCLUÍDO",tblCalculo[[#This Row],[VALOR_TOTAL]],"")</f>
        <v/>
      </c>
    </row>
    <row r="538" spans="1:16" x14ac:dyDescent="0.25">
      <c r="A538" t="str">
        <f>tblVendas[[#This Row],[NR_SIMULACAO]]</f>
        <v>SIM1528</v>
      </c>
      <c r="B538" s="34" t="str">
        <f>_xlfn.XLOOKUP(A538,tblVendas[[#This Row],[NR_SIMULACAO]],tblVendas[[#This Row],[NR_CNPJ]],"")</f>
        <v>60.908.450/0001-41</v>
      </c>
      <c r="C538" t="str">
        <f>_xlfn.XLOOKUP(A538,tblVendas[[#This Row],[NR_SIMULACAO]],tblVendas[[#This Row],[STATUS]],"")</f>
        <v>TRAMITANDO</v>
      </c>
      <c r="D538" t="str">
        <f>_xlfn.XLOOKUP(A538,tblVendas[[#This Row],[NR_SIMULACAO]],tblVendas[[#This Row],[MES]],"")</f>
        <v>Dezembro</v>
      </c>
      <c r="E538">
        <f>SUM(_xlfn.XLOOKUP(tblCalculo[[#This Row],[NR_SIMULACAO]],tblVendas[[#This Row],[NR_SIMULACAO]],tblVendas[[#This Row],[VALOR_MOVEL]],""):_xlfn.XLOOKUP(tblCalculo[[#This Row],[NR_SIMULACAO]],tblVendas[[#This Row],[NR_SIMULACAO]],tblVendas[[#This Row],[VALOR_APARELHO]],""))</f>
        <v>10173.61</v>
      </c>
      <c r="F538">
        <f>IF(tblCalculo[[#This Row],[STATUS]]="CONCLUÍDO",_xlfn.XLOOKUP(tblCalculo[[#This Row],[NR_SIMULACAO]],tblVendas[[#This Row],[NR_SIMULACAO]],tblVendas[[#This Row],[VALOR_MOVEL]],""),0)</f>
        <v>0</v>
      </c>
      <c r="G538">
        <f>IF(tblCalculo[[#This Row],[STATUS]]="CONCLUÍDO",_xlfn.XLOOKUP(tblCalculo[[#This Row],[NR_SIMULACAO]],tblVendas[[#This Row],[NR_SIMULACAO]],tblVendas[[#This Row],[VALOR_AVANCADO]],""),0)</f>
        <v>0</v>
      </c>
      <c r="H538">
        <f>IF(tblCalculo[[#This Row],[STATUS]]="CONCLUÍDO",_xlfn.XLOOKUP(tblCalculo[[#This Row],[NR_SIMULACAO]],tblVendas[[#This Row],[NR_SIMULACAO]],tblVendas[[#This Row],[VALOR_FIXABASICA]],""),0)</f>
        <v>0</v>
      </c>
      <c r="I538">
        <f>IF(tblCalculo[[#This Row],[STATUS]]="CONCLUÍDO",_xlfn.XLOOKUP(tblCalculo[[#This Row],[NR_SIMULACAO]],tblVendas[[#This Row],[NR_SIMULACAO]],tblVendas[[#This Row],[VALOR_TI]],""),0)</f>
        <v>0</v>
      </c>
      <c r="J538">
        <f>IF(tblCalculo[[#This Row],[STATUS]]="CONCLUÍDO",_xlfn.XLOOKUP(tblCalculo[[#This Row],[NR_SIMULACAO]],tblVendas[[#This Row],[NR_SIMULACAO]],tblVendas[[#This Row],[VALOR_APARELHO]],""),0)</f>
        <v>0</v>
      </c>
      <c r="K538" t="str">
        <f>IF(tblCalculo[[#This Row],[STATUS]]="NEGOCIANDO",tblCalculo[[#This Row],[VALOR_TOTAL]],"")</f>
        <v/>
      </c>
      <c r="L538" t="str">
        <f>IF(tblCalculo[[#This Row],[STATUS]]="ALÇADA",tblCalculo[[#This Row],[VALOR_TOTAL]],"")</f>
        <v/>
      </c>
      <c r="M538" t="str">
        <f>IF(tblCalculo[[#This Row],[STATUS]]="EM ANÁLISE",tblCalculo[[#This Row],[VALOR_TOTAL]],"")</f>
        <v/>
      </c>
      <c r="N538">
        <f>IF(tblCalculo[[#This Row],[STATUS]]="TRAMITANDO",tblCalculo[[#This Row],[VALOR_TOTAL]],"")</f>
        <v>10173.61</v>
      </c>
      <c r="O538" t="str">
        <f>IF(tblCalculo[[#This Row],[STATUS]]="PERDIDO",tblCalculo[[#This Row],[VALOR_TOTAL]],"")</f>
        <v/>
      </c>
      <c r="P538" t="str">
        <f>IF(tblCalculo[[#This Row],[STATUS]]="CONCLUÍDO",tblCalculo[[#This Row],[VALOR_TOTAL]],"")</f>
        <v/>
      </c>
    </row>
    <row r="539" spans="1:16" x14ac:dyDescent="0.25">
      <c r="A539" t="str">
        <f>tblVendas[[#This Row],[NR_SIMULACAO]]</f>
        <v>SIM1529</v>
      </c>
      <c r="B539" s="34" t="str">
        <f>_xlfn.XLOOKUP(A539,tblVendas[[#This Row],[NR_SIMULACAO]],tblVendas[[#This Row],[NR_CNPJ]],"")</f>
        <v>62.948.941/0001-88</v>
      </c>
      <c r="C539" t="str">
        <f>_xlfn.XLOOKUP(A539,tblVendas[[#This Row],[NR_SIMULACAO]],tblVendas[[#This Row],[STATUS]],"")</f>
        <v>EM ANÁLISE</v>
      </c>
      <c r="D539" t="str">
        <f>_xlfn.XLOOKUP(A539,tblVendas[[#This Row],[NR_SIMULACAO]],tblVendas[[#This Row],[MES]],"")</f>
        <v>Maio</v>
      </c>
      <c r="E539">
        <f>SUM(_xlfn.XLOOKUP(tblCalculo[[#This Row],[NR_SIMULACAO]],tblVendas[[#This Row],[NR_SIMULACAO]],tblVendas[[#This Row],[VALOR_MOVEL]],""):_xlfn.XLOOKUP(tblCalculo[[#This Row],[NR_SIMULACAO]],tblVendas[[#This Row],[NR_SIMULACAO]],tblVendas[[#This Row],[VALOR_APARELHO]],""))</f>
        <v>1641.46</v>
      </c>
      <c r="F539">
        <f>IF(tblCalculo[[#This Row],[STATUS]]="CONCLUÍDO",_xlfn.XLOOKUP(tblCalculo[[#This Row],[NR_SIMULACAO]],tblVendas[[#This Row],[NR_SIMULACAO]],tblVendas[[#This Row],[VALOR_MOVEL]],""),0)</f>
        <v>0</v>
      </c>
      <c r="G539">
        <f>IF(tblCalculo[[#This Row],[STATUS]]="CONCLUÍDO",_xlfn.XLOOKUP(tblCalculo[[#This Row],[NR_SIMULACAO]],tblVendas[[#This Row],[NR_SIMULACAO]],tblVendas[[#This Row],[VALOR_AVANCADO]],""),0)</f>
        <v>0</v>
      </c>
      <c r="H539">
        <f>IF(tblCalculo[[#This Row],[STATUS]]="CONCLUÍDO",_xlfn.XLOOKUP(tblCalculo[[#This Row],[NR_SIMULACAO]],tblVendas[[#This Row],[NR_SIMULACAO]],tblVendas[[#This Row],[VALOR_FIXABASICA]],""),0)</f>
        <v>0</v>
      </c>
      <c r="I539">
        <f>IF(tblCalculo[[#This Row],[STATUS]]="CONCLUÍDO",_xlfn.XLOOKUP(tblCalculo[[#This Row],[NR_SIMULACAO]],tblVendas[[#This Row],[NR_SIMULACAO]],tblVendas[[#This Row],[VALOR_TI]],""),0)</f>
        <v>0</v>
      </c>
      <c r="J539">
        <f>IF(tblCalculo[[#This Row],[STATUS]]="CONCLUÍDO",_xlfn.XLOOKUP(tblCalculo[[#This Row],[NR_SIMULACAO]],tblVendas[[#This Row],[NR_SIMULACAO]],tblVendas[[#This Row],[VALOR_APARELHO]],""),0)</f>
        <v>0</v>
      </c>
      <c r="K539" t="str">
        <f>IF(tblCalculo[[#This Row],[STATUS]]="NEGOCIANDO",tblCalculo[[#This Row],[VALOR_TOTAL]],"")</f>
        <v/>
      </c>
      <c r="L539" t="str">
        <f>IF(tblCalculo[[#This Row],[STATUS]]="ALÇADA",tblCalculo[[#This Row],[VALOR_TOTAL]],"")</f>
        <v/>
      </c>
      <c r="M539">
        <f>IF(tblCalculo[[#This Row],[STATUS]]="EM ANÁLISE",tblCalculo[[#This Row],[VALOR_TOTAL]],"")</f>
        <v>1641.46</v>
      </c>
      <c r="N539" t="str">
        <f>IF(tblCalculo[[#This Row],[STATUS]]="TRAMITANDO",tblCalculo[[#This Row],[VALOR_TOTAL]],"")</f>
        <v/>
      </c>
      <c r="O539" t="str">
        <f>IF(tblCalculo[[#This Row],[STATUS]]="PERDIDO",tblCalculo[[#This Row],[VALOR_TOTAL]],"")</f>
        <v/>
      </c>
      <c r="P539" t="str">
        <f>IF(tblCalculo[[#This Row],[STATUS]]="CONCLUÍDO",tblCalculo[[#This Row],[VALOR_TOTAL]],"")</f>
        <v/>
      </c>
    </row>
    <row r="540" spans="1:16" x14ac:dyDescent="0.25">
      <c r="A540" t="str">
        <f>tblVendas[[#This Row],[NR_SIMULACAO]]</f>
        <v>SIM1530</v>
      </c>
      <c r="B540" s="34" t="str">
        <f>_xlfn.XLOOKUP(A540,tblVendas[[#This Row],[NR_SIMULACAO]],tblVendas[[#This Row],[NR_CNPJ]],"")</f>
        <v>96.893.511/0001-81</v>
      </c>
      <c r="C540" t="str">
        <f>_xlfn.XLOOKUP(A540,tblVendas[[#This Row],[NR_SIMULACAO]],tblVendas[[#This Row],[STATUS]],"")</f>
        <v>TRAMITANDO</v>
      </c>
      <c r="D540" t="str">
        <f>_xlfn.XLOOKUP(A540,tblVendas[[#This Row],[NR_SIMULACAO]],tblVendas[[#This Row],[MES]],"")</f>
        <v>Maio</v>
      </c>
      <c r="E540">
        <f>SUM(_xlfn.XLOOKUP(tblCalculo[[#This Row],[NR_SIMULACAO]],tblVendas[[#This Row],[NR_SIMULACAO]],tblVendas[[#This Row],[VALOR_MOVEL]],""):_xlfn.XLOOKUP(tblCalculo[[#This Row],[NR_SIMULACAO]],tblVendas[[#This Row],[NR_SIMULACAO]],tblVendas[[#This Row],[VALOR_APARELHO]],""))</f>
        <v>569.4</v>
      </c>
      <c r="F540">
        <f>IF(tblCalculo[[#This Row],[STATUS]]="CONCLUÍDO",_xlfn.XLOOKUP(tblCalculo[[#This Row],[NR_SIMULACAO]],tblVendas[[#This Row],[NR_SIMULACAO]],tblVendas[[#This Row],[VALOR_MOVEL]],""),0)</f>
        <v>0</v>
      </c>
      <c r="G540">
        <f>IF(tblCalculo[[#This Row],[STATUS]]="CONCLUÍDO",_xlfn.XLOOKUP(tblCalculo[[#This Row],[NR_SIMULACAO]],tblVendas[[#This Row],[NR_SIMULACAO]],tblVendas[[#This Row],[VALOR_AVANCADO]],""),0)</f>
        <v>0</v>
      </c>
      <c r="H540">
        <f>IF(tblCalculo[[#This Row],[STATUS]]="CONCLUÍDO",_xlfn.XLOOKUP(tblCalculo[[#This Row],[NR_SIMULACAO]],tblVendas[[#This Row],[NR_SIMULACAO]],tblVendas[[#This Row],[VALOR_FIXABASICA]],""),0)</f>
        <v>0</v>
      </c>
      <c r="I540">
        <f>IF(tblCalculo[[#This Row],[STATUS]]="CONCLUÍDO",_xlfn.XLOOKUP(tblCalculo[[#This Row],[NR_SIMULACAO]],tblVendas[[#This Row],[NR_SIMULACAO]],tblVendas[[#This Row],[VALOR_TI]],""),0)</f>
        <v>0</v>
      </c>
      <c r="J540">
        <f>IF(tblCalculo[[#This Row],[STATUS]]="CONCLUÍDO",_xlfn.XLOOKUP(tblCalculo[[#This Row],[NR_SIMULACAO]],tblVendas[[#This Row],[NR_SIMULACAO]],tblVendas[[#This Row],[VALOR_APARELHO]],""),0)</f>
        <v>0</v>
      </c>
      <c r="K540" t="str">
        <f>IF(tblCalculo[[#This Row],[STATUS]]="NEGOCIANDO",tblCalculo[[#This Row],[VALOR_TOTAL]],"")</f>
        <v/>
      </c>
      <c r="L540" t="str">
        <f>IF(tblCalculo[[#This Row],[STATUS]]="ALÇADA",tblCalculo[[#This Row],[VALOR_TOTAL]],"")</f>
        <v/>
      </c>
      <c r="M540" t="str">
        <f>IF(tblCalculo[[#This Row],[STATUS]]="EM ANÁLISE",tblCalculo[[#This Row],[VALOR_TOTAL]],"")</f>
        <v/>
      </c>
      <c r="N540">
        <f>IF(tblCalculo[[#This Row],[STATUS]]="TRAMITANDO",tblCalculo[[#This Row],[VALOR_TOTAL]],"")</f>
        <v>569.4</v>
      </c>
      <c r="O540" t="str">
        <f>IF(tblCalculo[[#This Row],[STATUS]]="PERDIDO",tblCalculo[[#This Row],[VALOR_TOTAL]],"")</f>
        <v/>
      </c>
      <c r="P540" t="str">
        <f>IF(tblCalculo[[#This Row],[STATUS]]="CONCLUÍDO",tblCalculo[[#This Row],[VALOR_TOTAL]],"")</f>
        <v/>
      </c>
    </row>
    <row r="541" spans="1:16" x14ac:dyDescent="0.25">
      <c r="A541" t="str">
        <f>tblVendas[[#This Row],[NR_SIMULACAO]]</f>
        <v>SIM1531</v>
      </c>
      <c r="B541" s="34" t="str">
        <f>_xlfn.XLOOKUP(A541,tblVendas[[#This Row],[NR_SIMULACAO]],tblVendas[[#This Row],[NR_CNPJ]],"")</f>
        <v>55.410.650/0001-49</v>
      </c>
      <c r="C541" t="str">
        <f>_xlfn.XLOOKUP(A541,tblVendas[[#This Row],[NR_SIMULACAO]],tblVendas[[#This Row],[STATUS]],"")</f>
        <v>ALÇADA</v>
      </c>
      <c r="D541" t="str">
        <f>_xlfn.XLOOKUP(A541,tblVendas[[#This Row],[NR_SIMULACAO]],tblVendas[[#This Row],[MES]],"")</f>
        <v>Outubro</v>
      </c>
      <c r="E541">
        <f>SUM(_xlfn.XLOOKUP(tblCalculo[[#This Row],[NR_SIMULACAO]],tblVendas[[#This Row],[NR_SIMULACAO]],tblVendas[[#This Row],[VALOR_MOVEL]],""):_xlfn.XLOOKUP(tblCalculo[[#This Row],[NR_SIMULACAO]],tblVendas[[#This Row],[NR_SIMULACAO]],tblVendas[[#This Row],[VALOR_APARELHO]],""))</f>
        <v>4300.63</v>
      </c>
      <c r="F541">
        <f>IF(tblCalculo[[#This Row],[STATUS]]="CONCLUÍDO",_xlfn.XLOOKUP(tblCalculo[[#This Row],[NR_SIMULACAO]],tblVendas[[#This Row],[NR_SIMULACAO]],tblVendas[[#This Row],[VALOR_MOVEL]],""),0)</f>
        <v>0</v>
      </c>
      <c r="G541">
        <f>IF(tblCalculo[[#This Row],[STATUS]]="CONCLUÍDO",_xlfn.XLOOKUP(tblCalculo[[#This Row],[NR_SIMULACAO]],tblVendas[[#This Row],[NR_SIMULACAO]],tblVendas[[#This Row],[VALOR_AVANCADO]],""),0)</f>
        <v>0</v>
      </c>
      <c r="H541">
        <f>IF(tblCalculo[[#This Row],[STATUS]]="CONCLUÍDO",_xlfn.XLOOKUP(tblCalculo[[#This Row],[NR_SIMULACAO]],tblVendas[[#This Row],[NR_SIMULACAO]],tblVendas[[#This Row],[VALOR_FIXABASICA]],""),0)</f>
        <v>0</v>
      </c>
      <c r="I541">
        <f>IF(tblCalculo[[#This Row],[STATUS]]="CONCLUÍDO",_xlfn.XLOOKUP(tblCalculo[[#This Row],[NR_SIMULACAO]],tblVendas[[#This Row],[NR_SIMULACAO]],tblVendas[[#This Row],[VALOR_TI]],""),0)</f>
        <v>0</v>
      </c>
      <c r="J541">
        <f>IF(tblCalculo[[#This Row],[STATUS]]="CONCLUÍDO",_xlfn.XLOOKUP(tblCalculo[[#This Row],[NR_SIMULACAO]],tblVendas[[#This Row],[NR_SIMULACAO]],tblVendas[[#This Row],[VALOR_APARELHO]],""),0)</f>
        <v>0</v>
      </c>
      <c r="K541" t="str">
        <f>IF(tblCalculo[[#This Row],[STATUS]]="NEGOCIANDO",tblCalculo[[#This Row],[VALOR_TOTAL]],"")</f>
        <v/>
      </c>
      <c r="L541">
        <f>IF(tblCalculo[[#This Row],[STATUS]]="ALÇADA",tblCalculo[[#This Row],[VALOR_TOTAL]],"")</f>
        <v>4300.63</v>
      </c>
      <c r="M541" t="str">
        <f>IF(tblCalculo[[#This Row],[STATUS]]="EM ANÁLISE",tblCalculo[[#This Row],[VALOR_TOTAL]],"")</f>
        <v/>
      </c>
      <c r="N541" t="str">
        <f>IF(tblCalculo[[#This Row],[STATUS]]="TRAMITANDO",tblCalculo[[#This Row],[VALOR_TOTAL]],"")</f>
        <v/>
      </c>
      <c r="O541" t="str">
        <f>IF(tblCalculo[[#This Row],[STATUS]]="PERDIDO",tblCalculo[[#This Row],[VALOR_TOTAL]],"")</f>
        <v/>
      </c>
      <c r="P541" t="str">
        <f>IF(tblCalculo[[#This Row],[STATUS]]="CONCLUÍDO",tblCalculo[[#This Row],[VALOR_TOTAL]],"")</f>
        <v/>
      </c>
    </row>
    <row r="542" spans="1:16" x14ac:dyDescent="0.25">
      <c r="A542" t="str">
        <f>tblVendas[[#This Row],[NR_SIMULACAO]]</f>
        <v>SIM1532</v>
      </c>
      <c r="B542" s="34" t="str">
        <f>_xlfn.XLOOKUP(A542,tblVendas[[#This Row],[NR_SIMULACAO]],tblVendas[[#This Row],[NR_CNPJ]],"")</f>
        <v>66.162.337/0001-20</v>
      </c>
      <c r="C542" t="str">
        <f>_xlfn.XLOOKUP(A542,tblVendas[[#This Row],[NR_SIMULACAO]],tblVendas[[#This Row],[STATUS]],"")</f>
        <v>PERDIDO</v>
      </c>
      <c r="D542" t="str">
        <f>_xlfn.XLOOKUP(A542,tblVendas[[#This Row],[NR_SIMULACAO]],tblVendas[[#This Row],[MES]],"")</f>
        <v>Julho</v>
      </c>
      <c r="E542">
        <f>SUM(_xlfn.XLOOKUP(tblCalculo[[#This Row],[NR_SIMULACAO]],tblVendas[[#This Row],[NR_SIMULACAO]],tblVendas[[#This Row],[VALOR_MOVEL]],""):_xlfn.XLOOKUP(tblCalculo[[#This Row],[NR_SIMULACAO]],tblVendas[[#This Row],[NR_SIMULACAO]],tblVendas[[#This Row],[VALOR_APARELHO]],""))</f>
        <v>980.63</v>
      </c>
      <c r="F542">
        <f>IF(tblCalculo[[#This Row],[STATUS]]="CONCLUÍDO",_xlfn.XLOOKUP(tblCalculo[[#This Row],[NR_SIMULACAO]],tblVendas[[#This Row],[NR_SIMULACAO]],tblVendas[[#This Row],[VALOR_MOVEL]],""),0)</f>
        <v>0</v>
      </c>
      <c r="G542">
        <f>IF(tblCalculo[[#This Row],[STATUS]]="CONCLUÍDO",_xlfn.XLOOKUP(tblCalculo[[#This Row],[NR_SIMULACAO]],tblVendas[[#This Row],[NR_SIMULACAO]],tblVendas[[#This Row],[VALOR_AVANCADO]],""),0)</f>
        <v>0</v>
      </c>
      <c r="H542">
        <f>IF(tblCalculo[[#This Row],[STATUS]]="CONCLUÍDO",_xlfn.XLOOKUP(tblCalculo[[#This Row],[NR_SIMULACAO]],tblVendas[[#This Row],[NR_SIMULACAO]],tblVendas[[#This Row],[VALOR_FIXABASICA]],""),0)</f>
        <v>0</v>
      </c>
      <c r="I542">
        <f>IF(tblCalculo[[#This Row],[STATUS]]="CONCLUÍDO",_xlfn.XLOOKUP(tblCalculo[[#This Row],[NR_SIMULACAO]],tblVendas[[#This Row],[NR_SIMULACAO]],tblVendas[[#This Row],[VALOR_TI]],""),0)</f>
        <v>0</v>
      </c>
      <c r="J542">
        <f>IF(tblCalculo[[#This Row],[STATUS]]="CONCLUÍDO",_xlfn.XLOOKUP(tblCalculo[[#This Row],[NR_SIMULACAO]],tblVendas[[#This Row],[NR_SIMULACAO]],tblVendas[[#This Row],[VALOR_APARELHO]],""),0)</f>
        <v>0</v>
      </c>
      <c r="K542" t="str">
        <f>IF(tblCalculo[[#This Row],[STATUS]]="NEGOCIANDO",tblCalculo[[#This Row],[VALOR_TOTAL]],"")</f>
        <v/>
      </c>
      <c r="L542" t="str">
        <f>IF(tblCalculo[[#This Row],[STATUS]]="ALÇADA",tblCalculo[[#This Row],[VALOR_TOTAL]],"")</f>
        <v/>
      </c>
      <c r="M542" t="str">
        <f>IF(tblCalculo[[#This Row],[STATUS]]="EM ANÁLISE",tblCalculo[[#This Row],[VALOR_TOTAL]],"")</f>
        <v/>
      </c>
      <c r="N542" t="str">
        <f>IF(tblCalculo[[#This Row],[STATUS]]="TRAMITANDO",tblCalculo[[#This Row],[VALOR_TOTAL]],"")</f>
        <v/>
      </c>
      <c r="O542">
        <f>IF(tblCalculo[[#This Row],[STATUS]]="PERDIDO",tblCalculo[[#This Row],[VALOR_TOTAL]],"")</f>
        <v>980.63</v>
      </c>
      <c r="P542" t="str">
        <f>IF(tblCalculo[[#This Row],[STATUS]]="CONCLUÍDO",tblCalculo[[#This Row],[VALOR_TOTAL]],"")</f>
        <v/>
      </c>
    </row>
    <row r="543" spans="1:16" x14ac:dyDescent="0.25">
      <c r="A543" t="str">
        <f>tblVendas[[#This Row],[NR_SIMULACAO]]</f>
        <v>SIM1533</v>
      </c>
      <c r="B543" s="34" t="str">
        <f>_xlfn.XLOOKUP(A543,tblVendas[[#This Row],[NR_SIMULACAO]],tblVendas[[#This Row],[NR_CNPJ]],"")</f>
        <v>97.757.938/0001-92</v>
      </c>
      <c r="C543" t="str">
        <f>_xlfn.XLOOKUP(A543,tblVendas[[#This Row],[NR_SIMULACAO]],tblVendas[[#This Row],[STATUS]],"")</f>
        <v>PERDIDO</v>
      </c>
      <c r="D543" t="str">
        <f>_xlfn.XLOOKUP(A543,tblVendas[[#This Row],[NR_SIMULACAO]],tblVendas[[#This Row],[MES]],"")</f>
        <v>Dezembro</v>
      </c>
      <c r="E543">
        <f>SUM(_xlfn.XLOOKUP(tblCalculo[[#This Row],[NR_SIMULACAO]],tblVendas[[#This Row],[NR_SIMULACAO]],tblVendas[[#This Row],[VALOR_MOVEL]],""):_xlfn.XLOOKUP(tblCalculo[[#This Row],[NR_SIMULACAO]],tblVendas[[#This Row],[NR_SIMULACAO]],tblVendas[[#This Row],[VALOR_APARELHO]],""))</f>
        <v>2195.1999999999998</v>
      </c>
      <c r="F543">
        <f>IF(tblCalculo[[#This Row],[STATUS]]="CONCLUÍDO",_xlfn.XLOOKUP(tblCalculo[[#This Row],[NR_SIMULACAO]],tblVendas[[#This Row],[NR_SIMULACAO]],tblVendas[[#This Row],[VALOR_MOVEL]],""),0)</f>
        <v>0</v>
      </c>
      <c r="G543">
        <f>IF(tblCalculo[[#This Row],[STATUS]]="CONCLUÍDO",_xlfn.XLOOKUP(tblCalculo[[#This Row],[NR_SIMULACAO]],tblVendas[[#This Row],[NR_SIMULACAO]],tblVendas[[#This Row],[VALOR_AVANCADO]],""),0)</f>
        <v>0</v>
      </c>
      <c r="H543">
        <f>IF(tblCalculo[[#This Row],[STATUS]]="CONCLUÍDO",_xlfn.XLOOKUP(tblCalculo[[#This Row],[NR_SIMULACAO]],tblVendas[[#This Row],[NR_SIMULACAO]],tblVendas[[#This Row],[VALOR_FIXABASICA]],""),0)</f>
        <v>0</v>
      </c>
      <c r="I543">
        <f>IF(tblCalculo[[#This Row],[STATUS]]="CONCLUÍDO",_xlfn.XLOOKUP(tblCalculo[[#This Row],[NR_SIMULACAO]],tblVendas[[#This Row],[NR_SIMULACAO]],tblVendas[[#This Row],[VALOR_TI]],""),0)</f>
        <v>0</v>
      </c>
      <c r="J543">
        <f>IF(tblCalculo[[#This Row],[STATUS]]="CONCLUÍDO",_xlfn.XLOOKUP(tblCalculo[[#This Row],[NR_SIMULACAO]],tblVendas[[#This Row],[NR_SIMULACAO]],tblVendas[[#This Row],[VALOR_APARELHO]],""),0)</f>
        <v>0</v>
      </c>
      <c r="K543" t="str">
        <f>IF(tblCalculo[[#This Row],[STATUS]]="NEGOCIANDO",tblCalculo[[#This Row],[VALOR_TOTAL]],"")</f>
        <v/>
      </c>
      <c r="L543" t="str">
        <f>IF(tblCalculo[[#This Row],[STATUS]]="ALÇADA",tblCalculo[[#This Row],[VALOR_TOTAL]],"")</f>
        <v/>
      </c>
      <c r="M543" t="str">
        <f>IF(tblCalculo[[#This Row],[STATUS]]="EM ANÁLISE",tblCalculo[[#This Row],[VALOR_TOTAL]],"")</f>
        <v/>
      </c>
      <c r="N543" t="str">
        <f>IF(tblCalculo[[#This Row],[STATUS]]="TRAMITANDO",tblCalculo[[#This Row],[VALOR_TOTAL]],"")</f>
        <v/>
      </c>
      <c r="O543">
        <f>IF(tblCalculo[[#This Row],[STATUS]]="PERDIDO",tblCalculo[[#This Row],[VALOR_TOTAL]],"")</f>
        <v>2195.1999999999998</v>
      </c>
      <c r="P543" t="str">
        <f>IF(tblCalculo[[#This Row],[STATUS]]="CONCLUÍDO",tblCalculo[[#This Row],[VALOR_TOTAL]],"")</f>
        <v/>
      </c>
    </row>
    <row r="544" spans="1:16" x14ac:dyDescent="0.25">
      <c r="A544" t="str">
        <f>tblVendas[[#This Row],[NR_SIMULACAO]]</f>
        <v>SIM1534</v>
      </c>
      <c r="B544" s="34" t="str">
        <f>_xlfn.XLOOKUP(A544,tblVendas[[#This Row],[NR_SIMULACAO]],tblVendas[[#This Row],[NR_CNPJ]],"")</f>
        <v>60.896.583/0001-90</v>
      </c>
      <c r="C544" t="str">
        <f>_xlfn.XLOOKUP(A544,tblVendas[[#This Row],[NR_SIMULACAO]],tblVendas[[#This Row],[STATUS]],"")</f>
        <v>PERDIDO</v>
      </c>
      <c r="D544" t="str">
        <f>_xlfn.XLOOKUP(A544,tblVendas[[#This Row],[NR_SIMULACAO]],tblVendas[[#This Row],[MES]],"")</f>
        <v>Setembro</v>
      </c>
      <c r="E544">
        <f>SUM(_xlfn.XLOOKUP(tblCalculo[[#This Row],[NR_SIMULACAO]],tblVendas[[#This Row],[NR_SIMULACAO]],tblVendas[[#This Row],[VALOR_MOVEL]],""):_xlfn.XLOOKUP(tblCalculo[[#This Row],[NR_SIMULACAO]],tblVendas[[#This Row],[NR_SIMULACAO]],tblVendas[[#This Row],[VALOR_APARELHO]],""))</f>
        <v>1434.14</v>
      </c>
      <c r="F544">
        <f>IF(tblCalculo[[#This Row],[STATUS]]="CONCLUÍDO",_xlfn.XLOOKUP(tblCalculo[[#This Row],[NR_SIMULACAO]],tblVendas[[#This Row],[NR_SIMULACAO]],tblVendas[[#This Row],[VALOR_MOVEL]],""),0)</f>
        <v>0</v>
      </c>
      <c r="G544">
        <f>IF(tblCalculo[[#This Row],[STATUS]]="CONCLUÍDO",_xlfn.XLOOKUP(tblCalculo[[#This Row],[NR_SIMULACAO]],tblVendas[[#This Row],[NR_SIMULACAO]],tblVendas[[#This Row],[VALOR_AVANCADO]],""),0)</f>
        <v>0</v>
      </c>
      <c r="H544">
        <f>IF(tblCalculo[[#This Row],[STATUS]]="CONCLUÍDO",_xlfn.XLOOKUP(tblCalculo[[#This Row],[NR_SIMULACAO]],tblVendas[[#This Row],[NR_SIMULACAO]],tblVendas[[#This Row],[VALOR_FIXABASICA]],""),0)</f>
        <v>0</v>
      </c>
      <c r="I544">
        <f>IF(tblCalculo[[#This Row],[STATUS]]="CONCLUÍDO",_xlfn.XLOOKUP(tblCalculo[[#This Row],[NR_SIMULACAO]],tblVendas[[#This Row],[NR_SIMULACAO]],tblVendas[[#This Row],[VALOR_TI]],""),0)</f>
        <v>0</v>
      </c>
      <c r="J544">
        <f>IF(tblCalculo[[#This Row],[STATUS]]="CONCLUÍDO",_xlfn.XLOOKUP(tblCalculo[[#This Row],[NR_SIMULACAO]],tblVendas[[#This Row],[NR_SIMULACAO]],tblVendas[[#This Row],[VALOR_APARELHO]],""),0)</f>
        <v>0</v>
      </c>
      <c r="K544" t="str">
        <f>IF(tblCalculo[[#This Row],[STATUS]]="NEGOCIANDO",tblCalculo[[#This Row],[VALOR_TOTAL]],"")</f>
        <v/>
      </c>
      <c r="L544" t="str">
        <f>IF(tblCalculo[[#This Row],[STATUS]]="ALÇADA",tblCalculo[[#This Row],[VALOR_TOTAL]],"")</f>
        <v/>
      </c>
      <c r="M544" t="str">
        <f>IF(tblCalculo[[#This Row],[STATUS]]="EM ANÁLISE",tblCalculo[[#This Row],[VALOR_TOTAL]],"")</f>
        <v/>
      </c>
      <c r="N544" t="str">
        <f>IF(tblCalculo[[#This Row],[STATUS]]="TRAMITANDO",tblCalculo[[#This Row],[VALOR_TOTAL]],"")</f>
        <v/>
      </c>
      <c r="O544">
        <f>IF(tblCalculo[[#This Row],[STATUS]]="PERDIDO",tblCalculo[[#This Row],[VALOR_TOTAL]],"")</f>
        <v>1434.14</v>
      </c>
      <c r="P544" t="str">
        <f>IF(tblCalculo[[#This Row],[STATUS]]="CONCLUÍDO",tblCalculo[[#This Row],[VALOR_TOTAL]],"")</f>
        <v/>
      </c>
    </row>
    <row r="545" spans="1:16" x14ac:dyDescent="0.25">
      <c r="A545" t="str">
        <f>tblVendas[[#This Row],[NR_SIMULACAO]]</f>
        <v>SIM1535</v>
      </c>
      <c r="B545" s="34" t="str">
        <f>_xlfn.XLOOKUP(A545,tblVendas[[#This Row],[NR_SIMULACAO]],tblVendas[[#This Row],[NR_CNPJ]],"")</f>
        <v>37.628.405/0001-17</v>
      </c>
      <c r="C545" t="str">
        <f>_xlfn.XLOOKUP(A545,tblVendas[[#This Row],[NR_SIMULACAO]],tblVendas[[#This Row],[STATUS]],"")</f>
        <v>PERDIDO</v>
      </c>
      <c r="D545" t="str">
        <f>_xlfn.XLOOKUP(A545,tblVendas[[#This Row],[NR_SIMULACAO]],tblVendas[[#This Row],[MES]],"")</f>
        <v>Maio</v>
      </c>
      <c r="E545">
        <f>SUM(_xlfn.XLOOKUP(tblCalculo[[#This Row],[NR_SIMULACAO]],tblVendas[[#This Row],[NR_SIMULACAO]],tblVendas[[#This Row],[VALOR_MOVEL]],""):_xlfn.XLOOKUP(tblCalculo[[#This Row],[NR_SIMULACAO]],tblVendas[[#This Row],[NR_SIMULACAO]],tblVendas[[#This Row],[VALOR_APARELHO]],""))</f>
        <v>8282.31</v>
      </c>
      <c r="F545">
        <f>IF(tblCalculo[[#This Row],[STATUS]]="CONCLUÍDO",_xlfn.XLOOKUP(tblCalculo[[#This Row],[NR_SIMULACAO]],tblVendas[[#This Row],[NR_SIMULACAO]],tblVendas[[#This Row],[VALOR_MOVEL]],""),0)</f>
        <v>0</v>
      </c>
      <c r="G545">
        <f>IF(tblCalculo[[#This Row],[STATUS]]="CONCLUÍDO",_xlfn.XLOOKUP(tblCalculo[[#This Row],[NR_SIMULACAO]],tblVendas[[#This Row],[NR_SIMULACAO]],tblVendas[[#This Row],[VALOR_AVANCADO]],""),0)</f>
        <v>0</v>
      </c>
      <c r="H545">
        <f>IF(tblCalculo[[#This Row],[STATUS]]="CONCLUÍDO",_xlfn.XLOOKUP(tblCalculo[[#This Row],[NR_SIMULACAO]],tblVendas[[#This Row],[NR_SIMULACAO]],tblVendas[[#This Row],[VALOR_FIXABASICA]],""),0)</f>
        <v>0</v>
      </c>
      <c r="I545">
        <f>IF(tblCalculo[[#This Row],[STATUS]]="CONCLUÍDO",_xlfn.XLOOKUP(tblCalculo[[#This Row],[NR_SIMULACAO]],tblVendas[[#This Row],[NR_SIMULACAO]],tblVendas[[#This Row],[VALOR_TI]],""),0)</f>
        <v>0</v>
      </c>
      <c r="J545">
        <f>IF(tblCalculo[[#This Row],[STATUS]]="CONCLUÍDO",_xlfn.XLOOKUP(tblCalculo[[#This Row],[NR_SIMULACAO]],tblVendas[[#This Row],[NR_SIMULACAO]],tblVendas[[#This Row],[VALOR_APARELHO]],""),0)</f>
        <v>0</v>
      </c>
      <c r="K545" t="str">
        <f>IF(tblCalculo[[#This Row],[STATUS]]="NEGOCIANDO",tblCalculo[[#This Row],[VALOR_TOTAL]],"")</f>
        <v/>
      </c>
      <c r="L545" t="str">
        <f>IF(tblCalculo[[#This Row],[STATUS]]="ALÇADA",tblCalculo[[#This Row],[VALOR_TOTAL]],"")</f>
        <v/>
      </c>
      <c r="M545" t="str">
        <f>IF(tblCalculo[[#This Row],[STATUS]]="EM ANÁLISE",tblCalculo[[#This Row],[VALOR_TOTAL]],"")</f>
        <v/>
      </c>
      <c r="N545" t="str">
        <f>IF(tblCalculo[[#This Row],[STATUS]]="TRAMITANDO",tblCalculo[[#This Row],[VALOR_TOTAL]],"")</f>
        <v/>
      </c>
      <c r="O545">
        <f>IF(tblCalculo[[#This Row],[STATUS]]="PERDIDO",tblCalculo[[#This Row],[VALOR_TOTAL]],"")</f>
        <v>8282.31</v>
      </c>
      <c r="P545" t="str">
        <f>IF(tblCalculo[[#This Row],[STATUS]]="CONCLUÍDO",tblCalculo[[#This Row],[VALOR_TOTAL]],"")</f>
        <v/>
      </c>
    </row>
    <row r="546" spans="1:16" x14ac:dyDescent="0.25">
      <c r="A546" t="str">
        <f>tblVendas[[#This Row],[NR_SIMULACAO]]</f>
        <v>SIM1536</v>
      </c>
      <c r="B546" s="34" t="str">
        <f>_xlfn.XLOOKUP(A546,tblVendas[[#This Row],[NR_SIMULACAO]],tblVendas[[#This Row],[NR_CNPJ]],"")</f>
        <v>98.800.395/0001-38</v>
      </c>
      <c r="C546" t="str">
        <f>_xlfn.XLOOKUP(A546,tblVendas[[#This Row],[NR_SIMULACAO]],tblVendas[[#This Row],[STATUS]],"")</f>
        <v>PERDIDO</v>
      </c>
      <c r="D546" t="str">
        <f>_xlfn.XLOOKUP(A546,tblVendas[[#This Row],[NR_SIMULACAO]],tblVendas[[#This Row],[MES]],"")</f>
        <v>Outubro</v>
      </c>
      <c r="E546">
        <f>SUM(_xlfn.XLOOKUP(tblCalculo[[#This Row],[NR_SIMULACAO]],tblVendas[[#This Row],[NR_SIMULACAO]],tblVendas[[#This Row],[VALOR_MOVEL]],""):_xlfn.XLOOKUP(tblCalculo[[#This Row],[NR_SIMULACAO]],tblVendas[[#This Row],[NR_SIMULACAO]],tblVendas[[#This Row],[VALOR_APARELHO]],""))</f>
        <v>1950.87</v>
      </c>
      <c r="F546">
        <f>IF(tblCalculo[[#This Row],[STATUS]]="CONCLUÍDO",_xlfn.XLOOKUP(tblCalculo[[#This Row],[NR_SIMULACAO]],tblVendas[[#This Row],[NR_SIMULACAO]],tblVendas[[#This Row],[VALOR_MOVEL]],""),0)</f>
        <v>0</v>
      </c>
      <c r="G546">
        <f>IF(tblCalculo[[#This Row],[STATUS]]="CONCLUÍDO",_xlfn.XLOOKUP(tblCalculo[[#This Row],[NR_SIMULACAO]],tblVendas[[#This Row],[NR_SIMULACAO]],tblVendas[[#This Row],[VALOR_AVANCADO]],""),0)</f>
        <v>0</v>
      </c>
      <c r="H546">
        <f>IF(tblCalculo[[#This Row],[STATUS]]="CONCLUÍDO",_xlfn.XLOOKUP(tblCalculo[[#This Row],[NR_SIMULACAO]],tblVendas[[#This Row],[NR_SIMULACAO]],tblVendas[[#This Row],[VALOR_FIXABASICA]],""),0)</f>
        <v>0</v>
      </c>
      <c r="I546">
        <f>IF(tblCalculo[[#This Row],[STATUS]]="CONCLUÍDO",_xlfn.XLOOKUP(tblCalculo[[#This Row],[NR_SIMULACAO]],tblVendas[[#This Row],[NR_SIMULACAO]],tblVendas[[#This Row],[VALOR_TI]],""),0)</f>
        <v>0</v>
      </c>
      <c r="J546">
        <f>IF(tblCalculo[[#This Row],[STATUS]]="CONCLUÍDO",_xlfn.XLOOKUP(tblCalculo[[#This Row],[NR_SIMULACAO]],tblVendas[[#This Row],[NR_SIMULACAO]],tblVendas[[#This Row],[VALOR_APARELHO]],""),0)</f>
        <v>0</v>
      </c>
      <c r="K546" t="str">
        <f>IF(tblCalculo[[#This Row],[STATUS]]="NEGOCIANDO",tblCalculo[[#This Row],[VALOR_TOTAL]],"")</f>
        <v/>
      </c>
      <c r="L546" t="str">
        <f>IF(tblCalculo[[#This Row],[STATUS]]="ALÇADA",tblCalculo[[#This Row],[VALOR_TOTAL]],"")</f>
        <v/>
      </c>
      <c r="M546" t="str">
        <f>IF(tblCalculo[[#This Row],[STATUS]]="EM ANÁLISE",tblCalculo[[#This Row],[VALOR_TOTAL]],"")</f>
        <v/>
      </c>
      <c r="N546" t="str">
        <f>IF(tblCalculo[[#This Row],[STATUS]]="TRAMITANDO",tblCalculo[[#This Row],[VALOR_TOTAL]],"")</f>
        <v/>
      </c>
      <c r="O546">
        <f>IF(tblCalculo[[#This Row],[STATUS]]="PERDIDO",tblCalculo[[#This Row],[VALOR_TOTAL]],"")</f>
        <v>1950.87</v>
      </c>
      <c r="P546" t="str">
        <f>IF(tblCalculo[[#This Row],[STATUS]]="CONCLUÍDO",tblCalculo[[#This Row],[VALOR_TOTAL]],"")</f>
        <v/>
      </c>
    </row>
    <row r="547" spans="1:16" x14ac:dyDescent="0.25">
      <c r="A547" t="str">
        <f>tblVendas[[#This Row],[NR_SIMULACAO]]</f>
        <v>SIM1537</v>
      </c>
      <c r="B547" s="34" t="str">
        <f>_xlfn.XLOOKUP(A547,tblVendas[[#This Row],[NR_SIMULACAO]],tblVendas[[#This Row],[NR_CNPJ]],"")</f>
        <v>47.557.359/0001-27</v>
      </c>
      <c r="C547" t="str">
        <f>_xlfn.XLOOKUP(A547,tblVendas[[#This Row],[NR_SIMULACAO]],tblVendas[[#This Row],[STATUS]],"")</f>
        <v>CONCLUÍDO</v>
      </c>
      <c r="D547" t="str">
        <f>_xlfn.XLOOKUP(A547,tblVendas[[#This Row],[NR_SIMULACAO]],tblVendas[[#This Row],[MES]],"")</f>
        <v>Janeiro</v>
      </c>
      <c r="E547">
        <f>SUM(_xlfn.XLOOKUP(tblCalculo[[#This Row],[NR_SIMULACAO]],tblVendas[[#This Row],[NR_SIMULACAO]],tblVendas[[#This Row],[VALOR_MOVEL]],""):_xlfn.XLOOKUP(tblCalculo[[#This Row],[NR_SIMULACAO]],tblVendas[[#This Row],[NR_SIMULACAO]],tblVendas[[#This Row],[VALOR_APARELHO]],""))</f>
        <v>504.54</v>
      </c>
      <c r="F547">
        <f>IF(tblCalculo[[#This Row],[STATUS]]="CONCLUÍDO",_xlfn.XLOOKUP(tblCalculo[[#This Row],[NR_SIMULACAO]],tblVendas[[#This Row],[NR_SIMULACAO]],tblVendas[[#This Row],[VALOR_MOVEL]],""),0)</f>
        <v>0</v>
      </c>
      <c r="G547">
        <f>IF(tblCalculo[[#This Row],[STATUS]]="CONCLUÍDO",_xlfn.XLOOKUP(tblCalculo[[#This Row],[NR_SIMULACAO]],tblVendas[[#This Row],[NR_SIMULACAO]],tblVendas[[#This Row],[VALOR_AVANCADO]],""),0)</f>
        <v>0</v>
      </c>
      <c r="H547">
        <f>IF(tblCalculo[[#This Row],[STATUS]]="CONCLUÍDO",_xlfn.XLOOKUP(tblCalculo[[#This Row],[NR_SIMULACAO]],tblVendas[[#This Row],[NR_SIMULACAO]],tblVendas[[#This Row],[VALOR_FIXABASICA]],""),0)</f>
        <v>228.61</v>
      </c>
      <c r="I547">
        <f>IF(tblCalculo[[#This Row],[STATUS]]="CONCLUÍDO",_xlfn.XLOOKUP(tblCalculo[[#This Row],[NR_SIMULACAO]],tblVendas[[#This Row],[NR_SIMULACAO]],tblVendas[[#This Row],[VALOR_TI]],""),0)</f>
        <v>0</v>
      </c>
      <c r="J547">
        <f>IF(tblCalculo[[#This Row],[STATUS]]="CONCLUÍDO",_xlfn.XLOOKUP(tblCalculo[[#This Row],[NR_SIMULACAO]],tblVendas[[#This Row],[NR_SIMULACAO]],tblVendas[[#This Row],[VALOR_APARELHO]],""),0)</f>
        <v>275.93</v>
      </c>
      <c r="K547" t="str">
        <f>IF(tblCalculo[[#This Row],[STATUS]]="NEGOCIANDO",tblCalculo[[#This Row],[VALOR_TOTAL]],"")</f>
        <v/>
      </c>
      <c r="L547" t="str">
        <f>IF(tblCalculo[[#This Row],[STATUS]]="ALÇADA",tblCalculo[[#This Row],[VALOR_TOTAL]],"")</f>
        <v/>
      </c>
      <c r="M547" t="str">
        <f>IF(tblCalculo[[#This Row],[STATUS]]="EM ANÁLISE",tblCalculo[[#This Row],[VALOR_TOTAL]],"")</f>
        <v/>
      </c>
      <c r="N547" t="str">
        <f>IF(tblCalculo[[#This Row],[STATUS]]="TRAMITANDO",tblCalculo[[#This Row],[VALOR_TOTAL]],"")</f>
        <v/>
      </c>
      <c r="O547" t="str">
        <f>IF(tblCalculo[[#This Row],[STATUS]]="PERDIDO",tblCalculo[[#This Row],[VALOR_TOTAL]],"")</f>
        <v/>
      </c>
      <c r="P547">
        <f>IF(tblCalculo[[#This Row],[STATUS]]="CONCLUÍDO",tblCalculo[[#This Row],[VALOR_TOTAL]],"")</f>
        <v>504.54</v>
      </c>
    </row>
    <row r="548" spans="1:16" x14ac:dyDescent="0.25">
      <c r="A548" t="str">
        <f>tblVendas[[#This Row],[NR_SIMULACAO]]</f>
        <v>SIM1538</v>
      </c>
      <c r="B548" s="34" t="str">
        <f>_xlfn.XLOOKUP(A548,tblVendas[[#This Row],[NR_SIMULACAO]],tblVendas[[#This Row],[NR_CNPJ]],"")</f>
        <v>85.127.731/0001-68</v>
      </c>
      <c r="C548" t="str">
        <f>_xlfn.XLOOKUP(A548,tblVendas[[#This Row],[NR_SIMULACAO]],tblVendas[[#This Row],[STATUS]],"")</f>
        <v>CONCLUÍDO</v>
      </c>
      <c r="D548" t="str">
        <f>_xlfn.XLOOKUP(A548,tblVendas[[#This Row],[NR_SIMULACAO]],tblVendas[[#This Row],[MES]],"")</f>
        <v>Dezembro</v>
      </c>
      <c r="E548">
        <f>SUM(_xlfn.XLOOKUP(tblCalculo[[#This Row],[NR_SIMULACAO]],tblVendas[[#This Row],[NR_SIMULACAO]],tblVendas[[#This Row],[VALOR_MOVEL]],""):_xlfn.XLOOKUP(tblCalculo[[#This Row],[NR_SIMULACAO]],tblVendas[[#This Row],[NR_SIMULACAO]],tblVendas[[#This Row],[VALOR_APARELHO]],""))</f>
        <v>26812.82</v>
      </c>
      <c r="F548">
        <f>IF(tblCalculo[[#This Row],[STATUS]]="CONCLUÍDO",_xlfn.XLOOKUP(tblCalculo[[#This Row],[NR_SIMULACAO]],tblVendas[[#This Row],[NR_SIMULACAO]],tblVendas[[#This Row],[VALOR_MOVEL]],""),0)</f>
        <v>1269.52</v>
      </c>
      <c r="G548">
        <f>IF(tblCalculo[[#This Row],[STATUS]]="CONCLUÍDO",_xlfn.XLOOKUP(tblCalculo[[#This Row],[NR_SIMULACAO]],tblVendas[[#This Row],[NR_SIMULACAO]],tblVendas[[#This Row],[VALOR_AVANCADO]],""),0)</f>
        <v>0</v>
      </c>
      <c r="H548">
        <f>IF(tblCalculo[[#This Row],[STATUS]]="CONCLUÍDO",_xlfn.XLOOKUP(tblCalculo[[#This Row],[NR_SIMULACAO]],tblVendas[[#This Row],[NR_SIMULACAO]],tblVendas[[#This Row],[VALOR_FIXABASICA]],""),0)</f>
        <v>0</v>
      </c>
      <c r="I548">
        <f>IF(tblCalculo[[#This Row],[STATUS]]="CONCLUÍDO",_xlfn.XLOOKUP(tblCalculo[[#This Row],[NR_SIMULACAO]],tblVendas[[#This Row],[NR_SIMULACAO]],tblVendas[[#This Row],[VALOR_TI]],""),0)</f>
        <v>11435.23</v>
      </c>
      <c r="J548">
        <f>IF(tblCalculo[[#This Row],[STATUS]]="CONCLUÍDO",_xlfn.XLOOKUP(tblCalculo[[#This Row],[NR_SIMULACAO]],tblVendas[[#This Row],[NR_SIMULACAO]],tblVendas[[#This Row],[VALOR_APARELHO]],""),0)</f>
        <v>14108.07</v>
      </c>
      <c r="K548" t="str">
        <f>IF(tblCalculo[[#This Row],[STATUS]]="NEGOCIANDO",tblCalculo[[#This Row],[VALOR_TOTAL]],"")</f>
        <v/>
      </c>
      <c r="L548" t="str">
        <f>IF(tblCalculo[[#This Row],[STATUS]]="ALÇADA",tblCalculo[[#This Row],[VALOR_TOTAL]],"")</f>
        <v/>
      </c>
      <c r="M548" t="str">
        <f>IF(tblCalculo[[#This Row],[STATUS]]="EM ANÁLISE",tblCalculo[[#This Row],[VALOR_TOTAL]],"")</f>
        <v/>
      </c>
      <c r="N548" t="str">
        <f>IF(tblCalculo[[#This Row],[STATUS]]="TRAMITANDO",tblCalculo[[#This Row],[VALOR_TOTAL]],"")</f>
        <v/>
      </c>
      <c r="O548" t="str">
        <f>IF(tblCalculo[[#This Row],[STATUS]]="PERDIDO",tblCalculo[[#This Row],[VALOR_TOTAL]],"")</f>
        <v/>
      </c>
      <c r="P548">
        <f>IF(tblCalculo[[#This Row],[STATUS]]="CONCLUÍDO",tblCalculo[[#This Row],[VALOR_TOTAL]],"")</f>
        <v>26812.82</v>
      </c>
    </row>
    <row r="549" spans="1:16" x14ac:dyDescent="0.25">
      <c r="A549" t="str">
        <f>tblVendas[[#This Row],[NR_SIMULACAO]]</f>
        <v>SIM1539</v>
      </c>
      <c r="B549" s="34" t="str">
        <f>_xlfn.XLOOKUP(A549,tblVendas[[#This Row],[NR_SIMULACAO]],tblVendas[[#This Row],[NR_CNPJ]],"")</f>
        <v>23.111.733/0001-84</v>
      </c>
      <c r="C549" t="str">
        <f>_xlfn.XLOOKUP(A549,tblVendas[[#This Row],[NR_SIMULACAO]],tblVendas[[#This Row],[STATUS]],"")</f>
        <v>CONCLUÍDO</v>
      </c>
      <c r="D549" t="str">
        <f>_xlfn.XLOOKUP(A549,tblVendas[[#This Row],[NR_SIMULACAO]],tblVendas[[#This Row],[MES]],"")</f>
        <v>Outubro</v>
      </c>
      <c r="E549">
        <f>SUM(_xlfn.XLOOKUP(tblCalculo[[#This Row],[NR_SIMULACAO]],tblVendas[[#This Row],[NR_SIMULACAO]],tblVendas[[#This Row],[VALOR_MOVEL]],""):_xlfn.XLOOKUP(tblCalculo[[#This Row],[NR_SIMULACAO]],tblVendas[[#This Row],[NR_SIMULACAO]],tblVendas[[#This Row],[VALOR_APARELHO]],""))</f>
        <v>27196.489999999998</v>
      </c>
      <c r="F549">
        <f>IF(tblCalculo[[#This Row],[STATUS]]="CONCLUÍDO",_xlfn.XLOOKUP(tblCalculo[[#This Row],[NR_SIMULACAO]],tblVendas[[#This Row],[NR_SIMULACAO]],tblVendas[[#This Row],[VALOR_MOVEL]],""),0)</f>
        <v>0</v>
      </c>
      <c r="G549">
        <f>IF(tblCalculo[[#This Row],[STATUS]]="CONCLUÍDO",_xlfn.XLOOKUP(tblCalculo[[#This Row],[NR_SIMULACAO]],tblVendas[[#This Row],[NR_SIMULACAO]],tblVendas[[#This Row],[VALOR_AVANCADO]],""),0)</f>
        <v>0</v>
      </c>
      <c r="H549">
        <f>IF(tblCalculo[[#This Row],[STATUS]]="CONCLUÍDO",_xlfn.XLOOKUP(tblCalculo[[#This Row],[NR_SIMULACAO]],tblVendas[[#This Row],[NR_SIMULACAO]],tblVendas[[#This Row],[VALOR_FIXABASICA]],""),0)</f>
        <v>1975.28</v>
      </c>
      <c r="I549">
        <f>IF(tblCalculo[[#This Row],[STATUS]]="CONCLUÍDO",_xlfn.XLOOKUP(tblCalculo[[#This Row],[NR_SIMULACAO]],tblVendas[[#This Row],[NR_SIMULACAO]],tblVendas[[#This Row],[VALOR_TI]],""),0)</f>
        <v>11761.63</v>
      </c>
      <c r="J549">
        <f>IF(tblCalculo[[#This Row],[STATUS]]="CONCLUÍDO",_xlfn.XLOOKUP(tblCalculo[[#This Row],[NR_SIMULACAO]],tblVendas[[#This Row],[NR_SIMULACAO]],tblVendas[[#This Row],[VALOR_APARELHO]],""),0)</f>
        <v>13459.58</v>
      </c>
      <c r="K549" t="str">
        <f>IF(tblCalculo[[#This Row],[STATUS]]="NEGOCIANDO",tblCalculo[[#This Row],[VALOR_TOTAL]],"")</f>
        <v/>
      </c>
      <c r="L549" t="str">
        <f>IF(tblCalculo[[#This Row],[STATUS]]="ALÇADA",tblCalculo[[#This Row],[VALOR_TOTAL]],"")</f>
        <v/>
      </c>
      <c r="M549" t="str">
        <f>IF(tblCalculo[[#This Row],[STATUS]]="EM ANÁLISE",tblCalculo[[#This Row],[VALOR_TOTAL]],"")</f>
        <v/>
      </c>
      <c r="N549" t="str">
        <f>IF(tblCalculo[[#This Row],[STATUS]]="TRAMITANDO",tblCalculo[[#This Row],[VALOR_TOTAL]],"")</f>
        <v/>
      </c>
      <c r="O549" t="str">
        <f>IF(tblCalculo[[#This Row],[STATUS]]="PERDIDO",tblCalculo[[#This Row],[VALOR_TOTAL]],"")</f>
        <v/>
      </c>
      <c r="P549">
        <f>IF(tblCalculo[[#This Row],[STATUS]]="CONCLUÍDO",tblCalculo[[#This Row],[VALOR_TOTAL]],"")</f>
        <v>27196.489999999998</v>
      </c>
    </row>
    <row r="550" spans="1:16" x14ac:dyDescent="0.25">
      <c r="A550" t="str">
        <f>tblVendas[[#This Row],[NR_SIMULACAO]]</f>
        <v>SIM1540</v>
      </c>
      <c r="B550" s="34" t="str">
        <f>_xlfn.XLOOKUP(A550,tblVendas[[#This Row],[NR_SIMULACAO]],tblVendas[[#This Row],[NR_CNPJ]],"")</f>
        <v>86.201.551/0001-27</v>
      </c>
      <c r="C550" t="str">
        <f>_xlfn.XLOOKUP(A550,tblVendas[[#This Row],[NR_SIMULACAO]],tblVendas[[#This Row],[STATUS]],"")</f>
        <v>TRAMITANDO</v>
      </c>
      <c r="D550" t="str">
        <f>_xlfn.XLOOKUP(A550,tblVendas[[#This Row],[NR_SIMULACAO]],tblVendas[[#This Row],[MES]],"")</f>
        <v>Maio</v>
      </c>
      <c r="E550">
        <f>SUM(_xlfn.XLOOKUP(tblCalculo[[#This Row],[NR_SIMULACAO]],tblVendas[[#This Row],[NR_SIMULACAO]],tblVendas[[#This Row],[VALOR_MOVEL]],""):_xlfn.XLOOKUP(tblCalculo[[#This Row],[NR_SIMULACAO]],tblVendas[[#This Row],[NR_SIMULACAO]],tblVendas[[#This Row],[VALOR_APARELHO]],""))</f>
        <v>872.58</v>
      </c>
      <c r="F550">
        <f>IF(tblCalculo[[#This Row],[STATUS]]="CONCLUÍDO",_xlfn.XLOOKUP(tblCalculo[[#This Row],[NR_SIMULACAO]],tblVendas[[#This Row],[NR_SIMULACAO]],tblVendas[[#This Row],[VALOR_MOVEL]],""),0)</f>
        <v>0</v>
      </c>
      <c r="G550">
        <f>IF(tblCalculo[[#This Row],[STATUS]]="CONCLUÍDO",_xlfn.XLOOKUP(tblCalculo[[#This Row],[NR_SIMULACAO]],tblVendas[[#This Row],[NR_SIMULACAO]],tblVendas[[#This Row],[VALOR_AVANCADO]],""),0)</f>
        <v>0</v>
      </c>
      <c r="H550">
        <f>IF(tblCalculo[[#This Row],[STATUS]]="CONCLUÍDO",_xlfn.XLOOKUP(tblCalculo[[#This Row],[NR_SIMULACAO]],tblVendas[[#This Row],[NR_SIMULACAO]],tblVendas[[#This Row],[VALOR_FIXABASICA]],""),0)</f>
        <v>0</v>
      </c>
      <c r="I550">
        <f>IF(tblCalculo[[#This Row],[STATUS]]="CONCLUÍDO",_xlfn.XLOOKUP(tblCalculo[[#This Row],[NR_SIMULACAO]],tblVendas[[#This Row],[NR_SIMULACAO]],tblVendas[[#This Row],[VALOR_TI]],""),0)</f>
        <v>0</v>
      </c>
      <c r="J550">
        <f>IF(tblCalculo[[#This Row],[STATUS]]="CONCLUÍDO",_xlfn.XLOOKUP(tblCalculo[[#This Row],[NR_SIMULACAO]],tblVendas[[#This Row],[NR_SIMULACAO]],tblVendas[[#This Row],[VALOR_APARELHO]],""),0)</f>
        <v>0</v>
      </c>
      <c r="K550" t="str">
        <f>IF(tblCalculo[[#This Row],[STATUS]]="NEGOCIANDO",tblCalculo[[#This Row],[VALOR_TOTAL]],"")</f>
        <v/>
      </c>
      <c r="L550" t="str">
        <f>IF(tblCalculo[[#This Row],[STATUS]]="ALÇADA",tblCalculo[[#This Row],[VALOR_TOTAL]],"")</f>
        <v/>
      </c>
      <c r="M550" t="str">
        <f>IF(tblCalculo[[#This Row],[STATUS]]="EM ANÁLISE",tblCalculo[[#This Row],[VALOR_TOTAL]],"")</f>
        <v/>
      </c>
      <c r="N550">
        <f>IF(tblCalculo[[#This Row],[STATUS]]="TRAMITANDO",tblCalculo[[#This Row],[VALOR_TOTAL]],"")</f>
        <v>872.58</v>
      </c>
      <c r="O550" t="str">
        <f>IF(tblCalculo[[#This Row],[STATUS]]="PERDIDO",tblCalculo[[#This Row],[VALOR_TOTAL]],"")</f>
        <v/>
      </c>
      <c r="P550" t="str">
        <f>IF(tblCalculo[[#This Row],[STATUS]]="CONCLUÍDO",tblCalculo[[#This Row],[VALOR_TOTAL]],"")</f>
        <v/>
      </c>
    </row>
    <row r="551" spans="1:16" x14ac:dyDescent="0.25">
      <c r="A551" t="str">
        <f>tblVendas[[#This Row],[NR_SIMULACAO]]</f>
        <v>SIM1541</v>
      </c>
      <c r="B551" s="34" t="str">
        <f>_xlfn.XLOOKUP(A551,tblVendas[[#This Row],[NR_SIMULACAO]],tblVendas[[#This Row],[NR_CNPJ]],"")</f>
        <v>16.907.905/0001-57</v>
      </c>
      <c r="C551" t="str">
        <f>_xlfn.XLOOKUP(A551,tblVendas[[#This Row],[NR_SIMULACAO]],tblVendas[[#This Row],[STATUS]],"")</f>
        <v>EM ANÁLISE</v>
      </c>
      <c r="D551" t="str">
        <f>_xlfn.XLOOKUP(A551,tblVendas[[#This Row],[NR_SIMULACAO]],tblVendas[[#This Row],[MES]],"")</f>
        <v>Outubro</v>
      </c>
      <c r="E551">
        <f>SUM(_xlfn.XLOOKUP(tblCalculo[[#This Row],[NR_SIMULACAO]],tblVendas[[#This Row],[NR_SIMULACAO]],tblVendas[[#This Row],[VALOR_MOVEL]],""):_xlfn.XLOOKUP(tblCalculo[[#This Row],[NR_SIMULACAO]],tblVendas[[#This Row],[NR_SIMULACAO]],tblVendas[[#This Row],[VALOR_APARELHO]],""))</f>
        <v>21250.25</v>
      </c>
      <c r="F551">
        <f>IF(tblCalculo[[#This Row],[STATUS]]="CONCLUÍDO",_xlfn.XLOOKUP(tblCalculo[[#This Row],[NR_SIMULACAO]],tblVendas[[#This Row],[NR_SIMULACAO]],tblVendas[[#This Row],[VALOR_MOVEL]],""),0)</f>
        <v>0</v>
      </c>
      <c r="G551">
        <f>IF(tblCalculo[[#This Row],[STATUS]]="CONCLUÍDO",_xlfn.XLOOKUP(tblCalculo[[#This Row],[NR_SIMULACAO]],tblVendas[[#This Row],[NR_SIMULACAO]],tblVendas[[#This Row],[VALOR_AVANCADO]],""),0)</f>
        <v>0</v>
      </c>
      <c r="H551">
        <f>IF(tblCalculo[[#This Row],[STATUS]]="CONCLUÍDO",_xlfn.XLOOKUP(tblCalculo[[#This Row],[NR_SIMULACAO]],tblVendas[[#This Row],[NR_SIMULACAO]],tblVendas[[#This Row],[VALOR_FIXABASICA]],""),0)</f>
        <v>0</v>
      </c>
      <c r="I551">
        <f>IF(tblCalculo[[#This Row],[STATUS]]="CONCLUÍDO",_xlfn.XLOOKUP(tblCalculo[[#This Row],[NR_SIMULACAO]],tblVendas[[#This Row],[NR_SIMULACAO]],tblVendas[[#This Row],[VALOR_TI]],""),0)</f>
        <v>0</v>
      </c>
      <c r="J551">
        <f>IF(tblCalculo[[#This Row],[STATUS]]="CONCLUÍDO",_xlfn.XLOOKUP(tblCalculo[[#This Row],[NR_SIMULACAO]],tblVendas[[#This Row],[NR_SIMULACAO]],tblVendas[[#This Row],[VALOR_APARELHO]],""),0)</f>
        <v>0</v>
      </c>
      <c r="K551" t="str">
        <f>IF(tblCalculo[[#This Row],[STATUS]]="NEGOCIANDO",tblCalculo[[#This Row],[VALOR_TOTAL]],"")</f>
        <v/>
      </c>
      <c r="L551" t="str">
        <f>IF(tblCalculo[[#This Row],[STATUS]]="ALÇADA",tblCalculo[[#This Row],[VALOR_TOTAL]],"")</f>
        <v/>
      </c>
      <c r="M551">
        <f>IF(tblCalculo[[#This Row],[STATUS]]="EM ANÁLISE",tblCalculo[[#This Row],[VALOR_TOTAL]],"")</f>
        <v>21250.25</v>
      </c>
      <c r="N551" t="str">
        <f>IF(tblCalculo[[#This Row],[STATUS]]="TRAMITANDO",tblCalculo[[#This Row],[VALOR_TOTAL]],"")</f>
        <v/>
      </c>
      <c r="O551" t="str">
        <f>IF(tblCalculo[[#This Row],[STATUS]]="PERDIDO",tblCalculo[[#This Row],[VALOR_TOTAL]],"")</f>
        <v/>
      </c>
      <c r="P551" t="str">
        <f>IF(tblCalculo[[#This Row],[STATUS]]="CONCLUÍDO",tblCalculo[[#This Row],[VALOR_TOTAL]],"")</f>
        <v/>
      </c>
    </row>
    <row r="552" spans="1:16" x14ac:dyDescent="0.25">
      <c r="A552" t="str">
        <f>tblVendas[[#This Row],[NR_SIMULACAO]]</f>
        <v>SIM1542</v>
      </c>
      <c r="B552" s="34" t="str">
        <f>_xlfn.XLOOKUP(A552,tblVendas[[#This Row],[NR_SIMULACAO]],tblVendas[[#This Row],[NR_CNPJ]],"")</f>
        <v>27.426.604/0001-12</v>
      </c>
      <c r="C552" t="str">
        <f>_xlfn.XLOOKUP(A552,tblVendas[[#This Row],[NR_SIMULACAO]],tblVendas[[#This Row],[STATUS]],"")</f>
        <v>TRAMITANDO</v>
      </c>
      <c r="D552" t="str">
        <f>_xlfn.XLOOKUP(A552,tblVendas[[#This Row],[NR_SIMULACAO]],tblVendas[[#This Row],[MES]],"")</f>
        <v>Dezembro</v>
      </c>
      <c r="E552">
        <f>SUM(_xlfn.XLOOKUP(tblCalculo[[#This Row],[NR_SIMULACAO]],tblVendas[[#This Row],[NR_SIMULACAO]],tblVendas[[#This Row],[VALOR_MOVEL]],""):_xlfn.XLOOKUP(tblCalculo[[#This Row],[NR_SIMULACAO]],tblVendas[[#This Row],[NR_SIMULACAO]],tblVendas[[#This Row],[VALOR_APARELHO]],""))</f>
        <v>13472.2</v>
      </c>
      <c r="F552">
        <f>IF(tblCalculo[[#This Row],[STATUS]]="CONCLUÍDO",_xlfn.XLOOKUP(tblCalculo[[#This Row],[NR_SIMULACAO]],tblVendas[[#This Row],[NR_SIMULACAO]],tblVendas[[#This Row],[VALOR_MOVEL]],""),0)</f>
        <v>0</v>
      </c>
      <c r="G552">
        <f>IF(tblCalculo[[#This Row],[STATUS]]="CONCLUÍDO",_xlfn.XLOOKUP(tblCalculo[[#This Row],[NR_SIMULACAO]],tblVendas[[#This Row],[NR_SIMULACAO]],tblVendas[[#This Row],[VALOR_AVANCADO]],""),0)</f>
        <v>0</v>
      </c>
      <c r="H552">
        <f>IF(tblCalculo[[#This Row],[STATUS]]="CONCLUÍDO",_xlfn.XLOOKUP(tblCalculo[[#This Row],[NR_SIMULACAO]],tblVendas[[#This Row],[NR_SIMULACAO]],tblVendas[[#This Row],[VALOR_FIXABASICA]],""),0)</f>
        <v>0</v>
      </c>
      <c r="I552">
        <f>IF(tblCalculo[[#This Row],[STATUS]]="CONCLUÍDO",_xlfn.XLOOKUP(tblCalculo[[#This Row],[NR_SIMULACAO]],tblVendas[[#This Row],[NR_SIMULACAO]],tblVendas[[#This Row],[VALOR_TI]],""),0)</f>
        <v>0</v>
      </c>
      <c r="J552">
        <f>IF(tblCalculo[[#This Row],[STATUS]]="CONCLUÍDO",_xlfn.XLOOKUP(tblCalculo[[#This Row],[NR_SIMULACAO]],tblVendas[[#This Row],[NR_SIMULACAO]],tblVendas[[#This Row],[VALOR_APARELHO]],""),0)</f>
        <v>0</v>
      </c>
      <c r="K552" t="str">
        <f>IF(tblCalculo[[#This Row],[STATUS]]="NEGOCIANDO",tblCalculo[[#This Row],[VALOR_TOTAL]],"")</f>
        <v/>
      </c>
      <c r="L552" t="str">
        <f>IF(tblCalculo[[#This Row],[STATUS]]="ALÇADA",tblCalculo[[#This Row],[VALOR_TOTAL]],"")</f>
        <v/>
      </c>
      <c r="M552" t="str">
        <f>IF(tblCalculo[[#This Row],[STATUS]]="EM ANÁLISE",tblCalculo[[#This Row],[VALOR_TOTAL]],"")</f>
        <v/>
      </c>
      <c r="N552">
        <f>IF(tblCalculo[[#This Row],[STATUS]]="TRAMITANDO",tblCalculo[[#This Row],[VALOR_TOTAL]],"")</f>
        <v>13472.2</v>
      </c>
      <c r="O552" t="str">
        <f>IF(tblCalculo[[#This Row],[STATUS]]="PERDIDO",tblCalculo[[#This Row],[VALOR_TOTAL]],"")</f>
        <v/>
      </c>
      <c r="P552" t="str">
        <f>IF(tblCalculo[[#This Row],[STATUS]]="CONCLUÍDO",tblCalculo[[#This Row],[VALOR_TOTAL]],"")</f>
        <v/>
      </c>
    </row>
    <row r="553" spans="1:16" x14ac:dyDescent="0.25">
      <c r="A553" t="str">
        <f>tblVendas[[#This Row],[NR_SIMULACAO]]</f>
        <v>SIM1543</v>
      </c>
      <c r="B553" s="34" t="str">
        <f>_xlfn.XLOOKUP(A553,tblVendas[[#This Row],[NR_SIMULACAO]],tblVendas[[#This Row],[NR_CNPJ]],"")</f>
        <v>29.717.919/0001-98</v>
      </c>
      <c r="C553" t="str">
        <f>_xlfn.XLOOKUP(A553,tblVendas[[#This Row],[NR_SIMULACAO]],tblVendas[[#This Row],[STATUS]],"")</f>
        <v>PERDIDO</v>
      </c>
      <c r="D553" t="str">
        <f>_xlfn.XLOOKUP(A553,tblVendas[[#This Row],[NR_SIMULACAO]],tblVendas[[#This Row],[MES]],"")</f>
        <v>Agosto</v>
      </c>
      <c r="E553">
        <f>SUM(_xlfn.XLOOKUP(tblCalculo[[#This Row],[NR_SIMULACAO]],tblVendas[[#This Row],[NR_SIMULACAO]],tblVendas[[#This Row],[VALOR_MOVEL]],""):_xlfn.XLOOKUP(tblCalculo[[#This Row],[NR_SIMULACAO]],tblVendas[[#This Row],[NR_SIMULACAO]],tblVendas[[#This Row],[VALOR_APARELHO]],""))</f>
        <v>32424.53</v>
      </c>
      <c r="F553">
        <f>IF(tblCalculo[[#This Row],[STATUS]]="CONCLUÍDO",_xlfn.XLOOKUP(tblCalculo[[#This Row],[NR_SIMULACAO]],tblVendas[[#This Row],[NR_SIMULACAO]],tblVendas[[#This Row],[VALOR_MOVEL]],""),0)</f>
        <v>0</v>
      </c>
      <c r="G553">
        <f>IF(tblCalculo[[#This Row],[STATUS]]="CONCLUÍDO",_xlfn.XLOOKUP(tblCalculo[[#This Row],[NR_SIMULACAO]],tblVendas[[#This Row],[NR_SIMULACAO]],tblVendas[[#This Row],[VALOR_AVANCADO]],""),0)</f>
        <v>0</v>
      </c>
      <c r="H553">
        <f>IF(tblCalculo[[#This Row],[STATUS]]="CONCLUÍDO",_xlfn.XLOOKUP(tblCalculo[[#This Row],[NR_SIMULACAO]],tblVendas[[#This Row],[NR_SIMULACAO]],tblVendas[[#This Row],[VALOR_FIXABASICA]],""),0)</f>
        <v>0</v>
      </c>
      <c r="I553">
        <f>IF(tblCalculo[[#This Row],[STATUS]]="CONCLUÍDO",_xlfn.XLOOKUP(tblCalculo[[#This Row],[NR_SIMULACAO]],tblVendas[[#This Row],[NR_SIMULACAO]],tblVendas[[#This Row],[VALOR_TI]],""),0)</f>
        <v>0</v>
      </c>
      <c r="J553">
        <f>IF(tblCalculo[[#This Row],[STATUS]]="CONCLUÍDO",_xlfn.XLOOKUP(tblCalculo[[#This Row],[NR_SIMULACAO]],tblVendas[[#This Row],[NR_SIMULACAO]],tblVendas[[#This Row],[VALOR_APARELHO]],""),0)</f>
        <v>0</v>
      </c>
      <c r="K553" t="str">
        <f>IF(tblCalculo[[#This Row],[STATUS]]="NEGOCIANDO",tblCalculo[[#This Row],[VALOR_TOTAL]],"")</f>
        <v/>
      </c>
      <c r="L553" t="str">
        <f>IF(tblCalculo[[#This Row],[STATUS]]="ALÇADA",tblCalculo[[#This Row],[VALOR_TOTAL]],"")</f>
        <v/>
      </c>
      <c r="M553" t="str">
        <f>IF(tblCalculo[[#This Row],[STATUS]]="EM ANÁLISE",tblCalculo[[#This Row],[VALOR_TOTAL]],"")</f>
        <v/>
      </c>
      <c r="N553" t="str">
        <f>IF(tblCalculo[[#This Row],[STATUS]]="TRAMITANDO",tblCalculo[[#This Row],[VALOR_TOTAL]],"")</f>
        <v/>
      </c>
      <c r="O553">
        <f>IF(tblCalculo[[#This Row],[STATUS]]="PERDIDO",tblCalculo[[#This Row],[VALOR_TOTAL]],"")</f>
        <v>32424.53</v>
      </c>
      <c r="P553" t="str">
        <f>IF(tblCalculo[[#This Row],[STATUS]]="CONCLUÍDO",tblCalculo[[#This Row],[VALOR_TOTAL]],"")</f>
        <v/>
      </c>
    </row>
    <row r="554" spans="1:16" x14ac:dyDescent="0.25">
      <c r="A554" t="str">
        <f>tblVendas[[#This Row],[NR_SIMULACAO]]</f>
        <v>SIM1544</v>
      </c>
      <c r="B554" s="34" t="str">
        <f>_xlfn.XLOOKUP(A554,tblVendas[[#This Row],[NR_SIMULACAO]],tblVendas[[#This Row],[NR_CNPJ]],"")</f>
        <v>36.205.286/0001-74</v>
      </c>
      <c r="C554" t="str">
        <f>_xlfn.XLOOKUP(A554,tblVendas[[#This Row],[NR_SIMULACAO]],tblVendas[[#This Row],[STATUS]],"")</f>
        <v>ALÇADA</v>
      </c>
      <c r="D554" t="str">
        <f>_xlfn.XLOOKUP(A554,tblVendas[[#This Row],[NR_SIMULACAO]],tblVendas[[#This Row],[MES]],"")</f>
        <v>Dezembro</v>
      </c>
      <c r="E554">
        <f>SUM(_xlfn.XLOOKUP(tblCalculo[[#This Row],[NR_SIMULACAO]],tblVendas[[#This Row],[NR_SIMULACAO]],tblVendas[[#This Row],[VALOR_MOVEL]],""):_xlfn.XLOOKUP(tblCalculo[[#This Row],[NR_SIMULACAO]],tblVendas[[#This Row],[NR_SIMULACAO]],tblVendas[[#This Row],[VALOR_APARELHO]],""))</f>
        <v>8013.31</v>
      </c>
      <c r="F554">
        <f>IF(tblCalculo[[#This Row],[STATUS]]="CONCLUÍDO",_xlfn.XLOOKUP(tblCalculo[[#This Row],[NR_SIMULACAO]],tblVendas[[#This Row],[NR_SIMULACAO]],tblVendas[[#This Row],[VALOR_MOVEL]],""),0)</f>
        <v>0</v>
      </c>
      <c r="G554">
        <f>IF(tblCalculo[[#This Row],[STATUS]]="CONCLUÍDO",_xlfn.XLOOKUP(tblCalculo[[#This Row],[NR_SIMULACAO]],tblVendas[[#This Row],[NR_SIMULACAO]],tblVendas[[#This Row],[VALOR_AVANCADO]],""),0)</f>
        <v>0</v>
      </c>
      <c r="H554">
        <f>IF(tblCalculo[[#This Row],[STATUS]]="CONCLUÍDO",_xlfn.XLOOKUP(tblCalculo[[#This Row],[NR_SIMULACAO]],tblVendas[[#This Row],[NR_SIMULACAO]],tblVendas[[#This Row],[VALOR_FIXABASICA]],""),0)</f>
        <v>0</v>
      </c>
      <c r="I554">
        <f>IF(tblCalculo[[#This Row],[STATUS]]="CONCLUÍDO",_xlfn.XLOOKUP(tblCalculo[[#This Row],[NR_SIMULACAO]],tblVendas[[#This Row],[NR_SIMULACAO]],tblVendas[[#This Row],[VALOR_TI]],""),0)</f>
        <v>0</v>
      </c>
      <c r="J554">
        <f>IF(tblCalculo[[#This Row],[STATUS]]="CONCLUÍDO",_xlfn.XLOOKUP(tblCalculo[[#This Row],[NR_SIMULACAO]],tblVendas[[#This Row],[NR_SIMULACAO]],tblVendas[[#This Row],[VALOR_APARELHO]],""),0)</f>
        <v>0</v>
      </c>
      <c r="K554" t="str">
        <f>IF(tblCalculo[[#This Row],[STATUS]]="NEGOCIANDO",tblCalculo[[#This Row],[VALOR_TOTAL]],"")</f>
        <v/>
      </c>
      <c r="L554">
        <f>IF(tblCalculo[[#This Row],[STATUS]]="ALÇADA",tblCalculo[[#This Row],[VALOR_TOTAL]],"")</f>
        <v>8013.31</v>
      </c>
      <c r="M554" t="str">
        <f>IF(tblCalculo[[#This Row],[STATUS]]="EM ANÁLISE",tblCalculo[[#This Row],[VALOR_TOTAL]],"")</f>
        <v/>
      </c>
      <c r="N554" t="str">
        <f>IF(tblCalculo[[#This Row],[STATUS]]="TRAMITANDO",tblCalculo[[#This Row],[VALOR_TOTAL]],"")</f>
        <v/>
      </c>
      <c r="O554" t="str">
        <f>IF(tblCalculo[[#This Row],[STATUS]]="PERDIDO",tblCalculo[[#This Row],[VALOR_TOTAL]],"")</f>
        <v/>
      </c>
      <c r="P554" t="str">
        <f>IF(tblCalculo[[#This Row],[STATUS]]="CONCLUÍDO",tblCalculo[[#This Row],[VALOR_TOTAL]],"")</f>
        <v/>
      </c>
    </row>
    <row r="555" spans="1:16" x14ac:dyDescent="0.25">
      <c r="A555" t="str">
        <f>tblVendas[[#This Row],[NR_SIMULACAO]]</f>
        <v>SIM1545</v>
      </c>
      <c r="B555" s="34" t="str">
        <f>_xlfn.XLOOKUP(A555,tblVendas[[#This Row],[NR_SIMULACAO]],tblVendas[[#This Row],[NR_CNPJ]],"")</f>
        <v>73.670.962/0001-30</v>
      </c>
      <c r="C555" t="str">
        <f>_xlfn.XLOOKUP(A555,tblVendas[[#This Row],[NR_SIMULACAO]],tblVendas[[#This Row],[STATUS]],"")</f>
        <v>NEGOCIANDO</v>
      </c>
      <c r="D555" t="str">
        <f>_xlfn.XLOOKUP(A555,tblVendas[[#This Row],[NR_SIMULACAO]],tblVendas[[#This Row],[MES]],"")</f>
        <v>Junho</v>
      </c>
      <c r="E555">
        <f>SUM(_xlfn.XLOOKUP(tblCalculo[[#This Row],[NR_SIMULACAO]],tblVendas[[#This Row],[NR_SIMULACAO]],tblVendas[[#This Row],[VALOR_MOVEL]],""):_xlfn.XLOOKUP(tblCalculo[[#This Row],[NR_SIMULACAO]],tblVendas[[#This Row],[NR_SIMULACAO]],tblVendas[[#This Row],[VALOR_APARELHO]],""))</f>
        <v>14136.34</v>
      </c>
      <c r="F555">
        <f>IF(tblCalculo[[#This Row],[STATUS]]="CONCLUÍDO",_xlfn.XLOOKUP(tblCalculo[[#This Row],[NR_SIMULACAO]],tblVendas[[#This Row],[NR_SIMULACAO]],tblVendas[[#This Row],[VALOR_MOVEL]],""),0)</f>
        <v>0</v>
      </c>
      <c r="G555">
        <f>IF(tblCalculo[[#This Row],[STATUS]]="CONCLUÍDO",_xlfn.XLOOKUP(tblCalculo[[#This Row],[NR_SIMULACAO]],tblVendas[[#This Row],[NR_SIMULACAO]],tblVendas[[#This Row],[VALOR_AVANCADO]],""),0)</f>
        <v>0</v>
      </c>
      <c r="H555">
        <f>IF(tblCalculo[[#This Row],[STATUS]]="CONCLUÍDO",_xlfn.XLOOKUP(tblCalculo[[#This Row],[NR_SIMULACAO]],tblVendas[[#This Row],[NR_SIMULACAO]],tblVendas[[#This Row],[VALOR_FIXABASICA]],""),0)</f>
        <v>0</v>
      </c>
      <c r="I555">
        <f>IF(tblCalculo[[#This Row],[STATUS]]="CONCLUÍDO",_xlfn.XLOOKUP(tblCalculo[[#This Row],[NR_SIMULACAO]],tblVendas[[#This Row],[NR_SIMULACAO]],tblVendas[[#This Row],[VALOR_TI]],""),0)</f>
        <v>0</v>
      </c>
      <c r="J555">
        <f>IF(tblCalculo[[#This Row],[STATUS]]="CONCLUÍDO",_xlfn.XLOOKUP(tblCalculo[[#This Row],[NR_SIMULACAO]],tblVendas[[#This Row],[NR_SIMULACAO]],tblVendas[[#This Row],[VALOR_APARELHO]],""),0)</f>
        <v>0</v>
      </c>
      <c r="K555">
        <f>IF(tblCalculo[[#This Row],[STATUS]]="NEGOCIANDO",tblCalculo[[#This Row],[VALOR_TOTAL]],"")</f>
        <v>14136.34</v>
      </c>
      <c r="L555" t="str">
        <f>IF(tblCalculo[[#This Row],[STATUS]]="ALÇADA",tblCalculo[[#This Row],[VALOR_TOTAL]],"")</f>
        <v/>
      </c>
      <c r="M555" t="str">
        <f>IF(tblCalculo[[#This Row],[STATUS]]="EM ANÁLISE",tblCalculo[[#This Row],[VALOR_TOTAL]],"")</f>
        <v/>
      </c>
      <c r="N555" t="str">
        <f>IF(tblCalculo[[#This Row],[STATUS]]="TRAMITANDO",tblCalculo[[#This Row],[VALOR_TOTAL]],"")</f>
        <v/>
      </c>
      <c r="O555" t="str">
        <f>IF(tblCalculo[[#This Row],[STATUS]]="PERDIDO",tblCalculo[[#This Row],[VALOR_TOTAL]],"")</f>
        <v/>
      </c>
      <c r="P555" t="str">
        <f>IF(tblCalculo[[#This Row],[STATUS]]="CONCLUÍDO",tblCalculo[[#This Row],[VALOR_TOTAL]],"")</f>
        <v/>
      </c>
    </row>
    <row r="556" spans="1:16" x14ac:dyDescent="0.25">
      <c r="A556" t="str">
        <f>tblVendas[[#This Row],[NR_SIMULACAO]]</f>
        <v>SIM1546</v>
      </c>
      <c r="B556" s="34" t="str">
        <f>_xlfn.XLOOKUP(A556,tblVendas[[#This Row],[NR_SIMULACAO]],tblVendas[[#This Row],[NR_CNPJ]],"")</f>
        <v>43.320.240/0001-91</v>
      </c>
      <c r="C556" t="str">
        <f>_xlfn.XLOOKUP(A556,tblVendas[[#This Row],[NR_SIMULACAO]],tblVendas[[#This Row],[STATUS]],"")</f>
        <v>EM ANÁLISE</v>
      </c>
      <c r="D556" t="str">
        <f>_xlfn.XLOOKUP(A556,tblVendas[[#This Row],[NR_SIMULACAO]],tblVendas[[#This Row],[MES]],"")</f>
        <v>Junho</v>
      </c>
      <c r="E556">
        <f>SUM(_xlfn.XLOOKUP(tblCalculo[[#This Row],[NR_SIMULACAO]],tblVendas[[#This Row],[NR_SIMULACAO]],tblVendas[[#This Row],[VALOR_MOVEL]],""):_xlfn.XLOOKUP(tblCalculo[[#This Row],[NR_SIMULACAO]],tblVendas[[#This Row],[NR_SIMULACAO]],tblVendas[[#This Row],[VALOR_APARELHO]],""))</f>
        <v>4013.84</v>
      </c>
      <c r="F556">
        <f>IF(tblCalculo[[#This Row],[STATUS]]="CONCLUÍDO",_xlfn.XLOOKUP(tblCalculo[[#This Row],[NR_SIMULACAO]],tblVendas[[#This Row],[NR_SIMULACAO]],tblVendas[[#This Row],[VALOR_MOVEL]],""),0)</f>
        <v>0</v>
      </c>
      <c r="G556">
        <f>IF(tblCalculo[[#This Row],[STATUS]]="CONCLUÍDO",_xlfn.XLOOKUP(tblCalculo[[#This Row],[NR_SIMULACAO]],tblVendas[[#This Row],[NR_SIMULACAO]],tblVendas[[#This Row],[VALOR_AVANCADO]],""),0)</f>
        <v>0</v>
      </c>
      <c r="H556">
        <f>IF(tblCalculo[[#This Row],[STATUS]]="CONCLUÍDO",_xlfn.XLOOKUP(tblCalculo[[#This Row],[NR_SIMULACAO]],tblVendas[[#This Row],[NR_SIMULACAO]],tblVendas[[#This Row],[VALOR_FIXABASICA]],""),0)</f>
        <v>0</v>
      </c>
      <c r="I556">
        <f>IF(tblCalculo[[#This Row],[STATUS]]="CONCLUÍDO",_xlfn.XLOOKUP(tblCalculo[[#This Row],[NR_SIMULACAO]],tblVendas[[#This Row],[NR_SIMULACAO]],tblVendas[[#This Row],[VALOR_TI]],""),0)</f>
        <v>0</v>
      </c>
      <c r="J556">
        <f>IF(tblCalculo[[#This Row],[STATUS]]="CONCLUÍDO",_xlfn.XLOOKUP(tblCalculo[[#This Row],[NR_SIMULACAO]],tblVendas[[#This Row],[NR_SIMULACAO]],tblVendas[[#This Row],[VALOR_APARELHO]],""),0)</f>
        <v>0</v>
      </c>
      <c r="K556" t="str">
        <f>IF(tblCalculo[[#This Row],[STATUS]]="NEGOCIANDO",tblCalculo[[#This Row],[VALOR_TOTAL]],"")</f>
        <v/>
      </c>
      <c r="L556" t="str">
        <f>IF(tblCalculo[[#This Row],[STATUS]]="ALÇADA",tblCalculo[[#This Row],[VALOR_TOTAL]],"")</f>
        <v/>
      </c>
      <c r="M556">
        <f>IF(tblCalculo[[#This Row],[STATUS]]="EM ANÁLISE",tblCalculo[[#This Row],[VALOR_TOTAL]],"")</f>
        <v>4013.84</v>
      </c>
      <c r="N556" t="str">
        <f>IF(tblCalculo[[#This Row],[STATUS]]="TRAMITANDO",tblCalculo[[#This Row],[VALOR_TOTAL]],"")</f>
        <v/>
      </c>
      <c r="O556" t="str">
        <f>IF(tblCalculo[[#This Row],[STATUS]]="PERDIDO",tblCalculo[[#This Row],[VALOR_TOTAL]],"")</f>
        <v/>
      </c>
      <c r="P556" t="str">
        <f>IF(tblCalculo[[#This Row],[STATUS]]="CONCLUÍDO",tblCalculo[[#This Row],[VALOR_TOTAL]],"")</f>
        <v/>
      </c>
    </row>
    <row r="557" spans="1:16" x14ac:dyDescent="0.25">
      <c r="A557" t="str">
        <f>tblVendas[[#This Row],[NR_SIMULACAO]]</f>
        <v>SIM1547</v>
      </c>
      <c r="B557" s="34" t="str">
        <f>_xlfn.XLOOKUP(A557,tblVendas[[#This Row],[NR_SIMULACAO]],tblVendas[[#This Row],[NR_CNPJ]],"")</f>
        <v>39.791.452/0001-63</v>
      </c>
      <c r="C557" t="str">
        <f>_xlfn.XLOOKUP(A557,tblVendas[[#This Row],[NR_SIMULACAO]],tblVendas[[#This Row],[STATUS]],"")</f>
        <v>EM ANÁLISE</v>
      </c>
      <c r="D557" t="str">
        <f>_xlfn.XLOOKUP(A557,tblVendas[[#This Row],[NR_SIMULACAO]],tblVendas[[#This Row],[MES]],"")</f>
        <v>Setembro</v>
      </c>
      <c r="E557">
        <f>SUM(_xlfn.XLOOKUP(tblCalculo[[#This Row],[NR_SIMULACAO]],tblVendas[[#This Row],[NR_SIMULACAO]],tblVendas[[#This Row],[VALOR_MOVEL]],""):_xlfn.XLOOKUP(tblCalculo[[#This Row],[NR_SIMULACAO]],tblVendas[[#This Row],[NR_SIMULACAO]],tblVendas[[#This Row],[VALOR_APARELHO]],""))</f>
        <v>10217.439999999999</v>
      </c>
      <c r="F557">
        <f>IF(tblCalculo[[#This Row],[STATUS]]="CONCLUÍDO",_xlfn.XLOOKUP(tblCalculo[[#This Row],[NR_SIMULACAO]],tblVendas[[#This Row],[NR_SIMULACAO]],tblVendas[[#This Row],[VALOR_MOVEL]],""),0)</f>
        <v>0</v>
      </c>
      <c r="G557">
        <f>IF(tblCalculo[[#This Row],[STATUS]]="CONCLUÍDO",_xlfn.XLOOKUP(tblCalculo[[#This Row],[NR_SIMULACAO]],tblVendas[[#This Row],[NR_SIMULACAO]],tblVendas[[#This Row],[VALOR_AVANCADO]],""),0)</f>
        <v>0</v>
      </c>
      <c r="H557">
        <f>IF(tblCalculo[[#This Row],[STATUS]]="CONCLUÍDO",_xlfn.XLOOKUP(tblCalculo[[#This Row],[NR_SIMULACAO]],tblVendas[[#This Row],[NR_SIMULACAO]],tblVendas[[#This Row],[VALOR_FIXABASICA]],""),0)</f>
        <v>0</v>
      </c>
      <c r="I557">
        <f>IF(tblCalculo[[#This Row],[STATUS]]="CONCLUÍDO",_xlfn.XLOOKUP(tblCalculo[[#This Row],[NR_SIMULACAO]],tblVendas[[#This Row],[NR_SIMULACAO]],tblVendas[[#This Row],[VALOR_TI]],""),0)</f>
        <v>0</v>
      </c>
      <c r="J557">
        <f>IF(tblCalculo[[#This Row],[STATUS]]="CONCLUÍDO",_xlfn.XLOOKUP(tblCalculo[[#This Row],[NR_SIMULACAO]],tblVendas[[#This Row],[NR_SIMULACAO]],tblVendas[[#This Row],[VALOR_APARELHO]],""),0)</f>
        <v>0</v>
      </c>
      <c r="K557" t="str">
        <f>IF(tblCalculo[[#This Row],[STATUS]]="NEGOCIANDO",tblCalculo[[#This Row],[VALOR_TOTAL]],"")</f>
        <v/>
      </c>
      <c r="L557" t="str">
        <f>IF(tblCalculo[[#This Row],[STATUS]]="ALÇADA",tblCalculo[[#This Row],[VALOR_TOTAL]],"")</f>
        <v/>
      </c>
      <c r="M557">
        <f>IF(tblCalculo[[#This Row],[STATUS]]="EM ANÁLISE",tblCalculo[[#This Row],[VALOR_TOTAL]],"")</f>
        <v>10217.439999999999</v>
      </c>
      <c r="N557" t="str">
        <f>IF(tblCalculo[[#This Row],[STATUS]]="TRAMITANDO",tblCalculo[[#This Row],[VALOR_TOTAL]],"")</f>
        <v/>
      </c>
      <c r="O557" t="str">
        <f>IF(tblCalculo[[#This Row],[STATUS]]="PERDIDO",tblCalculo[[#This Row],[VALOR_TOTAL]],"")</f>
        <v/>
      </c>
      <c r="P557" t="str">
        <f>IF(tblCalculo[[#This Row],[STATUS]]="CONCLUÍDO",tblCalculo[[#This Row],[VALOR_TOTAL]],"")</f>
        <v/>
      </c>
    </row>
    <row r="558" spans="1:16" x14ac:dyDescent="0.25">
      <c r="A558" t="str">
        <f>tblVendas[[#This Row],[NR_SIMULACAO]]</f>
        <v>SIM1548</v>
      </c>
      <c r="B558" s="34" t="str">
        <f>_xlfn.XLOOKUP(A558,tblVendas[[#This Row],[NR_SIMULACAO]],tblVendas[[#This Row],[NR_CNPJ]],"")</f>
        <v>93.999.225/0001-25</v>
      </c>
      <c r="C558" t="str">
        <f>_xlfn.XLOOKUP(A558,tblVendas[[#This Row],[NR_SIMULACAO]],tblVendas[[#This Row],[STATUS]],"")</f>
        <v>NEGOCIANDO</v>
      </c>
      <c r="D558" t="str">
        <f>_xlfn.XLOOKUP(A558,tblVendas[[#This Row],[NR_SIMULACAO]],tblVendas[[#This Row],[MES]],"")</f>
        <v>Maio</v>
      </c>
      <c r="E558">
        <f>SUM(_xlfn.XLOOKUP(tblCalculo[[#This Row],[NR_SIMULACAO]],tblVendas[[#This Row],[NR_SIMULACAO]],tblVendas[[#This Row],[VALOR_MOVEL]],""):_xlfn.XLOOKUP(tblCalculo[[#This Row],[NR_SIMULACAO]],tblVendas[[#This Row],[NR_SIMULACAO]],tblVendas[[#This Row],[VALOR_APARELHO]],""))</f>
        <v>8852.33</v>
      </c>
      <c r="F558">
        <f>IF(tblCalculo[[#This Row],[STATUS]]="CONCLUÍDO",_xlfn.XLOOKUP(tblCalculo[[#This Row],[NR_SIMULACAO]],tblVendas[[#This Row],[NR_SIMULACAO]],tblVendas[[#This Row],[VALOR_MOVEL]],""),0)</f>
        <v>0</v>
      </c>
      <c r="G558">
        <f>IF(tblCalculo[[#This Row],[STATUS]]="CONCLUÍDO",_xlfn.XLOOKUP(tblCalculo[[#This Row],[NR_SIMULACAO]],tblVendas[[#This Row],[NR_SIMULACAO]],tblVendas[[#This Row],[VALOR_AVANCADO]],""),0)</f>
        <v>0</v>
      </c>
      <c r="H558">
        <f>IF(tblCalculo[[#This Row],[STATUS]]="CONCLUÍDO",_xlfn.XLOOKUP(tblCalculo[[#This Row],[NR_SIMULACAO]],tblVendas[[#This Row],[NR_SIMULACAO]],tblVendas[[#This Row],[VALOR_FIXABASICA]],""),0)</f>
        <v>0</v>
      </c>
      <c r="I558">
        <f>IF(tblCalculo[[#This Row],[STATUS]]="CONCLUÍDO",_xlfn.XLOOKUP(tblCalculo[[#This Row],[NR_SIMULACAO]],tblVendas[[#This Row],[NR_SIMULACAO]],tblVendas[[#This Row],[VALOR_TI]],""),0)</f>
        <v>0</v>
      </c>
      <c r="J558">
        <f>IF(tblCalculo[[#This Row],[STATUS]]="CONCLUÍDO",_xlfn.XLOOKUP(tblCalculo[[#This Row],[NR_SIMULACAO]],tblVendas[[#This Row],[NR_SIMULACAO]],tblVendas[[#This Row],[VALOR_APARELHO]],""),0)</f>
        <v>0</v>
      </c>
      <c r="K558">
        <f>IF(tblCalculo[[#This Row],[STATUS]]="NEGOCIANDO",tblCalculo[[#This Row],[VALOR_TOTAL]],"")</f>
        <v>8852.33</v>
      </c>
      <c r="L558" t="str">
        <f>IF(tblCalculo[[#This Row],[STATUS]]="ALÇADA",tblCalculo[[#This Row],[VALOR_TOTAL]],"")</f>
        <v/>
      </c>
      <c r="M558" t="str">
        <f>IF(tblCalculo[[#This Row],[STATUS]]="EM ANÁLISE",tblCalculo[[#This Row],[VALOR_TOTAL]],"")</f>
        <v/>
      </c>
      <c r="N558" t="str">
        <f>IF(tblCalculo[[#This Row],[STATUS]]="TRAMITANDO",tblCalculo[[#This Row],[VALOR_TOTAL]],"")</f>
        <v/>
      </c>
      <c r="O558" t="str">
        <f>IF(tblCalculo[[#This Row],[STATUS]]="PERDIDO",tblCalculo[[#This Row],[VALOR_TOTAL]],"")</f>
        <v/>
      </c>
      <c r="P558" t="str">
        <f>IF(tblCalculo[[#This Row],[STATUS]]="CONCLUÍDO",tblCalculo[[#This Row],[VALOR_TOTAL]],"")</f>
        <v/>
      </c>
    </row>
    <row r="559" spans="1:16" x14ac:dyDescent="0.25">
      <c r="A559" t="str">
        <f>tblVendas[[#This Row],[NR_SIMULACAO]]</f>
        <v>SIM1549</v>
      </c>
      <c r="B559" s="34" t="str">
        <f>_xlfn.XLOOKUP(A559,tblVendas[[#This Row],[NR_SIMULACAO]],tblVendas[[#This Row],[NR_CNPJ]],"")</f>
        <v>31.151.295/0001-28</v>
      </c>
      <c r="C559" t="str">
        <f>_xlfn.XLOOKUP(A559,tblVendas[[#This Row],[NR_SIMULACAO]],tblVendas[[#This Row],[STATUS]],"")</f>
        <v>PERDIDO</v>
      </c>
      <c r="D559" t="str">
        <f>_xlfn.XLOOKUP(A559,tblVendas[[#This Row],[NR_SIMULACAO]],tblVendas[[#This Row],[MES]],"")</f>
        <v>Abril</v>
      </c>
      <c r="E559">
        <f>SUM(_xlfn.XLOOKUP(tblCalculo[[#This Row],[NR_SIMULACAO]],tblVendas[[#This Row],[NR_SIMULACAO]],tblVendas[[#This Row],[VALOR_MOVEL]],""):_xlfn.XLOOKUP(tblCalculo[[#This Row],[NR_SIMULACAO]],tblVendas[[#This Row],[NR_SIMULACAO]],tblVendas[[#This Row],[VALOR_APARELHO]],""))</f>
        <v>16286.029999999999</v>
      </c>
      <c r="F559">
        <f>IF(tblCalculo[[#This Row],[STATUS]]="CONCLUÍDO",_xlfn.XLOOKUP(tblCalculo[[#This Row],[NR_SIMULACAO]],tblVendas[[#This Row],[NR_SIMULACAO]],tblVendas[[#This Row],[VALOR_MOVEL]],""),0)</f>
        <v>0</v>
      </c>
      <c r="G559">
        <f>IF(tblCalculo[[#This Row],[STATUS]]="CONCLUÍDO",_xlfn.XLOOKUP(tblCalculo[[#This Row],[NR_SIMULACAO]],tblVendas[[#This Row],[NR_SIMULACAO]],tblVendas[[#This Row],[VALOR_AVANCADO]],""),0)</f>
        <v>0</v>
      </c>
      <c r="H559">
        <f>IF(tblCalculo[[#This Row],[STATUS]]="CONCLUÍDO",_xlfn.XLOOKUP(tblCalculo[[#This Row],[NR_SIMULACAO]],tblVendas[[#This Row],[NR_SIMULACAO]],tblVendas[[#This Row],[VALOR_FIXABASICA]],""),0)</f>
        <v>0</v>
      </c>
      <c r="I559">
        <f>IF(tblCalculo[[#This Row],[STATUS]]="CONCLUÍDO",_xlfn.XLOOKUP(tblCalculo[[#This Row],[NR_SIMULACAO]],tblVendas[[#This Row],[NR_SIMULACAO]],tblVendas[[#This Row],[VALOR_TI]],""),0)</f>
        <v>0</v>
      </c>
      <c r="J559">
        <f>IF(tblCalculo[[#This Row],[STATUS]]="CONCLUÍDO",_xlfn.XLOOKUP(tblCalculo[[#This Row],[NR_SIMULACAO]],tblVendas[[#This Row],[NR_SIMULACAO]],tblVendas[[#This Row],[VALOR_APARELHO]],""),0)</f>
        <v>0</v>
      </c>
      <c r="K559" t="str">
        <f>IF(tblCalculo[[#This Row],[STATUS]]="NEGOCIANDO",tblCalculo[[#This Row],[VALOR_TOTAL]],"")</f>
        <v/>
      </c>
      <c r="L559" t="str">
        <f>IF(tblCalculo[[#This Row],[STATUS]]="ALÇADA",tblCalculo[[#This Row],[VALOR_TOTAL]],"")</f>
        <v/>
      </c>
      <c r="M559" t="str">
        <f>IF(tblCalculo[[#This Row],[STATUS]]="EM ANÁLISE",tblCalculo[[#This Row],[VALOR_TOTAL]],"")</f>
        <v/>
      </c>
      <c r="N559" t="str">
        <f>IF(tblCalculo[[#This Row],[STATUS]]="TRAMITANDO",tblCalculo[[#This Row],[VALOR_TOTAL]],"")</f>
        <v/>
      </c>
      <c r="O559">
        <f>IF(tblCalculo[[#This Row],[STATUS]]="PERDIDO",tblCalculo[[#This Row],[VALOR_TOTAL]],"")</f>
        <v>16286.029999999999</v>
      </c>
      <c r="P559" t="str">
        <f>IF(tblCalculo[[#This Row],[STATUS]]="CONCLUÍDO",tblCalculo[[#This Row],[VALOR_TOTAL]],"")</f>
        <v/>
      </c>
    </row>
    <row r="560" spans="1:16" x14ac:dyDescent="0.25">
      <c r="A560" t="str">
        <f>tblVendas[[#This Row],[NR_SIMULACAO]]</f>
        <v>SIM1550</v>
      </c>
      <c r="B560" s="34" t="str">
        <f>_xlfn.XLOOKUP(A560,tblVendas[[#This Row],[NR_SIMULACAO]],tblVendas[[#This Row],[NR_CNPJ]],"")</f>
        <v>28.794.119/0001-63</v>
      </c>
      <c r="C560" t="str">
        <f>_xlfn.XLOOKUP(A560,tblVendas[[#This Row],[NR_SIMULACAO]],tblVendas[[#This Row],[STATUS]],"")</f>
        <v>TRAMITANDO</v>
      </c>
      <c r="D560" t="str">
        <f>_xlfn.XLOOKUP(A560,tblVendas[[#This Row],[NR_SIMULACAO]],tblVendas[[#This Row],[MES]],"")</f>
        <v>Julho</v>
      </c>
      <c r="E560">
        <f>SUM(_xlfn.XLOOKUP(tblCalculo[[#This Row],[NR_SIMULACAO]],tblVendas[[#This Row],[NR_SIMULACAO]],tblVendas[[#This Row],[VALOR_MOVEL]],""):_xlfn.XLOOKUP(tblCalculo[[#This Row],[NR_SIMULACAO]],tblVendas[[#This Row],[NR_SIMULACAO]],tblVendas[[#This Row],[VALOR_APARELHO]],""))</f>
        <v>2314.12</v>
      </c>
      <c r="F560">
        <f>IF(tblCalculo[[#This Row],[STATUS]]="CONCLUÍDO",_xlfn.XLOOKUP(tblCalculo[[#This Row],[NR_SIMULACAO]],tblVendas[[#This Row],[NR_SIMULACAO]],tblVendas[[#This Row],[VALOR_MOVEL]],""),0)</f>
        <v>0</v>
      </c>
      <c r="G560">
        <f>IF(tblCalculo[[#This Row],[STATUS]]="CONCLUÍDO",_xlfn.XLOOKUP(tblCalculo[[#This Row],[NR_SIMULACAO]],tblVendas[[#This Row],[NR_SIMULACAO]],tblVendas[[#This Row],[VALOR_AVANCADO]],""),0)</f>
        <v>0</v>
      </c>
      <c r="H560">
        <f>IF(tblCalculo[[#This Row],[STATUS]]="CONCLUÍDO",_xlfn.XLOOKUP(tblCalculo[[#This Row],[NR_SIMULACAO]],tblVendas[[#This Row],[NR_SIMULACAO]],tblVendas[[#This Row],[VALOR_FIXABASICA]],""),0)</f>
        <v>0</v>
      </c>
      <c r="I560">
        <f>IF(tblCalculo[[#This Row],[STATUS]]="CONCLUÍDO",_xlfn.XLOOKUP(tblCalculo[[#This Row],[NR_SIMULACAO]],tblVendas[[#This Row],[NR_SIMULACAO]],tblVendas[[#This Row],[VALOR_TI]],""),0)</f>
        <v>0</v>
      </c>
      <c r="J560">
        <f>IF(tblCalculo[[#This Row],[STATUS]]="CONCLUÍDO",_xlfn.XLOOKUP(tblCalculo[[#This Row],[NR_SIMULACAO]],tblVendas[[#This Row],[NR_SIMULACAO]],tblVendas[[#This Row],[VALOR_APARELHO]],""),0)</f>
        <v>0</v>
      </c>
      <c r="K560" t="str">
        <f>IF(tblCalculo[[#This Row],[STATUS]]="NEGOCIANDO",tblCalculo[[#This Row],[VALOR_TOTAL]],"")</f>
        <v/>
      </c>
      <c r="L560" t="str">
        <f>IF(tblCalculo[[#This Row],[STATUS]]="ALÇADA",tblCalculo[[#This Row],[VALOR_TOTAL]],"")</f>
        <v/>
      </c>
      <c r="M560" t="str">
        <f>IF(tblCalculo[[#This Row],[STATUS]]="EM ANÁLISE",tblCalculo[[#This Row],[VALOR_TOTAL]],"")</f>
        <v/>
      </c>
      <c r="N560">
        <f>IF(tblCalculo[[#This Row],[STATUS]]="TRAMITANDO",tblCalculo[[#This Row],[VALOR_TOTAL]],"")</f>
        <v>2314.12</v>
      </c>
      <c r="O560" t="str">
        <f>IF(tblCalculo[[#This Row],[STATUS]]="PERDIDO",tblCalculo[[#This Row],[VALOR_TOTAL]],"")</f>
        <v/>
      </c>
      <c r="P560" t="str">
        <f>IF(tblCalculo[[#This Row],[STATUS]]="CONCLUÍDO",tblCalculo[[#This Row],[VALOR_TOTAL]],"")</f>
        <v/>
      </c>
    </row>
    <row r="561" spans="1:16" x14ac:dyDescent="0.25">
      <c r="A561" t="str">
        <f>tblVendas[[#This Row],[NR_SIMULACAO]]</f>
        <v>SIM1551</v>
      </c>
      <c r="B561" s="34" t="str">
        <f>_xlfn.XLOOKUP(A561,tblVendas[[#This Row],[NR_SIMULACAO]],tblVendas[[#This Row],[NR_CNPJ]],"")</f>
        <v>63.306.576/0001-51</v>
      </c>
      <c r="C561" t="str">
        <f>_xlfn.XLOOKUP(A561,tblVendas[[#This Row],[NR_SIMULACAO]],tblVendas[[#This Row],[STATUS]],"")</f>
        <v>CONCLUÍDO</v>
      </c>
      <c r="D561" t="str">
        <f>_xlfn.XLOOKUP(A561,tblVendas[[#This Row],[NR_SIMULACAO]],tblVendas[[#This Row],[MES]],"")</f>
        <v>Setembro</v>
      </c>
      <c r="E561">
        <f>SUM(_xlfn.XLOOKUP(tblCalculo[[#This Row],[NR_SIMULACAO]],tblVendas[[#This Row],[NR_SIMULACAO]],tblVendas[[#This Row],[VALOR_MOVEL]],""):_xlfn.XLOOKUP(tblCalculo[[#This Row],[NR_SIMULACAO]],tblVendas[[#This Row],[NR_SIMULACAO]],tblVendas[[#This Row],[VALOR_APARELHO]],""))</f>
        <v>25496.54</v>
      </c>
      <c r="F561">
        <f>IF(tblCalculo[[#This Row],[STATUS]]="CONCLUÍDO",_xlfn.XLOOKUP(tblCalculo[[#This Row],[NR_SIMULACAO]],tblVendas[[#This Row],[NR_SIMULACAO]],tblVendas[[#This Row],[VALOR_MOVEL]],""),0)</f>
        <v>5448.44</v>
      </c>
      <c r="G561">
        <f>IF(tblCalculo[[#This Row],[STATUS]]="CONCLUÍDO",_xlfn.XLOOKUP(tblCalculo[[#This Row],[NR_SIMULACAO]],tblVendas[[#This Row],[NR_SIMULACAO]],tblVendas[[#This Row],[VALOR_AVANCADO]],""),0)</f>
        <v>0</v>
      </c>
      <c r="H561">
        <f>IF(tblCalculo[[#This Row],[STATUS]]="CONCLUÍDO",_xlfn.XLOOKUP(tblCalculo[[#This Row],[NR_SIMULACAO]],tblVendas[[#This Row],[NR_SIMULACAO]],tblVendas[[#This Row],[VALOR_FIXABASICA]],""),0)</f>
        <v>0</v>
      </c>
      <c r="I561">
        <f>IF(tblCalculo[[#This Row],[STATUS]]="CONCLUÍDO",_xlfn.XLOOKUP(tblCalculo[[#This Row],[NR_SIMULACAO]],tblVendas[[#This Row],[NR_SIMULACAO]],tblVendas[[#This Row],[VALOR_TI]],""),0)</f>
        <v>10461.59</v>
      </c>
      <c r="J561">
        <f>IF(tblCalculo[[#This Row],[STATUS]]="CONCLUÍDO",_xlfn.XLOOKUP(tblCalculo[[#This Row],[NR_SIMULACAO]],tblVendas[[#This Row],[NR_SIMULACAO]],tblVendas[[#This Row],[VALOR_APARELHO]],""),0)</f>
        <v>9586.51</v>
      </c>
      <c r="K561" t="str">
        <f>IF(tblCalculo[[#This Row],[STATUS]]="NEGOCIANDO",tblCalculo[[#This Row],[VALOR_TOTAL]],"")</f>
        <v/>
      </c>
      <c r="L561" t="str">
        <f>IF(tblCalculo[[#This Row],[STATUS]]="ALÇADA",tblCalculo[[#This Row],[VALOR_TOTAL]],"")</f>
        <v/>
      </c>
      <c r="M561" t="str">
        <f>IF(tblCalculo[[#This Row],[STATUS]]="EM ANÁLISE",tblCalculo[[#This Row],[VALOR_TOTAL]],"")</f>
        <v/>
      </c>
      <c r="N561" t="str">
        <f>IF(tblCalculo[[#This Row],[STATUS]]="TRAMITANDO",tblCalculo[[#This Row],[VALOR_TOTAL]],"")</f>
        <v/>
      </c>
      <c r="O561" t="str">
        <f>IF(tblCalculo[[#This Row],[STATUS]]="PERDIDO",tblCalculo[[#This Row],[VALOR_TOTAL]],"")</f>
        <v/>
      </c>
      <c r="P561">
        <f>IF(tblCalculo[[#This Row],[STATUS]]="CONCLUÍDO",tblCalculo[[#This Row],[VALOR_TOTAL]],"")</f>
        <v>25496.54</v>
      </c>
    </row>
    <row r="562" spans="1:16" x14ac:dyDescent="0.25">
      <c r="A562" t="str">
        <f>tblVendas[[#This Row],[NR_SIMULACAO]]</f>
        <v>SIM1552</v>
      </c>
      <c r="B562" s="34" t="str">
        <f>_xlfn.XLOOKUP(A562,tblVendas[[#This Row],[NR_SIMULACAO]],tblVendas[[#This Row],[NR_CNPJ]],"")</f>
        <v>50.107.424/0001-41</v>
      </c>
      <c r="C562" t="str">
        <f>_xlfn.XLOOKUP(A562,tblVendas[[#This Row],[NR_SIMULACAO]],tblVendas[[#This Row],[STATUS]],"")</f>
        <v>TRAMITANDO</v>
      </c>
      <c r="D562" t="str">
        <f>_xlfn.XLOOKUP(A562,tblVendas[[#This Row],[NR_SIMULACAO]],tblVendas[[#This Row],[MES]],"")</f>
        <v>Setembro</v>
      </c>
      <c r="E562">
        <f>SUM(_xlfn.XLOOKUP(tblCalculo[[#This Row],[NR_SIMULACAO]],tblVendas[[#This Row],[NR_SIMULACAO]],tblVendas[[#This Row],[VALOR_MOVEL]],""):_xlfn.XLOOKUP(tblCalculo[[#This Row],[NR_SIMULACAO]],tblVendas[[#This Row],[NR_SIMULACAO]],tblVendas[[#This Row],[VALOR_APARELHO]],""))</f>
        <v>6181.33</v>
      </c>
      <c r="F562">
        <f>IF(tblCalculo[[#This Row],[STATUS]]="CONCLUÍDO",_xlfn.XLOOKUP(tblCalculo[[#This Row],[NR_SIMULACAO]],tblVendas[[#This Row],[NR_SIMULACAO]],tblVendas[[#This Row],[VALOR_MOVEL]],""),0)</f>
        <v>0</v>
      </c>
      <c r="G562">
        <f>IF(tblCalculo[[#This Row],[STATUS]]="CONCLUÍDO",_xlfn.XLOOKUP(tblCalculo[[#This Row],[NR_SIMULACAO]],tblVendas[[#This Row],[NR_SIMULACAO]],tblVendas[[#This Row],[VALOR_AVANCADO]],""),0)</f>
        <v>0</v>
      </c>
      <c r="H562">
        <f>IF(tblCalculo[[#This Row],[STATUS]]="CONCLUÍDO",_xlfn.XLOOKUP(tblCalculo[[#This Row],[NR_SIMULACAO]],tblVendas[[#This Row],[NR_SIMULACAO]],tblVendas[[#This Row],[VALOR_FIXABASICA]],""),0)</f>
        <v>0</v>
      </c>
      <c r="I562">
        <f>IF(tblCalculo[[#This Row],[STATUS]]="CONCLUÍDO",_xlfn.XLOOKUP(tblCalculo[[#This Row],[NR_SIMULACAO]],tblVendas[[#This Row],[NR_SIMULACAO]],tblVendas[[#This Row],[VALOR_TI]],""),0)</f>
        <v>0</v>
      </c>
      <c r="J562">
        <f>IF(tblCalculo[[#This Row],[STATUS]]="CONCLUÍDO",_xlfn.XLOOKUP(tblCalculo[[#This Row],[NR_SIMULACAO]],tblVendas[[#This Row],[NR_SIMULACAO]],tblVendas[[#This Row],[VALOR_APARELHO]],""),0)</f>
        <v>0</v>
      </c>
      <c r="K562" t="str">
        <f>IF(tblCalculo[[#This Row],[STATUS]]="NEGOCIANDO",tblCalculo[[#This Row],[VALOR_TOTAL]],"")</f>
        <v/>
      </c>
      <c r="L562" t="str">
        <f>IF(tblCalculo[[#This Row],[STATUS]]="ALÇADA",tblCalculo[[#This Row],[VALOR_TOTAL]],"")</f>
        <v/>
      </c>
      <c r="M562" t="str">
        <f>IF(tblCalculo[[#This Row],[STATUS]]="EM ANÁLISE",tblCalculo[[#This Row],[VALOR_TOTAL]],"")</f>
        <v/>
      </c>
      <c r="N562">
        <f>IF(tblCalculo[[#This Row],[STATUS]]="TRAMITANDO",tblCalculo[[#This Row],[VALOR_TOTAL]],"")</f>
        <v>6181.33</v>
      </c>
      <c r="O562" t="str">
        <f>IF(tblCalculo[[#This Row],[STATUS]]="PERDIDO",tblCalculo[[#This Row],[VALOR_TOTAL]],"")</f>
        <v/>
      </c>
      <c r="P562" t="str">
        <f>IF(tblCalculo[[#This Row],[STATUS]]="CONCLUÍDO",tblCalculo[[#This Row],[VALOR_TOTAL]],"")</f>
        <v/>
      </c>
    </row>
    <row r="563" spans="1:16" x14ac:dyDescent="0.25">
      <c r="A563" t="str">
        <f>tblVendas[[#This Row],[NR_SIMULACAO]]</f>
        <v>SIM1553</v>
      </c>
      <c r="B563" s="34" t="str">
        <f>_xlfn.XLOOKUP(A563,tblVendas[[#This Row],[NR_SIMULACAO]],tblVendas[[#This Row],[NR_CNPJ]],"")</f>
        <v>30.779.969/0001-56</v>
      </c>
      <c r="C563" t="str">
        <f>_xlfn.XLOOKUP(A563,tblVendas[[#This Row],[NR_SIMULACAO]],tblVendas[[#This Row],[STATUS]],"")</f>
        <v>TRAMITANDO</v>
      </c>
      <c r="D563" t="str">
        <f>_xlfn.XLOOKUP(A563,tblVendas[[#This Row],[NR_SIMULACAO]],tblVendas[[#This Row],[MES]],"")</f>
        <v>Novembro</v>
      </c>
      <c r="E563">
        <f>SUM(_xlfn.XLOOKUP(tblCalculo[[#This Row],[NR_SIMULACAO]],tblVendas[[#This Row],[NR_SIMULACAO]],tblVendas[[#This Row],[VALOR_MOVEL]],""):_xlfn.XLOOKUP(tblCalculo[[#This Row],[NR_SIMULACAO]],tblVendas[[#This Row],[NR_SIMULACAO]],tblVendas[[#This Row],[VALOR_APARELHO]],""))</f>
        <v>5139.21</v>
      </c>
      <c r="F563">
        <f>IF(tblCalculo[[#This Row],[STATUS]]="CONCLUÍDO",_xlfn.XLOOKUP(tblCalculo[[#This Row],[NR_SIMULACAO]],tblVendas[[#This Row],[NR_SIMULACAO]],tblVendas[[#This Row],[VALOR_MOVEL]],""),0)</f>
        <v>0</v>
      </c>
      <c r="G563">
        <f>IF(tblCalculo[[#This Row],[STATUS]]="CONCLUÍDO",_xlfn.XLOOKUP(tblCalculo[[#This Row],[NR_SIMULACAO]],tblVendas[[#This Row],[NR_SIMULACAO]],tblVendas[[#This Row],[VALOR_AVANCADO]],""),0)</f>
        <v>0</v>
      </c>
      <c r="H563">
        <f>IF(tblCalculo[[#This Row],[STATUS]]="CONCLUÍDO",_xlfn.XLOOKUP(tblCalculo[[#This Row],[NR_SIMULACAO]],tblVendas[[#This Row],[NR_SIMULACAO]],tblVendas[[#This Row],[VALOR_FIXABASICA]],""),0)</f>
        <v>0</v>
      </c>
      <c r="I563">
        <f>IF(tblCalculo[[#This Row],[STATUS]]="CONCLUÍDO",_xlfn.XLOOKUP(tblCalculo[[#This Row],[NR_SIMULACAO]],tblVendas[[#This Row],[NR_SIMULACAO]],tblVendas[[#This Row],[VALOR_TI]],""),0)</f>
        <v>0</v>
      </c>
      <c r="J563">
        <f>IF(tblCalculo[[#This Row],[STATUS]]="CONCLUÍDO",_xlfn.XLOOKUP(tblCalculo[[#This Row],[NR_SIMULACAO]],tblVendas[[#This Row],[NR_SIMULACAO]],tblVendas[[#This Row],[VALOR_APARELHO]],""),0)</f>
        <v>0</v>
      </c>
      <c r="K563" t="str">
        <f>IF(tblCalculo[[#This Row],[STATUS]]="NEGOCIANDO",tblCalculo[[#This Row],[VALOR_TOTAL]],"")</f>
        <v/>
      </c>
      <c r="L563" t="str">
        <f>IF(tblCalculo[[#This Row],[STATUS]]="ALÇADA",tblCalculo[[#This Row],[VALOR_TOTAL]],"")</f>
        <v/>
      </c>
      <c r="M563" t="str">
        <f>IF(tblCalculo[[#This Row],[STATUS]]="EM ANÁLISE",tblCalculo[[#This Row],[VALOR_TOTAL]],"")</f>
        <v/>
      </c>
      <c r="N563">
        <f>IF(tblCalculo[[#This Row],[STATUS]]="TRAMITANDO",tblCalculo[[#This Row],[VALOR_TOTAL]],"")</f>
        <v>5139.21</v>
      </c>
      <c r="O563" t="str">
        <f>IF(tblCalculo[[#This Row],[STATUS]]="PERDIDO",tblCalculo[[#This Row],[VALOR_TOTAL]],"")</f>
        <v/>
      </c>
      <c r="P563" t="str">
        <f>IF(tblCalculo[[#This Row],[STATUS]]="CONCLUÍDO",tblCalculo[[#This Row],[VALOR_TOTAL]],"")</f>
        <v/>
      </c>
    </row>
    <row r="564" spans="1:16" x14ac:dyDescent="0.25">
      <c r="A564" t="str">
        <f>tblVendas[[#This Row],[NR_SIMULACAO]]</f>
        <v>SIM1554</v>
      </c>
      <c r="B564" s="34" t="str">
        <f>_xlfn.XLOOKUP(A564,tblVendas[[#This Row],[NR_SIMULACAO]],tblVendas[[#This Row],[NR_CNPJ]],"")</f>
        <v>38.122.349/0001-53</v>
      </c>
      <c r="C564" t="str">
        <f>_xlfn.XLOOKUP(A564,tblVendas[[#This Row],[NR_SIMULACAO]],tblVendas[[#This Row],[STATUS]],"")</f>
        <v>NEGOCIANDO</v>
      </c>
      <c r="D564" t="str">
        <f>_xlfn.XLOOKUP(A564,tblVendas[[#This Row],[NR_SIMULACAO]],tblVendas[[#This Row],[MES]],"")</f>
        <v>Abril</v>
      </c>
      <c r="E564">
        <f>SUM(_xlfn.XLOOKUP(tblCalculo[[#This Row],[NR_SIMULACAO]],tblVendas[[#This Row],[NR_SIMULACAO]],tblVendas[[#This Row],[VALOR_MOVEL]],""):_xlfn.XLOOKUP(tblCalculo[[#This Row],[NR_SIMULACAO]],tblVendas[[#This Row],[NR_SIMULACAO]],tblVendas[[#This Row],[VALOR_APARELHO]],""))</f>
        <v>28301.760000000002</v>
      </c>
      <c r="F564">
        <f>IF(tblCalculo[[#This Row],[STATUS]]="CONCLUÍDO",_xlfn.XLOOKUP(tblCalculo[[#This Row],[NR_SIMULACAO]],tblVendas[[#This Row],[NR_SIMULACAO]],tblVendas[[#This Row],[VALOR_MOVEL]],""),0)</f>
        <v>0</v>
      </c>
      <c r="G564">
        <f>IF(tblCalculo[[#This Row],[STATUS]]="CONCLUÍDO",_xlfn.XLOOKUP(tblCalculo[[#This Row],[NR_SIMULACAO]],tblVendas[[#This Row],[NR_SIMULACAO]],tblVendas[[#This Row],[VALOR_AVANCADO]],""),0)</f>
        <v>0</v>
      </c>
      <c r="H564">
        <f>IF(tblCalculo[[#This Row],[STATUS]]="CONCLUÍDO",_xlfn.XLOOKUP(tblCalculo[[#This Row],[NR_SIMULACAO]],tblVendas[[#This Row],[NR_SIMULACAO]],tblVendas[[#This Row],[VALOR_FIXABASICA]],""),0)</f>
        <v>0</v>
      </c>
      <c r="I564">
        <f>IF(tblCalculo[[#This Row],[STATUS]]="CONCLUÍDO",_xlfn.XLOOKUP(tblCalculo[[#This Row],[NR_SIMULACAO]],tblVendas[[#This Row],[NR_SIMULACAO]],tblVendas[[#This Row],[VALOR_TI]],""),0)</f>
        <v>0</v>
      </c>
      <c r="J564">
        <f>IF(tblCalculo[[#This Row],[STATUS]]="CONCLUÍDO",_xlfn.XLOOKUP(tblCalculo[[#This Row],[NR_SIMULACAO]],tblVendas[[#This Row],[NR_SIMULACAO]],tblVendas[[#This Row],[VALOR_APARELHO]],""),0)</f>
        <v>0</v>
      </c>
      <c r="K564">
        <f>IF(tblCalculo[[#This Row],[STATUS]]="NEGOCIANDO",tblCalculo[[#This Row],[VALOR_TOTAL]],"")</f>
        <v>28301.760000000002</v>
      </c>
      <c r="L564" t="str">
        <f>IF(tblCalculo[[#This Row],[STATUS]]="ALÇADA",tblCalculo[[#This Row],[VALOR_TOTAL]],"")</f>
        <v/>
      </c>
      <c r="M564" t="str">
        <f>IF(tblCalculo[[#This Row],[STATUS]]="EM ANÁLISE",tblCalculo[[#This Row],[VALOR_TOTAL]],"")</f>
        <v/>
      </c>
      <c r="N564" t="str">
        <f>IF(tblCalculo[[#This Row],[STATUS]]="TRAMITANDO",tblCalculo[[#This Row],[VALOR_TOTAL]],"")</f>
        <v/>
      </c>
      <c r="O564" t="str">
        <f>IF(tblCalculo[[#This Row],[STATUS]]="PERDIDO",tblCalculo[[#This Row],[VALOR_TOTAL]],"")</f>
        <v/>
      </c>
      <c r="P564" t="str">
        <f>IF(tblCalculo[[#This Row],[STATUS]]="CONCLUÍDO",tblCalculo[[#This Row],[VALOR_TOTAL]],"")</f>
        <v/>
      </c>
    </row>
    <row r="565" spans="1:16" x14ac:dyDescent="0.25">
      <c r="A565" t="str">
        <f>tblVendas[[#This Row],[NR_SIMULACAO]]</f>
        <v>SIM1555</v>
      </c>
      <c r="B565" s="34" t="str">
        <f>_xlfn.XLOOKUP(A565,tblVendas[[#This Row],[NR_SIMULACAO]],tblVendas[[#This Row],[NR_CNPJ]],"")</f>
        <v>61.296.332/0001-81</v>
      </c>
      <c r="C565" t="str">
        <f>_xlfn.XLOOKUP(A565,tblVendas[[#This Row],[NR_SIMULACAO]],tblVendas[[#This Row],[STATUS]],"")</f>
        <v>NEGOCIANDO</v>
      </c>
      <c r="D565" t="str">
        <f>_xlfn.XLOOKUP(A565,tblVendas[[#This Row],[NR_SIMULACAO]],tblVendas[[#This Row],[MES]],"")</f>
        <v>Abril</v>
      </c>
      <c r="E565">
        <f>SUM(_xlfn.XLOOKUP(tblCalculo[[#This Row],[NR_SIMULACAO]],tblVendas[[#This Row],[NR_SIMULACAO]],tblVendas[[#This Row],[VALOR_MOVEL]],""):_xlfn.XLOOKUP(tblCalculo[[#This Row],[NR_SIMULACAO]],tblVendas[[#This Row],[NR_SIMULACAO]],tblVendas[[#This Row],[VALOR_APARELHO]],""))</f>
        <v>2869.3199999999997</v>
      </c>
      <c r="F565">
        <f>IF(tblCalculo[[#This Row],[STATUS]]="CONCLUÍDO",_xlfn.XLOOKUP(tblCalculo[[#This Row],[NR_SIMULACAO]],tblVendas[[#This Row],[NR_SIMULACAO]],tblVendas[[#This Row],[VALOR_MOVEL]],""),0)</f>
        <v>0</v>
      </c>
      <c r="G565">
        <f>IF(tblCalculo[[#This Row],[STATUS]]="CONCLUÍDO",_xlfn.XLOOKUP(tblCalculo[[#This Row],[NR_SIMULACAO]],tblVendas[[#This Row],[NR_SIMULACAO]],tblVendas[[#This Row],[VALOR_AVANCADO]],""),0)</f>
        <v>0</v>
      </c>
      <c r="H565">
        <f>IF(tblCalculo[[#This Row],[STATUS]]="CONCLUÍDO",_xlfn.XLOOKUP(tblCalculo[[#This Row],[NR_SIMULACAO]],tblVendas[[#This Row],[NR_SIMULACAO]],tblVendas[[#This Row],[VALOR_FIXABASICA]],""),0)</f>
        <v>0</v>
      </c>
      <c r="I565">
        <f>IF(tblCalculo[[#This Row],[STATUS]]="CONCLUÍDO",_xlfn.XLOOKUP(tblCalculo[[#This Row],[NR_SIMULACAO]],tblVendas[[#This Row],[NR_SIMULACAO]],tblVendas[[#This Row],[VALOR_TI]],""),0)</f>
        <v>0</v>
      </c>
      <c r="J565">
        <f>IF(tblCalculo[[#This Row],[STATUS]]="CONCLUÍDO",_xlfn.XLOOKUP(tblCalculo[[#This Row],[NR_SIMULACAO]],tblVendas[[#This Row],[NR_SIMULACAO]],tblVendas[[#This Row],[VALOR_APARELHO]],""),0)</f>
        <v>0</v>
      </c>
      <c r="K565">
        <f>IF(tblCalculo[[#This Row],[STATUS]]="NEGOCIANDO",tblCalculo[[#This Row],[VALOR_TOTAL]],"")</f>
        <v>2869.3199999999997</v>
      </c>
      <c r="L565" t="str">
        <f>IF(tblCalculo[[#This Row],[STATUS]]="ALÇADA",tblCalculo[[#This Row],[VALOR_TOTAL]],"")</f>
        <v/>
      </c>
      <c r="M565" t="str">
        <f>IF(tblCalculo[[#This Row],[STATUS]]="EM ANÁLISE",tblCalculo[[#This Row],[VALOR_TOTAL]],"")</f>
        <v/>
      </c>
      <c r="N565" t="str">
        <f>IF(tblCalculo[[#This Row],[STATUS]]="TRAMITANDO",tblCalculo[[#This Row],[VALOR_TOTAL]],"")</f>
        <v/>
      </c>
      <c r="O565" t="str">
        <f>IF(tblCalculo[[#This Row],[STATUS]]="PERDIDO",tblCalculo[[#This Row],[VALOR_TOTAL]],"")</f>
        <v/>
      </c>
      <c r="P565" t="str">
        <f>IF(tblCalculo[[#This Row],[STATUS]]="CONCLUÍDO",tblCalculo[[#This Row],[VALOR_TOTAL]],"")</f>
        <v/>
      </c>
    </row>
    <row r="566" spans="1:16" x14ac:dyDescent="0.25">
      <c r="A566" t="str">
        <f>tblVendas[[#This Row],[NR_SIMULACAO]]</f>
        <v>SIM1556</v>
      </c>
      <c r="B566" s="34" t="str">
        <f>_xlfn.XLOOKUP(A566,tblVendas[[#This Row],[NR_SIMULACAO]],tblVendas[[#This Row],[NR_CNPJ]],"")</f>
        <v>70.100.559/0001-89</v>
      </c>
      <c r="C566" t="str">
        <f>_xlfn.XLOOKUP(A566,tblVendas[[#This Row],[NR_SIMULACAO]],tblVendas[[#This Row],[STATUS]],"")</f>
        <v>EM ANÁLISE</v>
      </c>
      <c r="D566" t="str">
        <f>_xlfn.XLOOKUP(A566,tblVendas[[#This Row],[NR_SIMULACAO]],tblVendas[[#This Row],[MES]],"")</f>
        <v>Agosto</v>
      </c>
      <c r="E566">
        <f>SUM(_xlfn.XLOOKUP(tblCalculo[[#This Row],[NR_SIMULACAO]],tblVendas[[#This Row],[NR_SIMULACAO]],tblVendas[[#This Row],[VALOR_MOVEL]],""):_xlfn.XLOOKUP(tblCalculo[[#This Row],[NR_SIMULACAO]],tblVendas[[#This Row],[NR_SIMULACAO]],tblVendas[[#This Row],[VALOR_APARELHO]],""))</f>
        <v>5041.7700000000004</v>
      </c>
      <c r="F566">
        <f>IF(tblCalculo[[#This Row],[STATUS]]="CONCLUÍDO",_xlfn.XLOOKUP(tblCalculo[[#This Row],[NR_SIMULACAO]],tblVendas[[#This Row],[NR_SIMULACAO]],tblVendas[[#This Row],[VALOR_MOVEL]],""),0)</f>
        <v>0</v>
      </c>
      <c r="G566">
        <f>IF(tblCalculo[[#This Row],[STATUS]]="CONCLUÍDO",_xlfn.XLOOKUP(tblCalculo[[#This Row],[NR_SIMULACAO]],tblVendas[[#This Row],[NR_SIMULACAO]],tblVendas[[#This Row],[VALOR_AVANCADO]],""),0)</f>
        <v>0</v>
      </c>
      <c r="H566">
        <f>IF(tblCalculo[[#This Row],[STATUS]]="CONCLUÍDO",_xlfn.XLOOKUP(tblCalculo[[#This Row],[NR_SIMULACAO]],tblVendas[[#This Row],[NR_SIMULACAO]],tblVendas[[#This Row],[VALOR_FIXABASICA]],""),0)</f>
        <v>0</v>
      </c>
      <c r="I566">
        <f>IF(tblCalculo[[#This Row],[STATUS]]="CONCLUÍDO",_xlfn.XLOOKUP(tblCalculo[[#This Row],[NR_SIMULACAO]],tblVendas[[#This Row],[NR_SIMULACAO]],tblVendas[[#This Row],[VALOR_TI]],""),0)</f>
        <v>0</v>
      </c>
      <c r="J566">
        <f>IF(tblCalculo[[#This Row],[STATUS]]="CONCLUÍDO",_xlfn.XLOOKUP(tblCalculo[[#This Row],[NR_SIMULACAO]],tblVendas[[#This Row],[NR_SIMULACAO]],tblVendas[[#This Row],[VALOR_APARELHO]],""),0)</f>
        <v>0</v>
      </c>
      <c r="K566" t="str">
        <f>IF(tblCalculo[[#This Row],[STATUS]]="NEGOCIANDO",tblCalculo[[#This Row],[VALOR_TOTAL]],"")</f>
        <v/>
      </c>
      <c r="L566" t="str">
        <f>IF(tblCalculo[[#This Row],[STATUS]]="ALÇADA",tblCalculo[[#This Row],[VALOR_TOTAL]],"")</f>
        <v/>
      </c>
      <c r="M566">
        <f>IF(tblCalculo[[#This Row],[STATUS]]="EM ANÁLISE",tblCalculo[[#This Row],[VALOR_TOTAL]],"")</f>
        <v>5041.7700000000004</v>
      </c>
      <c r="N566" t="str">
        <f>IF(tblCalculo[[#This Row],[STATUS]]="TRAMITANDO",tblCalculo[[#This Row],[VALOR_TOTAL]],"")</f>
        <v/>
      </c>
      <c r="O566" t="str">
        <f>IF(tblCalculo[[#This Row],[STATUS]]="PERDIDO",tblCalculo[[#This Row],[VALOR_TOTAL]],"")</f>
        <v/>
      </c>
      <c r="P566" t="str">
        <f>IF(tblCalculo[[#This Row],[STATUS]]="CONCLUÍDO",tblCalculo[[#This Row],[VALOR_TOTAL]],"")</f>
        <v/>
      </c>
    </row>
    <row r="567" spans="1:16" x14ac:dyDescent="0.25">
      <c r="A567" t="str">
        <f>tblVendas[[#This Row],[NR_SIMULACAO]]</f>
        <v>SIM1557</v>
      </c>
      <c r="B567" s="34" t="str">
        <f>_xlfn.XLOOKUP(A567,tblVendas[[#This Row],[NR_SIMULACAO]],tblVendas[[#This Row],[NR_CNPJ]],"")</f>
        <v>67.939.737/0001-27</v>
      </c>
      <c r="C567" t="str">
        <f>_xlfn.XLOOKUP(A567,tblVendas[[#This Row],[NR_SIMULACAO]],tblVendas[[#This Row],[STATUS]],"")</f>
        <v>TRAMITANDO</v>
      </c>
      <c r="D567" t="str">
        <f>_xlfn.XLOOKUP(A567,tblVendas[[#This Row],[NR_SIMULACAO]],tblVendas[[#This Row],[MES]],"")</f>
        <v>Outubro</v>
      </c>
      <c r="E567">
        <f>SUM(_xlfn.XLOOKUP(tblCalculo[[#This Row],[NR_SIMULACAO]],tblVendas[[#This Row],[NR_SIMULACAO]],tblVendas[[#This Row],[VALOR_MOVEL]],""):_xlfn.XLOOKUP(tblCalculo[[#This Row],[NR_SIMULACAO]],tblVendas[[#This Row],[NR_SIMULACAO]],tblVendas[[#This Row],[VALOR_APARELHO]],""))</f>
        <v>12209.59</v>
      </c>
      <c r="F567">
        <f>IF(tblCalculo[[#This Row],[STATUS]]="CONCLUÍDO",_xlfn.XLOOKUP(tblCalculo[[#This Row],[NR_SIMULACAO]],tblVendas[[#This Row],[NR_SIMULACAO]],tblVendas[[#This Row],[VALOR_MOVEL]],""),0)</f>
        <v>0</v>
      </c>
      <c r="G567">
        <f>IF(tblCalculo[[#This Row],[STATUS]]="CONCLUÍDO",_xlfn.XLOOKUP(tblCalculo[[#This Row],[NR_SIMULACAO]],tblVendas[[#This Row],[NR_SIMULACAO]],tblVendas[[#This Row],[VALOR_AVANCADO]],""),0)</f>
        <v>0</v>
      </c>
      <c r="H567">
        <f>IF(tblCalculo[[#This Row],[STATUS]]="CONCLUÍDO",_xlfn.XLOOKUP(tblCalculo[[#This Row],[NR_SIMULACAO]],tblVendas[[#This Row],[NR_SIMULACAO]],tblVendas[[#This Row],[VALOR_FIXABASICA]],""),0)</f>
        <v>0</v>
      </c>
      <c r="I567">
        <f>IF(tblCalculo[[#This Row],[STATUS]]="CONCLUÍDO",_xlfn.XLOOKUP(tblCalculo[[#This Row],[NR_SIMULACAO]],tblVendas[[#This Row],[NR_SIMULACAO]],tblVendas[[#This Row],[VALOR_TI]],""),0)</f>
        <v>0</v>
      </c>
      <c r="J567">
        <f>IF(tblCalculo[[#This Row],[STATUS]]="CONCLUÍDO",_xlfn.XLOOKUP(tblCalculo[[#This Row],[NR_SIMULACAO]],tblVendas[[#This Row],[NR_SIMULACAO]],tblVendas[[#This Row],[VALOR_APARELHO]],""),0)</f>
        <v>0</v>
      </c>
      <c r="K567" t="str">
        <f>IF(tblCalculo[[#This Row],[STATUS]]="NEGOCIANDO",tblCalculo[[#This Row],[VALOR_TOTAL]],"")</f>
        <v/>
      </c>
      <c r="L567" t="str">
        <f>IF(tblCalculo[[#This Row],[STATUS]]="ALÇADA",tblCalculo[[#This Row],[VALOR_TOTAL]],"")</f>
        <v/>
      </c>
      <c r="M567" t="str">
        <f>IF(tblCalculo[[#This Row],[STATUS]]="EM ANÁLISE",tblCalculo[[#This Row],[VALOR_TOTAL]],"")</f>
        <v/>
      </c>
      <c r="N567">
        <f>IF(tblCalculo[[#This Row],[STATUS]]="TRAMITANDO",tblCalculo[[#This Row],[VALOR_TOTAL]],"")</f>
        <v>12209.59</v>
      </c>
      <c r="O567" t="str">
        <f>IF(tblCalculo[[#This Row],[STATUS]]="PERDIDO",tblCalculo[[#This Row],[VALOR_TOTAL]],"")</f>
        <v/>
      </c>
      <c r="P567" t="str">
        <f>IF(tblCalculo[[#This Row],[STATUS]]="CONCLUÍDO",tblCalculo[[#This Row],[VALOR_TOTAL]],"")</f>
        <v/>
      </c>
    </row>
    <row r="568" spans="1:16" x14ac:dyDescent="0.25">
      <c r="A568" t="str">
        <f>tblVendas[[#This Row],[NR_SIMULACAO]]</f>
        <v>SIM1558</v>
      </c>
      <c r="B568" s="34" t="str">
        <f>_xlfn.XLOOKUP(A568,tblVendas[[#This Row],[NR_SIMULACAO]],tblVendas[[#This Row],[NR_CNPJ]],"")</f>
        <v>36.513.139/0001-55</v>
      </c>
      <c r="C568" t="str">
        <f>_xlfn.XLOOKUP(A568,tblVendas[[#This Row],[NR_SIMULACAO]],tblVendas[[#This Row],[STATUS]],"")</f>
        <v>ALÇADA</v>
      </c>
      <c r="D568" t="str">
        <f>_xlfn.XLOOKUP(A568,tblVendas[[#This Row],[NR_SIMULACAO]],tblVendas[[#This Row],[MES]],"")</f>
        <v>Dezembro</v>
      </c>
      <c r="E568">
        <f>SUM(_xlfn.XLOOKUP(tblCalculo[[#This Row],[NR_SIMULACAO]],tblVendas[[#This Row],[NR_SIMULACAO]],tblVendas[[#This Row],[VALOR_MOVEL]],""):_xlfn.XLOOKUP(tblCalculo[[#This Row],[NR_SIMULACAO]],tblVendas[[#This Row],[NR_SIMULACAO]],tblVendas[[#This Row],[VALOR_APARELHO]],""))</f>
        <v>13467.970000000001</v>
      </c>
      <c r="F568">
        <f>IF(tblCalculo[[#This Row],[STATUS]]="CONCLUÍDO",_xlfn.XLOOKUP(tblCalculo[[#This Row],[NR_SIMULACAO]],tblVendas[[#This Row],[NR_SIMULACAO]],tblVendas[[#This Row],[VALOR_MOVEL]],""),0)</f>
        <v>0</v>
      </c>
      <c r="G568">
        <f>IF(tblCalculo[[#This Row],[STATUS]]="CONCLUÍDO",_xlfn.XLOOKUP(tblCalculo[[#This Row],[NR_SIMULACAO]],tblVendas[[#This Row],[NR_SIMULACAO]],tblVendas[[#This Row],[VALOR_AVANCADO]],""),0)</f>
        <v>0</v>
      </c>
      <c r="H568">
        <f>IF(tblCalculo[[#This Row],[STATUS]]="CONCLUÍDO",_xlfn.XLOOKUP(tblCalculo[[#This Row],[NR_SIMULACAO]],tblVendas[[#This Row],[NR_SIMULACAO]],tblVendas[[#This Row],[VALOR_FIXABASICA]],""),0)</f>
        <v>0</v>
      </c>
      <c r="I568">
        <f>IF(tblCalculo[[#This Row],[STATUS]]="CONCLUÍDO",_xlfn.XLOOKUP(tblCalculo[[#This Row],[NR_SIMULACAO]],tblVendas[[#This Row],[NR_SIMULACAO]],tblVendas[[#This Row],[VALOR_TI]],""),0)</f>
        <v>0</v>
      </c>
      <c r="J568">
        <f>IF(tblCalculo[[#This Row],[STATUS]]="CONCLUÍDO",_xlfn.XLOOKUP(tblCalculo[[#This Row],[NR_SIMULACAO]],tblVendas[[#This Row],[NR_SIMULACAO]],tblVendas[[#This Row],[VALOR_APARELHO]],""),0)</f>
        <v>0</v>
      </c>
      <c r="K568" t="str">
        <f>IF(tblCalculo[[#This Row],[STATUS]]="NEGOCIANDO",tblCalculo[[#This Row],[VALOR_TOTAL]],"")</f>
        <v/>
      </c>
      <c r="L568">
        <f>IF(tblCalculo[[#This Row],[STATUS]]="ALÇADA",tblCalculo[[#This Row],[VALOR_TOTAL]],"")</f>
        <v>13467.970000000001</v>
      </c>
      <c r="M568" t="str">
        <f>IF(tblCalculo[[#This Row],[STATUS]]="EM ANÁLISE",tblCalculo[[#This Row],[VALOR_TOTAL]],"")</f>
        <v/>
      </c>
      <c r="N568" t="str">
        <f>IF(tblCalculo[[#This Row],[STATUS]]="TRAMITANDO",tblCalculo[[#This Row],[VALOR_TOTAL]],"")</f>
        <v/>
      </c>
      <c r="O568" t="str">
        <f>IF(tblCalculo[[#This Row],[STATUS]]="PERDIDO",tblCalculo[[#This Row],[VALOR_TOTAL]],"")</f>
        <v/>
      </c>
      <c r="P568" t="str">
        <f>IF(tblCalculo[[#This Row],[STATUS]]="CONCLUÍDO",tblCalculo[[#This Row],[VALOR_TOTAL]],"")</f>
        <v/>
      </c>
    </row>
    <row r="569" spans="1:16" x14ac:dyDescent="0.25">
      <c r="A569" t="str">
        <f>tblVendas[[#This Row],[NR_SIMULACAO]]</f>
        <v>SIM1559</v>
      </c>
      <c r="B569" s="34" t="str">
        <f>_xlfn.XLOOKUP(A569,tblVendas[[#This Row],[NR_SIMULACAO]],tblVendas[[#This Row],[NR_CNPJ]],"")</f>
        <v>56.255.368/0001-64</v>
      </c>
      <c r="C569" t="str">
        <f>_xlfn.XLOOKUP(A569,tblVendas[[#This Row],[NR_SIMULACAO]],tblVendas[[#This Row],[STATUS]],"")</f>
        <v>PERDIDO</v>
      </c>
      <c r="D569" t="str">
        <f>_xlfn.XLOOKUP(A569,tblVendas[[#This Row],[NR_SIMULACAO]],tblVendas[[#This Row],[MES]],"")</f>
        <v>Junho</v>
      </c>
      <c r="E569">
        <f>SUM(_xlfn.XLOOKUP(tblCalculo[[#This Row],[NR_SIMULACAO]],tblVendas[[#This Row],[NR_SIMULACAO]],tblVendas[[#This Row],[VALOR_MOVEL]],""):_xlfn.XLOOKUP(tblCalculo[[#This Row],[NR_SIMULACAO]],tblVendas[[#This Row],[NR_SIMULACAO]],tblVendas[[#This Row],[VALOR_APARELHO]],""))</f>
        <v>6339.74</v>
      </c>
      <c r="F569">
        <f>IF(tblCalculo[[#This Row],[STATUS]]="CONCLUÍDO",_xlfn.XLOOKUP(tblCalculo[[#This Row],[NR_SIMULACAO]],tblVendas[[#This Row],[NR_SIMULACAO]],tblVendas[[#This Row],[VALOR_MOVEL]],""),0)</f>
        <v>0</v>
      </c>
      <c r="G569">
        <f>IF(tblCalculo[[#This Row],[STATUS]]="CONCLUÍDO",_xlfn.XLOOKUP(tblCalculo[[#This Row],[NR_SIMULACAO]],tblVendas[[#This Row],[NR_SIMULACAO]],tblVendas[[#This Row],[VALOR_AVANCADO]],""),0)</f>
        <v>0</v>
      </c>
      <c r="H569">
        <f>IF(tblCalculo[[#This Row],[STATUS]]="CONCLUÍDO",_xlfn.XLOOKUP(tblCalculo[[#This Row],[NR_SIMULACAO]],tblVendas[[#This Row],[NR_SIMULACAO]],tblVendas[[#This Row],[VALOR_FIXABASICA]],""),0)</f>
        <v>0</v>
      </c>
      <c r="I569">
        <f>IF(tblCalculo[[#This Row],[STATUS]]="CONCLUÍDO",_xlfn.XLOOKUP(tblCalculo[[#This Row],[NR_SIMULACAO]],tblVendas[[#This Row],[NR_SIMULACAO]],tblVendas[[#This Row],[VALOR_TI]],""),0)</f>
        <v>0</v>
      </c>
      <c r="J569">
        <f>IF(tblCalculo[[#This Row],[STATUS]]="CONCLUÍDO",_xlfn.XLOOKUP(tblCalculo[[#This Row],[NR_SIMULACAO]],tblVendas[[#This Row],[NR_SIMULACAO]],tblVendas[[#This Row],[VALOR_APARELHO]],""),0)</f>
        <v>0</v>
      </c>
      <c r="K569" t="str">
        <f>IF(tblCalculo[[#This Row],[STATUS]]="NEGOCIANDO",tblCalculo[[#This Row],[VALOR_TOTAL]],"")</f>
        <v/>
      </c>
      <c r="L569" t="str">
        <f>IF(tblCalculo[[#This Row],[STATUS]]="ALÇADA",tblCalculo[[#This Row],[VALOR_TOTAL]],"")</f>
        <v/>
      </c>
      <c r="M569" t="str">
        <f>IF(tblCalculo[[#This Row],[STATUS]]="EM ANÁLISE",tblCalculo[[#This Row],[VALOR_TOTAL]],"")</f>
        <v/>
      </c>
      <c r="N569" t="str">
        <f>IF(tblCalculo[[#This Row],[STATUS]]="TRAMITANDO",tblCalculo[[#This Row],[VALOR_TOTAL]],"")</f>
        <v/>
      </c>
      <c r="O569">
        <f>IF(tblCalculo[[#This Row],[STATUS]]="PERDIDO",tblCalculo[[#This Row],[VALOR_TOTAL]],"")</f>
        <v>6339.74</v>
      </c>
      <c r="P569" t="str">
        <f>IF(tblCalculo[[#This Row],[STATUS]]="CONCLUÍDO",tblCalculo[[#This Row],[VALOR_TOTAL]],"")</f>
        <v/>
      </c>
    </row>
    <row r="570" spans="1:16" x14ac:dyDescent="0.25">
      <c r="A570" t="str">
        <f>tblVendas[[#This Row],[NR_SIMULACAO]]</f>
        <v>SIM1560</v>
      </c>
      <c r="B570" s="34" t="str">
        <f>_xlfn.XLOOKUP(A570,tblVendas[[#This Row],[NR_SIMULACAO]],tblVendas[[#This Row],[NR_CNPJ]],"")</f>
        <v>70.339.381/0001-96</v>
      </c>
      <c r="C570" t="str">
        <f>_xlfn.XLOOKUP(A570,tblVendas[[#This Row],[NR_SIMULACAO]],tblVendas[[#This Row],[STATUS]],"")</f>
        <v>PERDIDO</v>
      </c>
      <c r="D570" t="str">
        <f>_xlfn.XLOOKUP(A570,tblVendas[[#This Row],[NR_SIMULACAO]],tblVendas[[#This Row],[MES]],"")</f>
        <v>Janeiro</v>
      </c>
      <c r="E570">
        <f>SUM(_xlfn.XLOOKUP(tblCalculo[[#This Row],[NR_SIMULACAO]],tblVendas[[#This Row],[NR_SIMULACAO]],tblVendas[[#This Row],[VALOR_MOVEL]],""):_xlfn.XLOOKUP(tblCalculo[[#This Row],[NR_SIMULACAO]],tblVendas[[#This Row],[NR_SIMULACAO]],tblVendas[[#This Row],[VALOR_APARELHO]],""))</f>
        <v>18990.29</v>
      </c>
      <c r="F570">
        <f>IF(tblCalculo[[#This Row],[STATUS]]="CONCLUÍDO",_xlfn.XLOOKUP(tblCalculo[[#This Row],[NR_SIMULACAO]],tblVendas[[#This Row],[NR_SIMULACAO]],tblVendas[[#This Row],[VALOR_MOVEL]],""),0)</f>
        <v>0</v>
      </c>
      <c r="G570">
        <f>IF(tblCalculo[[#This Row],[STATUS]]="CONCLUÍDO",_xlfn.XLOOKUP(tblCalculo[[#This Row],[NR_SIMULACAO]],tblVendas[[#This Row],[NR_SIMULACAO]],tblVendas[[#This Row],[VALOR_AVANCADO]],""),0)</f>
        <v>0</v>
      </c>
      <c r="H570">
        <f>IF(tblCalculo[[#This Row],[STATUS]]="CONCLUÍDO",_xlfn.XLOOKUP(tblCalculo[[#This Row],[NR_SIMULACAO]],tblVendas[[#This Row],[NR_SIMULACAO]],tblVendas[[#This Row],[VALOR_FIXABASICA]],""),0)</f>
        <v>0</v>
      </c>
      <c r="I570">
        <f>IF(tblCalculo[[#This Row],[STATUS]]="CONCLUÍDO",_xlfn.XLOOKUP(tblCalculo[[#This Row],[NR_SIMULACAO]],tblVendas[[#This Row],[NR_SIMULACAO]],tblVendas[[#This Row],[VALOR_TI]],""),0)</f>
        <v>0</v>
      </c>
      <c r="J570">
        <f>IF(tblCalculo[[#This Row],[STATUS]]="CONCLUÍDO",_xlfn.XLOOKUP(tblCalculo[[#This Row],[NR_SIMULACAO]],tblVendas[[#This Row],[NR_SIMULACAO]],tblVendas[[#This Row],[VALOR_APARELHO]],""),0)</f>
        <v>0</v>
      </c>
      <c r="K570" t="str">
        <f>IF(tblCalculo[[#This Row],[STATUS]]="NEGOCIANDO",tblCalculo[[#This Row],[VALOR_TOTAL]],"")</f>
        <v/>
      </c>
      <c r="L570" t="str">
        <f>IF(tblCalculo[[#This Row],[STATUS]]="ALÇADA",tblCalculo[[#This Row],[VALOR_TOTAL]],"")</f>
        <v/>
      </c>
      <c r="M570" t="str">
        <f>IF(tblCalculo[[#This Row],[STATUS]]="EM ANÁLISE",tblCalculo[[#This Row],[VALOR_TOTAL]],"")</f>
        <v/>
      </c>
      <c r="N570" t="str">
        <f>IF(tblCalculo[[#This Row],[STATUS]]="TRAMITANDO",tblCalculo[[#This Row],[VALOR_TOTAL]],"")</f>
        <v/>
      </c>
      <c r="O570">
        <f>IF(tblCalculo[[#This Row],[STATUS]]="PERDIDO",tblCalculo[[#This Row],[VALOR_TOTAL]],"")</f>
        <v>18990.29</v>
      </c>
      <c r="P570" t="str">
        <f>IF(tblCalculo[[#This Row],[STATUS]]="CONCLUÍDO",tblCalculo[[#This Row],[VALOR_TOTAL]],"")</f>
        <v/>
      </c>
    </row>
    <row r="571" spans="1:16" x14ac:dyDescent="0.25">
      <c r="A571" t="str">
        <f>tblVendas[[#This Row],[NR_SIMULACAO]]</f>
        <v>SIM1561</v>
      </c>
      <c r="B571" s="34" t="str">
        <f>_xlfn.XLOOKUP(A571,tblVendas[[#This Row],[NR_SIMULACAO]],tblVendas[[#This Row],[NR_CNPJ]],"")</f>
        <v>63.990.849/0001-37</v>
      </c>
      <c r="C571" t="str">
        <f>_xlfn.XLOOKUP(A571,tblVendas[[#This Row],[NR_SIMULACAO]],tblVendas[[#This Row],[STATUS]],"")</f>
        <v>CONCLUÍDO</v>
      </c>
      <c r="D571" t="str">
        <f>_xlfn.XLOOKUP(A571,tblVendas[[#This Row],[NR_SIMULACAO]],tblVendas[[#This Row],[MES]],"")</f>
        <v>Março</v>
      </c>
      <c r="E571">
        <f>SUM(_xlfn.XLOOKUP(tblCalculo[[#This Row],[NR_SIMULACAO]],tblVendas[[#This Row],[NR_SIMULACAO]],tblVendas[[#This Row],[VALOR_MOVEL]],""):_xlfn.XLOOKUP(tblCalculo[[#This Row],[NR_SIMULACAO]],tblVendas[[#This Row],[NR_SIMULACAO]],tblVendas[[#This Row],[VALOR_APARELHO]],""))</f>
        <v>9282.31</v>
      </c>
      <c r="F571">
        <f>IF(tblCalculo[[#This Row],[STATUS]]="CONCLUÍDO",_xlfn.XLOOKUP(tblCalculo[[#This Row],[NR_SIMULACAO]],tblVendas[[#This Row],[NR_SIMULACAO]],tblVendas[[#This Row],[VALOR_MOVEL]],""),0)</f>
        <v>4978.6499999999996</v>
      </c>
      <c r="G571">
        <f>IF(tblCalculo[[#This Row],[STATUS]]="CONCLUÍDO",_xlfn.XLOOKUP(tblCalculo[[#This Row],[NR_SIMULACAO]],tblVendas[[#This Row],[NR_SIMULACAO]],tblVendas[[#This Row],[VALOR_AVANCADO]],""),0)</f>
        <v>4096.0200000000004</v>
      </c>
      <c r="H571">
        <f>IF(tblCalculo[[#This Row],[STATUS]]="CONCLUÍDO",_xlfn.XLOOKUP(tblCalculo[[#This Row],[NR_SIMULACAO]],tblVendas[[#This Row],[NR_SIMULACAO]],tblVendas[[#This Row],[VALOR_FIXABASICA]],""),0)</f>
        <v>0</v>
      </c>
      <c r="I571">
        <f>IF(tblCalculo[[#This Row],[STATUS]]="CONCLUÍDO",_xlfn.XLOOKUP(tblCalculo[[#This Row],[NR_SIMULACAO]],tblVendas[[#This Row],[NR_SIMULACAO]],tblVendas[[#This Row],[VALOR_TI]],""),0)</f>
        <v>207.64</v>
      </c>
      <c r="J571">
        <f>IF(tblCalculo[[#This Row],[STATUS]]="CONCLUÍDO",_xlfn.XLOOKUP(tblCalculo[[#This Row],[NR_SIMULACAO]],tblVendas[[#This Row],[NR_SIMULACAO]],tblVendas[[#This Row],[VALOR_APARELHO]],""),0)</f>
        <v>0</v>
      </c>
      <c r="K571" t="str">
        <f>IF(tblCalculo[[#This Row],[STATUS]]="NEGOCIANDO",tblCalculo[[#This Row],[VALOR_TOTAL]],"")</f>
        <v/>
      </c>
      <c r="L571" t="str">
        <f>IF(tblCalculo[[#This Row],[STATUS]]="ALÇADA",tblCalculo[[#This Row],[VALOR_TOTAL]],"")</f>
        <v/>
      </c>
      <c r="M571" t="str">
        <f>IF(tblCalculo[[#This Row],[STATUS]]="EM ANÁLISE",tblCalculo[[#This Row],[VALOR_TOTAL]],"")</f>
        <v/>
      </c>
      <c r="N571" t="str">
        <f>IF(tblCalculo[[#This Row],[STATUS]]="TRAMITANDO",tblCalculo[[#This Row],[VALOR_TOTAL]],"")</f>
        <v/>
      </c>
      <c r="O571" t="str">
        <f>IF(tblCalculo[[#This Row],[STATUS]]="PERDIDO",tblCalculo[[#This Row],[VALOR_TOTAL]],"")</f>
        <v/>
      </c>
      <c r="P571">
        <f>IF(tblCalculo[[#This Row],[STATUS]]="CONCLUÍDO",tblCalculo[[#This Row],[VALOR_TOTAL]],"")</f>
        <v>9282.31</v>
      </c>
    </row>
    <row r="572" spans="1:16" x14ac:dyDescent="0.25">
      <c r="A572" t="str">
        <f>tblVendas[[#This Row],[NR_SIMULACAO]]</f>
        <v>SIM1562</v>
      </c>
      <c r="B572" s="34" t="str">
        <f>_xlfn.XLOOKUP(A572,tblVendas[[#This Row],[NR_SIMULACAO]],tblVendas[[#This Row],[NR_CNPJ]],"")</f>
        <v>50.147.170/0001-32</v>
      </c>
      <c r="C572" t="str">
        <f>_xlfn.XLOOKUP(A572,tblVendas[[#This Row],[NR_SIMULACAO]],tblVendas[[#This Row],[STATUS]],"")</f>
        <v>NEGOCIANDO</v>
      </c>
      <c r="D572" t="str">
        <f>_xlfn.XLOOKUP(A572,tblVendas[[#This Row],[NR_SIMULACAO]],tblVendas[[#This Row],[MES]],"")</f>
        <v>Maio</v>
      </c>
      <c r="E572">
        <f>SUM(_xlfn.XLOOKUP(tblCalculo[[#This Row],[NR_SIMULACAO]],tblVendas[[#This Row],[NR_SIMULACAO]],tblVendas[[#This Row],[VALOR_MOVEL]],""):_xlfn.XLOOKUP(tblCalculo[[#This Row],[NR_SIMULACAO]],tblVendas[[#This Row],[NR_SIMULACAO]],tblVendas[[#This Row],[VALOR_APARELHO]],""))</f>
        <v>9997.51</v>
      </c>
      <c r="F572">
        <f>IF(tblCalculo[[#This Row],[STATUS]]="CONCLUÍDO",_xlfn.XLOOKUP(tblCalculo[[#This Row],[NR_SIMULACAO]],tblVendas[[#This Row],[NR_SIMULACAO]],tblVendas[[#This Row],[VALOR_MOVEL]],""),0)</f>
        <v>0</v>
      </c>
      <c r="G572">
        <f>IF(tblCalculo[[#This Row],[STATUS]]="CONCLUÍDO",_xlfn.XLOOKUP(tblCalculo[[#This Row],[NR_SIMULACAO]],tblVendas[[#This Row],[NR_SIMULACAO]],tblVendas[[#This Row],[VALOR_AVANCADO]],""),0)</f>
        <v>0</v>
      </c>
      <c r="H572">
        <f>IF(tblCalculo[[#This Row],[STATUS]]="CONCLUÍDO",_xlfn.XLOOKUP(tblCalculo[[#This Row],[NR_SIMULACAO]],tblVendas[[#This Row],[NR_SIMULACAO]],tblVendas[[#This Row],[VALOR_FIXABASICA]],""),0)</f>
        <v>0</v>
      </c>
      <c r="I572">
        <f>IF(tblCalculo[[#This Row],[STATUS]]="CONCLUÍDO",_xlfn.XLOOKUP(tblCalculo[[#This Row],[NR_SIMULACAO]],tblVendas[[#This Row],[NR_SIMULACAO]],tblVendas[[#This Row],[VALOR_TI]],""),0)</f>
        <v>0</v>
      </c>
      <c r="J572">
        <f>IF(tblCalculo[[#This Row],[STATUS]]="CONCLUÍDO",_xlfn.XLOOKUP(tblCalculo[[#This Row],[NR_SIMULACAO]],tblVendas[[#This Row],[NR_SIMULACAO]],tblVendas[[#This Row],[VALOR_APARELHO]],""),0)</f>
        <v>0</v>
      </c>
      <c r="K572">
        <f>IF(tblCalculo[[#This Row],[STATUS]]="NEGOCIANDO",tblCalculo[[#This Row],[VALOR_TOTAL]],"")</f>
        <v>9997.51</v>
      </c>
      <c r="L572" t="str">
        <f>IF(tblCalculo[[#This Row],[STATUS]]="ALÇADA",tblCalculo[[#This Row],[VALOR_TOTAL]],"")</f>
        <v/>
      </c>
      <c r="M572" t="str">
        <f>IF(tblCalculo[[#This Row],[STATUS]]="EM ANÁLISE",tblCalculo[[#This Row],[VALOR_TOTAL]],"")</f>
        <v/>
      </c>
      <c r="N572" t="str">
        <f>IF(tblCalculo[[#This Row],[STATUS]]="TRAMITANDO",tblCalculo[[#This Row],[VALOR_TOTAL]],"")</f>
        <v/>
      </c>
      <c r="O572" t="str">
        <f>IF(tblCalculo[[#This Row],[STATUS]]="PERDIDO",tblCalculo[[#This Row],[VALOR_TOTAL]],"")</f>
        <v/>
      </c>
      <c r="P572" t="str">
        <f>IF(tblCalculo[[#This Row],[STATUS]]="CONCLUÍDO",tblCalculo[[#This Row],[VALOR_TOTAL]],"")</f>
        <v/>
      </c>
    </row>
    <row r="573" spans="1:16" x14ac:dyDescent="0.25">
      <c r="A573" t="str">
        <f>tblVendas[[#This Row],[NR_SIMULACAO]]</f>
        <v>SIM1563</v>
      </c>
      <c r="B573" s="34" t="str">
        <f>_xlfn.XLOOKUP(A573,tblVendas[[#This Row],[NR_SIMULACAO]],tblVendas[[#This Row],[NR_CNPJ]],"")</f>
        <v>71.778.466/0001-46</v>
      </c>
      <c r="C573" t="str">
        <f>_xlfn.XLOOKUP(A573,tblVendas[[#This Row],[NR_SIMULACAO]],tblVendas[[#This Row],[STATUS]],"")</f>
        <v>PERDIDO</v>
      </c>
      <c r="D573" t="str">
        <f>_xlfn.XLOOKUP(A573,tblVendas[[#This Row],[NR_SIMULACAO]],tblVendas[[#This Row],[MES]],"")</f>
        <v>Novembro</v>
      </c>
      <c r="E573">
        <f>SUM(_xlfn.XLOOKUP(tblCalculo[[#This Row],[NR_SIMULACAO]],tblVendas[[#This Row],[NR_SIMULACAO]],tblVendas[[#This Row],[VALOR_MOVEL]],""):_xlfn.XLOOKUP(tblCalculo[[#This Row],[NR_SIMULACAO]],tblVendas[[#This Row],[NR_SIMULACAO]],tblVendas[[#This Row],[VALOR_APARELHO]],""))</f>
        <v>5690.73</v>
      </c>
      <c r="F573">
        <f>IF(tblCalculo[[#This Row],[STATUS]]="CONCLUÍDO",_xlfn.XLOOKUP(tblCalculo[[#This Row],[NR_SIMULACAO]],tblVendas[[#This Row],[NR_SIMULACAO]],tblVendas[[#This Row],[VALOR_MOVEL]],""),0)</f>
        <v>0</v>
      </c>
      <c r="G573">
        <f>IF(tblCalculo[[#This Row],[STATUS]]="CONCLUÍDO",_xlfn.XLOOKUP(tblCalculo[[#This Row],[NR_SIMULACAO]],tblVendas[[#This Row],[NR_SIMULACAO]],tblVendas[[#This Row],[VALOR_AVANCADO]],""),0)</f>
        <v>0</v>
      </c>
      <c r="H573">
        <f>IF(tblCalculo[[#This Row],[STATUS]]="CONCLUÍDO",_xlfn.XLOOKUP(tblCalculo[[#This Row],[NR_SIMULACAO]],tblVendas[[#This Row],[NR_SIMULACAO]],tblVendas[[#This Row],[VALOR_FIXABASICA]],""),0)</f>
        <v>0</v>
      </c>
      <c r="I573">
        <f>IF(tblCalculo[[#This Row],[STATUS]]="CONCLUÍDO",_xlfn.XLOOKUP(tblCalculo[[#This Row],[NR_SIMULACAO]],tblVendas[[#This Row],[NR_SIMULACAO]],tblVendas[[#This Row],[VALOR_TI]],""),0)</f>
        <v>0</v>
      </c>
      <c r="J573">
        <f>IF(tblCalculo[[#This Row],[STATUS]]="CONCLUÍDO",_xlfn.XLOOKUP(tblCalculo[[#This Row],[NR_SIMULACAO]],tblVendas[[#This Row],[NR_SIMULACAO]],tblVendas[[#This Row],[VALOR_APARELHO]],""),0)</f>
        <v>0</v>
      </c>
      <c r="K573" t="str">
        <f>IF(tblCalculo[[#This Row],[STATUS]]="NEGOCIANDO",tblCalculo[[#This Row],[VALOR_TOTAL]],"")</f>
        <v/>
      </c>
      <c r="L573" t="str">
        <f>IF(tblCalculo[[#This Row],[STATUS]]="ALÇADA",tblCalculo[[#This Row],[VALOR_TOTAL]],"")</f>
        <v/>
      </c>
      <c r="M573" t="str">
        <f>IF(tblCalculo[[#This Row],[STATUS]]="EM ANÁLISE",tblCalculo[[#This Row],[VALOR_TOTAL]],"")</f>
        <v/>
      </c>
      <c r="N573" t="str">
        <f>IF(tblCalculo[[#This Row],[STATUS]]="TRAMITANDO",tblCalculo[[#This Row],[VALOR_TOTAL]],"")</f>
        <v/>
      </c>
      <c r="O573">
        <f>IF(tblCalculo[[#This Row],[STATUS]]="PERDIDO",tblCalculo[[#This Row],[VALOR_TOTAL]],"")</f>
        <v>5690.73</v>
      </c>
      <c r="P573" t="str">
        <f>IF(tblCalculo[[#This Row],[STATUS]]="CONCLUÍDO",tblCalculo[[#This Row],[VALOR_TOTAL]],"")</f>
        <v/>
      </c>
    </row>
    <row r="574" spans="1:16" x14ac:dyDescent="0.25">
      <c r="A574" t="str">
        <f>tblVendas[[#This Row],[NR_SIMULACAO]]</f>
        <v>SIM1564</v>
      </c>
      <c r="B574" s="34" t="str">
        <f>_xlfn.XLOOKUP(A574,tblVendas[[#This Row],[NR_SIMULACAO]],tblVendas[[#This Row],[NR_CNPJ]],"")</f>
        <v>31.293.179/0001-41</v>
      </c>
      <c r="C574" t="str">
        <f>_xlfn.XLOOKUP(A574,tblVendas[[#This Row],[NR_SIMULACAO]],tblVendas[[#This Row],[STATUS]],"")</f>
        <v>TRAMITANDO</v>
      </c>
      <c r="D574" t="str">
        <f>_xlfn.XLOOKUP(A574,tblVendas[[#This Row],[NR_SIMULACAO]],tblVendas[[#This Row],[MES]],"")</f>
        <v>Janeiro</v>
      </c>
      <c r="E574">
        <f>SUM(_xlfn.XLOOKUP(tblCalculo[[#This Row],[NR_SIMULACAO]],tblVendas[[#This Row],[NR_SIMULACAO]],tblVendas[[#This Row],[VALOR_MOVEL]],""):_xlfn.XLOOKUP(tblCalculo[[#This Row],[NR_SIMULACAO]],tblVendas[[#This Row],[NR_SIMULACAO]],tblVendas[[#This Row],[VALOR_APARELHO]],""))</f>
        <v>19272.84</v>
      </c>
      <c r="F574">
        <f>IF(tblCalculo[[#This Row],[STATUS]]="CONCLUÍDO",_xlfn.XLOOKUP(tblCalculo[[#This Row],[NR_SIMULACAO]],tblVendas[[#This Row],[NR_SIMULACAO]],tblVendas[[#This Row],[VALOR_MOVEL]],""),0)</f>
        <v>0</v>
      </c>
      <c r="G574">
        <f>IF(tblCalculo[[#This Row],[STATUS]]="CONCLUÍDO",_xlfn.XLOOKUP(tblCalculo[[#This Row],[NR_SIMULACAO]],tblVendas[[#This Row],[NR_SIMULACAO]],tblVendas[[#This Row],[VALOR_AVANCADO]],""),0)</f>
        <v>0</v>
      </c>
      <c r="H574">
        <f>IF(tblCalculo[[#This Row],[STATUS]]="CONCLUÍDO",_xlfn.XLOOKUP(tblCalculo[[#This Row],[NR_SIMULACAO]],tblVendas[[#This Row],[NR_SIMULACAO]],tblVendas[[#This Row],[VALOR_FIXABASICA]],""),0)</f>
        <v>0</v>
      </c>
      <c r="I574">
        <f>IF(tblCalculo[[#This Row],[STATUS]]="CONCLUÍDO",_xlfn.XLOOKUP(tblCalculo[[#This Row],[NR_SIMULACAO]],tblVendas[[#This Row],[NR_SIMULACAO]],tblVendas[[#This Row],[VALOR_TI]],""),0)</f>
        <v>0</v>
      </c>
      <c r="J574">
        <f>IF(tblCalculo[[#This Row],[STATUS]]="CONCLUÍDO",_xlfn.XLOOKUP(tblCalculo[[#This Row],[NR_SIMULACAO]],tblVendas[[#This Row],[NR_SIMULACAO]],tblVendas[[#This Row],[VALOR_APARELHO]],""),0)</f>
        <v>0</v>
      </c>
      <c r="K574" t="str">
        <f>IF(tblCalculo[[#This Row],[STATUS]]="NEGOCIANDO",tblCalculo[[#This Row],[VALOR_TOTAL]],"")</f>
        <v/>
      </c>
      <c r="L574" t="str">
        <f>IF(tblCalculo[[#This Row],[STATUS]]="ALÇADA",tblCalculo[[#This Row],[VALOR_TOTAL]],"")</f>
        <v/>
      </c>
      <c r="M574" t="str">
        <f>IF(tblCalculo[[#This Row],[STATUS]]="EM ANÁLISE",tblCalculo[[#This Row],[VALOR_TOTAL]],"")</f>
        <v/>
      </c>
      <c r="N574">
        <f>IF(tblCalculo[[#This Row],[STATUS]]="TRAMITANDO",tblCalculo[[#This Row],[VALOR_TOTAL]],"")</f>
        <v>19272.84</v>
      </c>
      <c r="O574" t="str">
        <f>IF(tblCalculo[[#This Row],[STATUS]]="PERDIDO",tblCalculo[[#This Row],[VALOR_TOTAL]],"")</f>
        <v/>
      </c>
      <c r="P574" t="str">
        <f>IF(tblCalculo[[#This Row],[STATUS]]="CONCLUÍDO",tblCalculo[[#This Row],[VALOR_TOTAL]],"")</f>
        <v/>
      </c>
    </row>
    <row r="575" spans="1:16" x14ac:dyDescent="0.25">
      <c r="A575" t="str">
        <f>tblVendas[[#This Row],[NR_SIMULACAO]]</f>
        <v>SIM1565</v>
      </c>
      <c r="B575" s="34" t="str">
        <f>_xlfn.XLOOKUP(A575,tblVendas[[#This Row],[NR_SIMULACAO]],tblVendas[[#This Row],[NR_CNPJ]],"")</f>
        <v>88.758.991/0001-17</v>
      </c>
      <c r="C575" t="str">
        <f>_xlfn.XLOOKUP(A575,tblVendas[[#This Row],[NR_SIMULACAO]],tblVendas[[#This Row],[STATUS]],"")</f>
        <v>CONCLUÍDO</v>
      </c>
      <c r="D575" t="str">
        <f>_xlfn.XLOOKUP(A575,tblVendas[[#This Row],[NR_SIMULACAO]],tblVendas[[#This Row],[MES]],"")</f>
        <v>Fevereiro</v>
      </c>
      <c r="E575">
        <f>SUM(_xlfn.XLOOKUP(tblCalculo[[#This Row],[NR_SIMULACAO]],tblVendas[[#This Row],[NR_SIMULACAO]],tblVendas[[#This Row],[VALOR_MOVEL]],""):_xlfn.XLOOKUP(tblCalculo[[#This Row],[NR_SIMULACAO]],tblVendas[[#This Row],[NR_SIMULACAO]],tblVendas[[#This Row],[VALOR_APARELHO]],""))</f>
        <v>2850.74</v>
      </c>
      <c r="F575">
        <f>IF(tblCalculo[[#This Row],[STATUS]]="CONCLUÍDO",_xlfn.XLOOKUP(tblCalculo[[#This Row],[NR_SIMULACAO]],tblVendas[[#This Row],[NR_SIMULACAO]],tblVendas[[#This Row],[VALOR_MOVEL]],""),0)</f>
        <v>0</v>
      </c>
      <c r="G575">
        <f>IF(tblCalculo[[#This Row],[STATUS]]="CONCLUÍDO",_xlfn.XLOOKUP(tblCalculo[[#This Row],[NR_SIMULACAO]],tblVendas[[#This Row],[NR_SIMULACAO]],tblVendas[[#This Row],[VALOR_AVANCADO]],""),0)</f>
        <v>0</v>
      </c>
      <c r="H575">
        <f>IF(tblCalculo[[#This Row],[STATUS]]="CONCLUÍDO",_xlfn.XLOOKUP(tblCalculo[[#This Row],[NR_SIMULACAO]],tblVendas[[#This Row],[NR_SIMULACAO]],tblVendas[[#This Row],[VALOR_FIXABASICA]],""),0)</f>
        <v>0</v>
      </c>
      <c r="I575">
        <f>IF(tblCalculo[[#This Row],[STATUS]]="CONCLUÍDO",_xlfn.XLOOKUP(tblCalculo[[#This Row],[NR_SIMULACAO]],tblVendas[[#This Row],[NR_SIMULACAO]],tblVendas[[#This Row],[VALOR_TI]],""),0)</f>
        <v>0</v>
      </c>
      <c r="J575">
        <f>IF(tblCalculo[[#This Row],[STATUS]]="CONCLUÍDO",_xlfn.XLOOKUP(tblCalculo[[#This Row],[NR_SIMULACAO]],tblVendas[[#This Row],[NR_SIMULACAO]],tblVendas[[#This Row],[VALOR_APARELHO]],""),0)</f>
        <v>2850.74</v>
      </c>
      <c r="K575" t="str">
        <f>IF(tblCalculo[[#This Row],[STATUS]]="NEGOCIANDO",tblCalculo[[#This Row],[VALOR_TOTAL]],"")</f>
        <v/>
      </c>
      <c r="L575" t="str">
        <f>IF(tblCalculo[[#This Row],[STATUS]]="ALÇADA",tblCalculo[[#This Row],[VALOR_TOTAL]],"")</f>
        <v/>
      </c>
      <c r="M575" t="str">
        <f>IF(tblCalculo[[#This Row],[STATUS]]="EM ANÁLISE",tblCalculo[[#This Row],[VALOR_TOTAL]],"")</f>
        <v/>
      </c>
      <c r="N575" t="str">
        <f>IF(tblCalculo[[#This Row],[STATUS]]="TRAMITANDO",tblCalculo[[#This Row],[VALOR_TOTAL]],"")</f>
        <v/>
      </c>
      <c r="O575" t="str">
        <f>IF(tblCalculo[[#This Row],[STATUS]]="PERDIDO",tblCalculo[[#This Row],[VALOR_TOTAL]],"")</f>
        <v/>
      </c>
      <c r="P575">
        <f>IF(tblCalculo[[#This Row],[STATUS]]="CONCLUÍDO",tblCalculo[[#This Row],[VALOR_TOTAL]],"")</f>
        <v>2850.74</v>
      </c>
    </row>
    <row r="576" spans="1:16" x14ac:dyDescent="0.25">
      <c r="A576" t="str">
        <f>tblVendas[[#This Row],[NR_SIMULACAO]]</f>
        <v>SIM1566</v>
      </c>
      <c r="B576" s="34" t="str">
        <f>_xlfn.XLOOKUP(A576,tblVendas[[#This Row],[NR_SIMULACAO]],tblVendas[[#This Row],[NR_CNPJ]],"")</f>
        <v>51.594.812/0001-99</v>
      </c>
      <c r="C576" t="str">
        <f>_xlfn.XLOOKUP(A576,tblVendas[[#This Row],[NR_SIMULACAO]],tblVendas[[#This Row],[STATUS]],"")</f>
        <v>TRAMITANDO</v>
      </c>
      <c r="D576" t="str">
        <f>_xlfn.XLOOKUP(A576,tblVendas[[#This Row],[NR_SIMULACAO]],tblVendas[[#This Row],[MES]],"")</f>
        <v>Dezembro</v>
      </c>
      <c r="E576">
        <f>SUM(_xlfn.XLOOKUP(tblCalculo[[#This Row],[NR_SIMULACAO]],tblVendas[[#This Row],[NR_SIMULACAO]],tblVendas[[#This Row],[VALOR_MOVEL]],""):_xlfn.XLOOKUP(tblCalculo[[#This Row],[NR_SIMULACAO]],tblVendas[[#This Row],[NR_SIMULACAO]],tblVendas[[#This Row],[VALOR_APARELHO]],""))</f>
        <v>15146.140000000001</v>
      </c>
      <c r="F576">
        <f>IF(tblCalculo[[#This Row],[STATUS]]="CONCLUÍDO",_xlfn.XLOOKUP(tblCalculo[[#This Row],[NR_SIMULACAO]],tblVendas[[#This Row],[NR_SIMULACAO]],tblVendas[[#This Row],[VALOR_MOVEL]],""),0)</f>
        <v>0</v>
      </c>
      <c r="G576">
        <f>IF(tblCalculo[[#This Row],[STATUS]]="CONCLUÍDO",_xlfn.XLOOKUP(tblCalculo[[#This Row],[NR_SIMULACAO]],tblVendas[[#This Row],[NR_SIMULACAO]],tblVendas[[#This Row],[VALOR_AVANCADO]],""),0)</f>
        <v>0</v>
      </c>
      <c r="H576">
        <f>IF(tblCalculo[[#This Row],[STATUS]]="CONCLUÍDO",_xlfn.XLOOKUP(tblCalculo[[#This Row],[NR_SIMULACAO]],tblVendas[[#This Row],[NR_SIMULACAO]],tblVendas[[#This Row],[VALOR_FIXABASICA]],""),0)</f>
        <v>0</v>
      </c>
      <c r="I576">
        <f>IF(tblCalculo[[#This Row],[STATUS]]="CONCLUÍDO",_xlfn.XLOOKUP(tblCalculo[[#This Row],[NR_SIMULACAO]],tblVendas[[#This Row],[NR_SIMULACAO]],tblVendas[[#This Row],[VALOR_TI]],""),0)</f>
        <v>0</v>
      </c>
      <c r="J576">
        <f>IF(tblCalculo[[#This Row],[STATUS]]="CONCLUÍDO",_xlfn.XLOOKUP(tblCalculo[[#This Row],[NR_SIMULACAO]],tblVendas[[#This Row],[NR_SIMULACAO]],tblVendas[[#This Row],[VALOR_APARELHO]],""),0)</f>
        <v>0</v>
      </c>
      <c r="K576" t="str">
        <f>IF(tblCalculo[[#This Row],[STATUS]]="NEGOCIANDO",tblCalculo[[#This Row],[VALOR_TOTAL]],"")</f>
        <v/>
      </c>
      <c r="L576" t="str">
        <f>IF(tblCalculo[[#This Row],[STATUS]]="ALÇADA",tblCalculo[[#This Row],[VALOR_TOTAL]],"")</f>
        <v/>
      </c>
      <c r="M576" t="str">
        <f>IF(tblCalculo[[#This Row],[STATUS]]="EM ANÁLISE",tblCalculo[[#This Row],[VALOR_TOTAL]],"")</f>
        <v/>
      </c>
      <c r="N576">
        <f>IF(tblCalculo[[#This Row],[STATUS]]="TRAMITANDO",tblCalculo[[#This Row],[VALOR_TOTAL]],"")</f>
        <v>15146.140000000001</v>
      </c>
      <c r="O576" t="str">
        <f>IF(tblCalculo[[#This Row],[STATUS]]="PERDIDO",tblCalculo[[#This Row],[VALOR_TOTAL]],"")</f>
        <v/>
      </c>
      <c r="P576" t="str">
        <f>IF(tblCalculo[[#This Row],[STATUS]]="CONCLUÍDO",tblCalculo[[#This Row],[VALOR_TOTAL]],"")</f>
        <v/>
      </c>
    </row>
    <row r="577" spans="1:16" x14ac:dyDescent="0.25">
      <c r="A577" t="str">
        <f>tblVendas[[#This Row],[NR_SIMULACAO]]</f>
        <v>SIM1567</v>
      </c>
      <c r="B577" s="34" t="str">
        <f>_xlfn.XLOOKUP(A577,tblVendas[[#This Row],[NR_SIMULACAO]],tblVendas[[#This Row],[NR_CNPJ]],"")</f>
        <v>68.348.789/0001-32</v>
      </c>
      <c r="C577" t="str">
        <f>_xlfn.XLOOKUP(A577,tblVendas[[#This Row],[NR_SIMULACAO]],tblVendas[[#This Row],[STATUS]],"")</f>
        <v>ALÇADA</v>
      </c>
      <c r="D577" t="str">
        <f>_xlfn.XLOOKUP(A577,tblVendas[[#This Row],[NR_SIMULACAO]],tblVendas[[#This Row],[MES]],"")</f>
        <v>Outubro</v>
      </c>
      <c r="E577">
        <f>SUM(_xlfn.XLOOKUP(tblCalculo[[#This Row],[NR_SIMULACAO]],tblVendas[[#This Row],[NR_SIMULACAO]],tblVendas[[#This Row],[VALOR_MOVEL]],""):_xlfn.XLOOKUP(tblCalculo[[#This Row],[NR_SIMULACAO]],tblVendas[[#This Row],[NR_SIMULACAO]],tblVendas[[#This Row],[VALOR_APARELHO]],""))</f>
        <v>7408.85</v>
      </c>
      <c r="F577">
        <f>IF(tblCalculo[[#This Row],[STATUS]]="CONCLUÍDO",_xlfn.XLOOKUP(tblCalculo[[#This Row],[NR_SIMULACAO]],tblVendas[[#This Row],[NR_SIMULACAO]],tblVendas[[#This Row],[VALOR_MOVEL]],""),0)</f>
        <v>0</v>
      </c>
      <c r="G577">
        <f>IF(tblCalculo[[#This Row],[STATUS]]="CONCLUÍDO",_xlfn.XLOOKUP(tblCalculo[[#This Row],[NR_SIMULACAO]],tblVendas[[#This Row],[NR_SIMULACAO]],tblVendas[[#This Row],[VALOR_AVANCADO]],""),0)</f>
        <v>0</v>
      </c>
      <c r="H577">
        <f>IF(tblCalculo[[#This Row],[STATUS]]="CONCLUÍDO",_xlfn.XLOOKUP(tblCalculo[[#This Row],[NR_SIMULACAO]],tblVendas[[#This Row],[NR_SIMULACAO]],tblVendas[[#This Row],[VALOR_FIXABASICA]],""),0)</f>
        <v>0</v>
      </c>
      <c r="I577">
        <f>IF(tblCalculo[[#This Row],[STATUS]]="CONCLUÍDO",_xlfn.XLOOKUP(tblCalculo[[#This Row],[NR_SIMULACAO]],tblVendas[[#This Row],[NR_SIMULACAO]],tblVendas[[#This Row],[VALOR_TI]],""),0)</f>
        <v>0</v>
      </c>
      <c r="J577">
        <f>IF(tblCalculo[[#This Row],[STATUS]]="CONCLUÍDO",_xlfn.XLOOKUP(tblCalculo[[#This Row],[NR_SIMULACAO]],tblVendas[[#This Row],[NR_SIMULACAO]],tblVendas[[#This Row],[VALOR_APARELHO]],""),0)</f>
        <v>0</v>
      </c>
      <c r="K577" t="str">
        <f>IF(tblCalculo[[#This Row],[STATUS]]="NEGOCIANDO",tblCalculo[[#This Row],[VALOR_TOTAL]],"")</f>
        <v/>
      </c>
      <c r="L577">
        <f>IF(tblCalculo[[#This Row],[STATUS]]="ALÇADA",tblCalculo[[#This Row],[VALOR_TOTAL]],"")</f>
        <v>7408.85</v>
      </c>
      <c r="M577" t="str">
        <f>IF(tblCalculo[[#This Row],[STATUS]]="EM ANÁLISE",tblCalculo[[#This Row],[VALOR_TOTAL]],"")</f>
        <v/>
      </c>
      <c r="N577" t="str">
        <f>IF(tblCalculo[[#This Row],[STATUS]]="TRAMITANDO",tblCalculo[[#This Row],[VALOR_TOTAL]],"")</f>
        <v/>
      </c>
      <c r="O577" t="str">
        <f>IF(tblCalculo[[#This Row],[STATUS]]="PERDIDO",tblCalculo[[#This Row],[VALOR_TOTAL]],"")</f>
        <v/>
      </c>
      <c r="P577" t="str">
        <f>IF(tblCalculo[[#This Row],[STATUS]]="CONCLUÍDO",tblCalculo[[#This Row],[VALOR_TOTAL]],"")</f>
        <v/>
      </c>
    </row>
    <row r="578" spans="1:16" x14ac:dyDescent="0.25">
      <c r="A578" t="str">
        <f>tblVendas[[#This Row],[NR_SIMULACAO]]</f>
        <v>SIM1568</v>
      </c>
      <c r="B578" s="34" t="str">
        <f>_xlfn.XLOOKUP(A578,tblVendas[[#This Row],[NR_SIMULACAO]],tblVendas[[#This Row],[NR_CNPJ]],"")</f>
        <v>20.976.754/0001-46</v>
      </c>
      <c r="C578" t="str">
        <f>_xlfn.XLOOKUP(A578,tblVendas[[#This Row],[NR_SIMULACAO]],tblVendas[[#This Row],[STATUS]],"")</f>
        <v>TRAMITANDO</v>
      </c>
      <c r="D578" t="str">
        <f>_xlfn.XLOOKUP(A578,tblVendas[[#This Row],[NR_SIMULACAO]],tblVendas[[#This Row],[MES]],"")</f>
        <v>Abril</v>
      </c>
      <c r="E578">
        <f>SUM(_xlfn.XLOOKUP(tblCalculo[[#This Row],[NR_SIMULACAO]],tblVendas[[#This Row],[NR_SIMULACAO]],tblVendas[[#This Row],[VALOR_MOVEL]],""):_xlfn.XLOOKUP(tblCalculo[[#This Row],[NR_SIMULACAO]],tblVendas[[#This Row],[NR_SIMULACAO]],tblVendas[[#This Row],[VALOR_APARELHO]],""))</f>
        <v>7712.31</v>
      </c>
      <c r="F578">
        <f>IF(tblCalculo[[#This Row],[STATUS]]="CONCLUÍDO",_xlfn.XLOOKUP(tblCalculo[[#This Row],[NR_SIMULACAO]],tblVendas[[#This Row],[NR_SIMULACAO]],tblVendas[[#This Row],[VALOR_MOVEL]],""),0)</f>
        <v>0</v>
      </c>
      <c r="G578">
        <f>IF(tblCalculo[[#This Row],[STATUS]]="CONCLUÍDO",_xlfn.XLOOKUP(tblCalculo[[#This Row],[NR_SIMULACAO]],tblVendas[[#This Row],[NR_SIMULACAO]],tblVendas[[#This Row],[VALOR_AVANCADO]],""),0)</f>
        <v>0</v>
      </c>
      <c r="H578">
        <f>IF(tblCalculo[[#This Row],[STATUS]]="CONCLUÍDO",_xlfn.XLOOKUP(tblCalculo[[#This Row],[NR_SIMULACAO]],tblVendas[[#This Row],[NR_SIMULACAO]],tblVendas[[#This Row],[VALOR_FIXABASICA]],""),0)</f>
        <v>0</v>
      </c>
      <c r="I578">
        <f>IF(tblCalculo[[#This Row],[STATUS]]="CONCLUÍDO",_xlfn.XLOOKUP(tblCalculo[[#This Row],[NR_SIMULACAO]],tblVendas[[#This Row],[NR_SIMULACAO]],tblVendas[[#This Row],[VALOR_TI]],""),0)</f>
        <v>0</v>
      </c>
      <c r="J578">
        <f>IF(tblCalculo[[#This Row],[STATUS]]="CONCLUÍDO",_xlfn.XLOOKUP(tblCalculo[[#This Row],[NR_SIMULACAO]],tblVendas[[#This Row],[NR_SIMULACAO]],tblVendas[[#This Row],[VALOR_APARELHO]],""),0)</f>
        <v>0</v>
      </c>
      <c r="K578" t="str">
        <f>IF(tblCalculo[[#This Row],[STATUS]]="NEGOCIANDO",tblCalculo[[#This Row],[VALOR_TOTAL]],"")</f>
        <v/>
      </c>
      <c r="L578" t="str">
        <f>IF(tblCalculo[[#This Row],[STATUS]]="ALÇADA",tblCalculo[[#This Row],[VALOR_TOTAL]],"")</f>
        <v/>
      </c>
      <c r="M578" t="str">
        <f>IF(tblCalculo[[#This Row],[STATUS]]="EM ANÁLISE",tblCalculo[[#This Row],[VALOR_TOTAL]],"")</f>
        <v/>
      </c>
      <c r="N578">
        <f>IF(tblCalculo[[#This Row],[STATUS]]="TRAMITANDO",tblCalculo[[#This Row],[VALOR_TOTAL]],"")</f>
        <v>7712.31</v>
      </c>
      <c r="O578" t="str">
        <f>IF(tblCalculo[[#This Row],[STATUS]]="PERDIDO",tblCalculo[[#This Row],[VALOR_TOTAL]],"")</f>
        <v/>
      </c>
      <c r="P578" t="str">
        <f>IF(tblCalculo[[#This Row],[STATUS]]="CONCLUÍDO",tblCalculo[[#This Row],[VALOR_TOTAL]],"")</f>
        <v/>
      </c>
    </row>
    <row r="579" spans="1:16" x14ac:dyDescent="0.25">
      <c r="A579" t="str">
        <f>tblVendas[[#This Row],[NR_SIMULACAO]]</f>
        <v>SIM1569</v>
      </c>
      <c r="B579" s="34" t="str">
        <f>_xlfn.XLOOKUP(A579,tblVendas[[#This Row],[NR_SIMULACAO]],tblVendas[[#This Row],[NR_CNPJ]],"")</f>
        <v>33.934.193/0001-23</v>
      </c>
      <c r="C579" t="str">
        <f>_xlfn.XLOOKUP(A579,tblVendas[[#This Row],[NR_SIMULACAO]],tblVendas[[#This Row],[STATUS]],"")</f>
        <v>CONCLUÍDO</v>
      </c>
      <c r="D579" t="str">
        <f>_xlfn.XLOOKUP(A579,tblVendas[[#This Row],[NR_SIMULACAO]],tblVendas[[#This Row],[MES]],"")</f>
        <v>Julho</v>
      </c>
      <c r="E579">
        <f>SUM(_xlfn.XLOOKUP(tblCalculo[[#This Row],[NR_SIMULACAO]],tblVendas[[#This Row],[NR_SIMULACAO]],tblVendas[[#This Row],[VALOR_MOVEL]],""):_xlfn.XLOOKUP(tblCalculo[[#This Row],[NR_SIMULACAO]],tblVendas[[#This Row],[NR_SIMULACAO]],tblVendas[[#This Row],[VALOR_APARELHO]],""))</f>
        <v>15918.89</v>
      </c>
      <c r="F579">
        <f>IF(tblCalculo[[#This Row],[STATUS]]="CONCLUÍDO",_xlfn.XLOOKUP(tblCalculo[[#This Row],[NR_SIMULACAO]],tblVendas[[#This Row],[NR_SIMULACAO]],tblVendas[[#This Row],[VALOR_MOVEL]],""),0)</f>
        <v>473.65</v>
      </c>
      <c r="G579">
        <f>IF(tblCalculo[[#This Row],[STATUS]]="CONCLUÍDO",_xlfn.XLOOKUP(tblCalculo[[#This Row],[NR_SIMULACAO]],tblVendas[[#This Row],[NR_SIMULACAO]],tblVendas[[#This Row],[VALOR_AVANCADO]],""),0)</f>
        <v>4367.66</v>
      </c>
      <c r="H579">
        <f>IF(tblCalculo[[#This Row],[STATUS]]="CONCLUÍDO",_xlfn.XLOOKUP(tblCalculo[[#This Row],[NR_SIMULACAO]],tblVendas[[#This Row],[NR_SIMULACAO]],tblVendas[[#This Row],[VALOR_FIXABASICA]],""),0)</f>
        <v>0</v>
      </c>
      <c r="I579">
        <f>IF(tblCalculo[[#This Row],[STATUS]]="CONCLUÍDO",_xlfn.XLOOKUP(tblCalculo[[#This Row],[NR_SIMULACAO]],tblVendas[[#This Row],[NR_SIMULACAO]],tblVendas[[#This Row],[VALOR_TI]],""),0)</f>
        <v>0</v>
      </c>
      <c r="J579">
        <f>IF(tblCalculo[[#This Row],[STATUS]]="CONCLUÍDO",_xlfn.XLOOKUP(tblCalculo[[#This Row],[NR_SIMULACAO]],tblVendas[[#This Row],[NR_SIMULACAO]],tblVendas[[#This Row],[VALOR_APARELHO]],""),0)</f>
        <v>11077.58</v>
      </c>
      <c r="K579" t="str">
        <f>IF(tblCalculo[[#This Row],[STATUS]]="NEGOCIANDO",tblCalculo[[#This Row],[VALOR_TOTAL]],"")</f>
        <v/>
      </c>
      <c r="L579" t="str">
        <f>IF(tblCalculo[[#This Row],[STATUS]]="ALÇADA",tblCalculo[[#This Row],[VALOR_TOTAL]],"")</f>
        <v/>
      </c>
      <c r="M579" t="str">
        <f>IF(tblCalculo[[#This Row],[STATUS]]="EM ANÁLISE",tblCalculo[[#This Row],[VALOR_TOTAL]],"")</f>
        <v/>
      </c>
      <c r="N579" t="str">
        <f>IF(tblCalculo[[#This Row],[STATUS]]="TRAMITANDO",tblCalculo[[#This Row],[VALOR_TOTAL]],"")</f>
        <v/>
      </c>
      <c r="O579" t="str">
        <f>IF(tblCalculo[[#This Row],[STATUS]]="PERDIDO",tblCalculo[[#This Row],[VALOR_TOTAL]],"")</f>
        <v/>
      </c>
      <c r="P579">
        <f>IF(tblCalculo[[#This Row],[STATUS]]="CONCLUÍDO",tblCalculo[[#This Row],[VALOR_TOTAL]],"")</f>
        <v>15918.89</v>
      </c>
    </row>
    <row r="580" spans="1:16" x14ac:dyDescent="0.25">
      <c r="A580" t="str">
        <f>tblVendas[[#This Row],[NR_SIMULACAO]]</f>
        <v>SIM1570</v>
      </c>
      <c r="B580" s="34" t="str">
        <f>_xlfn.XLOOKUP(A580,tblVendas[[#This Row],[NR_SIMULACAO]],tblVendas[[#This Row],[NR_CNPJ]],"")</f>
        <v>40.912.319/0001-75</v>
      </c>
      <c r="C580" t="str">
        <f>_xlfn.XLOOKUP(A580,tblVendas[[#This Row],[NR_SIMULACAO]],tblVendas[[#This Row],[STATUS]],"")</f>
        <v>EM ANÁLISE</v>
      </c>
      <c r="D580" t="str">
        <f>_xlfn.XLOOKUP(A580,tblVendas[[#This Row],[NR_SIMULACAO]],tblVendas[[#This Row],[MES]],"")</f>
        <v>Julho</v>
      </c>
      <c r="E580">
        <f>SUM(_xlfn.XLOOKUP(tblCalculo[[#This Row],[NR_SIMULACAO]],tblVendas[[#This Row],[NR_SIMULACAO]],tblVendas[[#This Row],[VALOR_MOVEL]],""):_xlfn.XLOOKUP(tblCalculo[[#This Row],[NR_SIMULACAO]],tblVendas[[#This Row],[NR_SIMULACAO]],tblVendas[[#This Row],[VALOR_APARELHO]],""))</f>
        <v>15178.58</v>
      </c>
      <c r="F580">
        <f>IF(tblCalculo[[#This Row],[STATUS]]="CONCLUÍDO",_xlfn.XLOOKUP(tblCalculo[[#This Row],[NR_SIMULACAO]],tblVendas[[#This Row],[NR_SIMULACAO]],tblVendas[[#This Row],[VALOR_MOVEL]],""),0)</f>
        <v>0</v>
      </c>
      <c r="G580">
        <f>IF(tblCalculo[[#This Row],[STATUS]]="CONCLUÍDO",_xlfn.XLOOKUP(tblCalculo[[#This Row],[NR_SIMULACAO]],tblVendas[[#This Row],[NR_SIMULACAO]],tblVendas[[#This Row],[VALOR_AVANCADO]],""),0)</f>
        <v>0</v>
      </c>
      <c r="H580">
        <f>IF(tblCalculo[[#This Row],[STATUS]]="CONCLUÍDO",_xlfn.XLOOKUP(tblCalculo[[#This Row],[NR_SIMULACAO]],tblVendas[[#This Row],[NR_SIMULACAO]],tblVendas[[#This Row],[VALOR_FIXABASICA]],""),0)</f>
        <v>0</v>
      </c>
      <c r="I580">
        <f>IF(tblCalculo[[#This Row],[STATUS]]="CONCLUÍDO",_xlfn.XLOOKUP(tblCalculo[[#This Row],[NR_SIMULACAO]],tblVendas[[#This Row],[NR_SIMULACAO]],tblVendas[[#This Row],[VALOR_TI]],""),0)</f>
        <v>0</v>
      </c>
      <c r="J580">
        <f>IF(tblCalculo[[#This Row],[STATUS]]="CONCLUÍDO",_xlfn.XLOOKUP(tblCalculo[[#This Row],[NR_SIMULACAO]],tblVendas[[#This Row],[NR_SIMULACAO]],tblVendas[[#This Row],[VALOR_APARELHO]],""),0)</f>
        <v>0</v>
      </c>
      <c r="K580" t="str">
        <f>IF(tblCalculo[[#This Row],[STATUS]]="NEGOCIANDO",tblCalculo[[#This Row],[VALOR_TOTAL]],"")</f>
        <v/>
      </c>
      <c r="L580" t="str">
        <f>IF(tblCalculo[[#This Row],[STATUS]]="ALÇADA",tblCalculo[[#This Row],[VALOR_TOTAL]],"")</f>
        <v/>
      </c>
      <c r="M580">
        <f>IF(tblCalculo[[#This Row],[STATUS]]="EM ANÁLISE",tblCalculo[[#This Row],[VALOR_TOTAL]],"")</f>
        <v>15178.58</v>
      </c>
      <c r="N580" t="str">
        <f>IF(tblCalculo[[#This Row],[STATUS]]="TRAMITANDO",tblCalculo[[#This Row],[VALOR_TOTAL]],"")</f>
        <v/>
      </c>
      <c r="O580" t="str">
        <f>IF(tblCalculo[[#This Row],[STATUS]]="PERDIDO",tblCalculo[[#This Row],[VALOR_TOTAL]],"")</f>
        <v/>
      </c>
      <c r="P580" t="str">
        <f>IF(tblCalculo[[#This Row],[STATUS]]="CONCLUÍDO",tblCalculo[[#This Row],[VALOR_TOTAL]],"")</f>
        <v/>
      </c>
    </row>
    <row r="581" spans="1:16" x14ac:dyDescent="0.25">
      <c r="A581" t="str">
        <f>tblVendas[[#This Row],[NR_SIMULACAO]]</f>
        <v>SIM1571</v>
      </c>
      <c r="B581" s="34" t="str">
        <f>_xlfn.XLOOKUP(A581,tblVendas[[#This Row],[NR_SIMULACAO]],tblVendas[[#This Row],[NR_CNPJ]],"")</f>
        <v>76.492.443/0001-28</v>
      </c>
      <c r="C581" t="str">
        <f>_xlfn.XLOOKUP(A581,tblVendas[[#This Row],[NR_SIMULACAO]],tblVendas[[#This Row],[STATUS]],"")</f>
        <v>CONCLUÍDO</v>
      </c>
      <c r="D581" t="str">
        <f>_xlfn.XLOOKUP(A581,tblVendas[[#This Row],[NR_SIMULACAO]],tblVendas[[#This Row],[MES]],"")</f>
        <v>Janeiro</v>
      </c>
      <c r="E581">
        <f>SUM(_xlfn.XLOOKUP(tblCalculo[[#This Row],[NR_SIMULACAO]],tblVendas[[#This Row],[NR_SIMULACAO]],tblVendas[[#This Row],[VALOR_MOVEL]],""):_xlfn.XLOOKUP(tblCalculo[[#This Row],[NR_SIMULACAO]],tblVendas[[#This Row],[NR_SIMULACAO]],tblVendas[[#This Row],[VALOR_APARELHO]],""))</f>
        <v>7035.86</v>
      </c>
      <c r="F581">
        <f>IF(tblCalculo[[#This Row],[STATUS]]="CONCLUÍDO",_xlfn.XLOOKUP(tblCalculo[[#This Row],[NR_SIMULACAO]],tblVendas[[#This Row],[NR_SIMULACAO]],tblVendas[[#This Row],[VALOR_MOVEL]],""),0)</f>
        <v>0</v>
      </c>
      <c r="G581">
        <f>IF(tblCalculo[[#This Row],[STATUS]]="CONCLUÍDO",_xlfn.XLOOKUP(tblCalculo[[#This Row],[NR_SIMULACAO]],tblVendas[[#This Row],[NR_SIMULACAO]],tblVendas[[#This Row],[VALOR_AVANCADO]],""),0)</f>
        <v>0</v>
      </c>
      <c r="H581">
        <f>IF(tblCalculo[[#This Row],[STATUS]]="CONCLUÍDO",_xlfn.XLOOKUP(tblCalculo[[#This Row],[NR_SIMULACAO]],tblVendas[[#This Row],[NR_SIMULACAO]],tblVendas[[#This Row],[VALOR_FIXABASICA]],""),0)</f>
        <v>2555.37</v>
      </c>
      <c r="I581">
        <f>IF(tblCalculo[[#This Row],[STATUS]]="CONCLUÍDO",_xlfn.XLOOKUP(tblCalculo[[#This Row],[NR_SIMULACAO]],tblVendas[[#This Row],[NR_SIMULACAO]],tblVendas[[#This Row],[VALOR_TI]],""),0)</f>
        <v>4480.49</v>
      </c>
      <c r="J581">
        <f>IF(tblCalculo[[#This Row],[STATUS]]="CONCLUÍDO",_xlfn.XLOOKUP(tblCalculo[[#This Row],[NR_SIMULACAO]],tblVendas[[#This Row],[NR_SIMULACAO]],tblVendas[[#This Row],[VALOR_APARELHO]],""),0)</f>
        <v>0</v>
      </c>
      <c r="K581" t="str">
        <f>IF(tblCalculo[[#This Row],[STATUS]]="NEGOCIANDO",tblCalculo[[#This Row],[VALOR_TOTAL]],"")</f>
        <v/>
      </c>
      <c r="L581" t="str">
        <f>IF(tblCalculo[[#This Row],[STATUS]]="ALÇADA",tblCalculo[[#This Row],[VALOR_TOTAL]],"")</f>
        <v/>
      </c>
      <c r="M581" t="str">
        <f>IF(tblCalculo[[#This Row],[STATUS]]="EM ANÁLISE",tblCalculo[[#This Row],[VALOR_TOTAL]],"")</f>
        <v/>
      </c>
      <c r="N581" t="str">
        <f>IF(tblCalculo[[#This Row],[STATUS]]="TRAMITANDO",tblCalculo[[#This Row],[VALOR_TOTAL]],"")</f>
        <v/>
      </c>
      <c r="O581" t="str">
        <f>IF(tblCalculo[[#This Row],[STATUS]]="PERDIDO",tblCalculo[[#This Row],[VALOR_TOTAL]],"")</f>
        <v/>
      </c>
      <c r="P581">
        <f>IF(tblCalculo[[#This Row],[STATUS]]="CONCLUÍDO",tblCalculo[[#This Row],[VALOR_TOTAL]],"")</f>
        <v>7035.86</v>
      </c>
    </row>
    <row r="582" spans="1:16" x14ac:dyDescent="0.25">
      <c r="A582" t="str">
        <f>tblVendas[[#This Row],[NR_SIMULACAO]]</f>
        <v>SIM1572</v>
      </c>
      <c r="B582" s="34" t="str">
        <f>_xlfn.XLOOKUP(A582,tblVendas[[#This Row],[NR_SIMULACAO]],tblVendas[[#This Row],[NR_CNPJ]],"")</f>
        <v>21.281.830/0001-59</v>
      </c>
      <c r="C582" t="str">
        <f>_xlfn.XLOOKUP(A582,tblVendas[[#This Row],[NR_SIMULACAO]],tblVendas[[#This Row],[STATUS]],"")</f>
        <v>ALÇADA</v>
      </c>
      <c r="D582" t="str">
        <f>_xlfn.XLOOKUP(A582,tblVendas[[#This Row],[NR_SIMULACAO]],tblVendas[[#This Row],[MES]],"")</f>
        <v>Novembro</v>
      </c>
      <c r="E582">
        <f>SUM(_xlfn.XLOOKUP(tblCalculo[[#This Row],[NR_SIMULACAO]],tblVendas[[#This Row],[NR_SIMULACAO]],tblVendas[[#This Row],[VALOR_MOVEL]],""):_xlfn.XLOOKUP(tblCalculo[[#This Row],[NR_SIMULACAO]],tblVendas[[#This Row],[NR_SIMULACAO]],tblVendas[[#This Row],[VALOR_APARELHO]],""))</f>
        <v>3209.0899999999997</v>
      </c>
      <c r="F582">
        <f>IF(tblCalculo[[#This Row],[STATUS]]="CONCLUÍDO",_xlfn.XLOOKUP(tblCalculo[[#This Row],[NR_SIMULACAO]],tblVendas[[#This Row],[NR_SIMULACAO]],tblVendas[[#This Row],[VALOR_MOVEL]],""),0)</f>
        <v>0</v>
      </c>
      <c r="G582">
        <f>IF(tblCalculo[[#This Row],[STATUS]]="CONCLUÍDO",_xlfn.XLOOKUP(tblCalculo[[#This Row],[NR_SIMULACAO]],tblVendas[[#This Row],[NR_SIMULACAO]],tblVendas[[#This Row],[VALOR_AVANCADO]],""),0)</f>
        <v>0</v>
      </c>
      <c r="H582">
        <f>IF(tblCalculo[[#This Row],[STATUS]]="CONCLUÍDO",_xlfn.XLOOKUP(tblCalculo[[#This Row],[NR_SIMULACAO]],tblVendas[[#This Row],[NR_SIMULACAO]],tblVendas[[#This Row],[VALOR_FIXABASICA]],""),0)</f>
        <v>0</v>
      </c>
      <c r="I582">
        <f>IF(tblCalculo[[#This Row],[STATUS]]="CONCLUÍDO",_xlfn.XLOOKUP(tblCalculo[[#This Row],[NR_SIMULACAO]],tblVendas[[#This Row],[NR_SIMULACAO]],tblVendas[[#This Row],[VALOR_TI]],""),0)</f>
        <v>0</v>
      </c>
      <c r="J582">
        <f>IF(tblCalculo[[#This Row],[STATUS]]="CONCLUÍDO",_xlfn.XLOOKUP(tblCalculo[[#This Row],[NR_SIMULACAO]],tblVendas[[#This Row],[NR_SIMULACAO]],tblVendas[[#This Row],[VALOR_APARELHO]],""),0)</f>
        <v>0</v>
      </c>
      <c r="K582" t="str">
        <f>IF(tblCalculo[[#This Row],[STATUS]]="NEGOCIANDO",tblCalculo[[#This Row],[VALOR_TOTAL]],"")</f>
        <v/>
      </c>
      <c r="L582">
        <f>IF(tblCalculo[[#This Row],[STATUS]]="ALÇADA",tblCalculo[[#This Row],[VALOR_TOTAL]],"")</f>
        <v>3209.0899999999997</v>
      </c>
      <c r="M582" t="str">
        <f>IF(tblCalculo[[#This Row],[STATUS]]="EM ANÁLISE",tblCalculo[[#This Row],[VALOR_TOTAL]],"")</f>
        <v/>
      </c>
      <c r="N582" t="str">
        <f>IF(tblCalculo[[#This Row],[STATUS]]="TRAMITANDO",tblCalculo[[#This Row],[VALOR_TOTAL]],"")</f>
        <v/>
      </c>
      <c r="O582" t="str">
        <f>IF(tblCalculo[[#This Row],[STATUS]]="PERDIDO",tblCalculo[[#This Row],[VALOR_TOTAL]],"")</f>
        <v/>
      </c>
      <c r="P582" t="str">
        <f>IF(tblCalculo[[#This Row],[STATUS]]="CONCLUÍDO",tblCalculo[[#This Row],[VALOR_TOTAL]],"")</f>
        <v/>
      </c>
    </row>
    <row r="583" spans="1:16" x14ac:dyDescent="0.25">
      <c r="A583" t="str">
        <f>tblVendas[[#This Row],[NR_SIMULACAO]]</f>
        <v>SIM1573</v>
      </c>
      <c r="B583" s="34" t="str">
        <f>_xlfn.XLOOKUP(A583,tblVendas[[#This Row],[NR_SIMULACAO]],tblVendas[[#This Row],[NR_CNPJ]],"")</f>
        <v>56.760.391/0001-52</v>
      </c>
      <c r="C583" t="str">
        <f>_xlfn.XLOOKUP(A583,tblVendas[[#This Row],[NR_SIMULACAO]],tblVendas[[#This Row],[STATUS]],"")</f>
        <v>ALÇADA</v>
      </c>
      <c r="D583" t="str">
        <f>_xlfn.XLOOKUP(A583,tblVendas[[#This Row],[NR_SIMULACAO]],tblVendas[[#This Row],[MES]],"")</f>
        <v>Janeiro</v>
      </c>
      <c r="E583">
        <f>SUM(_xlfn.XLOOKUP(tblCalculo[[#This Row],[NR_SIMULACAO]],tblVendas[[#This Row],[NR_SIMULACAO]],tblVendas[[#This Row],[VALOR_MOVEL]],""):_xlfn.XLOOKUP(tblCalculo[[#This Row],[NR_SIMULACAO]],tblVendas[[#This Row],[NR_SIMULACAO]],tblVendas[[#This Row],[VALOR_APARELHO]],""))</f>
        <v>5070.33</v>
      </c>
      <c r="F583">
        <f>IF(tblCalculo[[#This Row],[STATUS]]="CONCLUÍDO",_xlfn.XLOOKUP(tblCalculo[[#This Row],[NR_SIMULACAO]],tblVendas[[#This Row],[NR_SIMULACAO]],tblVendas[[#This Row],[VALOR_MOVEL]],""),0)</f>
        <v>0</v>
      </c>
      <c r="G583">
        <f>IF(tblCalculo[[#This Row],[STATUS]]="CONCLUÍDO",_xlfn.XLOOKUP(tblCalculo[[#This Row],[NR_SIMULACAO]],tblVendas[[#This Row],[NR_SIMULACAO]],tblVendas[[#This Row],[VALOR_AVANCADO]],""),0)</f>
        <v>0</v>
      </c>
      <c r="H583">
        <f>IF(tblCalculo[[#This Row],[STATUS]]="CONCLUÍDO",_xlfn.XLOOKUP(tblCalculo[[#This Row],[NR_SIMULACAO]],tblVendas[[#This Row],[NR_SIMULACAO]],tblVendas[[#This Row],[VALOR_FIXABASICA]],""),0)</f>
        <v>0</v>
      </c>
      <c r="I583">
        <f>IF(tblCalculo[[#This Row],[STATUS]]="CONCLUÍDO",_xlfn.XLOOKUP(tblCalculo[[#This Row],[NR_SIMULACAO]],tblVendas[[#This Row],[NR_SIMULACAO]],tblVendas[[#This Row],[VALOR_TI]],""),0)</f>
        <v>0</v>
      </c>
      <c r="J583">
        <f>IF(tblCalculo[[#This Row],[STATUS]]="CONCLUÍDO",_xlfn.XLOOKUP(tblCalculo[[#This Row],[NR_SIMULACAO]],tblVendas[[#This Row],[NR_SIMULACAO]],tblVendas[[#This Row],[VALOR_APARELHO]],""),0)</f>
        <v>0</v>
      </c>
      <c r="K583" t="str">
        <f>IF(tblCalculo[[#This Row],[STATUS]]="NEGOCIANDO",tblCalculo[[#This Row],[VALOR_TOTAL]],"")</f>
        <v/>
      </c>
      <c r="L583">
        <f>IF(tblCalculo[[#This Row],[STATUS]]="ALÇADA",tblCalculo[[#This Row],[VALOR_TOTAL]],"")</f>
        <v>5070.33</v>
      </c>
      <c r="M583" t="str">
        <f>IF(tblCalculo[[#This Row],[STATUS]]="EM ANÁLISE",tblCalculo[[#This Row],[VALOR_TOTAL]],"")</f>
        <v/>
      </c>
      <c r="N583" t="str">
        <f>IF(tblCalculo[[#This Row],[STATUS]]="TRAMITANDO",tblCalculo[[#This Row],[VALOR_TOTAL]],"")</f>
        <v/>
      </c>
      <c r="O583" t="str">
        <f>IF(tblCalculo[[#This Row],[STATUS]]="PERDIDO",tblCalculo[[#This Row],[VALOR_TOTAL]],"")</f>
        <v/>
      </c>
      <c r="P583" t="str">
        <f>IF(tblCalculo[[#This Row],[STATUS]]="CONCLUÍDO",tblCalculo[[#This Row],[VALOR_TOTAL]],"")</f>
        <v/>
      </c>
    </row>
    <row r="584" spans="1:16" x14ac:dyDescent="0.25">
      <c r="A584" t="str">
        <f>tblVendas[[#This Row],[NR_SIMULACAO]]</f>
        <v>SIM1574</v>
      </c>
      <c r="B584" s="34" t="str">
        <f>_xlfn.XLOOKUP(A584,tblVendas[[#This Row],[NR_SIMULACAO]],tblVendas[[#This Row],[NR_CNPJ]],"")</f>
        <v>83.565.863/0001-52</v>
      </c>
      <c r="C584" t="str">
        <f>_xlfn.XLOOKUP(A584,tblVendas[[#This Row],[NR_SIMULACAO]],tblVendas[[#This Row],[STATUS]],"")</f>
        <v>NEGOCIANDO</v>
      </c>
      <c r="D584" t="str">
        <f>_xlfn.XLOOKUP(A584,tblVendas[[#This Row],[NR_SIMULACAO]],tblVendas[[#This Row],[MES]],"")</f>
        <v>Setembro</v>
      </c>
      <c r="E584">
        <f>SUM(_xlfn.XLOOKUP(tblCalculo[[#This Row],[NR_SIMULACAO]],tblVendas[[#This Row],[NR_SIMULACAO]],tblVendas[[#This Row],[VALOR_MOVEL]],""):_xlfn.XLOOKUP(tblCalculo[[#This Row],[NR_SIMULACAO]],tblVendas[[#This Row],[NR_SIMULACAO]],tblVendas[[#This Row],[VALOR_APARELHO]],""))</f>
        <v>4571.43</v>
      </c>
      <c r="F584">
        <f>IF(tblCalculo[[#This Row],[STATUS]]="CONCLUÍDO",_xlfn.XLOOKUP(tblCalculo[[#This Row],[NR_SIMULACAO]],tblVendas[[#This Row],[NR_SIMULACAO]],tblVendas[[#This Row],[VALOR_MOVEL]],""),0)</f>
        <v>0</v>
      </c>
      <c r="G584">
        <f>IF(tblCalculo[[#This Row],[STATUS]]="CONCLUÍDO",_xlfn.XLOOKUP(tblCalculo[[#This Row],[NR_SIMULACAO]],tblVendas[[#This Row],[NR_SIMULACAO]],tblVendas[[#This Row],[VALOR_AVANCADO]],""),0)</f>
        <v>0</v>
      </c>
      <c r="H584">
        <f>IF(tblCalculo[[#This Row],[STATUS]]="CONCLUÍDO",_xlfn.XLOOKUP(tblCalculo[[#This Row],[NR_SIMULACAO]],tblVendas[[#This Row],[NR_SIMULACAO]],tblVendas[[#This Row],[VALOR_FIXABASICA]],""),0)</f>
        <v>0</v>
      </c>
      <c r="I584">
        <f>IF(tblCalculo[[#This Row],[STATUS]]="CONCLUÍDO",_xlfn.XLOOKUP(tblCalculo[[#This Row],[NR_SIMULACAO]],tblVendas[[#This Row],[NR_SIMULACAO]],tblVendas[[#This Row],[VALOR_TI]],""),0)</f>
        <v>0</v>
      </c>
      <c r="J584">
        <f>IF(tblCalculo[[#This Row],[STATUS]]="CONCLUÍDO",_xlfn.XLOOKUP(tblCalculo[[#This Row],[NR_SIMULACAO]],tblVendas[[#This Row],[NR_SIMULACAO]],tblVendas[[#This Row],[VALOR_APARELHO]],""),0)</f>
        <v>0</v>
      </c>
      <c r="K584">
        <f>IF(tblCalculo[[#This Row],[STATUS]]="NEGOCIANDO",tblCalculo[[#This Row],[VALOR_TOTAL]],"")</f>
        <v>4571.43</v>
      </c>
      <c r="L584" t="str">
        <f>IF(tblCalculo[[#This Row],[STATUS]]="ALÇADA",tblCalculo[[#This Row],[VALOR_TOTAL]],"")</f>
        <v/>
      </c>
      <c r="M584" t="str">
        <f>IF(tblCalculo[[#This Row],[STATUS]]="EM ANÁLISE",tblCalculo[[#This Row],[VALOR_TOTAL]],"")</f>
        <v/>
      </c>
      <c r="N584" t="str">
        <f>IF(tblCalculo[[#This Row],[STATUS]]="TRAMITANDO",tblCalculo[[#This Row],[VALOR_TOTAL]],"")</f>
        <v/>
      </c>
      <c r="O584" t="str">
        <f>IF(tblCalculo[[#This Row],[STATUS]]="PERDIDO",tblCalculo[[#This Row],[VALOR_TOTAL]],"")</f>
        <v/>
      </c>
      <c r="P584" t="str">
        <f>IF(tblCalculo[[#This Row],[STATUS]]="CONCLUÍDO",tblCalculo[[#This Row],[VALOR_TOTAL]],"")</f>
        <v/>
      </c>
    </row>
    <row r="585" spans="1:16" x14ac:dyDescent="0.25">
      <c r="A585" t="str">
        <f>tblVendas[[#This Row],[NR_SIMULACAO]]</f>
        <v>SIM1575</v>
      </c>
      <c r="B585" s="34" t="str">
        <f>_xlfn.XLOOKUP(A585,tblVendas[[#This Row],[NR_SIMULACAO]],tblVendas[[#This Row],[NR_CNPJ]],"")</f>
        <v>57.164.687/0001-34</v>
      </c>
      <c r="C585" t="str">
        <f>_xlfn.XLOOKUP(A585,tblVendas[[#This Row],[NR_SIMULACAO]],tblVendas[[#This Row],[STATUS]],"")</f>
        <v>TRAMITANDO</v>
      </c>
      <c r="D585" t="str">
        <f>_xlfn.XLOOKUP(A585,tblVendas[[#This Row],[NR_SIMULACAO]],tblVendas[[#This Row],[MES]],"")</f>
        <v>Junho</v>
      </c>
      <c r="E585">
        <f>SUM(_xlfn.XLOOKUP(tblCalculo[[#This Row],[NR_SIMULACAO]],tblVendas[[#This Row],[NR_SIMULACAO]],tblVendas[[#This Row],[VALOR_MOVEL]],""):_xlfn.XLOOKUP(tblCalculo[[#This Row],[NR_SIMULACAO]],tblVendas[[#This Row],[NR_SIMULACAO]],tblVendas[[#This Row],[VALOR_APARELHO]],""))</f>
        <v>24480.959999999999</v>
      </c>
      <c r="F585">
        <f>IF(tblCalculo[[#This Row],[STATUS]]="CONCLUÍDO",_xlfn.XLOOKUP(tblCalculo[[#This Row],[NR_SIMULACAO]],tblVendas[[#This Row],[NR_SIMULACAO]],tblVendas[[#This Row],[VALOR_MOVEL]],""),0)</f>
        <v>0</v>
      </c>
      <c r="G585">
        <f>IF(tblCalculo[[#This Row],[STATUS]]="CONCLUÍDO",_xlfn.XLOOKUP(tblCalculo[[#This Row],[NR_SIMULACAO]],tblVendas[[#This Row],[NR_SIMULACAO]],tblVendas[[#This Row],[VALOR_AVANCADO]],""),0)</f>
        <v>0</v>
      </c>
      <c r="H585">
        <f>IF(tblCalculo[[#This Row],[STATUS]]="CONCLUÍDO",_xlfn.XLOOKUP(tblCalculo[[#This Row],[NR_SIMULACAO]],tblVendas[[#This Row],[NR_SIMULACAO]],tblVendas[[#This Row],[VALOR_FIXABASICA]],""),0)</f>
        <v>0</v>
      </c>
      <c r="I585">
        <f>IF(tblCalculo[[#This Row],[STATUS]]="CONCLUÍDO",_xlfn.XLOOKUP(tblCalculo[[#This Row],[NR_SIMULACAO]],tblVendas[[#This Row],[NR_SIMULACAO]],tblVendas[[#This Row],[VALOR_TI]],""),0)</f>
        <v>0</v>
      </c>
      <c r="J585">
        <f>IF(tblCalculo[[#This Row],[STATUS]]="CONCLUÍDO",_xlfn.XLOOKUP(tblCalculo[[#This Row],[NR_SIMULACAO]],tblVendas[[#This Row],[NR_SIMULACAO]],tblVendas[[#This Row],[VALOR_APARELHO]],""),0)</f>
        <v>0</v>
      </c>
      <c r="K585" t="str">
        <f>IF(tblCalculo[[#This Row],[STATUS]]="NEGOCIANDO",tblCalculo[[#This Row],[VALOR_TOTAL]],"")</f>
        <v/>
      </c>
      <c r="L585" t="str">
        <f>IF(tblCalculo[[#This Row],[STATUS]]="ALÇADA",tblCalculo[[#This Row],[VALOR_TOTAL]],"")</f>
        <v/>
      </c>
      <c r="M585" t="str">
        <f>IF(tblCalculo[[#This Row],[STATUS]]="EM ANÁLISE",tblCalculo[[#This Row],[VALOR_TOTAL]],"")</f>
        <v/>
      </c>
      <c r="N585">
        <f>IF(tblCalculo[[#This Row],[STATUS]]="TRAMITANDO",tblCalculo[[#This Row],[VALOR_TOTAL]],"")</f>
        <v>24480.959999999999</v>
      </c>
      <c r="O585" t="str">
        <f>IF(tblCalculo[[#This Row],[STATUS]]="PERDIDO",tblCalculo[[#This Row],[VALOR_TOTAL]],"")</f>
        <v/>
      </c>
      <c r="P585" t="str">
        <f>IF(tblCalculo[[#This Row],[STATUS]]="CONCLUÍDO",tblCalculo[[#This Row],[VALOR_TOTAL]],"")</f>
        <v/>
      </c>
    </row>
    <row r="586" spans="1:16" x14ac:dyDescent="0.25">
      <c r="A586" t="str">
        <f>tblVendas[[#This Row],[NR_SIMULACAO]]</f>
        <v>SIM1576</v>
      </c>
      <c r="B586" s="34" t="str">
        <f>_xlfn.XLOOKUP(A586,tblVendas[[#This Row],[NR_SIMULACAO]],tblVendas[[#This Row],[NR_CNPJ]],"")</f>
        <v>69.440.529/0001-71</v>
      </c>
      <c r="C586" t="str">
        <f>_xlfn.XLOOKUP(A586,tblVendas[[#This Row],[NR_SIMULACAO]],tblVendas[[#This Row],[STATUS]],"")</f>
        <v>ALÇADA</v>
      </c>
      <c r="D586" t="str">
        <f>_xlfn.XLOOKUP(A586,tblVendas[[#This Row],[NR_SIMULACAO]],tblVendas[[#This Row],[MES]],"")</f>
        <v>Março</v>
      </c>
      <c r="E586">
        <f>SUM(_xlfn.XLOOKUP(tblCalculo[[#This Row],[NR_SIMULACAO]],tblVendas[[#This Row],[NR_SIMULACAO]],tblVendas[[#This Row],[VALOR_MOVEL]],""):_xlfn.XLOOKUP(tblCalculo[[#This Row],[NR_SIMULACAO]],tblVendas[[#This Row],[NR_SIMULACAO]],tblVendas[[#This Row],[VALOR_APARELHO]],""))</f>
        <v>13467.85</v>
      </c>
      <c r="F586">
        <f>IF(tblCalculo[[#This Row],[STATUS]]="CONCLUÍDO",_xlfn.XLOOKUP(tblCalculo[[#This Row],[NR_SIMULACAO]],tblVendas[[#This Row],[NR_SIMULACAO]],tblVendas[[#This Row],[VALOR_MOVEL]],""),0)</f>
        <v>0</v>
      </c>
      <c r="G586">
        <f>IF(tblCalculo[[#This Row],[STATUS]]="CONCLUÍDO",_xlfn.XLOOKUP(tblCalculo[[#This Row],[NR_SIMULACAO]],tblVendas[[#This Row],[NR_SIMULACAO]],tblVendas[[#This Row],[VALOR_AVANCADO]],""),0)</f>
        <v>0</v>
      </c>
      <c r="H586">
        <f>IF(tblCalculo[[#This Row],[STATUS]]="CONCLUÍDO",_xlfn.XLOOKUP(tblCalculo[[#This Row],[NR_SIMULACAO]],tblVendas[[#This Row],[NR_SIMULACAO]],tblVendas[[#This Row],[VALOR_FIXABASICA]],""),0)</f>
        <v>0</v>
      </c>
      <c r="I586">
        <f>IF(tblCalculo[[#This Row],[STATUS]]="CONCLUÍDO",_xlfn.XLOOKUP(tblCalculo[[#This Row],[NR_SIMULACAO]],tblVendas[[#This Row],[NR_SIMULACAO]],tblVendas[[#This Row],[VALOR_TI]],""),0)</f>
        <v>0</v>
      </c>
      <c r="J586">
        <f>IF(tblCalculo[[#This Row],[STATUS]]="CONCLUÍDO",_xlfn.XLOOKUP(tblCalculo[[#This Row],[NR_SIMULACAO]],tblVendas[[#This Row],[NR_SIMULACAO]],tblVendas[[#This Row],[VALOR_APARELHO]],""),0)</f>
        <v>0</v>
      </c>
      <c r="K586" t="str">
        <f>IF(tblCalculo[[#This Row],[STATUS]]="NEGOCIANDO",tblCalculo[[#This Row],[VALOR_TOTAL]],"")</f>
        <v/>
      </c>
      <c r="L586">
        <f>IF(tblCalculo[[#This Row],[STATUS]]="ALÇADA",tblCalculo[[#This Row],[VALOR_TOTAL]],"")</f>
        <v>13467.85</v>
      </c>
      <c r="M586" t="str">
        <f>IF(tblCalculo[[#This Row],[STATUS]]="EM ANÁLISE",tblCalculo[[#This Row],[VALOR_TOTAL]],"")</f>
        <v/>
      </c>
      <c r="N586" t="str">
        <f>IF(tblCalculo[[#This Row],[STATUS]]="TRAMITANDO",tblCalculo[[#This Row],[VALOR_TOTAL]],"")</f>
        <v/>
      </c>
      <c r="O586" t="str">
        <f>IF(tblCalculo[[#This Row],[STATUS]]="PERDIDO",tblCalculo[[#This Row],[VALOR_TOTAL]],"")</f>
        <v/>
      </c>
      <c r="P586" t="str">
        <f>IF(tblCalculo[[#This Row],[STATUS]]="CONCLUÍDO",tblCalculo[[#This Row],[VALOR_TOTAL]],"")</f>
        <v/>
      </c>
    </row>
    <row r="587" spans="1:16" x14ac:dyDescent="0.25">
      <c r="A587" t="str">
        <f>tblVendas[[#This Row],[NR_SIMULACAO]]</f>
        <v>SIM1577</v>
      </c>
      <c r="B587" s="34" t="str">
        <f>_xlfn.XLOOKUP(A587,tblVendas[[#This Row],[NR_SIMULACAO]],tblVendas[[#This Row],[NR_CNPJ]],"")</f>
        <v>79.872.969/0001-80</v>
      </c>
      <c r="C587" t="str">
        <f>_xlfn.XLOOKUP(A587,tblVendas[[#This Row],[NR_SIMULACAO]],tblVendas[[#This Row],[STATUS]],"")</f>
        <v>CONCLUÍDO</v>
      </c>
      <c r="D587" t="str">
        <f>_xlfn.XLOOKUP(A587,tblVendas[[#This Row],[NR_SIMULACAO]],tblVendas[[#This Row],[MES]],"")</f>
        <v>Setembro</v>
      </c>
      <c r="E587">
        <f>SUM(_xlfn.XLOOKUP(tblCalculo[[#This Row],[NR_SIMULACAO]],tblVendas[[#This Row],[NR_SIMULACAO]],tblVendas[[#This Row],[VALOR_MOVEL]],""):_xlfn.XLOOKUP(tblCalculo[[#This Row],[NR_SIMULACAO]],tblVendas[[#This Row],[NR_SIMULACAO]],tblVendas[[#This Row],[VALOR_APARELHO]],""))</f>
        <v>10104.960000000001</v>
      </c>
      <c r="F587">
        <f>IF(tblCalculo[[#This Row],[STATUS]]="CONCLUÍDO",_xlfn.XLOOKUP(tblCalculo[[#This Row],[NR_SIMULACAO]],tblVendas[[#This Row],[NR_SIMULACAO]],tblVendas[[#This Row],[VALOR_MOVEL]],""),0)</f>
        <v>0</v>
      </c>
      <c r="G587">
        <f>IF(tblCalculo[[#This Row],[STATUS]]="CONCLUÍDO",_xlfn.XLOOKUP(tblCalculo[[#This Row],[NR_SIMULACAO]],tblVendas[[#This Row],[NR_SIMULACAO]],tblVendas[[#This Row],[VALOR_AVANCADO]],""),0)</f>
        <v>4562.6400000000003</v>
      </c>
      <c r="H587">
        <f>IF(tblCalculo[[#This Row],[STATUS]]="CONCLUÍDO",_xlfn.XLOOKUP(tblCalculo[[#This Row],[NR_SIMULACAO]],tblVendas[[#This Row],[NR_SIMULACAO]],tblVendas[[#This Row],[VALOR_FIXABASICA]],""),0)</f>
        <v>0</v>
      </c>
      <c r="I587">
        <f>IF(tblCalculo[[#This Row],[STATUS]]="CONCLUÍDO",_xlfn.XLOOKUP(tblCalculo[[#This Row],[NR_SIMULACAO]],tblVendas[[#This Row],[NR_SIMULACAO]],tblVendas[[#This Row],[VALOR_TI]],""),0)</f>
        <v>3213</v>
      </c>
      <c r="J587">
        <f>IF(tblCalculo[[#This Row],[STATUS]]="CONCLUÍDO",_xlfn.XLOOKUP(tblCalculo[[#This Row],[NR_SIMULACAO]],tblVendas[[#This Row],[NR_SIMULACAO]],tblVendas[[#This Row],[VALOR_APARELHO]],""),0)</f>
        <v>2329.3200000000002</v>
      </c>
      <c r="K587" t="str">
        <f>IF(tblCalculo[[#This Row],[STATUS]]="NEGOCIANDO",tblCalculo[[#This Row],[VALOR_TOTAL]],"")</f>
        <v/>
      </c>
      <c r="L587" t="str">
        <f>IF(tblCalculo[[#This Row],[STATUS]]="ALÇADA",tblCalculo[[#This Row],[VALOR_TOTAL]],"")</f>
        <v/>
      </c>
      <c r="M587" t="str">
        <f>IF(tblCalculo[[#This Row],[STATUS]]="EM ANÁLISE",tblCalculo[[#This Row],[VALOR_TOTAL]],"")</f>
        <v/>
      </c>
      <c r="N587" t="str">
        <f>IF(tblCalculo[[#This Row],[STATUS]]="TRAMITANDO",tblCalculo[[#This Row],[VALOR_TOTAL]],"")</f>
        <v/>
      </c>
      <c r="O587" t="str">
        <f>IF(tblCalculo[[#This Row],[STATUS]]="PERDIDO",tblCalculo[[#This Row],[VALOR_TOTAL]],"")</f>
        <v/>
      </c>
      <c r="P587">
        <f>IF(tblCalculo[[#This Row],[STATUS]]="CONCLUÍDO",tblCalculo[[#This Row],[VALOR_TOTAL]],"")</f>
        <v>10104.960000000001</v>
      </c>
    </row>
    <row r="588" spans="1:16" x14ac:dyDescent="0.25">
      <c r="A588" t="str">
        <f>tblVendas[[#This Row],[NR_SIMULACAO]]</f>
        <v>SIM1578</v>
      </c>
      <c r="B588" s="34" t="str">
        <f>_xlfn.XLOOKUP(A588,tblVendas[[#This Row],[NR_SIMULACAO]],tblVendas[[#This Row],[NR_CNPJ]],"")</f>
        <v>84.891.886/0001-59</v>
      </c>
      <c r="C588" t="str">
        <f>_xlfn.XLOOKUP(A588,tblVendas[[#This Row],[NR_SIMULACAO]],tblVendas[[#This Row],[STATUS]],"")</f>
        <v>NEGOCIANDO</v>
      </c>
      <c r="D588" t="str">
        <f>_xlfn.XLOOKUP(A588,tblVendas[[#This Row],[NR_SIMULACAO]],tblVendas[[#This Row],[MES]],"")</f>
        <v>Junho</v>
      </c>
      <c r="E588">
        <f>SUM(_xlfn.XLOOKUP(tblCalculo[[#This Row],[NR_SIMULACAO]],tblVendas[[#This Row],[NR_SIMULACAO]],tblVendas[[#This Row],[VALOR_MOVEL]],""):_xlfn.XLOOKUP(tblCalculo[[#This Row],[NR_SIMULACAO]],tblVendas[[#This Row],[NR_SIMULACAO]],tblVendas[[#This Row],[VALOR_APARELHO]],""))</f>
        <v>3803.25</v>
      </c>
      <c r="F588">
        <f>IF(tblCalculo[[#This Row],[STATUS]]="CONCLUÍDO",_xlfn.XLOOKUP(tblCalculo[[#This Row],[NR_SIMULACAO]],tblVendas[[#This Row],[NR_SIMULACAO]],tblVendas[[#This Row],[VALOR_MOVEL]],""),0)</f>
        <v>0</v>
      </c>
      <c r="G588">
        <f>IF(tblCalculo[[#This Row],[STATUS]]="CONCLUÍDO",_xlfn.XLOOKUP(tblCalculo[[#This Row],[NR_SIMULACAO]],tblVendas[[#This Row],[NR_SIMULACAO]],tblVendas[[#This Row],[VALOR_AVANCADO]],""),0)</f>
        <v>0</v>
      </c>
      <c r="H588">
        <f>IF(tblCalculo[[#This Row],[STATUS]]="CONCLUÍDO",_xlfn.XLOOKUP(tblCalculo[[#This Row],[NR_SIMULACAO]],tblVendas[[#This Row],[NR_SIMULACAO]],tblVendas[[#This Row],[VALOR_FIXABASICA]],""),0)</f>
        <v>0</v>
      </c>
      <c r="I588">
        <f>IF(tblCalculo[[#This Row],[STATUS]]="CONCLUÍDO",_xlfn.XLOOKUP(tblCalculo[[#This Row],[NR_SIMULACAO]],tblVendas[[#This Row],[NR_SIMULACAO]],tblVendas[[#This Row],[VALOR_TI]],""),0)</f>
        <v>0</v>
      </c>
      <c r="J588">
        <f>IF(tblCalculo[[#This Row],[STATUS]]="CONCLUÍDO",_xlfn.XLOOKUP(tblCalculo[[#This Row],[NR_SIMULACAO]],tblVendas[[#This Row],[NR_SIMULACAO]],tblVendas[[#This Row],[VALOR_APARELHO]],""),0)</f>
        <v>0</v>
      </c>
      <c r="K588">
        <f>IF(tblCalculo[[#This Row],[STATUS]]="NEGOCIANDO",tblCalculo[[#This Row],[VALOR_TOTAL]],"")</f>
        <v>3803.25</v>
      </c>
      <c r="L588" t="str">
        <f>IF(tblCalculo[[#This Row],[STATUS]]="ALÇADA",tblCalculo[[#This Row],[VALOR_TOTAL]],"")</f>
        <v/>
      </c>
      <c r="M588" t="str">
        <f>IF(tblCalculo[[#This Row],[STATUS]]="EM ANÁLISE",tblCalculo[[#This Row],[VALOR_TOTAL]],"")</f>
        <v/>
      </c>
      <c r="N588" t="str">
        <f>IF(tblCalculo[[#This Row],[STATUS]]="TRAMITANDO",tblCalculo[[#This Row],[VALOR_TOTAL]],"")</f>
        <v/>
      </c>
      <c r="O588" t="str">
        <f>IF(tblCalculo[[#This Row],[STATUS]]="PERDIDO",tblCalculo[[#This Row],[VALOR_TOTAL]],"")</f>
        <v/>
      </c>
      <c r="P588" t="str">
        <f>IF(tblCalculo[[#This Row],[STATUS]]="CONCLUÍDO",tblCalculo[[#This Row],[VALOR_TOTAL]],"")</f>
        <v/>
      </c>
    </row>
    <row r="589" spans="1:16" x14ac:dyDescent="0.25">
      <c r="A589" t="str">
        <f>tblVendas[[#This Row],[NR_SIMULACAO]]</f>
        <v>SIM1579</v>
      </c>
      <c r="B589" s="34" t="str">
        <f>_xlfn.XLOOKUP(A589,tblVendas[[#This Row],[NR_SIMULACAO]],tblVendas[[#This Row],[NR_CNPJ]],"")</f>
        <v>45.929.129/0001-49</v>
      </c>
      <c r="C589" t="str">
        <f>_xlfn.XLOOKUP(A589,tblVendas[[#This Row],[NR_SIMULACAO]],tblVendas[[#This Row],[STATUS]],"")</f>
        <v>NEGOCIANDO</v>
      </c>
      <c r="D589" t="str">
        <f>_xlfn.XLOOKUP(A589,tblVendas[[#This Row],[NR_SIMULACAO]],tblVendas[[#This Row],[MES]],"")</f>
        <v>Janeiro</v>
      </c>
      <c r="E589">
        <f>SUM(_xlfn.XLOOKUP(tblCalculo[[#This Row],[NR_SIMULACAO]],tblVendas[[#This Row],[NR_SIMULACAO]],tblVendas[[#This Row],[VALOR_MOVEL]],""):_xlfn.XLOOKUP(tblCalculo[[#This Row],[NR_SIMULACAO]],tblVendas[[#This Row],[NR_SIMULACAO]],tblVendas[[#This Row],[VALOR_APARELHO]],""))</f>
        <v>13893.7</v>
      </c>
      <c r="F589">
        <f>IF(tblCalculo[[#This Row],[STATUS]]="CONCLUÍDO",_xlfn.XLOOKUP(tblCalculo[[#This Row],[NR_SIMULACAO]],tblVendas[[#This Row],[NR_SIMULACAO]],tblVendas[[#This Row],[VALOR_MOVEL]],""),0)</f>
        <v>0</v>
      </c>
      <c r="G589">
        <f>IF(tblCalculo[[#This Row],[STATUS]]="CONCLUÍDO",_xlfn.XLOOKUP(tblCalculo[[#This Row],[NR_SIMULACAO]],tblVendas[[#This Row],[NR_SIMULACAO]],tblVendas[[#This Row],[VALOR_AVANCADO]],""),0)</f>
        <v>0</v>
      </c>
      <c r="H589">
        <f>IF(tblCalculo[[#This Row],[STATUS]]="CONCLUÍDO",_xlfn.XLOOKUP(tblCalculo[[#This Row],[NR_SIMULACAO]],tblVendas[[#This Row],[NR_SIMULACAO]],tblVendas[[#This Row],[VALOR_FIXABASICA]],""),0)</f>
        <v>0</v>
      </c>
      <c r="I589">
        <f>IF(tblCalculo[[#This Row],[STATUS]]="CONCLUÍDO",_xlfn.XLOOKUP(tblCalculo[[#This Row],[NR_SIMULACAO]],tblVendas[[#This Row],[NR_SIMULACAO]],tblVendas[[#This Row],[VALOR_TI]],""),0)</f>
        <v>0</v>
      </c>
      <c r="J589">
        <f>IF(tblCalculo[[#This Row],[STATUS]]="CONCLUÍDO",_xlfn.XLOOKUP(tblCalculo[[#This Row],[NR_SIMULACAO]],tblVendas[[#This Row],[NR_SIMULACAO]],tblVendas[[#This Row],[VALOR_APARELHO]],""),0)</f>
        <v>0</v>
      </c>
      <c r="K589">
        <f>IF(tblCalculo[[#This Row],[STATUS]]="NEGOCIANDO",tblCalculo[[#This Row],[VALOR_TOTAL]],"")</f>
        <v>13893.7</v>
      </c>
      <c r="L589" t="str">
        <f>IF(tblCalculo[[#This Row],[STATUS]]="ALÇADA",tblCalculo[[#This Row],[VALOR_TOTAL]],"")</f>
        <v/>
      </c>
      <c r="M589" t="str">
        <f>IF(tblCalculo[[#This Row],[STATUS]]="EM ANÁLISE",tblCalculo[[#This Row],[VALOR_TOTAL]],"")</f>
        <v/>
      </c>
      <c r="N589" t="str">
        <f>IF(tblCalculo[[#This Row],[STATUS]]="TRAMITANDO",tblCalculo[[#This Row],[VALOR_TOTAL]],"")</f>
        <v/>
      </c>
      <c r="O589" t="str">
        <f>IF(tblCalculo[[#This Row],[STATUS]]="PERDIDO",tblCalculo[[#This Row],[VALOR_TOTAL]],"")</f>
        <v/>
      </c>
      <c r="P589" t="str">
        <f>IF(tblCalculo[[#This Row],[STATUS]]="CONCLUÍDO",tblCalculo[[#This Row],[VALOR_TOTAL]],"")</f>
        <v/>
      </c>
    </row>
    <row r="590" spans="1:16" x14ac:dyDescent="0.25">
      <c r="A590" t="str">
        <f>tblVendas[[#This Row],[NR_SIMULACAO]]</f>
        <v>SIM1580</v>
      </c>
      <c r="B590" s="34" t="str">
        <f>_xlfn.XLOOKUP(A590,tblVendas[[#This Row],[NR_SIMULACAO]],tblVendas[[#This Row],[NR_CNPJ]],"")</f>
        <v>16.439.155/0001-65</v>
      </c>
      <c r="C590" t="str">
        <f>_xlfn.XLOOKUP(A590,tblVendas[[#This Row],[NR_SIMULACAO]],tblVendas[[#This Row],[STATUS]],"")</f>
        <v>CONCLUÍDO</v>
      </c>
      <c r="D590" t="str">
        <f>_xlfn.XLOOKUP(A590,tblVendas[[#This Row],[NR_SIMULACAO]],tblVendas[[#This Row],[MES]],"")</f>
        <v>Outubro</v>
      </c>
      <c r="E590">
        <f>SUM(_xlfn.XLOOKUP(tblCalculo[[#This Row],[NR_SIMULACAO]],tblVendas[[#This Row],[NR_SIMULACAO]],tblVendas[[#This Row],[VALOR_MOVEL]],""):_xlfn.XLOOKUP(tblCalculo[[#This Row],[NR_SIMULACAO]],tblVendas[[#This Row],[NR_SIMULACAO]],tblVendas[[#This Row],[VALOR_APARELHO]],""))</f>
        <v>5645.21</v>
      </c>
      <c r="F590">
        <f>IF(tblCalculo[[#This Row],[STATUS]]="CONCLUÍDO",_xlfn.XLOOKUP(tblCalculo[[#This Row],[NR_SIMULACAO]],tblVendas[[#This Row],[NR_SIMULACAO]],tblVendas[[#This Row],[VALOR_MOVEL]],""),0)</f>
        <v>0</v>
      </c>
      <c r="G590">
        <f>IF(tblCalculo[[#This Row],[STATUS]]="CONCLUÍDO",_xlfn.XLOOKUP(tblCalculo[[#This Row],[NR_SIMULACAO]],tblVendas[[#This Row],[NR_SIMULACAO]],tblVendas[[#This Row],[VALOR_AVANCADO]],""),0)</f>
        <v>149.21</v>
      </c>
      <c r="H590">
        <f>IF(tblCalculo[[#This Row],[STATUS]]="CONCLUÍDO",_xlfn.XLOOKUP(tblCalculo[[#This Row],[NR_SIMULACAO]],tblVendas[[#This Row],[NR_SIMULACAO]],tblVendas[[#This Row],[VALOR_FIXABASICA]],""),0)</f>
        <v>0</v>
      </c>
      <c r="I590">
        <f>IF(tblCalculo[[#This Row],[STATUS]]="CONCLUÍDO",_xlfn.XLOOKUP(tblCalculo[[#This Row],[NR_SIMULACAO]],tblVendas[[#This Row],[NR_SIMULACAO]],tblVendas[[#This Row],[VALOR_TI]],""),0)</f>
        <v>5496</v>
      </c>
      <c r="J590">
        <f>IF(tblCalculo[[#This Row],[STATUS]]="CONCLUÍDO",_xlfn.XLOOKUP(tblCalculo[[#This Row],[NR_SIMULACAO]],tblVendas[[#This Row],[NR_SIMULACAO]],tblVendas[[#This Row],[VALOR_APARELHO]],""),0)</f>
        <v>0</v>
      </c>
      <c r="K590" t="str">
        <f>IF(tblCalculo[[#This Row],[STATUS]]="NEGOCIANDO",tblCalculo[[#This Row],[VALOR_TOTAL]],"")</f>
        <v/>
      </c>
      <c r="L590" t="str">
        <f>IF(tblCalculo[[#This Row],[STATUS]]="ALÇADA",tblCalculo[[#This Row],[VALOR_TOTAL]],"")</f>
        <v/>
      </c>
      <c r="M590" t="str">
        <f>IF(tblCalculo[[#This Row],[STATUS]]="EM ANÁLISE",tblCalculo[[#This Row],[VALOR_TOTAL]],"")</f>
        <v/>
      </c>
      <c r="N590" t="str">
        <f>IF(tblCalculo[[#This Row],[STATUS]]="TRAMITANDO",tblCalculo[[#This Row],[VALOR_TOTAL]],"")</f>
        <v/>
      </c>
      <c r="O590" t="str">
        <f>IF(tblCalculo[[#This Row],[STATUS]]="PERDIDO",tblCalculo[[#This Row],[VALOR_TOTAL]],"")</f>
        <v/>
      </c>
      <c r="P590">
        <f>IF(tblCalculo[[#This Row],[STATUS]]="CONCLUÍDO",tblCalculo[[#This Row],[VALOR_TOTAL]],"")</f>
        <v>5645.21</v>
      </c>
    </row>
    <row r="591" spans="1:16" x14ac:dyDescent="0.25">
      <c r="A591" t="str">
        <f>tblVendas[[#This Row],[NR_SIMULACAO]]</f>
        <v>SIM1581</v>
      </c>
      <c r="B591" s="34" t="str">
        <f>_xlfn.XLOOKUP(A591,tblVendas[[#This Row],[NR_SIMULACAO]],tblVendas[[#This Row],[NR_CNPJ]],"")</f>
        <v>18.151.808/0001-40</v>
      </c>
      <c r="C591" t="str">
        <f>_xlfn.XLOOKUP(A591,tblVendas[[#This Row],[NR_SIMULACAO]],tblVendas[[#This Row],[STATUS]],"")</f>
        <v>EM ANÁLISE</v>
      </c>
      <c r="D591" t="str">
        <f>_xlfn.XLOOKUP(A591,tblVendas[[#This Row],[NR_SIMULACAO]],tblVendas[[#This Row],[MES]],"")</f>
        <v>Março</v>
      </c>
      <c r="E591">
        <f>SUM(_xlfn.XLOOKUP(tblCalculo[[#This Row],[NR_SIMULACAO]],tblVendas[[#This Row],[NR_SIMULACAO]],tblVendas[[#This Row],[VALOR_MOVEL]],""):_xlfn.XLOOKUP(tblCalculo[[#This Row],[NR_SIMULACAO]],tblVendas[[#This Row],[NR_SIMULACAO]],tblVendas[[#This Row],[VALOR_APARELHO]],""))</f>
        <v>29980.089999999997</v>
      </c>
      <c r="F591">
        <f>IF(tblCalculo[[#This Row],[STATUS]]="CONCLUÍDO",_xlfn.XLOOKUP(tblCalculo[[#This Row],[NR_SIMULACAO]],tblVendas[[#This Row],[NR_SIMULACAO]],tblVendas[[#This Row],[VALOR_MOVEL]],""),0)</f>
        <v>0</v>
      </c>
      <c r="G591">
        <f>IF(tblCalculo[[#This Row],[STATUS]]="CONCLUÍDO",_xlfn.XLOOKUP(tblCalculo[[#This Row],[NR_SIMULACAO]],tblVendas[[#This Row],[NR_SIMULACAO]],tblVendas[[#This Row],[VALOR_AVANCADO]],""),0)</f>
        <v>0</v>
      </c>
      <c r="H591">
        <f>IF(tblCalculo[[#This Row],[STATUS]]="CONCLUÍDO",_xlfn.XLOOKUP(tblCalculo[[#This Row],[NR_SIMULACAO]],tblVendas[[#This Row],[NR_SIMULACAO]],tblVendas[[#This Row],[VALOR_FIXABASICA]],""),0)</f>
        <v>0</v>
      </c>
      <c r="I591">
        <f>IF(tblCalculo[[#This Row],[STATUS]]="CONCLUÍDO",_xlfn.XLOOKUP(tblCalculo[[#This Row],[NR_SIMULACAO]],tblVendas[[#This Row],[NR_SIMULACAO]],tblVendas[[#This Row],[VALOR_TI]],""),0)</f>
        <v>0</v>
      </c>
      <c r="J591">
        <f>IF(tblCalculo[[#This Row],[STATUS]]="CONCLUÍDO",_xlfn.XLOOKUP(tblCalculo[[#This Row],[NR_SIMULACAO]],tblVendas[[#This Row],[NR_SIMULACAO]],tblVendas[[#This Row],[VALOR_APARELHO]],""),0)</f>
        <v>0</v>
      </c>
      <c r="K591" t="str">
        <f>IF(tblCalculo[[#This Row],[STATUS]]="NEGOCIANDO",tblCalculo[[#This Row],[VALOR_TOTAL]],"")</f>
        <v/>
      </c>
      <c r="L591" t="str">
        <f>IF(tblCalculo[[#This Row],[STATUS]]="ALÇADA",tblCalculo[[#This Row],[VALOR_TOTAL]],"")</f>
        <v/>
      </c>
      <c r="M591">
        <f>IF(tblCalculo[[#This Row],[STATUS]]="EM ANÁLISE",tblCalculo[[#This Row],[VALOR_TOTAL]],"")</f>
        <v>29980.089999999997</v>
      </c>
      <c r="N591" t="str">
        <f>IF(tblCalculo[[#This Row],[STATUS]]="TRAMITANDO",tblCalculo[[#This Row],[VALOR_TOTAL]],"")</f>
        <v/>
      </c>
      <c r="O591" t="str">
        <f>IF(tblCalculo[[#This Row],[STATUS]]="PERDIDO",tblCalculo[[#This Row],[VALOR_TOTAL]],"")</f>
        <v/>
      </c>
      <c r="P591" t="str">
        <f>IF(tblCalculo[[#This Row],[STATUS]]="CONCLUÍDO",tblCalculo[[#This Row],[VALOR_TOTAL]],"")</f>
        <v/>
      </c>
    </row>
    <row r="592" spans="1:16" x14ac:dyDescent="0.25">
      <c r="A592" t="str">
        <f>tblVendas[[#This Row],[NR_SIMULACAO]]</f>
        <v>SIM1582</v>
      </c>
      <c r="B592" s="34" t="str">
        <f>_xlfn.XLOOKUP(A592,tblVendas[[#This Row],[NR_SIMULACAO]],tblVendas[[#This Row],[NR_CNPJ]],"")</f>
        <v>86.103.254/0001-28</v>
      </c>
      <c r="C592" t="str">
        <f>_xlfn.XLOOKUP(A592,tblVendas[[#This Row],[NR_SIMULACAO]],tblVendas[[#This Row],[STATUS]],"")</f>
        <v>PERDIDO</v>
      </c>
      <c r="D592" t="str">
        <f>_xlfn.XLOOKUP(A592,tblVendas[[#This Row],[NR_SIMULACAO]],tblVendas[[#This Row],[MES]],"")</f>
        <v>Setembro</v>
      </c>
      <c r="E592">
        <f>SUM(_xlfn.XLOOKUP(tblCalculo[[#This Row],[NR_SIMULACAO]],tblVendas[[#This Row],[NR_SIMULACAO]],tblVendas[[#This Row],[VALOR_MOVEL]],""):_xlfn.XLOOKUP(tblCalculo[[#This Row],[NR_SIMULACAO]],tblVendas[[#This Row],[NR_SIMULACAO]],tblVendas[[#This Row],[VALOR_APARELHO]],""))</f>
        <v>4848.08</v>
      </c>
      <c r="F592">
        <f>IF(tblCalculo[[#This Row],[STATUS]]="CONCLUÍDO",_xlfn.XLOOKUP(tblCalculo[[#This Row],[NR_SIMULACAO]],tblVendas[[#This Row],[NR_SIMULACAO]],tblVendas[[#This Row],[VALOR_MOVEL]],""),0)</f>
        <v>0</v>
      </c>
      <c r="G592">
        <f>IF(tblCalculo[[#This Row],[STATUS]]="CONCLUÍDO",_xlfn.XLOOKUP(tblCalculo[[#This Row],[NR_SIMULACAO]],tblVendas[[#This Row],[NR_SIMULACAO]],tblVendas[[#This Row],[VALOR_AVANCADO]],""),0)</f>
        <v>0</v>
      </c>
      <c r="H592">
        <f>IF(tblCalculo[[#This Row],[STATUS]]="CONCLUÍDO",_xlfn.XLOOKUP(tblCalculo[[#This Row],[NR_SIMULACAO]],tblVendas[[#This Row],[NR_SIMULACAO]],tblVendas[[#This Row],[VALOR_FIXABASICA]],""),0)</f>
        <v>0</v>
      </c>
      <c r="I592">
        <f>IF(tblCalculo[[#This Row],[STATUS]]="CONCLUÍDO",_xlfn.XLOOKUP(tblCalculo[[#This Row],[NR_SIMULACAO]],tblVendas[[#This Row],[NR_SIMULACAO]],tblVendas[[#This Row],[VALOR_TI]],""),0)</f>
        <v>0</v>
      </c>
      <c r="J592">
        <f>IF(tblCalculo[[#This Row],[STATUS]]="CONCLUÍDO",_xlfn.XLOOKUP(tblCalculo[[#This Row],[NR_SIMULACAO]],tblVendas[[#This Row],[NR_SIMULACAO]],tblVendas[[#This Row],[VALOR_APARELHO]],""),0)</f>
        <v>0</v>
      </c>
      <c r="K592" t="str">
        <f>IF(tblCalculo[[#This Row],[STATUS]]="NEGOCIANDO",tblCalculo[[#This Row],[VALOR_TOTAL]],"")</f>
        <v/>
      </c>
      <c r="L592" t="str">
        <f>IF(tblCalculo[[#This Row],[STATUS]]="ALÇADA",tblCalculo[[#This Row],[VALOR_TOTAL]],"")</f>
        <v/>
      </c>
      <c r="M592" t="str">
        <f>IF(tblCalculo[[#This Row],[STATUS]]="EM ANÁLISE",tblCalculo[[#This Row],[VALOR_TOTAL]],"")</f>
        <v/>
      </c>
      <c r="N592" t="str">
        <f>IF(tblCalculo[[#This Row],[STATUS]]="TRAMITANDO",tblCalculo[[#This Row],[VALOR_TOTAL]],"")</f>
        <v/>
      </c>
      <c r="O592">
        <f>IF(tblCalculo[[#This Row],[STATUS]]="PERDIDO",tblCalculo[[#This Row],[VALOR_TOTAL]],"")</f>
        <v>4848.08</v>
      </c>
      <c r="P592" t="str">
        <f>IF(tblCalculo[[#This Row],[STATUS]]="CONCLUÍDO",tblCalculo[[#This Row],[VALOR_TOTAL]],"")</f>
        <v/>
      </c>
    </row>
    <row r="593" spans="1:16" x14ac:dyDescent="0.25">
      <c r="A593" t="str">
        <f>tblVendas[[#This Row],[NR_SIMULACAO]]</f>
        <v>SIM1583</v>
      </c>
      <c r="B593" s="34" t="str">
        <f>_xlfn.XLOOKUP(A593,tblVendas[[#This Row],[NR_SIMULACAO]],tblVendas[[#This Row],[NR_CNPJ]],"")</f>
        <v>69.462.850/0001-64</v>
      </c>
      <c r="C593" t="str">
        <f>_xlfn.XLOOKUP(A593,tblVendas[[#This Row],[NR_SIMULACAO]],tblVendas[[#This Row],[STATUS]],"")</f>
        <v>CONCLUÍDO</v>
      </c>
      <c r="D593" t="str">
        <f>_xlfn.XLOOKUP(A593,tblVendas[[#This Row],[NR_SIMULACAO]],tblVendas[[#This Row],[MES]],"")</f>
        <v>Janeiro</v>
      </c>
      <c r="E593">
        <f>SUM(_xlfn.XLOOKUP(tblCalculo[[#This Row],[NR_SIMULACAO]],tblVendas[[#This Row],[NR_SIMULACAO]],tblVendas[[#This Row],[VALOR_MOVEL]],""):_xlfn.XLOOKUP(tblCalculo[[#This Row],[NR_SIMULACAO]],tblVendas[[#This Row],[NR_SIMULACAO]],tblVendas[[#This Row],[VALOR_APARELHO]],""))</f>
        <v>7137.56</v>
      </c>
      <c r="F593">
        <f>IF(tblCalculo[[#This Row],[STATUS]]="CONCLUÍDO",_xlfn.XLOOKUP(tblCalculo[[#This Row],[NR_SIMULACAO]],tblVendas[[#This Row],[NR_SIMULACAO]],tblVendas[[#This Row],[VALOR_MOVEL]],""),0)</f>
        <v>1270.3699999999999</v>
      </c>
      <c r="G593">
        <f>IF(tblCalculo[[#This Row],[STATUS]]="CONCLUÍDO",_xlfn.XLOOKUP(tblCalculo[[#This Row],[NR_SIMULACAO]],tblVendas[[#This Row],[NR_SIMULACAO]],tblVendas[[#This Row],[VALOR_AVANCADO]],""),0)</f>
        <v>4009.39</v>
      </c>
      <c r="H593">
        <f>IF(tblCalculo[[#This Row],[STATUS]]="CONCLUÍDO",_xlfn.XLOOKUP(tblCalculo[[#This Row],[NR_SIMULACAO]],tblVendas[[#This Row],[NR_SIMULACAO]],tblVendas[[#This Row],[VALOR_FIXABASICA]],""),0)</f>
        <v>0</v>
      </c>
      <c r="I593">
        <f>IF(tblCalculo[[#This Row],[STATUS]]="CONCLUÍDO",_xlfn.XLOOKUP(tblCalculo[[#This Row],[NR_SIMULACAO]],tblVendas[[#This Row],[NR_SIMULACAO]],tblVendas[[#This Row],[VALOR_TI]],""),0)</f>
        <v>1857.8</v>
      </c>
      <c r="J593">
        <f>IF(tblCalculo[[#This Row],[STATUS]]="CONCLUÍDO",_xlfn.XLOOKUP(tblCalculo[[#This Row],[NR_SIMULACAO]],tblVendas[[#This Row],[NR_SIMULACAO]],tblVendas[[#This Row],[VALOR_APARELHO]],""),0)</f>
        <v>0</v>
      </c>
      <c r="K593" t="str">
        <f>IF(tblCalculo[[#This Row],[STATUS]]="NEGOCIANDO",tblCalculo[[#This Row],[VALOR_TOTAL]],"")</f>
        <v/>
      </c>
      <c r="L593" t="str">
        <f>IF(tblCalculo[[#This Row],[STATUS]]="ALÇADA",tblCalculo[[#This Row],[VALOR_TOTAL]],"")</f>
        <v/>
      </c>
      <c r="M593" t="str">
        <f>IF(tblCalculo[[#This Row],[STATUS]]="EM ANÁLISE",tblCalculo[[#This Row],[VALOR_TOTAL]],"")</f>
        <v/>
      </c>
      <c r="N593" t="str">
        <f>IF(tblCalculo[[#This Row],[STATUS]]="TRAMITANDO",tblCalculo[[#This Row],[VALOR_TOTAL]],"")</f>
        <v/>
      </c>
      <c r="O593" t="str">
        <f>IF(tblCalculo[[#This Row],[STATUS]]="PERDIDO",tblCalculo[[#This Row],[VALOR_TOTAL]],"")</f>
        <v/>
      </c>
      <c r="P593">
        <f>IF(tblCalculo[[#This Row],[STATUS]]="CONCLUÍDO",tblCalculo[[#This Row],[VALOR_TOTAL]],"")</f>
        <v>7137.56</v>
      </c>
    </row>
    <row r="594" spans="1:16" x14ac:dyDescent="0.25">
      <c r="A594" t="str">
        <f>tblVendas[[#This Row],[NR_SIMULACAO]]</f>
        <v>SIM1584</v>
      </c>
      <c r="B594" s="34" t="str">
        <f>_xlfn.XLOOKUP(A594,tblVendas[[#This Row],[NR_SIMULACAO]],tblVendas[[#This Row],[NR_CNPJ]],"")</f>
        <v>95.275.602/0001-96</v>
      </c>
      <c r="C594" t="str">
        <f>_xlfn.XLOOKUP(A594,tblVendas[[#This Row],[NR_SIMULACAO]],tblVendas[[#This Row],[STATUS]],"")</f>
        <v>EM ANÁLISE</v>
      </c>
      <c r="D594" t="str">
        <f>_xlfn.XLOOKUP(A594,tblVendas[[#This Row],[NR_SIMULACAO]],tblVendas[[#This Row],[MES]],"")</f>
        <v>Agosto</v>
      </c>
      <c r="E594">
        <f>SUM(_xlfn.XLOOKUP(tblCalculo[[#This Row],[NR_SIMULACAO]],tblVendas[[#This Row],[NR_SIMULACAO]],tblVendas[[#This Row],[VALOR_MOVEL]],""):_xlfn.XLOOKUP(tblCalculo[[#This Row],[NR_SIMULACAO]],tblVendas[[#This Row],[NR_SIMULACAO]],tblVendas[[#This Row],[VALOR_APARELHO]],""))</f>
        <v>12507.27</v>
      </c>
      <c r="F594">
        <f>IF(tblCalculo[[#This Row],[STATUS]]="CONCLUÍDO",_xlfn.XLOOKUP(tblCalculo[[#This Row],[NR_SIMULACAO]],tblVendas[[#This Row],[NR_SIMULACAO]],tblVendas[[#This Row],[VALOR_MOVEL]],""),0)</f>
        <v>0</v>
      </c>
      <c r="G594">
        <f>IF(tblCalculo[[#This Row],[STATUS]]="CONCLUÍDO",_xlfn.XLOOKUP(tblCalculo[[#This Row],[NR_SIMULACAO]],tblVendas[[#This Row],[NR_SIMULACAO]],tblVendas[[#This Row],[VALOR_AVANCADO]],""),0)</f>
        <v>0</v>
      </c>
      <c r="H594">
        <f>IF(tblCalculo[[#This Row],[STATUS]]="CONCLUÍDO",_xlfn.XLOOKUP(tblCalculo[[#This Row],[NR_SIMULACAO]],tblVendas[[#This Row],[NR_SIMULACAO]],tblVendas[[#This Row],[VALOR_FIXABASICA]],""),0)</f>
        <v>0</v>
      </c>
      <c r="I594">
        <f>IF(tblCalculo[[#This Row],[STATUS]]="CONCLUÍDO",_xlfn.XLOOKUP(tblCalculo[[#This Row],[NR_SIMULACAO]],tblVendas[[#This Row],[NR_SIMULACAO]],tblVendas[[#This Row],[VALOR_TI]],""),0)</f>
        <v>0</v>
      </c>
      <c r="J594">
        <f>IF(tblCalculo[[#This Row],[STATUS]]="CONCLUÍDO",_xlfn.XLOOKUP(tblCalculo[[#This Row],[NR_SIMULACAO]],tblVendas[[#This Row],[NR_SIMULACAO]],tblVendas[[#This Row],[VALOR_APARELHO]],""),0)</f>
        <v>0</v>
      </c>
      <c r="K594" t="str">
        <f>IF(tblCalculo[[#This Row],[STATUS]]="NEGOCIANDO",tblCalculo[[#This Row],[VALOR_TOTAL]],"")</f>
        <v/>
      </c>
      <c r="L594" t="str">
        <f>IF(tblCalculo[[#This Row],[STATUS]]="ALÇADA",tblCalculo[[#This Row],[VALOR_TOTAL]],"")</f>
        <v/>
      </c>
      <c r="M594">
        <f>IF(tblCalculo[[#This Row],[STATUS]]="EM ANÁLISE",tblCalculo[[#This Row],[VALOR_TOTAL]],"")</f>
        <v>12507.27</v>
      </c>
      <c r="N594" t="str">
        <f>IF(tblCalculo[[#This Row],[STATUS]]="TRAMITANDO",tblCalculo[[#This Row],[VALOR_TOTAL]],"")</f>
        <v/>
      </c>
      <c r="O594" t="str">
        <f>IF(tblCalculo[[#This Row],[STATUS]]="PERDIDO",tblCalculo[[#This Row],[VALOR_TOTAL]],"")</f>
        <v/>
      </c>
      <c r="P594" t="str">
        <f>IF(tblCalculo[[#This Row],[STATUS]]="CONCLUÍDO",tblCalculo[[#This Row],[VALOR_TOTAL]],"")</f>
        <v/>
      </c>
    </row>
    <row r="595" spans="1:16" x14ac:dyDescent="0.25">
      <c r="A595" t="str">
        <f>tblVendas[[#This Row],[NR_SIMULACAO]]</f>
        <v>SIM1585</v>
      </c>
      <c r="B595" s="34" t="str">
        <f>_xlfn.XLOOKUP(A595,tblVendas[[#This Row],[NR_SIMULACAO]],tblVendas[[#This Row],[NR_CNPJ]],"")</f>
        <v>31.772.599/0001-50</v>
      </c>
      <c r="C595" t="str">
        <f>_xlfn.XLOOKUP(A595,tblVendas[[#This Row],[NR_SIMULACAO]],tblVendas[[#This Row],[STATUS]],"")</f>
        <v>CONCLUÍDO</v>
      </c>
      <c r="D595" t="str">
        <f>_xlfn.XLOOKUP(A595,tblVendas[[#This Row],[NR_SIMULACAO]],tblVendas[[#This Row],[MES]],"")</f>
        <v>Janeiro</v>
      </c>
      <c r="E595">
        <f>SUM(_xlfn.XLOOKUP(tblCalculo[[#This Row],[NR_SIMULACAO]],tblVendas[[#This Row],[NR_SIMULACAO]],tblVendas[[#This Row],[VALOR_MOVEL]],""):_xlfn.XLOOKUP(tblCalculo[[#This Row],[NR_SIMULACAO]],tblVendas[[#This Row],[NR_SIMULACAO]],tblVendas[[#This Row],[VALOR_APARELHO]],""))</f>
        <v>9471.5500000000011</v>
      </c>
      <c r="F595">
        <f>IF(tblCalculo[[#This Row],[STATUS]]="CONCLUÍDO",_xlfn.XLOOKUP(tblCalculo[[#This Row],[NR_SIMULACAO]],tblVendas[[#This Row],[NR_SIMULACAO]],tblVendas[[#This Row],[VALOR_MOVEL]],""),0)</f>
        <v>6437.56</v>
      </c>
      <c r="G595">
        <f>IF(tblCalculo[[#This Row],[STATUS]]="CONCLUÍDO",_xlfn.XLOOKUP(tblCalculo[[#This Row],[NR_SIMULACAO]],tblVendas[[#This Row],[NR_SIMULACAO]],tblVendas[[#This Row],[VALOR_AVANCADO]],""),0)</f>
        <v>761.25</v>
      </c>
      <c r="H595">
        <f>IF(tblCalculo[[#This Row],[STATUS]]="CONCLUÍDO",_xlfn.XLOOKUP(tblCalculo[[#This Row],[NR_SIMULACAO]],tblVendas[[#This Row],[NR_SIMULACAO]],tblVendas[[#This Row],[VALOR_FIXABASICA]],""),0)</f>
        <v>650.13</v>
      </c>
      <c r="I595">
        <f>IF(tblCalculo[[#This Row],[STATUS]]="CONCLUÍDO",_xlfn.XLOOKUP(tblCalculo[[#This Row],[NR_SIMULACAO]],tblVendas[[#This Row],[NR_SIMULACAO]],tblVendas[[#This Row],[VALOR_TI]],""),0)</f>
        <v>1622.61</v>
      </c>
      <c r="J595">
        <f>IF(tblCalculo[[#This Row],[STATUS]]="CONCLUÍDO",_xlfn.XLOOKUP(tblCalculo[[#This Row],[NR_SIMULACAO]],tblVendas[[#This Row],[NR_SIMULACAO]],tblVendas[[#This Row],[VALOR_APARELHO]],""),0)</f>
        <v>0</v>
      </c>
      <c r="K595" t="str">
        <f>IF(tblCalculo[[#This Row],[STATUS]]="NEGOCIANDO",tblCalculo[[#This Row],[VALOR_TOTAL]],"")</f>
        <v/>
      </c>
      <c r="L595" t="str">
        <f>IF(tblCalculo[[#This Row],[STATUS]]="ALÇADA",tblCalculo[[#This Row],[VALOR_TOTAL]],"")</f>
        <v/>
      </c>
      <c r="M595" t="str">
        <f>IF(tblCalculo[[#This Row],[STATUS]]="EM ANÁLISE",tblCalculo[[#This Row],[VALOR_TOTAL]],"")</f>
        <v/>
      </c>
      <c r="N595" t="str">
        <f>IF(tblCalculo[[#This Row],[STATUS]]="TRAMITANDO",tblCalculo[[#This Row],[VALOR_TOTAL]],"")</f>
        <v/>
      </c>
      <c r="O595" t="str">
        <f>IF(tblCalculo[[#This Row],[STATUS]]="PERDIDO",tblCalculo[[#This Row],[VALOR_TOTAL]],"")</f>
        <v/>
      </c>
      <c r="P595">
        <f>IF(tblCalculo[[#This Row],[STATUS]]="CONCLUÍDO",tblCalculo[[#This Row],[VALOR_TOTAL]],"")</f>
        <v>9471.5500000000011</v>
      </c>
    </row>
    <row r="596" spans="1:16" x14ac:dyDescent="0.25">
      <c r="A596" t="str">
        <f>tblVendas[[#This Row],[NR_SIMULACAO]]</f>
        <v>SIM1586</v>
      </c>
      <c r="B596" s="34" t="str">
        <f>_xlfn.XLOOKUP(A596,tblVendas[[#This Row],[NR_SIMULACAO]],tblVendas[[#This Row],[NR_CNPJ]],"")</f>
        <v>92.706.307/0001-83</v>
      </c>
      <c r="C596" t="str">
        <f>_xlfn.XLOOKUP(A596,tblVendas[[#This Row],[NR_SIMULACAO]],tblVendas[[#This Row],[STATUS]],"")</f>
        <v>ALÇADA</v>
      </c>
      <c r="D596" t="str">
        <f>_xlfn.XLOOKUP(A596,tblVendas[[#This Row],[NR_SIMULACAO]],tblVendas[[#This Row],[MES]],"")</f>
        <v>Julho</v>
      </c>
      <c r="E596">
        <f>SUM(_xlfn.XLOOKUP(tblCalculo[[#This Row],[NR_SIMULACAO]],tblVendas[[#This Row],[NR_SIMULACAO]],tblVendas[[#This Row],[VALOR_MOVEL]],""):_xlfn.XLOOKUP(tblCalculo[[#This Row],[NR_SIMULACAO]],tblVendas[[#This Row],[NR_SIMULACAO]],tblVendas[[#This Row],[VALOR_APARELHO]],""))</f>
        <v>19681.34</v>
      </c>
      <c r="F596">
        <f>IF(tblCalculo[[#This Row],[STATUS]]="CONCLUÍDO",_xlfn.XLOOKUP(tblCalculo[[#This Row],[NR_SIMULACAO]],tblVendas[[#This Row],[NR_SIMULACAO]],tblVendas[[#This Row],[VALOR_MOVEL]],""),0)</f>
        <v>0</v>
      </c>
      <c r="G596">
        <f>IF(tblCalculo[[#This Row],[STATUS]]="CONCLUÍDO",_xlfn.XLOOKUP(tblCalculo[[#This Row],[NR_SIMULACAO]],tblVendas[[#This Row],[NR_SIMULACAO]],tblVendas[[#This Row],[VALOR_AVANCADO]],""),0)</f>
        <v>0</v>
      </c>
      <c r="H596">
        <f>IF(tblCalculo[[#This Row],[STATUS]]="CONCLUÍDO",_xlfn.XLOOKUP(tblCalculo[[#This Row],[NR_SIMULACAO]],tblVendas[[#This Row],[NR_SIMULACAO]],tblVendas[[#This Row],[VALOR_FIXABASICA]],""),0)</f>
        <v>0</v>
      </c>
      <c r="I596">
        <f>IF(tblCalculo[[#This Row],[STATUS]]="CONCLUÍDO",_xlfn.XLOOKUP(tblCalculo[[#This Row],[NR_SIMULACAO]],tblVendas[[#This Row],[NR_SIMULACAO]],tblVendas[[#This Row],[VALOR_TI]],""),0)</f>
        <v>0</v>
      </c>
      <c r="J596">
        <f>IF(tblCalculo[[#This Row],[STATUS]]="CONCLUÍDO",_xlfn.XLOOKUP(tblCalculo[[#This Row],[NR_SIMULACAO]],tblVendas[[#This Row],[NR_SIMULACAO]],tblVendas[[#This Row],[VALOR_APARELHO]],""),0)</f>
        <v>0</v>
      </c>
      <c r="K596" t="str">
        <f>IF(tblCalculo[[#This Row],[STATUS]]="NEGOCIANDO",tblCalculo[[#This Row],[VALOR_TOTAL]],"")</f>
        <v/>
      </c>
      <c r="L596">
        <f>IF(tblCalculo[[#This Row],[STATUS]]="ALÇADA",tblCalculo[[#This Row],[VALOR_TOTAL]],"")</f>
        <v>19681.34</v>
      </c>
      <c r="M596" t="str">
        <f>IF(tblCalculo[[#This Row],[STATUS]]="EM ANÁLISE",tblCalculo[[#This Row],[VALOR_TOTAL]],"")</f>
        <v/>
      </c>
      <c r="N596" t="str">
        <f>IF(tblCalculo[[#This Row],[STATUS]]="TRAMITANDO",tblCalculo[[#This Row],[VALOR_TOTAL]],"")</f>
        <v/>
      </c>
      <c r="O596" t="str">
        <f>IF(tblCalculo[[#This Row],[STATUS]]="PERDIDO",tblCalculo[[#This Row],[VALOR_TOTAL]],"")</f>
        <v/>
      </c>
      <c r="P596" t="str">
        <f>IF(tblCalculo[[#This Row],[STATUS]]="CONCLUÍDO",tblCalculo[[#This Row],[VALOR_TOTAL]],"")</f>
        <v/>
      </c>
    </row>
    <row r="597" spans="1:16" x14ac:dyDescent="0.25">
      <c r="A597" t="str">
        <f>tblVendas[[#This Row],[NR_SIMULACAO]]</f>
        <v>SIM1587</v>
      </c>
      <c r="B597" s="34" t="str">
        <f>_xlfn.XLOOKUP(A597,tblVendas[[#This Row],[NR_SIMULACAO]],tblVendas[[#This Row],[NR_CNPJ]],"")</f>
        <v>40.179.597/0001-16</v>
      </c>
      <c r="C597" t="str">
        <f>_xlfn.XLOOKUP(A597,tblVendas[[#This Row],[NR_SIMULACAO]],tblVendas[[#This Row],[STATUS]],"")</f>
        <v>EM ANÁLISE</v>
      </c>
      <c r="D597" t="str">
        <f>_xlfn.XLOOKUP(A597,tblVendas[[#This Row],[NR_SIMULACAO]],tblVendas[[#This Row],[MES]],"")</f>
        <v>Maio</v>
      </c>
      <c r="E597">
        <f>SUM(_xlfn.XLOOKUP(tblCalculo[[#This Row],[NR_SIMULACAO]],tblVendas[[#This Row],[NR_SIMULACAO]],tblVendas[[#This Row],[VALOR_MOVEL]],""):_xlfn.XLOOKUP(tblCalculo[[#This Row],[NR_SIMULACAO]],tblVendas[[#This Row],[NR_SIMULACAO]],tblVendas[[#This Row],[VALOR_APARELHO]],""))</f>
        <v>23539.279999999999</v>
      </c>
      <c r="F597">
        <f>IF(tblCalculo[[#This Row],[STATUS]]="CONCLUÍDO",_xlfn.XLOOKUP(tblCalculo[[#This Row],[NR_SIMULACAO]],tblVendas[[#This Row],[NR_SIMULACAO]],tblVendas[[#This Row],[VALOR_MOVEL]],""),0)</f>
        <v>0</v>
      </c>
      <c r="G597">
        <f>IF(tblCalculo[[#This Row],[STATUS]]="CONCLUÍDO",_xlfn.XLOOKUP(tblCalculo[[#This Row],[NR_SIMULACAO]],tblVendas[[#This Row],[NR_SIMULACAO]],tblVendas[[#This Row],[VALOR_AVANCADO]],""),0)</f>
        <v>0</v>
      </c>
      <c r="H597">
        <f>IF(tblCalculo[[#This Row],[STATUS]]="CONCLUÍDO",_xlfn.XLOOKUP(tblCalculo[[#This Row],[NR_SIMULACAO]],tblVendas[[#This Row],[NR_SIMULACAO]],tblVendas[[#This Row],[VALOR_FIXABASICA]],""),0)</f>
        <v>0</v>
      </c>
      <c r="I597">
        <f>IF(tblCalculo[[#This Row],[STATUS]]="CONCLUÍDO",_xlfn.XLOOKUP(tblCalculo[[#This Row],[NR_SIMULACAO]],tblVendas[[#This Row],[NR_SIMULACAO]],tblVendas[[#This Row],[VALOR_TI]],""),0)</f>
        <v>0</v>
      </c>
      <c r="J597">
        <f>IF(tblCalculo[[#This Row],[STATUS]]="CONCLUÍDO",_xlfn.XLOOKUP(tblCalculo[[#This Row],[NR_SIMULACAO]],tblVendas[[#This Row],[NR_SIMULACAO]],tblVendas[[#This Row],[VALOR_APARELHO]],""),0)</f>
        <v>0</v>
      </c>
      <c r="K597" t="str">
        <f>IF(tblCalculo[[#This Row],[STATUS]]="NEGOCIANDO",tblCalculo[[#This Row],[VALOR_TOTAL]],"")</f>
        <v/>
      </c>
      <c r="L597" t="str">
        <f>IF(tblCalculo[[#This Row],[STATUS]]="ALÇADA",tblCalculo[[#This Row],[VALOR_TOTAL]],"")</f>
        <v/>
      </c>
      <c r="M597">
        <f>IF(tblCalculo[[#This Row],[STATUS]]="EM ANÁLISE",tblCalculo[[#This Row],[VALOR_TOTAL]],"")</f>
        <v>23539.279999999999</v>
      </c>
      <c r="N597" t="str">
        <f>IF(tblCalculo[[#This Row],[STATUS]]="TRAMITANDO",tblCalculo[[#This Row],[VALOR_TOTAL]],"")</f>
        <v/>
      </c>
      <c r="O597" t="str">
        <f>IF(tblCalculo[[#This Row],[STATUS]]="PERDIDO",tblCalculo[[#This Row],[VALOR_TOTAL]],"")</f>
        <v/>
      </c>
      <c r="P597" t="str">
        <f>IF(tblCalculo[[#This Row],[STATUS]]="CONCLUÍDO",tblCalculo[[#This Row],[VALOR_TOTAL]],"")</f>
        <v/>
      </c>
    </row>
    <row r="598" spans="1:16" x14ac:dyDescent="0.25">
      <c r="A598" t="str">
        <f>tblVendas[[#This Row],[NR_SIMULACAO]]</f>
        <v>SIM1588</v>
      </c>
      <c r="B598" s="34" t="str">
        <f>_xlfn.XLOOKUP(A598,tblVendas[[#This Row],[NR_SIMULACAO]],tblVendas[[#This Row],[NR_CNPJ]],"")</f>
        <v>55.209.160/0001-90</v>
      </c>
      <c r="C598" t="str">
        <f>_xlfn.XLOOKUP(A598,tblVendas[[#This Row],[NR_SIMULACAO]],tblVendas[[#This Row],[STATUS]],"")</f>
        <v>EM ANÁLISE</v>
      </c>
      <c r="D598" t="str">
        <f>_xlfn.XLOOKUP(A598,tblVendas[[#This Row],[NR_SIMULACAO]],tblVendas[[#This Row],[MES]],"")</f>
        <v>Julho</v>
      </c>
      <c r="E598">
        <f>SUM(_xlfn.XLOOKUP(tblCalculo[[#This Row],[NR_SIMULACAO]],tblVendas[[#This Row],[NR_SIMULACAO]],tblVendas[[#This Row],[VALOR_MOVEL]],""):_xlfn.XLOOKUP(tblCalculo[[#This Row],[NR_SIMULACAO]],tblVendas[[#This Row],[NR_SIMULACAO]],tblVendas[[#This Row],[VALOR_APARELHO]],""))</f>
        <v>14960.65</v>
      </c>
      <c r="F598">
        <f>IF(tblCalculo[[#This Row],[STATUS]]="CONCLUÍDO",_xlfn.XLOOKUP(tblCalculo[[#This Row],[NR_SIMULACAO]],tblVendas[[#This Row],[NR_SIMULACAO]],tblVendas[[#This Row],[VALOR_MOVEL]],""),0)</f>
        <v>0</v>
      </c>
      <c r="G598">
        <f>IF(tblCalculo[[#This Row],[STATUS]]="CONCLUÍDO",_xlfn.XLOOKUP(tblCalculo[[#This Row],[NR_SIMULACAO]],tblVendas[[#This Row],[NR_SIMULACAO]],tblVendas[[#This Row],[VALOR_AVANCADO]],""),0)</f>
        <v>0</v>
      </c>
      <c r="H598">
        <f>IF(tblCalculo[[#This Row],[STATUS]]="CONCLUÍDO",_xlfn.XLOOKUP(tblCalculo[[#This Row],[NR_SIMULACAO]],tblVendas[[#This Row],[NR_SIMULACAO]],tblVendas[[#This Row],[VALOR_FIXABASICA]],""),0)</f>
        <v>0</v>
      </c>
      <c r="I598">
        <f>IF(tblCalculo[[#This Row],[STATUS]]="CONCLUÍDO",_xlfn.XLOOKUP(tblCalculo[[#This Row],[NR_SIMULACAO]],tblVendas[[#This Row],[NR_SIMULACAO]],tblVendas[[#This Row],[VALOR_TI]],""),0)</f>
        <v>0</v>
      </c>
      <c r="J598">
        <f>IF(tblCalculo[[#This Row],[STATUS]]="CONCLUÍDO",_xlfn.XLOOKUP(tblCalculo[[#This Row],[NR_SIMULACAO]],tblVendas[[#This Row],[NR_SIMULACAO]],tblVendas[[#This Row],[VALOR_APARELHO]],""),0)</f>
        <v>0</v>
      </c>
      <c r="K598" t="str">
        <f>IF(tblCalculo[[#This Row],[STATUS]]="NEGOCIANDO",tblCalculo[[#This Row],[VALOR_TOTAL]],"")</f>
        <v/>
      </c>
      <c r="L598" t="str">
        <f>IF(tblCalculo[[#This Row],[STATUS]]="ALÇADA",tblCalculo[[#This Row],[VALOR_TOTAL]],"")</f>
        <v/>
      </c>
      <c r="M598">
        <f>IF(tblCalculo[[#This Row],[STATUS]]="EM ANÁLISE",tblCalculo[[#This Row],[VALOR_TOTAL]],"")</f>
        <v>14960.65</v>
      </c>
      <c r="N598" t="str">
        <f>IF(tblCalculo[[#This Row],[STATUS]]="TRAMITANDO",tblCalculo[[#This Row],[VALOR_TOTAL]],"")</f>
        <v/>
      </c>
      <c r="O598" t="str">
        <f>IF(tblCalculo[[#This Row],[STATUS]]="PERDIDO",tblCalculo[[#This Row],[VALOR_TOTAL]],"")</f>
        <v/>
      </c>
      <c r="P598" t="str">
        <f>IF(tblCalculo[[#This Row],[STATUS]]="CONCLUÍDO",tblCalculo[[#This Row],[VALOR_TOTAL]],"")</f>
        <v/>
      </c>
    </row>
    <row r="599" spans="1:16" x14ac:dyDescent="0.25">
      <c r="A599" t="str">
        <f>tblVendas[[#This Row],[NR_SIMULACAO]]</f>
        <v>SIM1589</v>
      </c>
      <c r="B599" s="34" t="str">
        <f>_xlfn.XLOOKUP(A599,tblVendas[[#This Row],[NR_SIMULACAO]],tblVendas[[#This Row],[NR_CNPJ]],"")</f>
        <v>14.714.302/0001-88</v>
      </c>
      <c r="C599" t="str">
        <f>_xlfn.XLOOKUP(A599,tblVendas[[#This Row],[NR_SIMULACAO]],tblVendas[[#This Row],[STATUS]],"")</f>
        <v>CONCLUÍDO</v>
      </c>
      <c r="D599" t="str">
        <f>_xlfn.XLOOKUP(A599,tblVendas[[#This Row],[NR_SIMULACAO]],tblVendas[[#This Row],[MES]],"")</f>
        <v>Setembro</v>
      </c>
      <c r="E599">
        <f>SUM(_xlfn.XLOOKUP(tblCalculo[[#This Row],[NR_SIMULACAO]],tblVendas[[#This Row],[NR_SIMULACAO]],tblVendas[[#This Row],[VALOR_MOVEL]],""):_xlfn.XLOOKUP(tblCalculo[[#This Row],[NR_SIMULACAO]],tblVendas[[#This Row],[NR_SIMULACAO]],tblVendas[[#This Row],[VALOR_APARELHO]],""))</f>
        <v>6233.67</v>
      </c>
      <c r="F599">
        <f>IF(tblCalculo[[#This Row],[STATUS]]="CONCLUÍDO",_xlfn.XLOOKUP(tblCalculo[[#This Row],[NR_SIMULACAO]],tblVendas[[#This Row],[NR_SIMULACAO]],tblVendas[[#This Row],[VALOR_MOVEL]],""),0)</f>
        <v>0</v>
      </c>
      <c r="G599">
        <f>IF(tblCalculo[[#This Row],[STATUS]]="CONCLUÍDO",_xlfn.XLOOKUP(tblCalculo[[#This Row],[NR_SIMULACAO]],tblVendas[[#This Row],[NR_SIMULACAO]],tblVendas[[#This Row],[VALOR_AVANCADO]],""),0)</f>
        <v>4224.41</v>
      </c>
      <c r="H599">
        <f>IF(tblCalculo[[#This Row],[STATUS]]="CONCLUÍDO",_xlfn.XLOOKUP(tblCalculo[[#This Row],[NR_SIMULACAO]],tblVendas[[#This Row],[NR_SIMULACAO]],tblVendas[[#This Row],[VALOR_FIXABASICA]],""),0)</f>
        <v>2009.26</v>
      </c>
      <c r="I599">
        <f>IF(tblCalculo[[#This Row],[STATUS]]="CONCLUÍDO",_xlfn.XLOOKUP(tblCalculo[[#This Row],[NR_SIMULACAO]],tblVendas[[#This Row],[NR_SIMULACAO]],tblVendas[[#This Row],[VALOR_TI]],""),0)</f>
        <v>0</v>
      </c>
      <c r="J599">
        <f>IF(tblCalculo[[#This Row],[STATUS]]="CONCLUÍDO",_xlfn.XLOOKUP(tblCalculo[[#This Row],[NR_SIMULACAO]],tblVendas[[#This Row],[NR_SIMULACAO]],tblVendas[[#This Row],[VALOR_APARELHO]],""),0)</f>
        <v>0</v>
      </c>
      <c r="K599" t="str">
        <f>IF(tblCalculo[[#This Row],[STATUS]]="NEGOCIANDO",tblCalculo[[#This Row],[VALOR_TOTAL]],"")</f>
        <v/>
      </c>
      <c r="L599" t="str">
        <f>IF(tblCalculo[[#This Row],[STATUS]]="ALÇADA",tblCalculo[[#This Row],[VALOR_TOTAL]],"")</f>
        <v/>
      </c>
      <c r="M599" t="str">
        <f>IF(tblCalculo[[#This Row],[STATUS]]="EM ANÁLISE",tblCalculo[[#This Row],[VALOR_TOTAL]],"")</f>
        <v/>
      </c>
      <c r="N599" t="str">
        <f>IF(tblCalculo[[#This Row],[STATUS]]="TRAMITANDO",tblCalculo[[#This Row],[VALOR_TOTAL]],"")</f>
        <v/>
      </c>
      <c r="O599" t="str">
        <f>IF(tblCalculo[[#This Row],[STATUS]]="PERDIDO",tblCalculo[[#This Row],[VALOR_TOTAL]],"")</f>
        <v/>
      </c>
      <c r="P599">
        <f>IF(tblCalculo[[#This Row],[STATUS]]="CONCLUÍDO",tblCalculo[[#This Row],[VALOR_TOTAL]],"")</f>
        <v>6233.67</v>
      </c>
    </row>
    <row r="600" spans="1:16" x14ac:dyDescent="0.25">
      <c r="A600" t="str">
        <f>tblVendas[[#This Row],[NR_SIMULACAO]]</f>
        <v>SIM1590</v>
      </c>
      <c r="B600" s="34" t="str">
        <f>_xlfn.XLOOKUP(A600,tblVendas[[#This Row],[NR_SIMULACAO]],tblVendas[[#This Row],[NR_CNPJ]],"")</f>
        <v>18.279.904/0001-90</v>
      </c>
      <c r="C600" t="str">
        <f>_xlfn.XLOOKUP(A600,tblVendas[[#This Row],[NR_SIMULACAO]],tblVendas[[#This Row],[STATUS]],"")</f>
        <v>NEGOCIANDO</v>
      </c>
      <c r="D600" t="str">
        <f>_xlfn.XLOOKUP(A600,tblVendas[[#This Row],[NR_SIMULACAO]],tblVendas[[#This Row],[MES]],"")</f>
        <v>Maio</v>
      </c>
      <c r="E600">
        <f>SUM(_xlfn.XLOOKUP(tblCalculo[[#This Row],[NR_SIMULACAO]],tblVendas[[#This Row],[NR_SIMULACAO]],tblVendas[[#This Row],[VALOR_MOVEL]],""):_xlfn.XLOOKUP(tblCalculo[[#This Row],[NR_SIMULACAO]],tblVendas[[#This Row],[NR_SIMULACAO]],tblVendas[[#This Row],[VALOR_APARELHO]],""))</f>
        <v>10216.02</v>
      </c>
      <c r="F600">
        <f>IF(tblCalculo[[#This Row],[STATUS]]="CONCLUÍDO",_xlfn.XLOOKUP(tblCalculo[[#This Row],[NR_SIMULACAO]],tblVendas[[#This Row],[NR_SIMULACAO]],tblVendas[[#This Row],[VALOR_MOVEL]],""),0)</f>
        <v>0</v>
      </c>
      <c r="G600">
        <f>IF(tblCalculo[[#This Row],[STATUS]]="CONCLUÍDO",_xlfn.XLOOKUP(tblCalculo[[#This Row],[NR_SIMULACAO]],tblVendas[[#This Row],[NR_SIMULACAO]],tblVendas[[#This Row],[VALOR_AVANCADO]],""),0)</f>
        <v>0</v>
      </c>
      <c r="H600">
        <f>IF(tblCalculo[[#This Row],[STATUS]]="CONCLUÍDO",_xlfn.XLOOKUP(tblCalculo[[#This Row],[NR_SIMULACAO]],tblVendas[[#This Row],[NR_SIMULACAO]],tblVendas[[#This Row],[VALOR_FIXABASICA]],""),0)</f>
        <v>0</v>
      </c>
      <c r="I600">
        <f>IF(tblCalculo[[#This Row],[STATUS]]="CONCLUÍDO",_xlfn.XLOOKUP(tblCalculo[[#This Row],[NR_SIMULACAO]],tblVendas[[#This Row],[NR_SIMULACAO]],tblVendas[[#This Row],[VALOR_TI]],""),0)</f>
        <v>0</v>
      </c>
      <c r="J600">
        <f>IF(tblCalculo[[#This Row],[STATUS]]="CONCLUÍDO",_xlfn.XLOOKUP(tblCalculo[[#This Row],[NR_SIMULACAO]],tblVendas[[#This Row],[NR_SIMULACAO]],tblVendas[[#This Row],[VALOR_APARELHO]],""),0)</f>
        <v>0</v>
      </c>
      <c r="K600">
        <f>IF(tblCalculo[[#This Row],[STATUS]]="NEGOCIANDO",tblCalculo[[#This Row],[VALOR_TOTAL]],"")</f>
        <v>10216.02</v>
      </c>
      <c r="L600" t="str">
        <f>IF(tblCalculo[[#This Row],[STATUS]]="ALÇADA",tblCalculo[[#This Row],[VALOR_TOTAL]],"")</f>
        <v/>
      </c>
      <c r="M600" t="str">
        <f>IF(tblCalculo[[#This Row],[STATUS]]="EM ANÁLISE",tblCalculo[[#This Row],[VALOR_TOTAL]],"")</f>
        <v/>
      </c>
      <c r="N600" t="str">
        <f>IF(tblCalculo[[#This Row],[STATUS]]="TRAMITANDO",tblCalculo[[#This Row],[VALOR_TOTAL]],"")</f>
        <v/>
      </c>
      <c r="O600" t="str">
        <f>IF(tblCalculo[[#This Row],[STATUS]]="PERDIDO",tblCalculo[[#This Row],[VALOR_TOTAL]],"")</f>
        <v/>
      </c>
      <c r="P600" t="str">
        <f>IF(tblCalculo[[#This Row],[STATUS]]="CONCLUÍDO",tblCalculo[[#This Row],[VALOR_TOTAL]],"")</f>
        <v/>
      </c>
    </row>
    <row r="601" spans="1:16" x14ac:dyDescent="0.25">
      <c r="A601" t="str">
        <f>tblVendas[[#This Row],[NR_SIMULACAO]]</f>
        <v>SIM1591</v>
      </c>
      <c r="B601" s="34" t="str">
        <f>_xlfn.XLOOKUP(A601,tblVendas[[#This Row],[NR_SIMULACAO]],tblVendas[[#This Row],[NR_CNPJ]],"")</f>
        <v>63.528.832/0001-27</v>
      </c>
      <c r="C601" t="str">
        <f>_xlfn.XLOOKUP(A601,tblVendas[[#This Row],[NR_SIMULACAO]],tblVendas[[#This Row],[STATUS]],"")</f>
        <v>ALÇADA</v>
      </c>
      <c r="D601" t="str">
        <f>_xlfn.XLOOKUP(A601,tblVendas[[#This Row],[NR_SIMULACAO]],tblVendas[[#This Row],[MES]],"")</f>
        <v>Maio</v>
      </c>
      <c r="E601">
        <f>SUM(_xlfn.XLOOKUP(tblCalculo[[#This Row],[NR_SIMULACAO]],tblVendas[[#This Row],[NR_SIMULACAO]],tblVendas[[#This Row],[VALOR_MOVEL]],""):_xlfn.XLOOKUP(tblCalculo[[#This Row],[NR_SIMULACAO]],tblVendas[[#This Row],[NR_SIMULACAO]],tblVendas[[#This Row],[VALOR_APARELHO]],""))</f>
        <v>21685.9</v>
      </c>
      <c r="F601">
        <f>IF(tblCalculo[[#This Row],[STATUS]]="CONCLUÍDO",_xlfn.XLOOKUP(tblCalculo[[#This Row],[NR_SIMULACAO]],tblVendas[[#This Row],[NR_SIMULACAO]],tblVendas[[#This Row],[VALOR_MOVEL]],""),0)</f>
        <v>0</v>
      </c>
      <c r="G601">
        <f>IF(tblCalculo[[#This Row],[STATUS]]="CONCLUÍDO",_xlfn.XLOOKUP(tblCalculo[[#This Row],[NR_SIMULACAO]],tblVendas[[#This Row],[NR_SIMULACAO]],tblVendas[[#This Row],[VALOR_AVANCADO]],""),0)</f>
        <v>0</v>
      </c>
      <c r="H601">
        <f>IF(tblCalculo[[#This Row],[STATUS]]="CONCLUÍDO",_xlfn.XLOOKUP(tblCalculo[[#This Row],[NR_SIMULACAO]],tblVendas[[#This Row],[NR_SIMULACAO]],tblVendas[[#This Row],[VALOR_FIXABASICA]],""),0)</f>
        <v>0</v>
      </c>
      <c r="I601">
        <f>IF(tblCalculo[[#This Row],[STATUS]]="CONCLUÍDO",_xlfn.XLOOKUP(tblCalculo[[#This Row],[NR_SIMULACAO]],tblVendas[[#This Row],[NR_SIMULACAO]],tblVendas[[#This Row],[VALOR_TI]],""),0)</f>
        <v>0</v>
      </c>
      <c r="J601">
        <f>IF(tblCalculo[[#This Row],[STATUS]]="CONCLUÍDO",_xlfn.XLOOKUP(tblCalculo[[#This Row],[NR_SIMULACAO]],tblVendas[[#This Row],[NR_SIMULACAO]],tblVendas[[#This Row],[VALOR_APARELHO]],""),0)</f>
        <v>0</v>
      </c>
      <c r="K601" t="str">
        <f>IF(tblCalculo[[#This Row],[STATUS]]="NEGOCIANDO",tblCalculo[[#This Row],[VALOR_TOTAL]],"")</f>
        <v/>
      </c>
      <c r="L601">
        <f>IF(tblCalculo[[#This Row],[STATUS]]="ALÇADA",tblCalculo[[#This Row],[VALOR_TOTAL]],"")</f>
        <v>21685.9</v>
      </c>
      <c r="M601" t="str">
        <f>IF(tblCalculo[[#This Row],[STATUS]]="EM ANÁLISE",tblCalculo[[#This Row],[VALOR_TOTAL]],"")</f>
        <v/>
      </c>
      <c r="N601" t="str">
        <f>IF(tblCalculo[[#This Row],[STATUS]]="TRAMITANDO",tblCalculo[[#This Row],[VALOR_TOTAL]],"")</f>
        <v/>
      </c>
      <c r="O601" t="str">
        <f>IF(tblCalculo[[#This Row],[STATUS]]="PERDIDO",tblCalculo[[#This Row],[VALOR_TOTAL]],"")</f>
        <v/>
      </c>
      <c r="P601" t="str">
        <f>IF(tblCalculo[[#This Row],[STATUS]]="CONCLUÍDO",tblCalculo[[#This Row],[VALOR_TOTAL]],"")</f>
        <v/>
      </c>
    </row>
    <row r="602" spans="1:16" x14ac:dyDescent="0.25">
      <c r="A602" t="str">
        <f>tblVendas[[#This Row],[NR_SIMULACAO]]</f>
        <v>SIM1592</v>
      </c>
      <c r="B602" s="34" t="str">
        <f>_xlfn.XLOOKUP(A602,tblVendas[[#This Row],[NR_SIMULACAO]],tblVendas[[#This Row],[NR_CNPJ]],"")</f>
        <v>75.567.686/0001-35</v>
      </c>
      <c r="C602" t="str">
        <f>_xlfn.XLOOKUP(A602,tblVendas[[#This Row],[NR_SIMULACAO]],tblVendas[[#This Row],[STATUS]],"")</f>
        <v>CONCLUÍDO</v>
      </c>
      <c r="D602" t="str">
        <f>_xlfn.XLOOKUP(A602,tblVendas[[#This Row],[NR_SIMULACAO]],tblVendas[[#This Row],[MES]],"")</f>
        <v>Junho</v>
      </c>
      <c r="E602">
        <f>SUM(_xlfn.XLOOKUP(tblCalculo[[#This Row],[NR_SIMULACAO]],tblVendas[[#This Row],[NR_SIMULACAO]],tblVendas[[#This Row],[VALOR_MOVEL]],""):_xlfn.XLOOKUP(tblCalculo[[#This Row],[NR_SIMULACAO]],tblVendas[[#This Row],[NR_SIMULACAO]],tblVendas[[#This Row],[VALOR_APARELHO]],""))</f>
        <v>2809.89</v>
      </c>
      <c r="F602">
        <f>IF(tblCalculo[[#This Row],[STATUS]]="CONCLUÍDO",_xlfn.XLOOKUP(tblCalculo[[#This Row],[NR_SIMULACAO]],tblVendas[[#This Row],[NR_SIMULACAO]],tblVendas[[#This Row],[VALOR_MOVEL]],""),0)</f>
        <v>0</v>
      </c>
      <c r="G602">
        <f>IF(tblCalculo[[#This Row],[STATUS]]="CONCLUÍDO",_xlfn.XLOOKUP(tblCalculo[[#This Row],[NR_SIMULACAO]],tblVendas[[#This Row],[NR_SIMULACAO]],tblVendas[[#This Row],[VALOR_AVANCADO]],""),0)</f>
        <v>0</v>
      </c>
      <c r="H602">
        <f>IF(tblCalculo[[#This Row],[STATUS]]="CONCLUÍDO",_xlfn.XLOOKUP(tblCalculo[[#This Row],[NR_SIMULACAO]],tblVendas[[#This Row],[NR_SIMULACAO]],tblVendas[[#This Row],[VALOR_FIXABASICA]],""),0)</f>
        <v>2809.89</v>
      </c>
      <c r="I602">
        <f>IF(tblCalculo[[#This Row],[STATUS]]="CONCLUÍDO",_xlfn.XLOOKUP(tblCalculo[[#This Row],[NR_SIMULACAO]],tblVendas[[#This Row],[NR_SIMULACAO]],tblVendas[[#This Row],[VALOR_TI]],""),0)</f>
        <v>0</v>
      </c>
      <c r="J602">
        <f>IF(tblCalculo[[#This Row],[STATUS]]="CONCLUÍDO",_xlfn.XLOOKUP(tblCalculo[[#This Row],[NR_SIMULACAO]],tblVendas[[#This Row],[NR_SIMULACAO]],tblVendas[[#This Row],[VALOR_APARELHO]],""),0)</f>
        <v>0</v>
      </c>
      <c r="K602" t="str">
        <f>IF(tblCalculo[[#This Row],[STATUS]]="NEGOCIANDO",tblCalculo[[#This Row],[VALOR_TOTAL]],"")</f>
        <v/>
      </c>
      <c r="L602" t="str">
        <f>IF(tblCalculo[[#This Row],[STATUS]]="ALÇADA",tblCalculo[[#This Row],[VALOR_TOTAL]],"")</f>
        <v/>
      </c>
      <c r="M602" t="str">
        <f>IF(tblCalculo[[#This Row],[STATUS]]="EM ANÁLISE",tblCalculo[[#This Row],[VALOR_TOTAL]],"")</f>
        <v/>
      </c>
      <c r="N602" t="str">
        <f>IF(tblCalculo[[#This Row],[STATUS]]="TRAMITANDO",tblCalculo[[#This Row],[VALOR_TOTAL]],"")</f>
        <v/>
      </c>
      <c r="O602" t="str">
        <f>IF(tblCalculo[[#This Row],[STATUS]]="PERDIDO",tblCalculo[[#This Row],[VALOR_TOTAL]],"")</f>
        <v/>
      </c>
      <c r="P602">
        <f>IF(tblCalculo[[#This Row],[STATUS]]="CONCLUÍDO",tblCalculo[[#This Row],[VALOR_TOTAL]],"")</f>
        <v>2809.89</v>
      </c>
    </row>
    <row r="603" spans="1:16" x14ac:dyDescent="0.25">
      <c r="A603" t="str">
        <f>tblVendas[[#This Row],[NR_SIMULACAO]]</f>
        <v>SIM1593</v>
      </c>
      <c r="B603" s="34" t="str">
        <f>_xlfn.XLOOKUP(A603,tblVendas[[#This Row],[NR_SIMULACAO]],tblVendas[[#This Row],[NR_CNPJ]],"")</f>
        <v>53.685.843/0001-99</v>
      </c>
      <c r="C603" t="str">
        <f>_xlfn.XLOOKUP(A603,tblVendas[[#This Row],[NR_SIMULACAO]],tblVendas[[#This Row],[STATUS]],"")</f>
        <v>CONCLUÍDO</v>
      </c>
      <c r="D603" t="str">
        <f>_xlfn.XLOOKUP(A603,tblVendas[[#This Row],[NR_SIMULACAO]],tblVendas[[#This Row],[MES]],"")</f>
        <v>Dezembro</v>
      </c>
      <c r="E603">
        <f>SUM(_xlfn.XLOOKUP(tblCalculo[[#This Row],[NR_SIMULACAO]],tblVendas[[#This Row],[NR_SIMULACAO]],tblVendas[[#This Row],[VALOR_MOVEL]],""):_xlfn.XLOOKUP(tblCalculo[[#This Row],[NR_SIMULACAO]],tblVendas[[#This Row],[NR_SIMULACAO]],tblVendas[[#This Row],[VALOR_APARELHO]],""))</f>
        <v>3650.89</v>
      </c>
      <c r="F603">
        <f>IF(tblCalculo[[#This Row],[STATUS]]="CONCLUÍDO",_xlfn.XLOOKUP(tblCalculo[[#This Row],[NR_SIMULACAO]],tblVendas[[#This Row],[NR_SIMULACAO]],tblVendas[[#This Row],[VALOR_MOVEL]],""),0)</f>
        <v>3650.89</v>
      </c>
      <c r="G603">
        <f>IF(tblCalculo[[#This Row],[STATUS]]="CONCLUÍDO",_xlfn.XLOOKUP(tblCalculo[[#This Row],[NR_SIMULACAO]],tblVendas[[#This Row],[NR_SIMULACAO]],tblVendas[[#This Row],[VALOR_AVANCADO]],""),0)</f>
        <v>0</v>
      </c>
      <c r="H603">
        <f>IF(tblCalculo[[#This Row],[STATUS]]="CONCLUÍDO",_xlfn.XLOOKUP(tblCalculo[[#This Row],[NR_SIMULACAO]],tblVendas[[#This Row],[NR_SIMULACAO]],tblVendas[[#This Row],[VALOR_FIXABASICA]],""),0)</f>
        <v>0</v>
      </c>
      <c r="I603">
        <f>IF(tblCalculo[[#This Row],[STATUS]]="CONCLUÍDO",_xlfn.XLOOKUP(tblCalculo[[#This Row],[NR_SIMULACAO]],tblVendas[[#This Row],[NR_SIMULACAO]],tblVendas[[#This Row],[VALOR_TI]],""),0)</f>
        <v>0</v>
      </c>
      <c r="J603">
        <f>IF(tblCalculo[[#This Row],[STATUS]]="CONCLUÍDO",_xlfn.XLOOKUP(tblCalculo[[#This Row],[NR_SIMULACAO]],tblVendas[[#This Row],[NR_SIMULACAO]],tblVendas[[#This Row],[VALOR_APARELHO]],""),0)</f>
        <v>0</v>
      </c>
      <c r="K603" t="str">
        <f>IF(tblCalculo[[#This Row],[STATUS]]="NEGOCIANDO",tblCalculo[[#This Row],[VALOR_TOTAL]],"")</f>
        <v/>
      </c>
      <c r="L603" t="str">
        <f>IF(tblCalculo[[#This Row],[STATUS]]="ALÇADA",tblCalculo[[#This Row],[VALOR_TOTAL]],"")</f>
        <v/>
      </c>
      <c r="M603" t="str">
        <f>IF(tblCalculo[[#This Row],[STATUS]]="EM ANÁLISE",tblCalculo[[#This Row],[VALOR_TOTAL]],"")</f>
        <v/>
      </c>
      <c r="N603" t="str">
        <f>IF(tblCalculo[[#This Row],[STATUS]]="TRAMITANDO",tblCalculo[[#This Row],[VALOR_TOTAL]],"")</f>
        <v/>
      </c>
      <c r="O603" t="str">
        <f>IF(tblCalculo[[#This Row],[STATUS]]="PERDIDO",tblCalculo[[#This Row],[VALOR_TOTAL]],"")</f>
        <v/>
      </c>
      <c r="P603">
        <f>IF(tblCalculo[[#This Row],[STATUS]]="CONCLUÍDO",tblCalculo[[#This Row],[VALOR_TOTAL]],"")</f>
        <v>3650.89</v>
      </c>
    </row>
    <row r="604" spans="1:16" x14ac:dyDescent="0.25">
      <c r="A604" t="str">
        <f>tblVendas[[#This Row],[NR_SIMULACAO]]</f>
        <v>SIM1594</v>
      </c>
      <c r="B604" s="34" t="str">
        <f>_xlfn.XLOOKUP(A604,tblVendas[[#This Row],[NR_SIMULACAO]],tblVendas[[#This Row],[NR_CNPJ]],"")</f>
        <v>70.285.484/0001-11</v>
      </c>
      <c r="C604" t="str">
        <f>_xlfn.XLOOKUP(A604,tblVendas[[#This Row],[NR_SIMULACAO]],tblVendas[[#This Row],[STATUS]],"")</f>
        <v>EM ANÁLISE</v>
      </c>
      <c r="D604" t="str">
        <f>_xlfn.XLOOKUP(A604,tblVendas[[#This Row],[NR_SIMULACAO]],tblVendas[[#This Row],[MES]],"")</f>
        <v>Janeiro</v>
      </c>
      <c r="E604">
        <f>SUM(_xlfn.XLOOKUP(tblCalculo[[#This Row],[NR_SIMULACAO]],tblVendas[[#This Row],[NR_SIMULACAO]],tblVendas[[#This Row],[VALOR_MOVEL]],""):_xlfn.XLOOKUP(tblCalculo[[#This Row],[NR_SIMULACAO]],tblVendas[[#This Row],[NR_SIMULACAO]],tblVendas[[#This Row],[VALOR_APARELHO]],""))</f>
        <v>5849.49</v>
      </c>
      <c r="F604">
        <f>IF(tblCalculo[[#This Row],[STATUS]]="CONCLUÍDO",_xlfn.XLOOKUP(tblCalculo[[#This Row],[NR_SIMULACAO]],tblVendas[[#This Row],[NR_SIMULACAO]],tblVendas[[#This Row],[VALOR_MOVEL]],""),0)</f>
        <v>0</v>
      </c>
      <c r="G604">
        <f>IF(tblCalculo[[#This Row],[STATUS]]="CONCLUÍDO",_xlfn.XLOOKUP(tblCalculo[[#This Row],[NR_SIMULACAO]],tblVendas[[#This Row],[NR_SIMULACAO]],tblVendas[[#This Row],[VALOR_AVANCADO]],""),0)</f>
        <v>0</v>
      </c>
      <c r="H604">
        <f>IF(tblCalculo[[#This Row],[STATUS]]="CONCLUÍDO",_xlfn.XLOOKUP(tblCalculo[[#This Row],[NR_SIMULACAO]],tblVendas[[#This Row],[NR_SIMULACAO]],tblVendas[[#This Row],[VALOR_FIXABASICA]],""),0)</f>
        <v>0</v>
      </c>
      <c r="I604">
        <f>IF(tblCalculo[[#This Row],[STATUS]]="CONCLUÍDO",_xlfn.XLOOKUP(tblCalculo[[#This Row],[NR_SIMULACAO]],tblVendas[[#This Row],[NR_SIMULACAO]],tblVendas[[#This Row],[VALOR_TI]],""),0)</f>
        <v>0</v>
      </c>
      <c r="J604">
        <f>IF(tblCalculo[[#This Row],[STATUS]]="CONCLUÍDO",_xlfn.XLOOKUP(tblCalculo[[#This Row],[NR_SIMULACAO]],tblVendas[[#This Row],[NR_SIMULACAO]],tblVendas[[#This Row],[VALOR_APARELHO]],""),0)</f>
        <v>0</v>
      </c>
      <c r="K604" t="str">
        <f>IF(tblCalculo[[#This Row],[STATUS]]="NEGOCIANDO",tblCalculo[[#This Row],[VALOR_TOTAL]],"")</f>
        <v/>
      </c>
      <c r="L604" t="str">
        <f>IF(tblCalculo[[#This Row],[STATUS]]="ALÇADA",tblCalculo[[#This Row],[VALOR_TOTAL]],"")</f>
        <v/>
      </c>
      <c r="M604">
        <f>IF(tblCalculo[[#This Row],[STATUS]]="EM ANÁLISE",tblCalculo[[#This Row],[VALOR_TOTAL]],"")</f>
        <v>5849.49</v>
      </c>
      <c r="N604" t="str">
        <f>IF(tblCalculo[[#This Row],[STATUS]]="TRAMITANDO",tblCalculo[[#This Row],[VALOR_TOTAL]],"")</f>
        <v/>
      </c>
      <c r="O604" t="str">
        <f>IF(tblCalculo[[#This Row],[STATUS]]="PERDIDO",tblCalculo[[#This Row],[VALOR_TOTAL]],"")</f>
        <v/>
      </c>
      <c r="P604" t="str">
        <f>IF(tblCalculo[[#This Row],[STATUS]]="CONCLUÍDO",tblCalculo[[#This Row],[VALOR_TOTAL]],"")</f>
        <v/>
      </c>
    </row>
    <row r="605" spans="1:16" x14ac:dyDescent="0.25">
      <c r="A605" t="str">
        <f>tblVendas[[#This Row],[NR_SIMULACAO]]</f>
        <v>SIM1595</v>
      </c>
      <c r="B605" s="34" t="str">
        <f>_xlfn.XLOOKUP(A605,tblVendas[[#This Row],[NR_SIMULACAO]],tblVendas[[#This Row],[NR_CNPJ]],"")</f>
        <v>39.619.988/0001-98</v>
      </c>
      <c r="C605" t="str">
        <f>_xlfn.XLOOKUP(A605,tblVendas[[#This Row],[NR_SIMULACAO]],tblVendas[[#This Row],[STATUS]],"")</f>
        <v>EM ANÁLISE</v>
      </c>
      <c r="D605" t="str">
        <f>_xlfn.XLOOKUP(A605,tblVendas[[#This Row],[NR_SIMULACAO]],tblVendas[[#This Row],[MES]],"")</f>
        <v>Janeiro</v>
      </c>
      <c r="E605">
        <f>SUM(_xlfn.XLOOKUP(tblCalculo[[#This Row],[NR_SIMULACAO]],tblVendas[[#This Row],[NR_SIMULACAO]],tblVendas[[#This Row],[VALOR_MOVEL]],""):_xlfn.XLOOKUP(tblCalculo[[#This Row],[NR_SIMULACAO]],tblVendas[[#This Row],[NR_SIMULACAO]],tblVendas[[#This Row],[VALOR_APARELHO]],""))</f>
        <v>13141.01</v>
      </c>
      <c r="F605">
        <f>IF(tblCalculo[[#This Row],[STATUS]]="CONCLUÍDO",_xlfn.XLOOKUP(tblCalculo[[#This Row],[NR_SIMULACAO]],tblVendas[[#This Row],[NR_SIMULACAO]],tblVendas[[#This Row],[VALOR_MOVEL]],""),0)</f>
        <v>0</v>
      </c>
      <c r="G605">
        <f>IF(tblCalculo[[#This Row],[STATUS]]="CONCLUÍDO",_xlfn.XLOOKUP(tblCalculo[[#This Row],[NR_SIMULACAO]],tblVendas[[#This Row],[NR_SIMULACAO]],tblVendas[[#This Row],[VALOR_AVANCADO]],""),0)</f>
        <v>0</v>
      </c>
      <c r="H605">
        <f>IF(tblCalculo[[#This Row],[STATUS]]="CONCLUÍDO",_xlfn.XLOOKUP(tblCalculo[[#This Row],[NR_SIMULACAO]],tblVendas[[#This Row],[NR_SIMULACAO]],tblVendas[[#This Row],[VALOR_FIXABASICA]],""),0)</f>
        <v>0</v>
      </c>
      <c r="I605">
        <f>IF(tblCalculo[[#This Row],[STATUS]]="CONCLUÍDO",_xlfn.XLOOKUP(tblCalculo[[#This Row],[NR_SIMULACAO]],tblVendas[[#This Row],[NR_SIMULACAO]],tblVendas[[#This Row],[VALOR_TI]],""),0)</f>
        <v>0</v>
      </c>
      <c r="J605">
        <f>IF(tblCalculo[[#This Row],[STATUS]]="CONCLUÍDO",_xlfn.XLOOKUP(tblCalculo[[#This Row],[NR_SIMULACAO]],tblVendas[[#This Row],[NR_SIMULACAO]],tblVendas[[#This Row],[VALOR_APARELHO]],""),0)</f>
        <v>0</v>
      </c>
      <c r="K605" t="str">
        <f>IF(tblCalculo[[#This Row],[STATUS]]="NEGOCIANDO",tblCalculo[[#This Row],[VALOR_TOTAL]],"")</f>
        <v/>
      </c>
      <c r="L605" t="str">
        <f>IF(tblCalculo[[#This Row],[STATUS]]="ALÇADA",tblCalculo[[#This Row],[VALOR_TOTAL]],"")</f>
        <v/>
      </c>
      <c r="M605">
        <f>IF(tblCalculo[[#This Row],[STATUS]]="EM ANÁLISE",tblCalculo[[#This Row],[VALOR_TOTAL]],"")</f>
        <v>13141.01</v>
      </c>
      <c r="N605" t="str">
        <f>IF(tblCalculo[[#This Row],[STATUS]]="TRAMITANDO",tblCalculo[[#This Row],[VALOR_TOTAL]],"")</f>
        <v/>
      </c>
      <c r="O605" t="str">
        <f>IF(tblCalculo[[#This Row],[STATUS]]="PERDIDO",tblCalculo[[#This Row],[VALOR_TOTAL]],"")</f>
        <v/>
      </c>
      <c r="P605" t="str">
        <f>IF(tblCalculo[[#This Row],[STATUS]]="CONCLUÍDO",tblCalculo[[#This Row],[VALOR_TOTAL]],"")</f>
        <v/>
      </c>
    </row>
    <row r="606" spans="1:16" x14ac:dyDescent="0.25">
      <c r="A606" t="str">
        <f>tblVendas[[#This Row],[NR_SIMULACAO]]</f>
        <v>SIM1596</v>
      </c>
      <c r="B606" s="34" t="str">
        <f>_xlfn.XLOOKUP(A606,tblVendas[[#This Row],[NR_SIMULACAO]],tblVendas[[#This Row],[NR_CNPJ]],"")</f>
        <v>55.320.828/0001-32</v>
      </c>
      <c r="C606" t="str">
        <f>_xlfn.XLOOKUP(A606,tblVendas[[#This Row],[NR_SIMULACAO]],tblVendas[[#This Row],[STATUS]],"")</f>
        <v>CONCLUÍDO</v>
      </c>
      <c r="D606" t="str">
        <f>_xlfn.XLOOKUP(A606,tblVendas[[#This Row],[NR_SIMULACAO]],tblVendas[[#This Row],[MES]],"")</f>
        <v>Janeiro</v>
      </c>
      <c r="E606">
        <f>SUM(_xlfn.XLOOKUP(tblCalculo[[#This Row],[NR_SIMULACAO]],tblVendas[[#This Row],[NR_SIMULACAO]],tblVendas[[#This Row],[VALOR_MOVEL]],""):_xlfn.XLOOKUP(tblCalculo[[#This Row],[NR_SIMULACAO]],tblVendas[[#This Row],[NR_SIMULACAO]],tblVendas[[#This Row],[VALOR_APARELHO]],""))</f>
        <v>2791.52</v>
      </c>
      <c r="F606">
        <f>IF(tblCalculo[[#This Row],[STATUS]]="CONCLUÍDO",_xlfn.XLOOKUP(tblCalculo[[#This Row],[NR_SIMULACAO]],tblVendas[[#This Row],[NR_SIMULACAO]],tblVendas[[#This Row],[VALOR_MOVEL]],""),0)</f>
        <v>0</v>
      </c>
      <c r="G606">
        <f>IF(tblCalculo[[#This Row],[STATUS]]="CONCLUÍDO",_xlfn.XLOOKUP(tblCalculo[[#This Row],[NR_SIMULACAO]],tblVendas[[#This Row],[NR_SIMULACAO]],tblVendas[[#This Row],[VALOR_AVANCADO]],""),0)</f>
        <v>0</v>
      </c>
      <c r="H606">
        <f>IF(tblCalculo[[#This Row],[STATUS]]="CONCLUÍDO",_xlfn.XLOOKUP(tblCalculo[[#This Row],[NR_SIMULACAO]],tblVendas[[#This Row],[NR_SIMULACAO]],tblVendas[[#This Row],[VALOR_FIXABASICA]],""),0)</f>
        <v>2791.52</v>
      </c>
      <c r="I606">
        <f>IF(tblCalculo[[#This Row],[STATUS]]="CONCLUÍDO",_xlfn.XLOOKUP(tblCalculo[[#This Row],[NR_SIMULACAO]],tblVendas[[#This Row],[NR_SIMULACAO]],tblVendas[[#This Row],[VALOR_TI]],""),0)</f>
        <v>0</v>
      </c>
      <c r="J606">
        <f>IF(tblCalculo[[#This Row],[STATUS]]="CONCLUÍDO",_xlfn.XLOOKUP(tblCalculo[[#This Row],[NR_SIMULACAO]],tblVendas[[#This Row],[NR_SIMULACAO]],tblVendas[[#This Row],[VALOR_APARELHO]],""),0)</f>
        <v>0</v>
      </c>
      <c r="K606" t="str">
        <f>IF(tblCalculo[[#This Row],[STATUS]]="NEGOCIANDO",tblCalculo[[#This Row],[VALOR_TOTAL]],"")</f>
        <v/>
      </c>
      <c r="L606" t="str">
        <f>IF(tblCalculo[[#This Row],[STATUS]]="ALÇADA",tblCalculo[[#This Row],[VALOR_TOTAL]],"")</f>
        <v/>
      </c>
      <c r="M606" t="str">
        <f>IF(tblCalculo[[#This Row],[STATUS]]="EM ANÁLISE",tblCalculo[[#This Row],[VALOR_TOTAL]],"")</f>
        <v/>
      </c>
      <c r="N606" t="str">
        <f>IF(tblCalculo[[#This Row],[STATUS]]="TRAMITANDO",tblCalculo[[#This Row],[VALOR_TOTAL]],"")</f>
        <v/>
      </c>
      <c r="O606" t="str">
        <f>IF(tblCalculo[[#This Row],[STATUS]]="PERDIDO",tblCalculo[[#This Row],[VALOR_TOTAL]],"")</f>
        <v/>
      </c>
      <c r="P606">
        <f>IF(tblCalculo[[#This Row],[STATUS]]="CONCLUÍDO",tblCalculo[[#This Row],[VALOR_TOTAL]],"")</f>
        <v>2791.52</v>
      </c>
    </row>
    <row r="607" spans="1:16" x14ac:dyDescent="0.25">
      <c r="A607" t="str">
        <f>tblVendas[[#This Row],[NR_SIMULACAO]]</f>
        <v>SIM1597</v>
      </c>
      <c r="B607" s="34" t="str">
        <f>_xlfn.XLOOKUP(A607,tblVendas[[#This Row],[NR_SIMULACAO]],tblVendas[[#This Row],[NR_CNPJ]],"")</f>
        <v>19.638.485/0001-55</v>
      </c>
      <c r="C607" t="str">
        <f>_xlfn.XLOOKUP(A607,tblVendas[[#This Row],[NR_SIMULACAO]],tblVendas[[#This Row],[STATUS]],"")</f>
        <v>CONCLUÍDO</v>
      </c>
      <c r="D607" t="str">
        <f>_xlfn.XLOOKUP(A607,tblVendas[[#This Row],[NR_SIMULACAO]],tblVendas[[#This Row],[MES]],"")</f>
        <v>Abril</v>
      </c>
      <c r="E607">
        <f>SUM(_xlfn.XLOOKUP(tblCalculo[[#This Row],[NR_SIMULACAO]],tblVendas[[#This Row],[NR_SIMULACAO]],tblVendas[[#This Row],[VALOR_MOVEL]],""):_xlfn.XLOOKUP(tblCalculo[[#This Row],[NR_SIMULACAO]],tblVendas[[#This Row],[NR_SIMULACAO]],tblVendas[[#This Row],[VALOR_APARELHO]],""))</f>
        <v>7505.66</v>
      </c>
      <c r="F607">
        <f>IF(tblCalculo[[#This Row],[STATUS]]="CONCLUÍDO",_xlfn.XLOOKUP(tblCalculo[[#This Row],[NR_SIMULACAO]],tblVendas[[#This Row],[NR_SIMULACAO]],tblVendas[[#This Row],[VALOR_MOVEL]],""),0)</f>
        <v>0</v>
      </c>
      <c r="G607">
        <f>IF(tblCalculo[[#This Row],[STATUS]]="CONCLUÍDO",_xlfn.XLOOKUP(tblCalculo[[#This Row],[NR_SIMULACAO]],tblVendas[[#This Row],[NR_SIMULACAO]],tblVendas[[#This Row],[VALOR_AVANCADO]],""),0)</f>
        <v>4678.41</v>
      </c>
      <c r="H607">
        <f>IF(tblCalculo[[#This Row],[STATUS]]="CONCLUÍDO",_xlfn.XLOOKUP(tblCalculo[[#This Row],[NR_SIMULACAO]],tblVendas[[#This Row],[NR_SIMULACAO]],tblVendas[[#This Row],[VALOR_FIXABASICA]],""),0)</f>
        <v>2827.25</v>
      </c>
      <c r="I607">
        <f>IF(tblCalculo[[#This Row],[STATUS]]="CONCLUÍDO",_xlfn.XLOOKUP(tblCalculo[[#This Row],[NR_SIMULACAO]],tblVendas[[#This Row],[NR_SIMULACAO]],tblVendas[[#This Row],[VALOR_TI]],""),0)</f>
        <v>0</v>
      </c>
      <c r="J607">
        <f>IF(tblCalculo[[#This Row],[STATUS]]="CONCLUÍDO",_xlfn.XLOOKUP(tblCalculo[[#This Row],[NR_SIMULACAO]],tblVendas[[#This Row],[NR_SIMULACAO]],tblVendas[[#This Row],[VALOR_APARELHO]],""),0)</f>
        <v>0</v>
      </c>
      <c r="K607" t="str">
        <f>IF(tblCalculo[[#This Row],[STATUS]]="NEGOCIANDO",tblCalculo[[#This Row],[VALOR_TOTAL]],"")</f>
        <v/>
      </c>
      <c r="L607" t="str">
        <f>IF(tblCalculo[[#This Row],[STATUS]]="ALÇADA",tblCalculo[[#This Row],[VALOR_TOTAL]],"")</f>
        <v/>
      </c>
      <c r="M607" t="str">
        <f>IF(tblCalculo[[#This Row],[STATUS]]="EM ANÁLISE",tblCalculo[[#This Row],[VALOR_TOTAL]],"")</f>
        <v/>
      </c>
      <c r="N607" t="str">
        <f>IF(tblCalculo[[#This Row],[STATUS]]="TRAMITANDO",tblCalculo[[#This Row],[VALOR_TOTAL]],"")</f>
        <v/>
      </c>
      <c r="O607" t="str">
        <f>IF(tblCalculo[[#This Row],[STATUS]]="PERDIDO",tblCalculo[[#This Row],[VALOR_TOTAL]],"")</f>
        <v/>
      </c>
      <c r="P607">
        <f>IF(tblCalculo[[#This Row],[STATUS]]="CONCLUÍDO",tblCalculo[[#This Row],[VALOR_TOTAL]],"")</f>
        <v>7505.66</v>
      </c>
    </row>
    <row r="608" spans="1:16" x14ac:dyDescent="0.25">
      <c r="A608" t="str">
        <f>tblVendas[[#This Row],[NR_SIMULACAO]]</f>
        <v>SIM1598</v>
      </c>
      <c r="B608" s="34" t="str">
        <f>_xlfn.XLOOKUP(A608,tblVendas[[#This Row],[NR_SIMULACAO]],tblVendas[[#This Row],[NR_CNPJ]],"")</f>
        <v>59.880.119/0001-36</v>
      </c>
      <c r="C608" t="str">
        <f>_xlfn.XLOOKUP(A608,tblVendas[[#This Row],[NR_SIMULACAO]],tblVendas[[#This Row],[STATUS]],"")</f>
        <v>EM ANÁLISE</v>
      </c>
      <c r="D608" t="str">
        <f>_xlfn.XLOOKUP(A608,tblVendas[[#This Row],[NR_SIMULACAO]],tblVendas[[#This Row],[MES]],"")</f>
        <v>Janeiro</v>
      </c>
      <c r="E608">
        <f>SUM(_xlfn.XLOOKUP(tblCalculo[[#This Row],[NR_SIMULACAO]],tblVendas[[#This Row],[NR_SIMULACAO]],tblVendas[[#This Row],[VALOR_MOVEL]],""):_xlfn.XLOOKUP(tblCalculo[[#This Row],[NR_SIMULACAO]],tblVendas[[#This Row],[NR_SIMULACAO]],tblVendas[[#This Row],[VALOR_APARELHO]],""))</f>
        <v>671.68</v>
      </c>
      <c r="F608">
        <f>IF(tblCalculo[[#This Row],[STATUS]]="CONCLUÍDO",_xlfn.XLOOKUP(tblCalculo[[#This Row],[NR_SIMULACAO]],tblVendas[[#This Row],[NR_SIMULACAO]],tblVendas[[#This Row],[VALOR_MOVEL]],""),0)</f>
        <v>0</v>
      </c>
      <c r="G608">
        <f>IF(tblCalculo[[#This Row],[STATUS]]="CONCLUÍDO",_xlfn.XLOOKUP(tblCalculo[[#This Row],[NR_SIMULACAO]],tblVendas[[#This Row],[NR_SIMULACAO]],tblVendas[[#This Row],[VALOR_AVANCADO]],""),0)</f>
        <v>0</v>
      </c>
      <c r="H608">
        <f>IF(tblCalculo[[#This Row],[STATUS]]="CONCLUÍDO",_xlfn.XLOOKUP(tblCalculo[[#This Row],[NR_SIMULACAO]],tblVendas[[#This Row],[NR_SIMULACAO]],tblVendas[[#This Row],[VALOR_FIXABASICA]],""),0)</f>
        <v>0</v>
      </c>
      <c r="I608">
        <f>IF(tblCalculo[[#This Row],[STATUS]]="CONCLUÍDO",_xlfn.XLOOKUP(tblCalculo[[#This Row],[NR_SIMULACAO]],tblVendas[[#This Row],[NR_SIMULACAO]],tblVendas[[#This Row],[VALOR_TI]],""),0)</f>
        <v>0</v>
      </c>
      <c r="J608">
        <f>IF(tblCalculo[[#This Row],[STATUS]]="CONCLUÍDO",_xlfn.XLOOKUP(tblCalculo[[#This Row],[NR_SIMULACAO]],tblVendas[[#This Row],[NR_SIMULACAO]],tblVendas[[#This Row],[VALOR_APARELHO]],""),0)</f>
        <v>0</v>
      </c>
      <c r="K608" t="str">
        <f>IF(tblCalculo[[#This Row],[STATUS]]="NEGOCIANDO",tblCalculo[[#This Row],[VALOR_TOTAL]],"")</f>
        <v/>
      </c>
      <c r="L608" t="str">
        <f>IF(tblCalculo[[#This Row],[STATUS]]="ALÇADA",tblCalculo[[#This Row],[VALOR_TOTAL]],"")</f>
        <v/>
      </c>
      <c r="M608">
        <f>IF(tblCalculo[[#This Row],[STATUS]]="EM ANÁLISE",tblCalculo[[#This Row],[VALOR_TOTAL]],"")</f>
        <v>671.68</v>
      </c>
      <c r="N608" t="str">
        <f>IF(tblCalculo[[#This Row],[STATUS]]="TRAMITANDO",tblCalculo[[#This Row],[VALOR_TOTAL]],"")</f>
        <v/>
      </c>
      <c r="O608" t="str">
        <f>IF(tblCalculo[[#This Row],[STATUS]]="PERDIDO",tblCalculo[[#This Row],[VALOR_TOTAL]],"")</f>
        <v/>
      </c>
      <c r="P608" t="str">
        <f>IF(tblCalculo[[#This Row],[STATUS]]="CONCLUÍDO",tblCalculo[[#This Row],[VALOR_TOTAL]],"")</f>
        <v/>
      </c>
    </row>
    <row r="609" spans="1:16" x14ac:dyDescent="0.25">
      <c r="A609" t="str">
        <f>tblVendas[[#This Row],[NR_SIMULACAO]]</f>
        <v>SIM1599</v>
      </c>
      <c r="B609" s="34" t="str">
        <f>_xlfn.XLOOKUP(A609,tblVendas[[#This Row],[NR_SIMULACAO]],tblVendas[[#This Row],[NR_CNPJ]],"")</f>
        <v>35.126.917/0001-87</v>
      </c>
      <c r="C609" t="str">
        <f>_xlfn.XLOOKUP(A609,tblVendas[[#This Row],[NR_SIMULACAO]],tblVendas[[#This Row],[STATUS]],"")</f>
        <v>PERDIDO</v>
      </c>
      <c r="D609" t="str">
        <f>_xlfn.XLOOKUP(A609,tblVendas[[#This Row],[NR_SIMULACAO]],tblVendas[[#This Row],[MES]],"")</f>
        <v>Junho</v>
      </c>
      <c r="E609">
        <f>SUM(_xlfn.XLOOKUP(tblCalculo[[#This Row],[NR_SIMULACAO]],tblVendas[[#This Row],[NR_SIMULACAO]],tblVendas[[#This Row],[VALOR_MOVEL]],""):_xlfn.XLOOKUP(tblCalculo[[#This Row],[NR_SIMULACAO]],tblVendas[[#This Row],[NR_SIMULACAO]],tblVendas[[#This Row],[VALOR_APARELHO]],""))</f>
        <v>6785.68</v>
      </c>
      <c r="F609">
        <f>IF(tblCalculo[[#This Row],[STATUS]]="CONCLUÍDO",_xlfn.XLOOKUP(tblCalculo[[#This Row],[NR_SIMULACAO]],tblVendas[[#This Row],[NR_SIMULACAO]],tblVendas[[#This Row],[VALOR_MOVEL]],""),0)</f>
        <v>0</v>
      </c>
      <c r="G609">
        <f>IF(tblCalculo[[#This Row],[STATUS]]="CONCLUÍDO",_xlfn.XLOOKUP(tblCalculo[[#This Row],[NR_SIMULACAO]],tblVendas[[#This Row],[NR_SIMULACAO]],tblVendas[[#This Row],[VALOR_AVANCADO]],""),0)</f>
        <v>0</v>
      </c>
      <c r="H609">
        <f>IF(tblCalculo[[#This Row],[STATUS]]="CONCLUÍDO",_xlfn.XLOOKUP(tblCalculo[[#This Row],[NR_SIMULACAO]],tblVendas[[#This Row],[NR_SIMULACAO]],tblVendas[[#This Row],[VALOR_FIXABASICA]],""),0)</f>
        <v>0</v>
      </c>
      <c r="I609">
        <f>IF(tblCalculo[[#This Row],[STATUS]]="CONCLUÍDO",_xlfn.XLOOKUP(tblCalculo[[#This Row],[NR_SIMULACAO]],tblVendas[[#This Row],[NR_SIMULACAO]],tblVendas[[#This Row],[VALOR_TI]],""),0)</f>
        <v>0</v>
      </c>
      <c r="J609">
        <f>IF(tblCalculo[[#This Row],[STATUS]]="CONCLUÍDO",_xlfn.XLOOKUP(tblCalculo[[#This Row],[NR_SIMULACAO]],tblVendas[[#This Row],[NR_SIMULACAO]],tblVendas[[#This Row],[VALOR_APARELHO]],""),0)</f>
        <v>0</v>
      </c>
      <c r="K609" t="str">
        <f>IF(tblCalculo[[#This Row],[STATUS]]="NEGOCIANDO",tblCalculo[[#This Row],[VALOR_TOTAL]],"")</f>
        <v/>
      </c>
      <c r="L609" t="str">
        <f>IF(tblCalculo[[#This Row],[STATUS]]="ALÇADA",tblCalculo[[#This Row],[VALOR_TOTAL]],"")</f>
        <v/>
      </c>
      <c r="M609" t="str">
        <f>IF(tblCalculo[[#This Row],[STATUS]]="EM ANÁLISE",tblCalculo[[#This Row],[VALOR_TOTAL]],"")</f>
        <v/>
      </c>
      <c r="N609" t="str">
        <f>IF(tblCalculo[[#This Row],[STATUS]]="TRAMITANDO",tblCalculo[[#This Row],[VALOR_TOTAL]],"")</f>
        <v/>
      </c>
      <c r="O609">
        <f>IF(tblCalculo[[#This Row],[STATUS]]="PERDIDO",tblCalculo[[#This Row],[VALOR_TOTAL]],"")</f>
        <v>6785.68</v>
      </c>
      <c r="P609" t="str">
        <f>IF(tblCalculo[[#This Row],[STATUS]]="CONCLUÍDO",tblCalculo[[#This Row],[VALOR_TOTAL]],"")</f>
        <v/>
      </c>
    </row>
    <row r="610" spans="1:16" x14ac:dyDescent="0.25">
      <c r="A610" t="str">
        <f>tblVendas[[#This Row],[NR_SIMULACAO]]</f>
        <v>SIM1600</v>
      </c>
      <c r="B610" s="34" t="str">
        <f>_xlfn.XLOOKUP(A610,tblVendas[[#This Row],[NR_SIMULACAO]],tblVendas[[#This Row],[NR_CNPJ]],"")</f>
        <v>36.360.714/0001-70</v>
      </c>
      <c r="C610" t="str">
        <f>_xlfn.XLOOKUP(A610,tblVendas[[#This Row],[NR_SIMULACAO]],tblVendas[[#This Row],[STATUS]],"")</f>
        <v>NEGOCIANDO</v>
      </c>
      <c r="D610" t="str">
        <f>_xlfn.XLOOKUP(A610,tblVendas[[#This Row],[NR_SIMULACAO]],tblVendas[[#This Row],[MES]],"")</f>
        <v>Junho</v>
      </c>
      <c r="E610">
        <f>SUM(_xlfn.XLOOKUP(tblCalculo[[#This Row],[NR_SIMULACAO]],tblVendas[[#This Row],[NR_SIMULACAO]],tblVendas[[#This Row],[VALOR_MOVEL]],""):_xlfn.XLOOKUP(tblCalculo[[#This Row],[NR_SIMULACAO]],tblVendas[[#This Row],[NR_SIMULACAO]],tblVendas[[#This Row],[VALOR_APARELHO]],""))</f>
        <v>8150.13</v>
      </c>
      <c r="F610">
        <f>IF(tblCalculo[[#This Row],[STATUS]]="CONCLUÍDO",_xlfn.XLOOKUP(tblCalculo[[#This Row],[NR_SIMULACAO]],tblVendas[[#This Row],[NR_SIMULACAO]],tblVendas[[#This Row],[VALOR_MOVEL]],""),0)</f>
        <v>0</v>
      </c>
      <c r="G610">
        <f>IF(tblCalculo[[#This Row],[STATUS]]="CONCLUÍDO",_xlfn.XLOOKUP(tblCalculo[[#This Row],[NR_SIMULACAO]],tblVendas[[#This Row],[NR_SIMULACAO]],tblVendas[[#This Row],[VALOR_AVANCADO]],""),0)</f>
        <v>0</v>
      </c>
      <c r="H610">
        <f>IF(tblCalculo[[#This Row],[STATUS]]="CONCLUÍDO",_xlfn.XLOOKUP(tblCalculo[[#This Row],[NR_SIMULACAO]],tblVendas[[#This Row],[NR_SIMULACAO]],tblVendas[[#This Row],[VALOR_FIXABASICA]],""),0)</f>
        <v>0</v>
      </c>
      <c r="I610">
        <f>IF(tblCalculo[[#This Row],[STATUS]]="CONCLUÍDO",_xlfn.XLOOKUP(tblCalculo[[#This Row],[NR_SIMULACAO]],tblVendas[[#This Row],[NR_SIMULACAO]],tblVendas[[#This Row],[VALOR_TI]],""),0)</f>
        <v>0</v>
      </c>
      <c r="J610">
        <f>IF(tblCalculo[[#This Row],[STATUS]]="CONCLUÍDO",_xlfn.XLOOKUP(tblCalculo[[#This Row],[NR_SIMULACAO]],tblVendas[[#This Row],[NR_SIMULACAO]],tblVendas[[#This Row],[VALOR_APARELHO]],""),0)</f>
        <v>0</v>
      </c>
      <c r="K610">
        <f>IF(tblCalculo[[#This Row],[STATUS]]="NEGOCIANDO",tblCalculo[[#This Row],[VALOR_TOTAL]],"")</f>
        <v>8150.13</v>
      </c>
      <c r="L610" t="str">
        <f>IF(tblCalculo[[#This Row],[STATUS]]="ALÇADA",tblCalculo[[#This Row],[VALOR_TOTAL]],"")</f>
        <v/>
      </c>
      <c r="M610" t="str">
        <f>IF(tblCalculo[[#This Row],[STATUS]]="EM ANÁLISE",tblCalculo[[#This Row],[VALOR_TOTAL]],"")</f>
        <v/>
      </c>
      <c r="N610" t="str">
        <f>IF(tblCalculo[[#This Row],[STATUS]]="TRAMITANDO",tblCalculo[[#This Row],[VALOR_TOTAL]],"")</f>
        <v/>
      </c>
      <c r="O610" t="str">
        <f>IF(tblCalculo[[#This Row],[STATUS]]="PERDIDO",tblCalculo[[#This Row],[VALOR_TOTAL]],"")</f>
        <v/>
      </c>
      <c r="P610" t="str">
        <f>IF(tblCalculo[[#This Row],[STATUS]]="CONCLUÍDO",tblCalculo[[#This Row],[VALOR_TOTAL]],"")</f>
        <v/>
      </c>
    </row>
    <row r="611" spans="1:16" x14ac:dyDescent="0.25">
      <c r="A611" t="str">
        <f>tblVendas[[#This Row],[NR_SIMULACAO]]</f>
        <v>SIM1601</v>
      </c>
      <c r="B611" s="34" t="str">
        <f>_xlfn.XLOOKUP(A611,tblVendas[[#This Row],[NR_SIMULACAO]],tblVendas[[#This Row],[NR_CNPJ]],"")</f>
        <v>65.981.521/0001-94</v>
      </c>
      <c r="C611" t="str">
        <f>_xlfn.XLOOKUP(A611,tblVendas[[#This Row],[NR_SIMULACAO]],tblVendas[[#This Row],[STATUS]],"")</f>
        <v>NEGOCIANDO</v>
      </c>
      <c r="D611" t="str">
        <f>_xlfn.XLOOKUP(A611,tblVendas[[#This Row],[NR_SIMULACAO]],tblVendas[[#This Row],[MES]],"")</f>
        <v>Outubro</v>
      </c>
      <c r="E611">
        <f>SUM(_xlfn.XLOOKUP(tblCalculo[[#This Row],[NR_SIMULACAO]],tblVendas[[#This Row],[NR_SIMULACAO]],tblVendas[[#This Row],[VALOR_MOVEL]],""):_xlfn.XLOOKUP(tblCalculo[[#This Row],[NR_SIMULACAO]],tblVendas[[#This Row],[NR_SIMULACAO]],tblVendas[[#This Row],[VALOR_APARELHO]],""))</f>
        <v>1416.87</v>
      </c>
      <c r="F611">
        <f>IF(tblCalculo[[#This Row],[STATUS]]="CONCLUÍDO",_xlfn.XLOOKUP(tblCalculo[[#This Row],[NR_SIMULACAO]],tblVendas[[#This Row],[NR_SIMULACAO]],tblVendas[[#This Row],[VALOR_MOVEL]],""),0)</f>
        <v>0</v>
      </c>
      <c r="G611">
        <f>IF(tblCalculo[[#This Row],[STATUS]]="CONCLUÍDO",_xlfn.XLOOKUP(tblCalculo[[#This Row],[NR_SIMULACAO]],tblVendas[[#This Row],[NR_SIMULACAO]],tblVendas[[#This Row],[VALOR_AVANCADO]],""),0)</f>
        <v>0</v>
      </c>
      <c r="H611">
        <f>IF(tblCalculo[[#This Row],[STATUS]]="CONCLUÍDO",_xlfn.XLOOKUP(tblCalculo[[#This Row],[NR_SIMULACAO]],tblVendas[[#This Row],[NR_SIMULACAO]],tblVendas[[#This Row],[VALOR_FIXABASICA]],""),0)</f>
        <v>0</v>
      </c>
      <c r="I611">
        <f>IF(tblCalculo[[#This Row],[STATUS]]="CONCLUÍDO",_xlfn.XLOOKUP(tblCalculo[[#This Row],[NR_SIMULACAO]],tblVendas[[#This Row],[NR_SIMULACAO]],tblVendas[[#This Row],[VALOR_TI]],""),0)</f>
        <v>0</v>
      </c>
      <c r="J611">
        <f>IF(tblCalculo[[#This Row],[STATUS]]="CONCLUÍDO",_xlfn.XLOOKUP(tblCalculo[[#This Row],[NR_SIMULACAO]],tblVendas[[#This Row],[NR_SIMULACAO]],tblVendas[[#This Row],[VALOR_APARELHO]],""),0)</f>
        <v>0</v>
      </c>
      <c r="K611">
        <f>IF(tblCalculo[[#This Row],[STATUS]]="NEGOCIANDO",tblCalculo[[#This Row],[VALOR_TOTAL]],"")</f>
        <v>1416.87</v>
      </c>
      <c r="L611" t="str">
        <f>IF(tblCalculo[[#This Row],[STATUS]]="ALÇADA",tblCalculo[[#This Row],[VALOR_TOTAL]],"")</f>
        <v/>
      </c>
      <c r="M611" t="str">
        <f>IF(tblCalculo[[#This Row],[STATUS]]="EM ANÁLISE",tblCalculo[[#This Row],[VALOR_TOTAL]],"")</f>
        <v/>
      </c>
      <c r="N611" t="str">
        <f>IF(tblCalculo[[#This Row],[STATUS]]="TRAMITANDO",tblCalculo[[#This Row],[VALOR_TOTAL]],"")</f>
        <v/>
      </c>
      <c r="O611" t="str">
        <f>IF(tblCalculo[[#This Row],[STATUS]]="PERDIDO",tblCalculo[[#This Row],[VALOR_TOTAL]],"")</f>
        <v/>
      </c>
      <c r="P611" t="str">
        <f>IF(tblCalculo[[#This Row],[STATUS]]="CONCLUÍDO",tblCalculo[[#This Row],[VALOR_TOTAL]],"")</f>
        <v/>
      </c>
    </row>
    <row r="612" spans="1:16" x14ac:dyDescent="0.25">
      <c r="A612" t="str">
        <f>tblVendas[[#This Row],[NR_SIMULACAO]]</f>
        <v>SIM1602</v>
      </c>
      <c r="B612" s="34" t="str">
        <f>_xlfn.XLOOKUP(A612,tblVendas[[#This Row],[NR_SIMULACAO]],tblVendas[[#This Row],[NR_CNPJ]],"")</f>
        <v>63.856.886/0001-94</v>
      </c>
      <c r="C612" t="str">
        <f>_xlfn.XLOOKUP(A612,tblVendas[[#This Row],[NR_SIMULACAO]],tblVendas[[#This Row],[STATUS]],"")</f>
        <v>EM ANÁLISE</v>
      </c>
      <c r="D612" t="str">
        <f>_xlfn.XLOOKUP(A612,tblVendas[[#This Row],[NR_SIMULACAO]],tblVendas[[#This Row],[MES]],"")</f>
        <v>Outubro</v>
      </c>
      <c r="E612">
        <f>SUM(_xlfn.XLOOKUP(tblCalculo[[#This Row],[NR_SIMULACAO]],tblVendas[[#This Row],[NR_SIMULACAO]],tblVendas[[#This Row],[VALOR_MOVEL]],""):_xlfn.XLOOKUP(tblCalculo[[#This Row],[NR_SIMULACAO]],tblVendas[[#This Row],[NR_SIMULACAO]],tblVendas[[#This Row],[VALOR_APARELHO]],""))</f>
        <v>2900.35</v>
      </c>
      <c r="F612">
        <f>IF(tblCalculo[[#This Row],[STATUS]]="CONCLUÍDO",_xlfn.XLOOKUP(tblCalculo[[#This Row],[NR_SIMULACAO]],tblVendas[[#This Row],[NR_SIMULACAO]],tblVendas[[#This Row],[VALOR_MOVEL]],""),0)</f>
        <v>0</v>
      </c>
      <c r="G612">
        <f>IF(tblCalculo[[#This Row],[STATUS]]="CONCLUÍDO",_xlfn.XLOOKUP(tblCalculo[[#This Row],[NR_SIMULACAO]],tblVendas[[#This Row],[NR_SIMULACAO]],tblVendas[[#This Row],[VALOR_AVANCADO]],""),0)</f>
        <v>0</v>
      </c>
      <c r="H612">
        <f>IF(tblCalculo[[#This Row],[STATUS]]="CONCLUÍDO",_xlfn.XLOOKUP(tblCalculo[[#This Row],[NR_SIMULACAO]],tblVendas[[#This Row],[NR_SIMULACAO]],tblVendas[[#This Row],[VALOR_FIXABASICA]],""),0)</f>
        <v>0</v>
      </c>
      <c r="I612">
        <f>IF(tblCalculo[[#This Row],[STATUS]]="CONCLUÍDO",_xlfn.XLOOKUP(tblCalculo[[#This Row],[NR_SIMULACAO]],tblVendas[[#This Row],[NR_SIMULACAO]],tblVendas[[#This Row],[VALOR_TI]],""),0)</f>
        <v>0</v>
      </c>
      <c r="J612">
        <f>IF(tblCalculo[[#This Row],[STATUS]]="CONCLUÍDO",_xlfn.XLOOKUP(tblCalculo[[#This Row],[NR_SIMULACAO]],tblVendas[[#This Row],[NR_SIMULACAO]],tblVendas[[#This Row],[VALOR_APARELHO]],""),0)</f>
        <v>0</v>
      </c>
      <c r="K612" t="str">
        <f>IF(tblCalculo[[#This Row],[STATUS]]="NEGOCIANDO",tblCalculo[[#This Row],[VALOR_TOTAL]],"")</f>
        <v/>
      </c>
      <c r="L612" t="str">
        <f>IF(tblCalculo[[#This Row],[STATUS]]="ALÇADA",tblCalculo[[#This Row],[VALOR_TOTAL]],"")</f>
        <v/>
      </c>
      <c r="M612">
        <f>IF(tblCalculo[[#This Row],[STATUS]]="EM ANÁLISE",tblCalculo[[#This Row],[VALOR_TOTAL]],"")</f>
        <v>2900.35</v>
      </c>
      <c r="N612" t="str">
        <f>IF(tblCalculo[[#This Row],[STATUS]]="TRAMITANDO",tblCalculo[[#This Row],[VALOR_TOTAL]],"")</f>
        <v/>
      </c>
      <c r="O612" t="str">
        <f>IF(tblCalculo[[#This Row],[STATUS]]="PERDIDO",tblCalculo[[#This Row],[VALOR_TOTAL]],"")</f>
        <v/>
      </c>
      <c r="P612" t="str">
        <f>IF(tblCalculo[[#This Row],[STATUS]]="CONCLUÍDO",tblCalculo[[#This Row],[VALOR_TOTAL]],"")</f>
        <v/>
      </c>
    </row>
    <row r="613" spans="1:16" x14ac:dyDescent="0.25">
      <c r="A613" t="str">
        <f>tblVendas[[#This Row],[NR_SIMULACAO]]</f>
        <v>SIM1603</v>
      </c>
      <c r="B613" s="34" t="str">
        <f>_xlfn.XLOOKUP(A613,tblVendas[[#This Row],[NR_SIMULACAO]],tblVendas[[#This Row],[NR_CNPJ]],"")</f>
        <v>61.532.596/0001-60</v>
      </c>
      <c r="C613" t="str">
        <f>_xlfn.XLOOKUP(A613,tblVendas[[#This Row],[NR_SIMULACAO]],tblVendas[[#This Row],[STATUS]],"")</f>
        <v>NEGOCIANDO</v>
      </c>
      <c r="D613" t="str">
        <f>_xlfn.XLOOKUP(A613,tblVendas[[#This Row],[NR_SIMULACAO]],tblVendas[[#This Row],[MES]],"")</f>
        <v>Dezembro</v>
      </c>
      <c r="E613">
        <f>SUM(_xlfn.XLOOKUP(tblCalculo[[#This Row],[NR_SIMULACAO]],tblVendas[[#This Row],[NR_SIMULACAO]],tblVendas[[#This Row],[VALOR_MOVEL]],""):_xlfn.XLOOKUP(tblCalculo[[#This Row],[NR_SIMULACAO]],tblVendas[[#This Row],[NR_SIMULACAO]],tblVendas[[#This Row],[VALOR_APARELHO]],""))</f>
        <v>8188.73</v>
      </c>
      <c r="F613">
        <f>IF(tblCalculo[[#This Row],[STATUS]]="CONCLUÍDO",_xlfn.XLOOKUP(tblCalculo[[#This Row],[NR_SIMULACAO]],tblVendas[[#This Row],[NR_SIMULACAO]],tblVendas[[#This Row],[VALOR_MOVEL]],""),0)</f>
        <v>0</v>
      </c>
      <c r="G613">
        <f>IF(tblCalculo[[#This Row],[STATUS]]="CONCLUÍDO",_xlfn.XLOOKUP(tblCalculo[[#This Row],[NR_SIMULACAO]],tblVendas[[#This Row],[NR_SIMULACAO]],tblVendas[[#This Row],[VALOR_AVANCADO]],""),0)</f>
        <v>0</v>
      </c>
      <c r="H613">
        <f>IF(tblCalculo[[#This Row],[STATUS]]="CONCLUÍDO",_xlfn.XLOOKUP(tblCalculo[[#This Row],[NR_SIMULACAO]],tblVendas[[#This Row],[NR_SIMULACAO]],tblVendas[[#This Row],[VALOR_FIXABASICA]],""),0)</f>
        <v>0</v>
      </c>
      <c r="I613">
        <f>IF(tblCalculo[[#This Row],[STATUS]]="CONCLUÍDO",_xlfn.XLOOKUP(tblCalculo[[#This Row],[NR_SIMULACAO]],tblVendas[[#This Row],[NR_SIMULACAO]],tblVendas[[#This Row],[VALOR_TI]],""),0)</f>
        <v>0</v>
      </c>
      <c r="J613">
        <f>IF(tblCalculo[[#This Row],[STATUS]]="CONCLUÍDO",_xlfn.XLOOKUP(tblCalculo[[#This Row],[NR_SIMULACAO]],tblVendas[[#This Row],[NR_SIMULACAO]],tblVendas[[#This Row],[VALOR_APARELHO]],""),0)</f>
        <v>0</v>
      </c>
      <c r="K613">
        <f>IF(tblCalculo[[#This Row],[STATUS]]="NEGOCIANDO",tblCalculo[[#This Row],[VALOR_TOTAL]],"")</f>
        <v>8188.73</v>
      </c>
      <c r="L613" t="str">
        <f>IF(tblCalculo[[#This Row],[STATUS]]="ALÇADA",tblCalculo[[#This Row],[VALOR_TOTAL]],"")</f>
        <v/>
      </c>
      <c r="M613" t="str">
        <f>IF(tblCalculo[[#This Row],[STATUS]]="EM ANÁLISE",tblCalculo[[#This Row],[VALOR_TOTAL]],"")</f>
        <v/>
      </c>
      <c r="N613" t="str">
        <f>IF(tblCalculo[[#This Row],[STATUS]]="TRAMITANDO",tblCalculo[[#This Row],[VALOR_TOTAL]],"")</f>
        <v/>
      </c>
      <c r="O613" t="str">
        <f>IF(tblCalculo[[#This Row],[STATUS]]="PERDIDO",tblCalculo[[#This Row],[VALOR_TOTAL]],"")</f>
        <v/>
      </c>
      <c r="P613" t="str">
        <f>IF(tblCalculo[[#This Row],[STATUS]]="CONCLUÍDO",tblCalculo[[#This Row],[VALOR_TOTAL]],"")</f>
        <v/>
      </c>
    </row>
    <row r="614" spans="1:16" x14ac:dyDescent="0.25">
      <c r="A614" t="str">
        <f>tblVendas[[#This Row],[NR_SIMULACAO]]</f>
        <v>SIM1604</v>
      </c>
      <c r="B614" s="34" t="str">
        <f>_xlfn.XLOOKUP(A614,tblVendas[[#This Row],[NR_SIMULACAO]],tblVendas[[#This Row],[NR_CNPJ]],"")</f>
        <v>99.351.630/0001-92</v>
      </c>
      <c r="C614" t="str">
        <f>_xlfn.XLOOKUP(A614,tblVendas[[#This Row],[NR_SIMULACAO]],tblVendas[[#This Row],[STATUS]],"")</f>
        <v>CONCLUÍDO</v>
      </c>
      <c r="D614" t="str">
        <f>_xlfn.XLOOKUP(A614,tblVendas[[#This Row],[NR_SIMULACAO]],tblVendas[[#This Row],[MES]],"")</f>
        <v>Junho</v>
      </c>
      <c r="E614">
        <f>SUM(_xlfn.XLOOKUP(tblCalculo[[#This Row],[NR_SIMULACAO]],tblVendas[[#This Row],[NR_SIMULACAO]],tblVendas[[#This Row],[VALOR_MOVEL]],""):_xlfn.XLOOKUP(tblCalculo[[#This Row],[NR_SIMULACAO]],tblVendas[[#This Row],[NR_SIMULACAO]],tblVendas[[#This Row],[VALOR_APARELHO]],""))</f>
        <v>1368.73</v>
      </c>
      <c r="F614">
        <f>IF(tblCalculo[[#This Row],[STATUS]]="CONCLUÍDO",_xlfn.XLOOKUP(tblCalculo[[#This Row],[NR_SIMULACAO]],tblVendas[[#This Row],[NR_SIMULACAO]],tblVendas[[#This Row],[VALOR_MOVEL]],""),0)</f>
        <v>0</v>
      </c>
      <c r="G614">
        <f>IF(tblCalculo[[#This Row],[STATUS]]="CONCLUÍDO",_xlfn.XLOOKUP(tblCalculo[[#This Row],[NR_SIMULACAO]],tblVendas[[#This Row],[NR_SIMULACAO]],tblVendas[[#This Row],[VALOR_AVANCADO]],""),0)</f>
        <v>0</v>
      </c>
      <c r="H614">
        <f>IF(tblCalculo[[#This Row],[STATUS]]="CONCLUÍDO",_xlfn.XLOOKUP(tblCalculo[[#This Row],[NR_SIMULACAO]],tblVendas[[#This Row],[NR_SIMULACAO]],tblVendas[[#This Row],[VALOR_FIXABASICA]],""),0)</f>
        <v>1368.73</v>
      </c>
      <c r="I614">
        <f>IF(tblCalculo[[#This Row],[STATUS]]="CONCLUÍDO",_xlfn.XLOOKUP(tblCalculo[[#This Row],[NR_SIMULACAO]],tblVendas[[#This Row],[NR_SIMULACAO]],tblVendas[[#This Row],[VALOR_TI]],""),0)</f>
        <v>0</v>
      </c>
      <c r="J614">
        <f>IF(tblCalculo[[#This Row],[STATUS]]="CONCLUÍDO",_xlfn.XLOOKUP(tblCalculo[[#This Row],[NR_SIMULACAO]],tblVendas[[#This Row],[NR_SIMULACAO]],tblVendas[[#This Row],[VALOR_APARELHO]],""),0)</f>
        <v>0</v>
      </c>
      <c r="K614" t="str">
        <f>IF(tblCalculo[[#This Row],[STATUS]]="NEGOCIANDO",tblCalculo[[#This Row],[VALOR_TOTAL]],"")</f>
        <v/>
      </c>
      <c r="L614" t="str">
        <f>IF(tblCalculo[[#This Row],[STATUS]]="ALÇADA",tblCalculo[[#This Row],[VALOR_TOTAL]],"")</f>
        <v/>
      </c>
      <c r="M614" t="str">
        <f>IF(tblCalculo[[#This Row],[STATUS]]="EM ANÁLISE",tblCalculo[[#This Row],[VALOR_TOTAL]],"")</f>
        <v/>
      </c>
      <c r="N614" t="str">
        <f>IF(tblCalculo[[#This Row],[STATUS]]="TRAMITANDO",tblCalculo[[#This Row],[VALOR_TOTAL]],"")</f>
        <v/>
      </c>
      <c r="O614" t="str">
        <f>IF(tblCalculo[[#This Row],[STATUS]]="PERDIDO",tblCalculo[[#This Row],[VALOR_TOTAL]],"")</f>
        <v/>
      </c>
      <c r="P614">
        <f>IF(tblCalculo[[#This Row],[STATUS]]="CONCLUÍDO",tblCalculo[[#This Row],[VALOR_TOTAL]],"")</f>
        <v>1368.73</v>
      </c>
    </row>
    <row r="615" spans="1:16" x14ac:dyDescent="0.25">
      <c r="A615" t="str">
        <f>tblVendas[[#This Row],[NR_SIMULACAO]]</f>
        <v>SIM1605</v>
      </c>
      <c r="B615" s="34" t="str">
        <f>_xlfn.XLOOKUP(A615,tblVendas[[#This Row],[NR_SIMULACAO]],tblVendas[[#This Row],[NR_CNPJ]],"")</f>
        <v>32.988.874/0001-56</v>
      </c>
      <c r="C615" t="str">
        <f>_xlfn.XLOOKUP(A615,tblVendas[[#This Row],[NR_SIMULACAO]],tblVendas[[#This Row],[STATUS]],"")</f>
        <v>TRAMITANDO</v>
      </c>
      <c r="D615" t="str">
        <f>_xlfn.XLOOKUP(A615,tblVendas[[#This Row],[NR_SIMULACAO]],tblVendas[[#This Row],[MES]],"")</f>
        <v>Junho</v>
      </c>
      <c r="E615">
        <f>SUM(_xlfn.XLOOKUP(tblCalculo[[#This Row],[NR_SIMULACAO]],tblVendas[[#This Row],[NR_SIMULACAO]],tblVendas[[#This Row],[VALOR_MOVEL]],""):_xlfn.XLOOKUP(tblCalculo[[#This Row],[NR_SIMULACAO]],tblVendas[[#This Row],[NR_SIMULACAO]],tblVendas[[#This Row],[VALOR_APARELHO]],""))</f>
        <v>11120.03</v>
      </c>
      <c r="F615">
        <f>IF(tblCalculo[[#This Row],[STATUS]]="CONCLUÍDO",_xlfn.XLOOKUP(tblCalculo[[#This Row],[NR_SIMULACAO]],tblVendas[[#This Row],[NR_SIMULACAO]],tblVendas[[#This Row],[VALOR_MOVEL]],""),0)</f>
        <v>0</v>
      </c>
      <c r="G615">
        <f>IF(tblCalculo[[#This Row],[STATUS]]="CONCLUÍDO",_xlfn.XLOOKUP(tblCalculo[[#This Row],[NR_SIMULACAO]],tblVendas[[#This Row],[NR_SIMULACAO]],tblVendas[[#This Row],[VALOR_AVANCADO]],""),0)</f>
        <v>0</v>
      </c>
      <c r="H615">
        <f>IF(tblCalculo[[#This Row],[STATUS]]="CONCLUÍDO",_xlfn.XLOOKUP(tblCalculo[[#This Row],[NR_SIMULACAO]],tblVendas[[#This Row],[NR_SIMULACAO]],tblVendas[[#This Row],[VALOR_FIXABASICA]],""),0)</f>
        <v>0</v>
      </c>
      <c r="I615">
        <f>IF(tblCalculo[[#This Row],[STATUS]]="CONCLUÍDO",_xlfn.XLOOKUP(tblCalculo[[#This Row],[NR_SIMULACAO]],tblVendas[[#This Row],[NR_SIMULACAO]],tblVendas[[#This Row],[VALOR_TI]],""),0)</f>
        <v>0</v>
      </c>
      <c r="J615">
        <f>IF(tblCalculo[[#This Row],[STATUS]]="CONCLUÍDO",_xlfn.XLOOKUP(tblCalculo[[#This Row],[NR_SIMULACAO]],tblVendas[[#This Row],[NR_SIMULACAO]],tblVendas[[#This Row],[VALOR_APARELHO]],""),0)</f>
        <v>0</v>
      </c>
      <c r="K615" t="str">
        <f>IF(tblCalculo[[#This Row],[STATUS]]="NEGOCIANDO",tblCalculo[[#This Row],[VALOR_TOTAL]],"")</f>
        <v/>
      </c>
      <c r="L615" t="str">
        <f>IF(tblCalculo[[#This Row],[STATUS]]="ALÇADA",tblCalculo[[#This Row],[VALOR_TOTAL]],"")</f>
        <v/>
      </c>
      <c r="M615" t="str">
        <f>IF(tblCalculo[[#This Row],[STATUS]]="EM ANÁLISE",tblCalculo[[#This Row],[VALOR_TOTAL]],"")</f>
        <v/>
      </c>
      <c r="N615">
        <f>IF(tblCalculo[[#This Row],[STATUS]]="TRAMITANDO",tblCalculo[[#This Row],[VALOR_TOTAL]],"")</f>
        <v>11120.03</v>
      </c>
      <c r="O615" t="str">
        <f>IF(tblCalculo[[#This Row],[STATUS]]="PERDIDO",tblCalculo[[#This Row],[VALOR_TOTAL]],"")</f>
        <v/>
      </c>
      <c r="P615" t="str">
        <f>IF(tblCalculo[[#This Row],[STATUS]]="CONCLUÍDO",tblCalculo[[#This Row],[VALOR_TOTAL]],"")</f>
        <v/>
      </c>
    </row>
    <row r="616" spans="1:16" x14ac:dyDescent="0.25">
      <c r="A616" t="str">
        <f>tblVendas[[#This Row],[NR_SIMULACAO]]</f>
        <v>SIM1606</v>
      </c>
      <c r="B616" s="34" t="str">
        <f>_xlfn.XLOOKUP(A616,tblVendas[[#This Row],[NR_SIMULACAO]],tblVendas[[#This Row],[NR_CNPJ]],"")</f>
        <v>55.891.173/0001-37</v>
      </c>
      <c r="C616" t="str">
        <f>_xlfn.XLOOKUP(A616,tblVendas[[#This Row],[NR_SIMULACAO]],tblVendas[[#This Row],[STATUS]],"")</f>
        <v>PERDIDO</v>
      </c>
      <c r="D616" t="str">
        <f>_xlfn.XLOOKUP(A616,tblVendas[[#This Row],[NR_SIMULACAO]],tblVendas[[#This Row],[MES]],"")</f>
        <v>Setembro</v>
      </c>
      <c r="E616">
        <f>SUM(_xlfn.XLOOKUP(tblCalculo[[#This Row],[NR_SIMULACAO]],tblVendas[[#This Row],[NR_SIMULACAO]],tblVendas[[#This Row],[VALOR_MOVEL]],""):_xlfn.XLOOKUP(tblCalculo[[#This Row],[NR_SIMULACAO]],tblVendas[[#This Row],[NR_SIMULACAO]],tblVendas[[#This Row],[VALOR_APARELHO]],""))</f>
        <v>3584.65</v>
      </c>
      <c r="F616">
        <f>IF(tblCalculo[[#This Row],[STATUS]]="CONCLUÍDO",_xlfn.XLOOKUP(tblCalculo[[#This Row],[NR_SIMULACAO]],tblVendas[[#This Row],[NR_SIMULACAO]],tblVendas[[#This Row],[VALOR_MOVEL]],""),0)</f>
        <v>0</v>
      </c>
      <c r="G616">
        <f>IF(tblCalculo[[#This Row],[STATUS]]="CONCLUÍDO",_xlfn.XLOOKUP(tblCalculo[[#This Row],[NR_SIMULACAO]],tblVendas[[#This Row],[NR_SIMULACAO]],tblVendas[[#This Row],[VALOR_AVANCADO]],""),0)</f>
        <v>0</v>
      </c>
      <c r="H616">
        <f>IF(tblCalculo[[#This Row],[STATUS]]="CONCLUÍDO",_xlfn.XLOOKUP(tblCalculo[[#This Row],[NR_SIMULACAO]],tblVendas[[#This Row],[NR_SIMULACAO]],tblVendas[[#This Row],[VALOR_FIXABASICA]],""),0)</f>
        <v>0</v>
      </c>
      <c r="I616">
        <f>IF(tblCalculo[[#This Row],[STATUS]]="CONCLUÍDO",_xlfn.XLOOKUP(tblCalculo[[#This Row],[NR_SIMULACAO]],tblVendas[[#This Row],[NR_SIMULACAO]],tblVendas[[#This Row],[VALOR_TI]],""),0)</f>
        <v>0</v>
      </c>
      <c r="J616">
        <f>IF(tblCalculo[[#This Row],[STATUS]]="CONCLUÍDO",_xlfn.XLOOKUP(tblCalculo[[#This Row],[NR_SIMULACAO]],tblVendas[[#This Row],[NR_SIMULACAO]],tblVendas[[#This Row],[VALOR_APARELHO]],""),0)</f>
        <v>0</v>
      </c>
      <c r="K616" t="str">
        <f>IF(tblCalculo[[#This Row],[STATUS]]="NEGOCIANDO",tblCalculo[[#This Row],[VALOR_TOTAL]],"")</f>
        <v/>
      </c>
      <c r="L616" t="str">
        <f>IF(tblCalculo[[#This Row],[STATUS]]="ALÇADA",tblCalculo[[#This Row],[VALOR_TOTAL]],"")</f>
        <v/>
      </c>
      <c r="M616" t="str">
        <f>IF(tblCalculo[[#This Row],[STATUS]]="EM ANÁLISE",tblCalculo[[#This Row],[VALOR_TOTAL]],"")</f>
        <v/>
      </c>
      <c r="N616" t="str">
        <f>IF(tblCalculo[[#This Row],[STATUS]]="TRAMITANDO",tblCalculo[[#This Row],[VALOR_TOTAL]],"")</f>
        <v/>
      </c>
      <c r="O616">
        <f>IF(tblCalculo[[#This Row],[STATUS]]="PERDIDO",tblCalculo[[#This Row],[VALOR_TOTAL]],"")</f>
        <v>3584.65</v>
      </c>
      <c r="P616" t="str">
        <f>IF(tblCalculo[[#This Row],[STATUS]]="CONCLUÍDO",tblCalculo[[#This Row],[VALOR_TOTAL]],"")</f>
        <v/>
      </c>
    </row>
    <row r="617" spans="1:16" x14ac:dyDescent="0.25">
      <c r="A617" t="str">
        <f>tblVendas[[#This Row],[NR_SIMULACAO]]</f>
        <v>SIM1607</v>
      </c>
      <c r="B617" s="34" t="str">
        <f>_xlfn.XLOOKUP(A617,tblVendas[[#This Row],[NR_SIMULACAO]],tblVendas[[#This Row],[NR_CNPJ]],"")</f>
        <v>42.800.541/0001-71</v>
      </c>
      <c r="C617" t="str">
        <f>_xlfn.XLOOKUP(A617,tblVendas[[#This Row],[NR_SIMULACAO]],tblVendas[[#This Row],[STATUS]],"")</f>
        <v>ALÇADA</v>
      </c>
      <c r="D617" t="str">
        <f>_xlfn.XLOOKUP(A617,tblVendas[[#This Row],[NR_SIMULACAO]],tblVendas[[#This Row],[MES]],"")</f>
        <v>Maio</v>
      </c>
      <c r="E617">
        <f>SUM(_xlfn.XLOOKUP(tblCalculo[[#This Row],[NR_SIMULACAO]],tblVendas[[#This Row],[NR_SIMULACAO]],tblVendas[[#This Row],[VALOR_MOVEL]],""):_xlfn.XLOOKUP(tblCalculo[[#This Row],[NR_SIMULACAO]],tblVendas[[#This Row],[NR_SIMULACAO]],tblVendas[[#This Row],[VALOR_APARELHO]],""))</f>
        <v>3920.07</v>
      </c>
      <c r="F617">
        <f>IF(tblCalculo[[#This Row],[STATUS]]="CONCLUÍDO",_xlfn.XLOOKUP(tblCalculo[[#This Row],[NR_SIMULACAO]],tblVendas[[#This Row],[NR_SIMULACAO]],tblVendas[[#This Row],[VALOR_MOVEL]],""),0)</f>
        <v>0</v>
      </c>
      <c r="G617">
        <f>IF(tblCalculo[[#This Row],[STATUS]]="CONCLUÍDO",_xlfn.XLOOKUP(tblCalculo[[#This Row],[NR_SIMULACAO]],tblVendas[[#This Row],[NR_SIMULACAO]],tblVendas[[#This Row],[VALOR_AVANCADO]],""),0)</f>
        <v>0</v>
      </c>
      <c r="H617">
        <f>IF(tblCalculo[[#This Row],[STATUS]]="CONCLUÍDO",_xlfn.XLOOKUP(tblCalculo[[#This Row],[NR_SIMULACAO]],tblVendas[[#This Row],[NR_SIMULACAO]],tblVendas[[#This Row],[VALOR_FIXABASICA]],""),0)</f>
        <v>0</v>
      </c>
      <c r="I617">
        <f>IF(tblCalculo[[#This Row],[STATUS]]="CONCLUÍDO",_xlfn.XLOOKUP(tblCalculo[[#This Row],[NR_SIMULACAO]],tblVendas[[#This Row],[NR_SIMULACAO]],tblVendas[[#This Row],[VALOR_TI]],""),0)</f>
        <v>0</v>
      </c>
      <c r="J617">
        <f>IF(tblCalculo[[#This Row],[STATUS]]="CONCLUÍDO",_xlfn.XLOOKUP(tblCalculo[[#This Row],[NR_SIMULACAO]],tblVendas[[#This Row],[NR_SIMULACAO]],tblVendas[[#This Row],[VALOR_APARELHO]],""),0)</f>
        <v>0</v>
      </c>
      <c r="K617" t="str">
        <f>IF(tblCalculo[[#This Row],[STATUS]]="NEGOCIANDO",tblCalculo[[#This Row],[VALOR_TOTAL]],"")</f>
        <v/>
      </c>
      <c r="L617">
        <f>IF(tblCalculo[[#This Row],[STATUS]]="ALÇADA",tblCalculo[[#This Row],[VALOR_TOTAL]],"")</f>
        <v>3920.07</v>
      </c>
      <c r="M617" t="str">
        <f>IF(tblCalculo[[#This Row],[STATUS]]="EM ANÁLISE",tblCalculo[[#This Row],[VALOR_TOTAL]],"")</f>
        <v/>
      </c>
      <c r="N617" t="str">
        <f>IF(tblCalculo[[#This Row],[STATUS]]="TRAMITANDO",tblCalculo[[#This Row],[VALOR_TOTAL]],"")</f>
        <v/>
      </c>
      <c r="O617" t="str">
        <f>IF(tblCalculo[[#This Row],[STATUS]]="PERDIDO",tblCalculo[[#This Row],[VALOR_TOTAL]],"")</f>
        <v/>
      </c>
      <c r="P617" t="str">
        <f>IF(tblCalculo[[#This Row],[STATUS]]="CONCLUÍDO",tblCalculo[[#This Row],[VALOR_TOTAL]],"")</f>
        <v/>
      </c>
    </row>
    <row r="618" spans="1:16" x14ac:dyDescent="0.25">
      <c r="A618" t="str">
        <f>tblVendas[[#This Row],[NR_SIMULACAO]]</f>
        <v>SIM1608</v>
      </c>
      <c r="B618" s="34" t="str">
        <f>_xlfn.XLOOKUP(A618,tblVendas[[#This Row],[NR_SIMULACAO]],tblVendas[[#This Row],[NR_CNPJ]],"")</f>
        <v>98.680.790/0001-26</v>
      </c>
      <c r="C618" t="str">
        <f>_xlfn.XLOOKUP(A618,tblVendas[[#This Row],[NR_SIMULACAO]],tblVendas[[#This Row],[STATUS]],"")</f>
        <v>NEGOCIANDO</v>
      </c>
      <c r="D618" t="str">
        <f>_xlfn.XLOOKUP(A618,tblVendas[[#This Row],[NR_SIMULACAO]],tblVendas[[#This Row],[MES]],"")</f>
        <v>Março</v>
      </c>
      <c r="E618">
        <f>SUM(_xlfn.XLOOKUP(tblCalculo[[#This Row],[NR_SIMULACAO]],tblVendas[[#This Row],[NR_SIMULACAO]],tblVendas[[#This Row],[VALOR_MOVEL]],""):_xlfn.XLOOKUP(tblCalculo[[#This Row],[NR_SIMULACAO]],tblVendas[[#This Row],[NR_SIMULACAO]],tblVendas[[#This Row],[VALOR_APARELHO]],""))</f>
        <v>9377.4699999999993</v>
      </c>
      <c r="F618">
        <f>IF(tblCalculo[[#This Row],[STATUS]]="CONCLUÍDO",_xlfn.XLOOKUP(tblCalculo[[#This Row],[NR_SIMULACAO]],tblVendas[[#This Row],[NR_SIMULACAO]],tblVendas[[#This Row],[VALOR_MOVEL]],""),0)</f>
        <v>0</v>
      </c>
      <c r="G618">
        <f>IF(tblCalculo[[#This Row],[STATUS]]="CONCLUÍDO",_xlfn.XLOOKUP(tblCalculo[[#This Row],[NR_SIMULACAO]],tblVendas[[#This Row],[NR_SIMULACAO]],tblVendas[[#This Row],[VALOR_AVANCADO]],""),0)</f>
        <v>0</v>
      </c>
      <c r="H618">
        <f>IF(tblCalculo[[#This Row],[STATUS]]="CONCLUÍDO",_xlfn.XLOOKUP(tblCalculo[[#This Row],[NR_SIMULACAO]],tblVendas[[#This Row],[NR_SIMULACAO]],tblVendas[[#This Row],[VALOR_FIXABASICA]],""),0)</f>
        <v>0</v>
      </c>
      <c r="I618">
        <f>IF(tblCalculo[[#This Row],[STATUS]]="CONCLUÍDO",_xlfn.XLOOKUP(tblCalculo[[#This Row],[NR_SIMULACAO]],tblVendas[[#This Row],[NR_SIMULACAO]],tblVendas[[#This Row],[VALOR_TI]],""),0)</f>
        <v>0</v>
      </c>
      <c r="J618">
        <f>IF(tblCalculo[[#This Row],[STATUS]]="CONCLUÍDO",_xlfn.XLOOKUP(tblCalculo[[#This Row],[NR_SIMULACAO]],tblVendas[[#This Row],[NR_SIMULACAO]],tblVendas[[#This Row],[VALOR_APARELHO]],""),0)</f>
        <v>0</v>
      </c>
      <c r="K618">
        <f>IF(tblCalculo[[#This Row],[STATUS]]="NEGOCIANDO",tblCalculo[[#This Row],[VALOR_TOTAL]],"")</f>
        <v>9377.4699999999993</v>
      </c>
      <c r="L618" t="str">
        <f>IF(tblCalculo[[#This Row],[STATUS]]="ALÇADA",tblCalculo[[#This Row],[VALOR_TOTAL]],"")</f>
        <v/>
      </c>
      <c r="M618" t="str">
        <f>IF(tblCalculo[[#This Row],[STATUS]]="EM ANÁLISE",tblCalculo[[#This Row],[VALOR_TOTAL]],"")</f>
        <v/>
      </c>
      <c r="N618" t="str">
        <f>IF(tblCalculo[[#This Row],[STATUS]]="TRAMITANDO",tblCalculo[[#This Row],[VALOR_TOTAL]],"")</f>
        <v/>
      </c>
      <c r="O618" t="str">
        <f>IF(tblCalculo[[#This Row],[STATUS]]="PERDIDO",tblCalculo[[#This Row],[VALOR_TOTAL]],"")</f>
        <v/>
      </c>
      <c r="P618" t="str">
        <f>IF(tblCalculo[[#This Row],[STATUS]]="CONCLUÍDO",tblCalculo[[#This Row],[VALOR_TOTAL]],"")</f>
        <v/>
      </c>
    </row>
    <row r="619" spans="1:16" x14ac:dyDescent="0.25">
      <c r="A619" t="str">
        <f>tblVendas[[#This Row],[NR_SIMULACAO]]</f>
        <v>SIM1609</v>
      </c>
      <c r="B619" s="34" t="str">
        <f>_xlfn.XLOOKUP(A619,tblVendas[[#This Row],[NR_SIMULACAO]],tblVendas[[#This Row],[NR_CNPJ]],"")</f>
        <v>56.953.838/0001-64</v>
      </c>
      <c r="C619" t="str">
        <f>_xlfn.XLOOKUP(A619,tblVendas[[#This Row],[NR_SIMULACAO]],tblVendas[[#This Row],[STATUS]],"")</f>
        <v>ALÇADA</v>
      </c>
      <c r="D619" t="str">
        <f>_xlfn.XLOOKUP(A619,tblVendas[[#This Row],[NR_SIMULACAO]],tblVendas[[#This Row],[MES]],"")</f>
        <v>Fevereiro</v>
      </c>
      <c r="E619">
        <f>SUM(_xlfn.XLOOKUP(tblCalculo[[#This Row],[NR_SIMULACAO]],tblVendas[[#This Row],[NR_SIMULACAO]],tblVendas[[#This Row],[VALOR_MOVEL]],""):_xlfn.XLOOKUP(tblCalculo[[#This Row],[NR_SIMULACAO]],tblVendas[[#This Row],[NR_SIMULACAO]],tblVendas[[#This Row],[VALOR_APARELHO]],""))</f>
        <v>1066.01</v>
      </c>
      <c r="F619">
        <f>IF(tblCalculo[[#This Row],[STATUS]]="CONCLUÍDO",_xlfn.XLOOKUP(tblCalculo[[#This Row],[NR_SIMULACAO]],tblVendas[[#This Row],[NR_SIMULACAO]],tblVendas[[#This Row],[VALOR_MOVEL]],""),0)</f>
        <v>0</v>
      </c>
      <c r="G619">
        <f>IF(tblCalculo[[#This Row],[STATUS]]="CONCLUÍDO",_xlfn.XLOOKUP(tblCalculo[[#This Row],[NR_SIMULACAO]],tblVendas[[#This Row],[NR_SIMULACAO]],tblVendas[[#This Row],[VALOR_AVANCADO]],""),0)</f>
        <v>0</v>
      </c>
      <c r="H619">
        <f>IF(tblCalculo[[#This Row],[STATUS]]="CONCLUÍDO",_xlfn.XLOOKUP(tblCalculo[[#This Row],[NR_SIMULACAO]],tblVendas[[#This Row],[NR_SIMULACAO]],tblVendas[[#This Row],[VALOR_FIXABASICA]],""),0)</f>
        <v>0</v>
      </c>
      <c r="I619">
        <f>IF(tblCalculo[[#This Row],[STATUS]]="CONCLUÍDO",_xlfn.XLOOKUP(tblCalculo[[#This Row],[NR_SIMULACAO]],tblVendas[[#This Row],[NR_SIMULACAO]],tblVendas[[#This Row],[VALOR_TI]],""),0)</f>
        <v>0</v>
      </c>
      <c r="J619">
        <f>IF(tblCalculo[[#This Row],[STATUS]]="CONCLUÍDO",_xlfn.XLOOKUP(tblCalculo[[#This Row],[NR_SIMULACAO]],tblVendas[[#This Row],[NR_SIMULACAO]],tblVendas[[#This Row],[VALOR_APARELHO]],""),0)</f>
        <v>0</v>
      </c>
      <c r="K619" t="str">
        <f>IF(tblCalculo[[#This Row],[STATUS]]="NEGOCIANDO",tblCalculo[[#This Row],[VALOR_TOTAL]],"")</f>
        <v/>
      </c>
      <c r="L619">
        <f>IF(tblCalculo[[#This Row],[STATUS]]="ALÇADA",tblCalculo[[#This Row],[VALOR_TOTAL]],"")</f>
        <v>1066.01</v>
      </c>
      <c r="M619" t="str">
        <f>IF(tblCalculo[[#This Row],[STATUS]]="EM ANÁLISE",tblCalculo[[#This Row],[VALOR_TOTAL]],"")</f>
        <v/>
      </c>
      <c r="N619" t="str">
        <f>IF(tblCalculo[[#This Row],[STATUS]]="TRAMITANDO",tblCalculo[[#This Row],[VALOR_TOTAL]],"")</f>
        <v/>
      </c>
      <c r="O619" t="str">
        <f>IF(tblCalculo[[#This Row],[STATUS]]="PERDIDO",tblCalculo[[#This Row],[VALOR_TOTAL]],"")</f>
        <v/>
      </c>
      <c r="P619" t="str">
        <f>IF(tblCalculo[[#This Row],[STATUS]]="CONCLUÍDO",tblCalculo[[#This Row],[VALOR_TOTAL]],"")</f>
        <v/>
      </c>
    </row>
    <row r="620" spans="1:16" x14ac:dyDescent="0.25">
      <c r="A620" t="str">
        <f>tblVendas[[#This Row],[NR_SIMULACAO]]</f>
        <v>SIM1610</v>
      </c>
      <c r="B620" s="34" t="str">
        <f>_xlfn.XLOOKUP(A620,tblVendas[[#This Row],[NR_SIMULACAO]],tblVendas[[#This Row],[NR_CNPJ]],"")</f>
        <v>19.645.813/0001-81</v>
      </c>
      <c r="C620" t="str">
        <f>_xlfn.XLOOKUP(A620,tblVendas[[#This Row],[NR_SIMULACAO]],tblVendas[[#This Row],[STATUS]],"")</f>
        <v>ALÇADA</v>
      </c>
      <c r="D620" t="str">
        <f>_xlfn.XLOOKUP(A620,tblVendas[[#This Row],[NR_SIMULACAO]],tblVendas[[#This Row],[MES]],"")</f>
        <v>Fevereiro</v>
      </c>
      <c r="E620">
        <f>SUM(_xlfn.XLOOKUP(tblCalculo[[#This Row],[NR_SIMULACAO]],tblVendas[[#This Row],[NR_SIMULACAO]],tblVendas[[#This Row],[VALOR_MOVEL]],""):_xlfn.XLOOKUP(tblCalculo[[#This Row],[NR_SIMULACAO]],tblVendas[[#This Row],[NR_SIMULACAO]],tblVendas[[#This Row],[VALOR_APARELHO]],""))</f>
        <v>1412.82</v>
      </c>
      <c r="F620">
        <f>IF(tblCalculo[[#This Row],[STATUS]]="CONCLUÍDO",_xlfn.XLOOKUP(tblCalculo[[#This Row],[NR_SIMULACAO]],tblVendas[[#This Row],[NR_SIMULACAO]],tblVendas[[#This Row],[VALOR_MOVEL]],""),0)</f>
        <v>0</v>
      </c>
      <c r="G620">
        <f>IF(tblCalculo[[#This Row],[STATUS]]="CONCLUÍDO",_xlfn.XLOOKUP(tblCalculo[[#This Row],[NR_SIMULACAO]],tblVendas[[#This Row],[NR_SIMULACAO]],tblVendas[[#This Row],[VALOR_AVANCADO]],""),0)</f>
        <v>0</v>
      </c>
      <c r="H620">
        <f>IF(tblCalculo[[#This Row],[STATUS]]="CONCLUÍDO",_xlfn.XLOOKUP(tblCalculo[[#This Row],[NR_SIMULACAO]],tblVendas[[#This Row],[NR_SIMULACAO]],tblVendas[[#This Row],[VALOR_FIXABASICA]],""),0)</f>
        <v>0</v>
      </c>
      <c r="I620">
        <f>IF(tblCalculo[[#This Row],[STATUS]]="CONCLUÍDO",_xlfn.XLOOKUP(tblCalculo[[#This Row],[NR_SIMULACAO]],tblVendas[[#This Row],[NR_SIMULACAO]],tblVendas[[#This Row],[VALOR_TI]],""),0)</f>
        <v>0</v>
      </c>
      <c r="J620">
        <f>IF(tblCalculo[[#This Row],[STATUS]]="CONCLUÍDO",_xlfn.XLOOKUP(tblCalculo[[#This Row],[NR_SIMULACAO]],tblVendas[[#This Row],[NR_SIMULACAO]],tblVendas[[#This Row],[VALOR_APARELHO]],""),0)</f>
        <v>0</v>
      </c>
      <c r="K620" t="str">
        <f>IF(tblCalculo[[#This Row],[STATUS]]="NEGOCIANDO",tblCalculo[[#This Row],[VALOR_TOTAL]],"")</f>
        <v/>
      </c>
      <c r="L620">
        <f>IF(tblCalculo[[#This Row],[STATUS]]="ALÇADA",tblCalculo[[#This Row],[VALOR_TOTAL]],"")</f>
        <v>1412.82</v>
      </c>
      <c r="M620" t="str">
        <f>IF(tblCalculo[[#This Row],[STATUS]]="EM ANÁLISE",tblCalculo[[#This Row],[VALOR_TOTAL]],"")</f>
        <v/>
      </c>
      <c r="N620" t="str">
        <f>IF(tblCalculo[[#This Row],[STATUS]]="TRAMITANDO",tblCalculo[[#This Row],[VALOR_TOTAL]],"")</f>
        <v/>
      </c>
      <c r="O620" t="str">
        <f>IF(tblCalculo[[#This Row],[STATUS]]="PERDIDO",tblCalculo[[#This Row],[VALOR_TOTAL]],"")</f>
        <v/>
      </c>
      <c r="P620" t="str">
        <f>IF(tblCalculo[[#This Row],[STATUS]]="CONCLUÍDO",tblCalculo[[#This Row],[VALOR_TOTAL]],"")</f>
        <v/>
      </c>
    </row>
    <row r="621" spans="1:16" x14ac:dyDescent="0.25">
      <c r="A621" t="str">
        <f>tblVendas[[#This Row],[NR_SIMULACAO]]</f>
        <v>SIM1611</v>
      </c>
      <c r="B621" s="34" t="str">
        <f>_xlfn.XLOOKUP(A621,tblVendas[[#This Row],[NR_SIMULACAO]],tblVendas[[#This Row],[NR_CNPJ]],"")</f>
        <v>75.938.984/0001-68</v>
      </c>
      <c r="C621" t="str">
        <f>_xlfn.XLOOKUP(A621,tblVendas[[#This Row],[NR_SIMULACAO]],tblVendas[[#This Row],[STATUS]],"")</f>
        <v>EM ANÁLISE</v>
      </c>
      <c r="D621" t="str">
        <f>_xlfn.XLOOKUP(A621,tblVendas[[#This Row],[NR_SIMULACAO]],tblVendas[[#This Row],[MES]],"")</f>
        <v>Novembro</v>
      </c>
      <c r="E621">
        <f>SUM(_xlfn.XLOOKUP(tblCalculo[[#This Row],[NR_SIMULACAO]],tblVendas[[#This Row],[NR_SIMULACAO]],tblVendas[[#This Row],[VALOR_MOVEL]],""):_xlfn.XLOOKUP(tblCalculo[[#This Row],[NR_SIMULACAO]],tblVendas[[#This Row],[NR_SIMULACAO]],tblVendas[[#This Row],[VALOR_APARELHO]],""))</f>
        <v>2613.23</v>
      </c>
      <c r="F621">
        <f>IF(tblCalculo[[#This Row],[STATUS]]="CONCLUÍDO",_xlfn.XLOOKUP(tblCalculo[[#This Row],[NR_SIMULACAO]],tblVendas[[#This Row],[NR_SIMULACAO]],tblVendas[[#This Row],[VALOR_MOVEL]],""),0)</f>
        <v>0</v>
      </c>
      <c r="G621">
        <f>IF(tblCalculo[[#This Row],[STATUS]]="CONCLUÍDO",_xlfn.XLOOKUP(tblCalculo[[#This Row],[NR_SIMULACAO]],tblVendas[[#This Row],[NR_SIMULACAO]],tblVendas[[#This Row],[VALOR_AVANCADO]],""),0)</f>
        <v>0</v>
      </c>
      <c r="H621">
        <f>IF(tblCalculo[[#This Row],[STATUS]]="CONCLUÍDO",_xlfn.XLOOKUP(tblCalculo[[#This Row],[NR_SIMULACAO]],tblVendas[[#This Row],[NR_SIMULACAO]],tblVendas[[#This Row],[VALOR_FIXABASICA]],""),0)</f>
        <v>0</v>
      </c>
      <c r="I621">
        <f>IF(tblCalculo[[#This Row],[STATUS]]="CONCLUÍDO",_xlfn.XLOOKUP(tblCalculo[[#This Row],[NR_SIMULACAO]],tblVendas[[#This Row],[NR_SIMULACAO]],tblVendas[[#This Row],[VALOR_TI]],""),0)</f>
        <v>0</v>
      </c>
      <c r="J621">
        <f>IF(tblCalculo[[#This Row],[STATUS]]="CONCLUÍDO",_xlfn.XLOOKUP(tblCalculo[[#This Row],[NR_SIMULACAO]],tblVendas[[#This Row],[NR_SIMULACAO]],tblVendas[[#This Row],[VALOR_APARELHO]],""),0)</f>
        <v>0</v>
      </c>
      <c r="K621" t="str">
        <f>IF(tblCalculo[[#This Row],[STATUS]]="NEGOCIANDO",tblCalculo[[#This Row],[VALOR_TOTAL]],"")</f>
        <v/>
      </c>
      <c r="L621" t="str">
        <f>IF(tblCalculo[[#This Row],[STATUS]]="ALÇADA",tblCalculo[[#This Row],[VALOR_TOTAL]],"")</f>
        <v/>
      </c>
      <c r="M621">
        <f>IF(tblCalculo[[#This Row],[STATUS]]="EM ANÁLISE",tblCalculo[[#This Row],[VALOR_TOTAL]],"")</f>
        <v>2613.23</v>
      </c>
      <c r="N621" t="str">
        <f>IF(tblCalculo[[#This Row],[STATUS]]="TRAMITANDO",tblCalculo[[#This Row],[VALOR_TOTAL]],"")</f>
        <v/>
      </c>
      <c r="O621" t="str">
        <f>IF(tblCalculo[[#This Row],[STATUS]]="PERDIDO",tblCalculo[[#This Row],[VALOR_TOTAL]],"")</f>
        <v/>
      </c>
      <c r="P621" t="str">
        <f>IF(tblCalculo[[#This Row],[STATUS]]="CONCLUÍDO",tblCalculo[[#This Row],[VALOR_TOTAL]],"")</f>
        <v/>
      </c>
    </row>
    <row r="622" spans="1:16" x14ac:dyDescent="0.25">
      <c r="A622" t="str">
        <f>tblVendas[[#This Row],[NR_SIMULACAO]]</f>
        <v>SIM1612</v>
      </c>
      <c r="B622" s="34" t="str">
        <f>_xlfn.XLOOKUP(A622,tblVendas[[#This Row],[NR_SIMULACAO]],tblVendas[[#This Row],[NR_CNPJ]],"")</f>
        <v>67.708.128/0001-73</v>
      </c>
      <c r="C622" t="str">
        <f>_xlfn.XLOOKUP(A622,tblVendas[[#This Row],[NR_SIMULACAO]],tblVendas[[#This Row],[STATUS]],"")</f>
        <v>EM ANÁLISE</v>
      </c>
      <c r="D622" t="str">
        <f>_xlfn.XLOOKUP(A622,tblVendas[[#This Row],[NR_SIMULACAO]],tblVendas[[#This Row],[MES]],"")</f>
        <v>Julho</v>
      </c>
      <c r="E622">
        <f>SUM(_xlfn.XLOOKUP(tblCalculo[[#This Row],[NR_SIMULACAO]],tblVendas[[#This Row],[NR_SIMULACAO]],tblVendas[[#This Row],[VALOR_MOVEL]],""):_xlfn.XLOOKUP(tblCalculo[[#This Row],[NR_SIMULACAO]],tblVendas[[#This Row],[NR_SIMULACAO]],tblVendas[[#This Row],[VALOR_APARELHO]],""))</f>
        <v>16109.08</v>
      </c>
      <c r="F622">
        <f>IF(tblCalculo[[#This Row],[STATUS]]="CONCLUÍDO",_xlfn.XLOOKUP(tblCalculo[[#This Row],[NR_SIMULACAO]],tblVendas[[#This Row],[NR_SIMULACAO]],tblVendas[[#This Row],[VALOR_MOVEL]],""),0)</f>
        <v>0</v>
      </c>
      <c r="G622">
        <f>IF(tblCalculo[[#This Row],[STATUS]]="CONCLUÍDO",_xlfn.XLOOKUP(tblCalculo[[#This Row],[NR_SIMULACAO]],tblVendas[[#This Row],[NR_SIMULACAO]],tblVendas[[#This Row],[VALOR_AVANCADO]],""),0)</f>
        <v>0</v>
      </c>
      <c r="H622">
        <f>IF(tblCalculo[[#This Row],[STATUS]]="CONCLUÍDO",_xlfn.XLOOKUP(tblCalculo[[#This Row],[NR_SIMULACAO]],tblVendas[[#This Row],[NR_SIMULACAO]],tblVendas[[#This Row],[VALOR_FIXABASICA]],""),0)</f>
        <v>0</v>
      </c>
      <c r="I622">
        <f>IF(tblCalculo[[#This Row],[STATUS]]="CONCLUÍDO",_xlfn.XLOOKUP(tblCalculo[[#This Row],[NR_SIMULACAO]],tblVendas[[#This Row],[NR_SIMULACAO]],tblVendas[[#This Row],[VALOR_TI]],""),0)</f>
        <v>0</v>
      </c>
      <c r="J622">
        <f>IF(tblCalculo[[#This Row],[STATUS]]="CONCLUÍDO",_xlfn.XLOOKUP(tblCalculo[[#This Row],[NR_SIMULACAO]],tblVendas[[#This Row],[NR_SIMULACAO]],tblVendas[[#This Row],[VALOR_APARELHO]],""),0)</f>
        <v>0</v>
      </c>
      <c r="K622" t="str">
        <f>IF(tblCalculo[[#This Row],[STATUS]]="NEGOCIANDO",tblCalculo[[#This Row],[VALOR_TOTAL]],"")</f>
        <v/>
      </c>
      <c r="L622" t="str">
        <f>IF(tblCalculo[[#This Row],[STATUS]]="ALÇADA",tblCalculo[[#This Row],[VALOR_TOTAL]],"")</f>
        <v/>
      </c>
      <c r="M622">
        <f>IF(tblCalculo[[#This Row],[STATUS]]="EM ANÁLISE",tblCalculo[[#This Row],[VALOR_TOTAL]],"")</f>
        <v>16109.08</v>
      </c>
      <c r="N622" t="str">
        <f>IF(tblCalculo[[#This Row],[STATUS]]="TRAMITANDO",tblCalculo[[#This Row],[VALOR_TOTAL]],"")</f>
        <v/>
      </c>
      <c r="O622" t="str">
        <f>IF(tblCalculo[[#This Row],[STATUS]]="PERDIDO",tblCalculo[[#This Row],[VALOR_TOTAL]],"")</f>
        <v/>
      </c>
      <c r="P622" t="str">
        <f>IF(tblCalculo[[#This Row],[STATUS]]="CONCLUÍDO",tblCalculo[[#This Row],[VALOR_TOTAL]],"")</f>
        <v/>
      </c>
    </row>
    <row r="623" spans="1:16" x14ac:dyDescent="0.25">
      <c r="A623" t="str">
        <f>tblVendas[[#This Row],[NR_SIMULACAO]]</f>
        <v>SIM1613</v>
      </c>
      <c r="B623" s="34" t="str">
        <f>_xlfn.XLOOKUP(A623,tblVendas[[#This Row],[NR_SIMULACAO]],tblVendas[[#This Row],[NR_CNPJ]],"")</f>
        <v>97.230.187/0001-34</v>
      </c>
      <c r="C623" t="str">
        <f>_xlfn.XLOOKUP(A623,tblVendas[[#This Row],[NR_SIMULACAO]],tblVendas[[#This Row],[STATUS]],"")</f>
        <v>CONCLUÍDO</v>
      </c>
      <c r="D623" t="str">
        <f>_xlfn.XLOOKUP(A623,tblVendas[[#This Row],[NR_SIMULACAO]],tblVendas[[#This Row],[MES]],"")</f>
        <v>Julho</v>
      </c>
      <c r="E623">
        <f>SUM(_xlfn.XLOOKUP(tblCalculo[[#This Row],[NR_SIMULACAO]],tblVendas[[#This Row],[NR_SIMULACAO]],tblVendas[[#This Row],[VALOR_MOVEL]],""):_xlfn.XLOOKUP(tblCalculo[[#This Row],[NR_SIMULACAO]],tblVendas[[#This Row],[NR_SIMULACAO]],tblVendas[[#This Row],[VALOR_APARELHO]],""))</f>
        <v>1245.3699999999999</v>
      </c>
      <c r="F623">
        <f>IF(tblCalculo[[#This Row],[STATUS]]="CONCLUÍDO",_xlfn.XLOOKUP(tblCalculo[[#This Row],[NR_SIMULACAO]],tblVendas[[#This Row],[NR_SIMULACAO]],tblVendas[[#This Row],[VALOR_MOVEL]],""),0)</f>
        <v>0</v>
      </c>
      <c r="G623">
        <f>IF(tblCalculo[[#This Row],[STATUS]]="CONCLUÍDO",_xlfn.XLOOKUP(tblCalculo[[#This Row],[NR_SIMULACAO]],tblVendas[[#This Row],[NR_SIMULACAO]],tblVendas[[#This Row],[VALOR_AVANCADO]],""),0)</f>
        <v>0</v>
      </c>
      <c r="H623">
        <f>IF(tblCalculo[[#This Row],[STATUS]]="CONCLUÍDO",_xlfn.XLOOKUP(tblCalculo[[#This Row],[NR_SIMULACAO]],tblVendas[[#This Row],[NR_SIMULACAO]],tblVendas[[#This Row],[VALOR_FIXABASICA]],""),0)</f>
        <v>1245.3699999999999</v>
      </c>
      <c r="I623">
        <f>IF(tblCalculo[[#This Row],[STATUS]]="CONCLUÍDO",_xlfn.XLOOKUP(tblCalculo[[#This Row],[NR_SIMULACAO]],tblVendas[[#This Row],[NR_SIMULACAO]],tblVendas[[#This Row],[VALOR_TI]],""),0)</f>
        <v>0</v>
      </c>
      <c r="J623">
        <f>IF(tblCalculo[[#This Row],[STATUS]]="CONCLUÍDO",_xlfn.XLOOKUP(tblCalculo[[#This Row],[NR_SIMULACAO]],tblVendas[[#This Row],[NR_SIMULACAO]],tblVendas[[#This Row],[VALOR_APARELHO]],""),0)</f>
        <v>0</v>
      </c>
      <c r="K623" t="str">
        <f>IF(tblCalculo[[#This Row],[STATUS]]="NEGOCIANDO",tblCalculo[[#This Row],[VALOR_TOTAL]],"")</f>
        <v/>
      </c>
      <c r="L623" t="str">
        <f>IF(tblCalculo[[#This Row],[STATUS]]="ALÇADA",tblCalculo[[#This Row],[VALOR_TOTAL]],"")</f>
        <v/>
      </c>
      <c r="M623" t="str">
        <f>IF(tblCalculo[[#This Row],[STATUS]]="EM ANÁLISE",tblCalculo[[#This Row],[VALOR_TOTAL]],"")</f>
        <v/>
      </c>
      <c r="N623" t="str">
        <f>IF(tblCalculo[[#This Row],[STATUS]]="TRAMITANDO",tblCalculo[[#This Row],[VALOR_TOTAL]],"")</f>
        <v/>
      </c>
      <c r="O623" t="str">
        <f>IF(tblCalculo[[#This Row],[STATUS]]="PERDIDO",tblCalculo[[#This Row],[VALOR_TOTAL]],"")</f>
        <v/>
      </c>
      <c r="P623">
        <f>IF(tblCalculo[[#This Row],[STATUS]]="CONCLUÍDO",tblCalculo[[#This Row],[VALOR_TOTAL]],"")</f>
        <v>1245.3699999999999</v>
      </c>
    </row>
    <row r="624" spans="1:16" x14ac:dyDescent="0.25">
      <c r="A624" t="str">
        <f>tblVendas[[#This Row],[NR_SIMULACAO]]</f>
        <v>SIM1614</v>
      </c>
      <c r="B624" s="34" t="str">
        <f>_xlfn.XLOOKUP(A624,tblVendas[[#This Row],[NR_SIMULACAO]],tblVendas[[#This Row],[NR_CNPJ]],"")</f>
        <v>57.415.617/0001-79</v>
      </c>
      <c r="C624" t="str">
        <f>_xlfn.XLOOKUP(A624,tblVendas[[#This Row],[NR_SIMULACAO]],tblVendas[[#This Row],[STATUS]],"")</f>
        <v>EM ANÁLISE</v>
      </c>
      <c r="D624" t="str">
        <f>_xlfn.XLOOKUP(A624,tblVendas[[#This Row],[NR_SIMULACAO]],tblVendas[[#This Row],[MES]],"")</f>
        <v>Abril</v>
      </c>
      <c r="E624">
        <f>SUM(_xlfn.XLOOKUP(tblCalculo[[#This Row],[NR_SIMULACAO]],tblVendas[[#This Row],[NR_SIMULACAO]],tblVendas[[#This Row],[VALOR_MOVEL]],""):_xlfn.XLOOKUP(tblCalculo[[#This Row],[NR_SIMULACAO]],tblVendas[[#This Row],[NR_SIMULACAO]],tblVendas[[#This Row],[VALOR_APARELHO]],""))</f>
        <v>19504.98</v>
      </c>
      <c r="F624">
        <f>IF(tblCalculo[[#This Row],[STATUS]]="CONCLUÍDO",_xlfn.XLOOKUP(tblCalculo[[#This Row],[NR_SIMULACAO]],tblVendas[[#This Row],[NR_SIMULACAO]],tblVendas[[#This Row],[VALOR_MOVEL]],""),0)</f>
        <v>0</v>
      </c>
      <c r="G624">
        <f>IF(tblCalculo[[#This Row],[STATUS]]="CONCLUÍDO",_xlfn.XLOOKUP(tblCalculo[[#This Row],[NR_SIMULACAO]],tblVendas[[#This Row],[NR_SIMULACAO]],tblVendas[[#This Row],[VALOR_AVANCADO]],""),0)</f>
        <v>0</v>
      </c>
      <c r="H624">
        <f>IF(tblCalculo[[#This Row],[STATUS]]="CONCLUÍDO",_xlfn.XLOOKUP(tblCalculo[[#This Row],[NR_SIMULACAO]],tblVendas[[#This Row],[NR_SIMULACAO]],tblVendas[[#This Row],[VALOR_FIXABASICA]],""),0)</f>
        <v>0</v>
      </c>
      <c r="I624">
        <f>IF(tblCalculo[[#This Row],[STATUS]]="CONCLUÍDO",_xlfn.XLOOKUP(tblCalculo[[#This Row],[NR_SIMULACAO]],tblVendas[[#This Row],[NR_SIMULACAO]],tblVendas[[#This Row],[VALOR_TI]],""),0)</f>
        <v>0</v>
      </c>
      <c r="J624">
        <f>IF(tblCalculo[[#This Row],[STATUS]]="CONCLUÍDO",_xlfn.XLOOKUP(tblCalculo[[#This Row],[NR_SIMULACAO]],tblVendas[[#This Row],[NR_SIMULACAO]],tblVendas[[#This Row],[VALOR_APARELHO]],""),0)</f>
        <v>0</v>
      </c>
      <c r="K624" t="str">
        <f>IF(tblCalculo[[#This Row],[STATUS]]="NEGOCIANDO",tblCalculo[[#This Row],[VALOR_TOTAL]],"")</f>
        <v/>
      </c>
      <c r="L624" t="str">
        <f>IF(tblCalculo[[#This Row],[STATUS]]="ALÇADA",tblCalculo[[#This Row],[VALOR_TOTAL]],"")</f>
        <v/>
      </c>
      <c r="M624">
        <f>IF(tblCalculo[[#This Row],[STATUS]]="EM ANÁLISE",tblCalculo[[#This Row],[VALOR_TOTAL]],"")</f>
        <v>19504.98</v>
      </c>
      <c r="N624" t="str">
        <f>IF(tblCalculo[[#This Row],[STATUS]]="TRAMITANDO",tblCalculo[[#This Row],[VALOR_TOTAL]],"")</f>
        <v/>
      </c>
      <c r="O624" t="str">
        <f>IF(tblCalculo[[#This Row],[STATUS]]="PERDIDO",tblCalculo[[#This Row],[VALOR_TOTAL]],"")</f>
        <v/>
      </c>
      <c r="P624" t="str">
        <f>IF(tblCalculo[[#This Row],[STATUS]]="CONCLUÍDO",tblCalculo[[#This Row],[VALOR_TOTAL]],"")</f>
        <v/>
      </c>
    </row>
    <row r="625" spans="1:16" x14ac:dyDescent="0.25">
      <c r="A625" t="str">
        <f>tblVendas[[#This Row],[NR_SIMULACAO]]</f>
        <v>SIM1615</v>
      </c>
      <c r="B625" s="34" t="str">
        <f>_xlfn.XLOOKUP(A625,tblVendas[[#This Row],[NR_SIMULACAO]],tblVendas[[#This Row],[NR_CNPJ]],"")</f>
        <v>92.551.810/0001-98</v>
      </c>
      <c r="C625" t="str">
        <f>_xlfn.XLOOKUP(A625,tblVendas[[#This Row],[NR_SIMULACAO]],tblVendas[[#This Row],[STATUS]],"")</f>
        <v>ALÇADA</v>
      </c>
      <c r="D625" t="str">
        <f>_xlfn.XLOOKUP(A625,tblVendas[[#This Row],[NR_SIMULACAO]],tblVendas[[#This Row],[MES]],"")</f>
        <v>Janeiro</v>
      </c>
      <c r="E625">
        <f>SUM(_xlfn.XLOOKUP(tblCalculo[[#This Row],[NR_SIMULACAO]],tblVendas[[#This Row],[NR_SIMULACAO]],tblVendas[[#This Row],[VALOR_MOVEL]],""):_xlfn.XLOOKUP(tblCalculo[[#This Row],[NR_SIMULACAO]],tblVendas[[#This Row],[NR_SIMULACAO]],tblVendas[[#This Row],[VALOR_APARELHO]],""))</f>
        <v>5455.02</v>
      </c>
      <c r="F625">
        <f>IF(tblCalculo[[#This Row],[STATUS]]="CONCLUÍDO",_xlfn.XLOOKUP(tblCalculo[[#This Row],[NR_SIMULACAO]],tblVendas[[#This Row],[NR_SIMULACAO]],tblVendas[[#This Row],[VALOR_MOVEL]],""),0)</f>
        <v>0</v>
      </c>
      <c r="G625">
        <f>IF(tblCalculo[[#This Row],[STATUS]]="CONCLUÍDO",_xlfn.XLOOKUP(tblCalculo[[#This Row],[NR_SIMULACAO]],tblVendas[[#This Row],[NR_SIMULACAO]],tblVendas[[#This Row],[VALOR_AVANCADO]],""),0)</f>
        <v>0</v>
      </c>
      <c r="H625">
        <f>IF(tblCalculo[[#This Row],[STATUS]]="CONCLUÍDO",_xlfn.XLOOKUP(tblCalculo[[#This Row],[NR_SIMULACAO]],tblVendas[[#This Row],[NR_SIMULACAO]],tblVendas[[#This Row],[VALOR_FIXABASICA]],""),0)</f>
        <v>0</v>
      </c>
      <c r="I625">
        <f>IF(tblCalculo[[#This Row],[STATUS]]="CONCLUÍDO",_xlfn.XLOOKUP(tblCalculo[[#This Row],[NR_SIMULACAO]],tblVendas[[#This Row],[NR_SIMULACAO]],tblVendas[[#This Row],[VALOR_TI]],""),0)</f>
        <v>0</v>
      </c>
      <c r="J625">
        <f>IF(tblCalculo[[#This Row],[STATUS]]="CONCLUÍDO",_xlfn.XLOOKUP(tblCalculo[[#This Row],[NR_SIMULACAO]],tblVendas[[#This Row],[NR_SIMULACAO]],tblVendas[[#This Row],[VALOR_APARELHO]],""),0)</f>
        <v>0</v>
      </c>
      <c r="K625" t="str">
        <f>IF(tblCalculo[[#This Row],[STATUS]]="NEGOCIANDO",tblCalculo[[#This Row],[VALOR_TOTAL]],"")</f>
        <v/>
      </c>
      <c r="L625">
        <f>IF(tblCalculo[[#This Row],[STATUS]]="ALÇADA",tblCalculo[[#This Row],[VALOR_TOTAL]],"")</f>
        <v>5455.02</v>
      </c>
      <c r="M625" t="str">
        <f>IF(tblCalculo[[#This Row],[STATUS]]="EM ANÁLISE",tblCalculo[[#This Row],[VALOR_TOTAL]],"")</f>
        <v/>
      </c>
      <c r="N625" t="str">
        <f>IF(tblCalculo[[#This Row],[STATUS]]="TRAMITANDO",tblCalculo[[#This Row],[VALOR_TOTAL]],"")</f>
        <v/>
      </c>
      <c r="O625" t="str">
        <f>IF(tblCalculo[[#This Row],[STATUS]]="PERDIDO",tblCalculo[[#This Row],[VALOR_TOTAL]],"")</f>
        <v/>
      </c>
      <c r="P625" t="str">
        <f>IF(tblCalculo[[#This Row],[STATUS]]="CONCLUÍDO",tblCalculo[[#This Row],[VALOR_TOTAL]],"")</f>
        <v/>
      </c>
    </row>
    <row r="626" spans="1:16" x14ac:dyDescent="0.25">
      <c r="A626" t="str">
        <f>tblVendas[[#This Row],[NR_SIMULACAO]]</f>
        <v>SIM1616</v>
      </c>
      <c r="B626" s="34" t="str">
        <f>_xlfn.XLOOKUP(A626,tblVendas[[#This Row],[NR_SIMULACAO]],tblVendas[[#This Row],[NR_CNPJ]],"")</f>
        <v>81.192.615/0001-85</v>
      </c>
      <c r="C626" t="str">
        <f>_xlfn.XLOOKUP(A626,tblVendas[[#This Row],[NR_SIMULACAO]],tblVendas[[#This Row],[STATUS]],"")</f>
        <v>NEGOCIANDO</v>
      </c>
      <c r="D626" t="str">
        <f>_xlfn.XLOOKUP(A626,tblVendas[[#This Row],[NR_SIMULACAO]],tblVendas[[#This Row],[MES]],"")</f>
        <v>Outubro</v>
      </c>
      <c r="E626">
        <f>SUM(_xlfn.XLOOKUP(tblCalculo[[#This Row],[NR_SIMULACAO]],tblVendas[[#This Row],[NR_SIMULACAO]],tblVendas[[#This Row],[VALOR_MOVEL]],""):_xlfn.XLOOKUP(tblCalculo[[#This Row],[NR_SIMULACAO]],tblVendas[[#This Row],[NR_SIMULACAO]],tblVendas[[#This Row],[VALOR_APARELHO]],""))</f>
        <v>16119.23</v>
      </c>
      <c r="F626">
        <f>IF(tblCalculo[[#This Row],[STATUS]]="CONCLUÍDO",_xlfn.XLOOKUP(tblCalculo[[#This Row],[NR_SIMULACAO]],tblVendas[[#This Row],[NR_SIMULACAO]],tblVendas[[#This Row],[VALOR_MOVEL]],""),0)</f>
        <v>0</v>
      </c>
      <c r="G626">
        <f>IF(tblCalculo[[#This Row],[STATUS]]="CONCLUÍDO",_xlfn.XLOOKUP(tblCalculo[[#This Row],[NR_SIMULACAO]],tblVendas[[#This Row],[NR_SIMULACAO]],tblVendas[[#This Row],[VALOR_AVANCADO]],""),0)</f>
        <v>0</v>
      </c>
      <c r="H626">
        <f>IF(tblCalculo[[#This Row],[STATUS]]="CONCLUÍDO",_xlfn.XLOOKUP(tblCalculo[[#This Row],[NR_SIMULACAO]],tblVendas[[#This Row],[NR_SIMULACAO]],tblVendas[[#This Row],[VALOR_FIXABASICA]],""),0)</f>
        <v>0</v>
      </c>
      <c r="I626">
        <f>IF(tblCalculo[[#This Row],[STATUS]]="CONCLUÍDO",_xlfn.XLOOKUP(tblCalculo[[#This Row],[NR_SIMULACAO]],tblVendas[[#This Row],[NR_SIMULACAO]],tblVendas[[#This Row],[VALOR_TI]],""),0)</f>
        <v>0</v>
      </c>
      <c r="J626">
        <f>IF(tblCalculo[[#This Row],[STATUS]]="CONCLUÍDO",_xlfn.XLOOKUP(tblCalculo[[#This Row],[NR_SIMULACAO]],tblVendas[[#This Row],[NR_SIMULACAO]],tblVendas[[#This Row],[VALOR_APARELHO]],""),0)</f>
        <v>0</v>
      </c>
      <c r="K626">
        <f>IF(tblCalculo[[#This Row],[STATUS]]="NEGOCIANDO",tblCalculo[[#This Row],[VALOR_TOTAL]],"")</f>
        <v>16119.23</v>
      </c>
      <c r="L626" t="str">
        <f>IF(tblCalculo[[#This Row],[STATUS]]="ALÇADA",tblCalculo[[#This Row],[VALOR_TOTAL]],"")</f>
        <v/>
      </c>
      <c r="M626" t="str">
        <f>IF(tblCalculo[[#This Row],[STATUS]]="EM ANÁLISE",tblCalculo[[#This Row],[VALOR_TOTAL]],"")</f>
        <v/>
      </c>
      <c r="N626" t="str">
        <f>IF(tblCalculo[[#This Row],[STATUS]]="TRAMITANDO",tblCalculo[[#This Row],[VALOR_TOTAL]],"")</f>
        <v/>
      </c>
      <c r="O626" t="str">
        <f>IF(tblCalculo[[#This Row],[STATUS]]="PERDIDO",tblCalculo[[#This Row],[VALOR_TOTAL]],"")</f>
        <v/>
      </c>
      <c r="P626" t="str">
        <f>IF(tblCalculo[[#This Row],[STATUS]]="CONCLUÍDO",tblCalculo[[#This Row],[VALOR_TOTAL]],"")</f>
        <v/>
      </c>
    </row>
    <row r="627" spans="1:16" x14ac:dyDescent="0.25">
      <c r="A627" t="str">
        <f>tblVendas[[#This Row],[NR_SIMULACAO]]</f>
        <v>SIM1617</v>
      </c>
      <c r="B627" s="34" t="str">
        <f>_xlfn.XLOOKUP(A627,tblVendas[[#This Row],[NR_SIMULACAO]],tblVendas[[#This Row],[NR_CNPJ]],"")</f>
        <v>20.145.987/0001-47</v>
      </c>
      <c r="C627" t="str">
        <f>_xlfn.XLOOKUP(A627,tblVendas[[#This Row],[NR_SIMULACAO]],tblVendas[[#This Row],[STATUS]],"")</f>
        <v>NEGOCIANDO</v>
      </c>
      <c r="D627" t="str">
        <f>_xlfn.XLOOKUP(A627,tblVendas[[#This Row],[NR_SIMULACAO]],tblVendas[[#This Row],[MES]],"")</f>
        <v>Dezembro</v>
      </c>
      <c r="E627">
        <f>SUM(_xlfn.XLOOKUP(tblCalculo[[#This Row],[NR_SIMULACAO]],tblVendas[[#This Row],[NR_SIMULACAO]],tblVendas[[#This Row],[VALOR_MOVEL]],""):_xlfn.XLOOKUP(tblCalculo[[#This Row],[NR_SIMULACAO]],tblVendas[[#This Row],[NR_SIMULACAO]],tblVendas[[#This Row],[VALOR_APARELHO]],""))</f>
        <v>12243.67</v>
      </c>
      <c r="F627">
        <f>IF(tblCalculo[[#This Row],[STATUS]]="CONCLUÍDO",_xlfn.XLOOKUP(tblCalculo[[#This Row],[NR_SIMULACAO]],tblVendas[[#This Row],[NR_SIMULACAO]],tblVendas[[#This Row],[VALOR_MOVEL]],""),0)</f>
        <v>0</v>
      </c>
      <c r="G627">
        <f>IF(tblCalculo[[#This Row],[STATUS]]="CONCLUÍDO",_xlfn.XLOOKUP(tblCalculo[[#This Row],[NR_SIMULACAO]],tblVendas[[#This Row],[NR_SIMULACAO]],tblVendas[[#This Row],[VALOR_AVANCADO]],""),0)</f>
        <v>0</v>
      </c>
      <c r="H627">
        <f>IF(tblCalculo[[#This Row],[STATUS]]="CONCLUÍDO",_xlfn.XLOOKUP(tblCalculo[[#This Row],[NR_SIMULACAO]],tblVendas[[#This Row],[NR_SIMULACAO]],tblVendas[[#This Row],[VALOR_FIXABASICA]],""),0)</f>
        <v>0</v>
      </c>
      <c r="I627">
        <f>IF(tblCalculo[[#This Row],[STATUS]]="CONCLUÍDO",_xlfn.XLOOKUP(tblCalculo[[#This Row],[NR_SIMULACAO]],tblVendas[[#This Row],[NR_SIMULACAO]],tblVendas[[#This Row],[VALOR_TI]],""),0)</f>
        <v>0</v>
      </c>
      <c r="J627">
        <f>IF(tblCalculo[[#This Row],[STATUS]]="CONCLUÍDO",_xlfn.XLOOKUP(tblCalculo[[#This Row],[NR_SIMULACAO]],tblVendas[[#This Row],[NR_SIMULACAO]],tblVendas[[#This Row],[VALOR_APARELHO]],""),0)</f>
        <v>0</v>
      </c>
      <c r="K627">
        <f>IF(tblCalculo[[#This Row],[STATUS]]="NEGOCIANDO",tblCalculo[[#This Row],[VALOR_TOTAL]],"")</f>
        <v>12243.67</v>
      </c>
      <c r="L627" t="str">
        <f>IF(tblCalculo[[#This Row],[STATUS]]="ALÇADA",tblCalculo[[#This Row],[VALOR_TOTAL]],"")</f>
        <v/>
      </c>
      <c r="M627" t="str">
        <f>IF(tblCalculo[[#This Row],[STATUS]]="EM ANÁLISE",tblCalculo[[#This Row],[VALOR_TOTAL]],"")</f>
        <v/>
      </c>
      <c r="N627" t="str">
        <f>IF(tblCalculo[[#This Row],[STATUS]]="TRAMITANDO",tblCalculo[[#This Row],[VALOR_TOTAL]],"")</f>
        <v/>
      </c>
      <c r="O627" t="str">
        <f>IF(tblCalculo[[#This Row],[STATUS]]="PERDIDO",tblCalculo[[#This Row],[VALOR_TOTAL]],"")</f>
        <v/>
      </c>
      <c r="P627" t="str">
        <f>IF(tblCalculo[[#This Row],[STATUS]]="CONCLUÍDO",tblCalculo[[#This Row],[VALOR_TOTAL]],"")</f>
        <v/>
      </c>
    </row>
    <row r="628" spans="1:16" x14ac:dyDescent="0.25">
      <c r="A628" t="str">
        <f>tblVendas[[#This Row],[NR_SIMULACAO]]</f>
        <v>SIM1618</v>
      </c>
      <c r="B628" s="34" t="str">
        <f>_xlfn.XLOOKUP(A628,tblVendas[[#This Row],[NR_SIMULACAO]],tblVendas[[#This Row],[NR_CNPJ]],"")</f>
        <v>79.572.138/0001-34</v>
      </c>
      <c r="C628" t="str">
        <f>_xlfn.XLOOKUP(A628,tblVendas[[#This Row],[NR_SIMULACAO]],tblVendas[[#This Row],[STATUS]],"")</f>
        <v>ALÇADA</v>
      </c>
      <c r="D628" t="str">
        <f>_xlfn.XLOOKUP(A628,tblVendas[[#This Row],[NR_SIMULACAO]],tblVendas[[#This Row],[MES]],"")</f>
        <v>Maio</v>
      </c>
      <c r="E628">
        <f>SUM(_xlfn.XLOOKUP(tblCalculo[[#This Row],[NR_SIMULACAO]],tblVendas[[#This Row],[NR_SIMULACAO]],tblVendas[[#This Row],[VALOR_MOVEL]],""):_xlfn.XLOOKUP(tblCalculo[[#This Row],[NR_SIMULACAO]],tblVendas[[#This Row],[NR_SIMULACAO]],tblVendas[[#This Row],[VALOR_APARELHO]],""))</f>
        <v>6364.8899999999994</v>
      </c>
      <c r="F628">
        <f>IF(tblCalculo[[#This Row],[STATUS]]="CONCLUÍDO",_xlfn.XLOOKUP(tblCalculo[[#This Row],[NR_SIMULACAO]],tblVendas[[#This Row],[NR_SIMULACAO]],tblVendas[[#This Row],[VALOR_MOVEL]],""),0)</f>
        <v>0</v>
      </c>
      <c r="G628">
        <f>IF(tblCalculo[[#This Row],[STATUS]]="CONCLUÍDO",_xlfn.XLOOKUP(tblCalculo[[#This Row],[NR_SIMULACAO]],tblVendas[[#This Row],[NR_SIMULACAO]],tblVendas[[#This Row],[VALOR_AVANCADO]],""),0)</f>
        <v>0</v>
      </c>
      <c r="H628">
        <f>IF(tblCalculo[[#This Row],[STATUS]]="CONCLUÍDO",_xlfn.XLOOKUP(tblCalculo[[#This Row],[NR_SIMULACAO]],tblVendas[[#This Row],[NR_SIMULACAO]],tblVendas[[#This Row],[VALOR_FIXABASICA]],""),0)</f>
        <v>0</v>
      </c>
      <c r="I628">
        <f>IF(tblCalculo[[#This Row],[STATUS]]="CONCLUÍDO",_xlfn.XLOOKUP(tblCalculo[[#This Row],[NR_SIMULACAO]],tblVendas[[#This Row],[NR_SIMULACAO]],tblVendas[[#This Row],[VALOR_TI]],""),0)</f>
        <v>0</v>
      </c>
      <c r="J628">
        <f>IF(tblCalculo[[#This Row],[STATUS]]="CONCLUÍDO",_xlfn.XLOOKUP(tblCalculo[[#This Row],[NR_SIMULACAO]],tblVendas[[#This Row],[NR_SIMULACAO]],tblVendas[[#This Row],[VALOR_APARELHO]],""),0)</f>
        <v>0</v>
      </c>
      <c r="K628" t="str">
        <f>IF(tblCalculo[[#This Row],[STATUS]]="NEGOCIANDO",tblCalculo[[#This Row],[VALOR_TOTAL]],"")</f>
        <v/>
      </c>
      <c r="L628">
        <f>IF(tblCalculo[[#This Row],[STATUS]]="ALÇADA",tblCalculo[[#This Row],[VALOR_TOTAL]],"")</f>
        <v>6364.8899999999994</v>
      </c>
      <c r="M628" t="str">
        <f>IF(tblCalculo[[#This Row],[STATUS]]="EM ANÁLISE",tblCalculo[[#This Row],[VALOR_TOTAL]],"")</f>
        <v/>
      </c>
      <c r="N628" t="str">
        <f>IF(tblCalculo[[#This Row],[STATUS]]="TRAMITANDO",tblCalculo[[#This Row],[VALOR_TOTAL]],"")</f>
        <v/>
      </c>
      <c r="O628" t="str">
        <f>IF(tblCalculo[[#This Row],[STATUS]]="PERDIDO",tblCalculo[[#This Row],[VALOR_TOTAL]],"")</f>
        <v/>
      </c>
      <c r="P628" t="str">
        <f>IF(tblCalculo[[#This Row],[STATUS]]="CONCLUÍDO",tblCalculo[[#This Row],[VALOR_TOTAL]],"")</f>
        <v/>
      </c>
    </row>
    <row r="629" spans="1:16" x14ac:dyDescent="0.25">
      <c r="A629" t="str">
        <f>tblVendas[[#This Row],[NR_SIMULACAO]]</f>
        <v>SIM1619</v>
      </c>
      <c r="B629" s="34" t="str">
        <f>_xlfn.XLOOKUP(A629,tblVendas[[#This Row],[NR_SIMULACAO]],tblVendas[[#This Row],[NR_CNPJ]],"")</f>
        <v>35.949.146/0001-34</v>
      </c>
      <c r="C629" t="str">
        <f>_xlfn.XLOOKUP(A629,tblVendas[[#This Row],[NR_SIMULACAO]],tblVendas[[#This Row],[STATUS]],"")</f>
        <v>TRAMITANDO</v>
      </c>
      <c r="D629" t="str">
        <f>_xlfn.XLOOKUP(A629,tblVendas[[#This Row],[NR_SIMULACAO]],tblVendas[[#This Row],[MES]],"")</f>
        <v>Março</v>
      </c>
      <c r="E629">
        <f>SUM(_xlfn.XLOOKUP(tblCalculo[[#This Row],[NR_SIMULACAO]],tblVendas[[#This Row],[NR_SIMULACAO]],tblVendas[[#This Row],[VALOR_MOVEL]],""):_xlfn.XLOOKUP(tblCalculo[[#This Row],[NR_SIMULACAO]],tblVendas[[#This Row],[NR_SIMULACAO]],tblVendas[[#This Row],[VALOR_APARELHO]],""))</f>
        <v>13392.64</v>
      </c>
      <c r="F629">
        <f>IF(tblCalculo[[#This Row],[STATUS]]="CONCLUÍDO",_xlfn.XLOOKUP(tblCalculo[[#This Row],[NR_SIMULACAO]],tblVendas[[#This Row],[NR_SIMULACAO]],tblVendas[[#This Row],[VALOR_MOVEL]],""),0)</f>
        <v>0</v>
      </c>
      <c r="G629">
        <f>IF(tblCalculo[[#This Row],[STATUS]]="CONCLUÍDO",_xlfn.XLOOKUP(tblCalculo[[#This Row],[NR_SIMULACAO]],tblVendas[[#This Row],[NR_SIMULACAO]],tblVendas[[#This Row],[VALOR_AVANCADO]],""),0)</f>
        <v>0</v>
      </c>
      <c r="H629">
        <f>IF(tblCalculo[[#This Row],[STATUS]]="CONCLUÍDO",_xlfn.XLOOKUP(tblCalculo[[#This Row],[NR_SIMULACAO]],tblVendas[[#This Row],[NR_SIMULACAO]],tblVendas[[#This Row],[VALOR_FIXABASICA]],""),0)</f>
        <v>0</v>
      </c>
      <c r="I629">
        <f>IF(tblCalculo[[#This Row],[STATUS]]="CONCLUÍDO",_xlfn.XLOOKUP(tblCalculo[[#This Row],[NR_SIMULACAO]],tblVendas[[#This Row],[NR_SIMULACAO]],tblVendas[[#This Row],[VALOR_TI]],""),0)</f>
        <v>0</v>
      </c>
      <c r="J629">
        <f>IF(tblCalculo[[#This Row],[STATUS]]="CONCLUÍDO",_xlfn.XLOOKUP(tblCalculo[[#This Row],[NR_SIMULACAO]],tblVendas[[#This Row],[NR_SIMULACAO]],tblVendas[[#This Row],[VALOR_APARELHO]],""),0)</f>
        <v>0</v>
      </c>
      <c r="K629" t="str">
        <f>IF(tblCalculo[[#This Row],[STATUS]]="NEGOCIANDO",tblCalculo[[#This Row],[VALOR_TOTAL]],"")</f>
        <v/>
      </c>
      <c r="L629" t="str">
        <f>IF(tblCalculo[[#This Row],[STATUS]]="ALÇADA",tblCalculo[[#This Row],[VALOR_TOTAL]],"")</f>
        <v/>
      </c>
      <c r="M629" t="str">
        <f>IF(tblCalculo[[#This Row],[STATUS]]="EM ANÁLISE",tblCalculo[[#This Row],[VALOR_TOTAL]],"")</f>
        <v/>
      </c>
      <c r="N629">
        <f>IF(tblCalculo[[#This Row],[STATUS]]="TRAMITANDO",tblCalculo[[#This Row],[VALOR_TOTAL]],"")</f>
        <v>13392.64</v>
      </c>
      <c r="O629" t="str">
        <f>IF(tblCalculo[[#This Row],[STATUS]]="PERDIDO",tblCalculo[[#This Row],[VALOR_TOTAL]],"")</f>
        <v/>
      </c>
      <c r="P629" t="str">
        <f>IF(tblCalculo[[#This Row],[STATUS]]="CONCLUÍDO",tblCalculo[[#This Row],[VALOR_TOTAL]],"")</f>
        <v/>
      </c>
    </row>
    <row r="630" spans="1:16" x14ac:dyDescent="0.25">
      <c r="A630" t="str">
        <f>tblVendas[[#This Row],[NR_SIMULACAO]]</f>
        <v>SIM1620</v>
      </c>
      <c r="B630" s="34" t="str">
        <f>_xlfn.XLOOKUP(A630,tblVendas[[#This Row],[NR_SIMULACAO]],tblVendas[[#This Row],[NR_CNPJ]],"")</f>
        <v>46.446.340/0001-18</v>
      </c>
      <c r="C630" t="str">
        <f>_xlfn.XLOOKUP(A630,tblVendas[[#This Row],[NR_SIMULACAO]],tblVendas[[#This Row],[STATUS]],"")</f>
        <v>CONCLUÍDO</v>
      </c>
      <c r="D630" t="str">
        <f>_xlfn.XLOOKUP(A630,tblVendas[[#This Row],[NR_SIMULACAO]],tblVendas[[#This Row],[MES]],"")</f>
        <v>Maio</v>
      </c>
      <c r="E630">
        <f>SUM(_xlfn.XLOOKUP(tblCalculo[[#This Row],[NR_SIMULACAO]],tblVendas[[#This Row],[NR_SIMULACAO]],tblVendas[[#This Row],[VALOR_MOVEL]],""):_xlfn.XLOOKUP(tblCalculo[[#This Row],[NR_SIMULACAO]],tblVendas[[#This Row],[NR_SIMULACAO]],tblVendas[[#This Row],[VALOR_APARELHO]],""))</f>
        <v>7987.8700000000008</v>
      </c>
      <c r="F630">
        <f>IF(tblCalculo[[#This Row],[STATUS]]="CONCLUÍDO",_xlfn.XLOOKUP(tblCalculo[[#This Row],[NR_SIMULACAO]],tblVendas[[#This Row],[NR_SIMULACAO]],tblVendas[[#This Row],[VALOR_MOVEL]],""),0)</f>
        <v>4460.5600000000004</v>
      </c>
      <c r="G630">
        <f>IF(tblCalculo[[#This Row],[STATUS]]="CONCLUÍDO",_xlfn.XLOOKUP(tblCalculo[[#This Row],[NR_SIMULACAO]],tblVendas[[#This Row],[NR_SIMULACAO]],tblVendas[[#This Row],[VALOR_AVANCADO]],""),0)</f>
        <v>0</v>
      </c>
      <c r="H630">
        <f>IF(tblCalculo[[#This Row],[STATUS]]="CONCLUÍDO",_xlfn.XLOOKUP(tblCalculo[[#This Row],[NR_SIMULACAO]],tblVendas[[#This Row],[NR_SIMULACAO]],tblVendas[[#This Row],[VALOR_FIXABASICA]],""),0)</f>
        <v>2769.76</v>
      </c>
      <c r="I630">
        <f>IF(tblCalculo[[#This Row],[STATUS]]="CONCLUÍDO",_xlfn.XLOOKUP(tblCalculo[[#This Row],[NR_SIMULACAO]],tblVendas[[#This Row],[NR_SIMULACAO]],tblVendas[[#This Row],[VALOR_TI]],""),0)</f>
        <v>0</v>
      </c>
      <c r="J630">
        <f>IF(tblCalculo[[#This Row],[STATUS]]="CONCLUÍDO",_xlfn.XLOOKUP(tblCalculo[[#This Row],[NR_SIMULACAO]],tblVendas[[#This Row],[NR_SIMULACAO]],tblVendas[[#This Row],[VALOR_APARELHO]],""),0)</f>
        <v>757.55</v>
      </c>
      <c r="K630" t="str">
        <f>IF(tblCalculo[[#This Row],[STATUS]]="NEGOCIANDO",tblCalculo[[#This Row],[VALOR_TOTAL]],"")</f>
        <v/>
      </c>
      <c r="L630" t="str">
        <f>IF(tblCalculo[[#This Row],[STATUS]]="ALÇADA",tblCalculo[[#This Row],[VALOR_TOTAL]],"")</f>
        <v/>
      </c>
      <c r="M630" t="str">
        <f>IF(tblCalculo[[#This Row],[STATUS]]="EM ANÁLISE",tblCalculo[[#This Row],[VALOR_TOTAL]],"")</f>
        <v/>
      </c>
      <c r="N630" t="str">
        <f>IF(tblCalculo[[#This Row],[STATUS]]="TRAMITANDO",tblCalculo[[#This Row],[VALOR_TOTAL]],"")</f>
        <v/>
      </c>
      <c r="O630" t="str">
        <f>IF(tblCalculo[[#This Row],[STATUS]]="PERDIDO",tblCalculo[[#This Row],[VALOR_TOTAL]],"")</f>
        <v/>
      </c>
      <c r="P630">
        <f>IF(tblCalculo[[#This Row],[STATUS]]="CONCLUÍDO",tblCalculo[[#This Row],[VALOR_TOTAL]],"")</f>
        <v>7987.8700000000008</v>
      </c>
    </row>
    <row r="631" spans="1:16" x14ac:dyDescent="0.25">
      <c r="A631" t="str">
        <f>tblVendas[[#This Row],[NR_SIMULACAO]]</f>
        <v>SIM1621</v>
      </c>
      <c r="B631" s="34" t="str">
        <f>_xlfn.XLOOKUP(A631,tblVendas[[#This Row],[NR_SIMULACAO]],tblVendas[[#This Row],[NR_CNPJ]],"")</f>
        <v>55.185.961/0001-81</v>
      </c>
      <c r="C631" t="str">
        <f>_xlfn.XLOOKUP(A631,tblVendas[[#This Row],[NR_SIMULACAO]],tblVendas[[#This Row],[STATUS]],"")</f>
        <v>PERDIDO</v>
      </c>
      <c r="D631" t="str">
        <f>_xlfn.XLOOKUP(A631,tblVendas[[#This Row],[NR_SIMULACAO]],tblVendas[[#This Row],[MES]],"")</f>
        <v>Abril</v>
      </c>
      <c r="E631">
        <f>SUM(_xlfn.XLOOKUP(tblCalculo[[#This Row],[NR_SIMULACAO]],tblVendas[[#This Row],[NR_SIMULACAO]],tblVendas[[#This Row],[VALOR_MOVEL]],""):_xlfn.XLOOKUP(tblCalculo[[#This Row],[NR_SIMULACAO]],tblVendas[[#This Row],[NR_SIMULACAO]],tblVendas[[#This Row],[VALOR_APARELHO]],""))</f>
        <v>6270.8</v>
      </c>
      <c r="F631">
        <f>IF(tblCalculo[[#This Row],[STATUS]]="CONCLUÍDO",_xlfn.XLOOKUP(tblCalculo[[#This Row],[NR_SIMULACAO]],tblVendas[[#This Row],[NR_SIMULACAO]],tblVendas[[#This Row],[VALOR_MOVEL]],""),0)</f>
        <v>0</v>
      </c>
      <c r="G631">
        <f>IF(tblCalculo[[#This Row],[STATUS]]="CONCLUÍDO",_xlfn.XLOOKUP(tblCalculo[[#This Row],[NR_SIMULACAO]],tblVendas[[#This Row],[NR_SIMULACAO]],tblVendas[[#This Row],[VALOR_AVANCADO]],""),0)</f>
        <v>0</v>
      </c>
      <c r="H631">
        <f>IF(tblCalculo[[#This Row],[STATUS]]="CONCLUÍDO",_xlfn.XLOOKUP(tblCalculo[[#This Row],[NR_SIMULACAO]],tblVendas[[#This Row],[NR_SIMULACAO]],tblVendas[[#This Row],[VALOR_FIXABASICA]],""),0)</f>
        <v>0</v>
      </c>
      <c r="I631">
        <f>IF(tblCalculo[[#This Row],[STATUS]]="CONCLUÍDO",_xlfn.XLOOKUP(tblCalculo[[#This Row],[NR_SIMULACAO]],tblVendas[[#This Row],[NR_SIMULACAO]],tblVendas[[#This Row],[VALOR_TI]],""),0)</f>
        <v>0</v>
      </c>
      <c r="J631">
        <f>IF(tblCalculo[[#This Row],[STATUS]]="CONCLUÍDO",_xlfn.XLOOKUP(tblCalculo[[#This Row],[NR_SIMULACAO]],tblVendas[[#This Row],[NR_SIMULACAO]],tblVendas[[#This Row],[VALOR_APARELHO]],""),0)</f>
        <v>0</v>
      </c>
      <c r="K631" t="str">
        <f>IF(tblCalculo[[#This Row],[STATUS]]="NEGOCIANDO",tblCalculo[[#This Row],[VALOR_TOTAL]],"")</f>
        <v/>
      </c>
      <c r="L631" t="str">
        <f>IF(tblCalculo[[#This Row],[STATUS]]="ALÇADA",tblCalculo[[#This Row],[VALOR_TOTAL]],"")</f>
        <v/>
      </c>
      <c r="M631" t="str">
        <f>IF(tblCalculo[[#This Row],[STATUS]]="EM ANÁLISE",tblCalculo[[#This Row],[VALOR_TOTAL]],"")</f>
        <v/>
      </c>
      <c r="N631" t="str">
        <f>IF(tblCalculo[[#This Row],[STATUS]]="TRAMITANDO",tblCalculo[[#This Row],[VALOR_TOTAL]],"")</f>
        <v/>
      </c>
      <c r="O631">
        <f>IF(tblCalculo[[#This Row],[STATUS]]="PERDIDO",tblCalculo[[#This Row],[VALOR_TOTAL]],"")</f>
        <v>6270.8</v>
      </c>
      <c r="P631" t="str">
        <f>IF(tblCalculo[[#This Row],[STATUS]]="CONCLUÍDO",tblCalculo[[#This Row],[VALOR_TOTAL]],"")</f>
        <v/>
      </c>
    </row>
    <row r="632" spans="1:16" x14ac:dyDescent="0.25">
      <c r="A632" t="str">
        <f>tblVendas[[#This Row],[NR_SIMULACAO]]</f>
        <v>SIM1622</v>
      </c>
      <c r="B632" s="34" t="str">
        <f>_xlfn.XLOOKUP(A632,tblVendas[[#This Row],[NR_SIMULACAO]],tblVendas[[#This Row],[NR_CNPJ]],"")</f>
        <v>74.637.792/0001-73</v>
      </c>
      <c r="C632" t="str">
        <f>_xlfn.XLOOKUP(A632,tblVendas[[#This Row],[NR_SIMULACAO]],tblVendas[[#This Row],[STATUS]],"")</f>
        <v>ALÇADA</v>
      </c>
      <c r="D632" t="str">
        <f>_xlfn.XLOOKUP(A632,tblVendas[[#This Row],[NR_SIMULACAO]],tblVendas[[#This Row],[MES]],"")</f>
        <v>Abril</v>
      </c>
      <c r="E632">
        <f>SUM(_xlfn.XLOOKUP(tblCalculo[[#This Row],[NR_SIMULACAO]],tblVendas[[#This Row],[NR_SIMULACAO]],tblVendas[[#This Row],[VALOR_MOVEL]],""):_xlfn.XLOOKUP(tblCalculo[[#This Row],[NR_SIMULACAO]],tblVendas[[#This Row],[NR_SIMULACAO]],tblVendas[[#This Row],[VALOR_APARELHO]],""))</f>
        <v>22909.690000000002</v>
      </c>
      <c r="F632">
        <f>IF(tblCalculo[[#This Row],[STATUS]]="CONCLUÍDO",_xlfn.XLOOKUP(tblCalculo[[#This Row],[NR_SIMULACAO]],tblVendas[[#This Row],[NR_SIMULACAO]],tblVendas[[#This Row],[VALOR_MOVEL]],""),0)</f>
        <v>0</v>
      </c>
      <c r="G632">
        <f>IF(tblCalculo[[#This Row],[STATUS]]="CONCLUÍDO",_xlfn.XLOOKUP(tblCalculo[[#This Row],[NR_SIMULACAO]],tblVendas[[#This Row],[NR_SIMULACAO]],tblVendas[[#This Row],[VALOR_AVANCADO]],""),0)</f>
        <v>0</v>
      </c>
      <c r="H632">
        <f>IF(tblCalculo[[#This Row],[STATUS]]="CONCLUÍDO",_xlfn.XLOOKUP(tblCalculo[[#This Row],[NR_SIMULACAO]],tblVendas[[#This Row],[NR_SIMULACAO]],tblVendas[[#This Row],[VALOR_FIXABASICA]],""),0)</f>
        <v>0</v>
      </c>
      <c r="I632">
        <f>IF(tblCalculo[[#This Row],[STATUS]]="CONCLUÍDO",_xlfn.XLOOKUP(tblCalculo[[#This Row],[NR_SIMULACAO]],tblVendas[[#This Row],[NR_SIMULACAO]],tblVendas[[#This Row],[VALOR_TI]],""),0)</f>
        <v>0</v>
      </c>
      <c r="J632">
        <f>IF(tblCalculo[[#This Row],[STATUS]]="CONCLUÍDO",_xlfn.XLOOKUP(tblCalculo[[#This Row],[NR_SIMULACAO]],tblVendas[[#This Row],[NR_SIMULACAO]],tblVendas[[#This Row],[VALOR_APARELHO]],""),0)</f>
        <v>0</v>
      </c>
      <c r="K632" t="str">
        <f>IF(tblCalculo[[#This Row],[STATUS]]="NEGOCIANDO",tblCalculo[[#This Row],[VALOR_TOTAL]],"")</f>
        <v/>
      </c>
      <c r="L632">
        <f>IF(tblCalculo[[#This Row],[STATUS]]="ALÇADA",tblCalculo[[#This Row],[VALOR_TOTAL]],"")</f>
        <v>22909.690000000002</v>
      </c>
      <c r="M632" t="str">
        <f>IF(tblCalculo[[#This Row],[STATUS]]="EM ANÁLISE",tblCalculo[[#This Row],[VALOR_TOTAL]],"")</f>
        <v/>
      </c>
      <c r="N632" t="str">
        <f>IF(tblCalculo[[#This Row],[STATUS]]="TRAMITANDO",tblCalculo[[#This Row],[VALOR_TOTAL]],"")</f>
        <v/>
      </c>
      <c r="O632" t="str">
        <f>IF(tblCalculo[[#This Row],[STATUS]]="PERDIDO",tblCalculo[[#This Row],[VALOR_TOTAL]],"")</f>
        <v/>
      </c>
      <c r="P632" t="str">
        <f>IF(tblCalculo[[#This Row],[STATUS]]="CONCLUÍDO",tblCalculo[[#This Row],[VALOR_TOTAL]],"")</f>
        <v/>
      </c>
    </row>
    <row r="633" spans="1:16" x14ac:dyDescent="0.25">
      <c r="A633" t="str">
        <f>tblVendas[[#This Row],[NR_SIMULACAO]]</f>
        <v>SIM1623</v>
      </c>
      <c r="B633" s="34" t="str">
        <f>_xlfn.XLOOKUP(A633,tblVendas[[#This Row],[NR_SIMULACAO]],tblVendas[[#This Row],[NR_CNPJ]],"")</f>
        <v>18.776.872/0001-13</v>
      </c>
      <c r="C633" t="str">
        <f>_xlfn.XLOOKUP(A633,tblVendas[[#This Row],[NR_SIMULACAO]],tblVendas[[#This Row],[STATUS]],"")</f>
        <v>TRAMITANDO</v>
      </c>
      <c r="D633" t="str">
        <f>_xlfn.XLOOKUP(A633,tblVendas[[#This Row],[NR_SIMULACAO]],tblVendas[[#This Row],[MES]],"")</f>
        <v>Junho</v>
      </c>
      <c r="E633">
        <f>SUM(_xlfn.XLOOKUP(tblCalculo[[#This Row],[NR_SIMULACAO]],tblVendas[[#This Row],[NR_SIMULACAO]],tblVendas[[#This Row],[VALOR_MOVEL]],""):_xlfn.XLOOKUP(tblCalculo[[#This Row],[NR_SIMULACAO]],tblVendas[[#This Row],[NR_SIMULACAO]],tblVendas[[#This Row],[VALOR_APARELHO]],""))</f>
        <v>10473.75</v>
      </c>
      <c r="F633">
        <f>IF(tblCalculo[[#This Row],[STATUS]]="CONCLUÍDO",_xlfn.XLOOKUP(tblCalculo[[#This Row],[NR_SIMULACAO]],tblVendas[[#This Row],[NR_SIMULACAO]],tblVendas[[#This Row],[VALOR_MOVEL]],""),0)</f>
        <v>0</v>
      </c>
      <c r="G633">
        <f>IF(tblCalculo[[#This Row],[STATUS]]="CONCLUÍDO",_xlfn.XLOOKUP(tblCalculo[[#This Row],[NR_SIMULACAO]],tblVendas[[#This Row],[NR_SIMULACAO]],tblVendas[[#This Row],[VALOR_AVANCADO]],""),0)</f>
        <v>0</v>
      </c>
      <c r="H633">
        <f>IF(tblCalculo[[#This Row],[STATUS]]="CONCLUÍDO",_xlfn.XLOOKUP(tblCalculo[[#This Row],[NR_SIMULACAO]],tblVendas[[#This Row],[NR_SIMULACAO]],tblVendas[[#This Row],[VALOR_FIXABASICA]],""),0)</f>
        <v>0</v>
      </c>
      <c r="I633">
        <f>IF(tblCalculo[[#This Row],[STATUS]]="CONCLUÍDO",_xlfn.XLOOKUP(tblCalculo[[#This Row],[NR_SIMULACAO]],tblVendas[[#This Row],[NR_SIMULACAO]],tblVendas[[#This Row],[VALOR_TI]],""),0)</f>
        <v>0</v>
      </c>
      <c r="J633">
        <f>IF(tblCalculo[[#This Row],[STATUS]]="CONCLUÍDO",_xlfn.XLOOKUP(tblCalculo[[#This Row],[NR_SIMULACAO]],tblVendas[[#This Row],[NR_SIMULACAO]],tblVendas[[#This Row],[VALOR_APARELHO]],""),0)</f>
        <v>0</v>
      </c>
      <c r="K633" t="str">
        <f>IF(tblCalculo[[#This Row],[STATUS]]="NEGOCIANDO",tblCalculo[[#This Row],[VALOR_TOTAL]],"")</f>
        <v/>
      </c>
      <c r="L633" t="str">
        <f>IF(tblCalculo[[#This Row],[STATUS]]="ALÇADA",tblCalculo[[#This Row],[VALOR_TOTAL]],"")</f>
        <v/>
      </c>
      <c r="M633" t="str">
        <f>IF(tblCalculo[[#This Row],[STATUS]]="EM ANÁLISE",tblCalculo[[#This Row],[VALOR_TOTAL]],"")</f>
        <v/>
      </c>
      <c r="N633">
        <f>IF(tblCalculo[[#This Row],[STATUS]]="TRAMITANDO",tblCalculo[[#This Row],[VALOR_TOTAL]],"")</f>
        <v>10473.75</v>
      </c>
      <c r="O633" t="str">
        <f>IF(tblCalculo[[#This Row],[STATUS]]="PERDIDO",tblCalculo[[#This Row],[VALOR_TOTAL]],"")</f>
        <v/>
      </c>
      <c r="P633" t="str">
        <f>IF(tblCalculo[[#This Row],[STATUS]]="CONCLUÍDO",tblCalculo[[#This Row],[VALOR_TOTAL]],"")</f>
        <v/>
      </c>
    </row>
    <row r="634" spans="1:16" x14ac:dyDescent="0.25">
      <c r="A634" t="str">
        <f>tblVendas[[#This Row],[NR_SIMULACAO]]</f>
        <v>SIM1624</v>
      </c>
      <c r="B634" s="34" t="str">
        <f>_xlfn.XLOOKUP(A634,tblVendas[[#This Row],[NR_SIMULACAO]],tblVendas[[#This Row],[NR_CNPJ]],"")</f>
        <v>81.668.377/0001-15</v>
      </c>
      <c r="C634" t="str">
        <f>_xlfn.XLOOKUP(A634,tblVendas[[#This Row],[NR_SIMULACAO]],tblVendas[[#This Row],[STATUS]],"")</f>
        <v>NEGOCIANDO</v>
      </c>
      <c r="D634" t="str">
        <f>_xlfn.XLOOKUP(A634,tblVendas[[#This Row],[NR_SIMULACAO]],tblVendas[[#This Row],[MES]],"")</f>
        <v>Maio</v>
      </c>
      <c r="E634">
        <f>SUM(_xlfn.XLOOKUP(tblCalculo[[#This Row],[NR_SIMULACAO]],tblVendas[[#This Row],[NR_SIMULACAO]],tblVendas[[#This Row],[VALOR_MOVEL]],""):_xlfn.XLOOKUP(tblCalculo[[#This Row],[NR_SIMULACAO]],tblVendas[[#This Row],[NR_SIMULACAO]],tblVendas[[#This Row],[VALOR_APARELHO]],""))</f>
        <v>7275.12</v>
      </c>
      <c r="F634">
        <f>IF(tblCalculo[[#This Row],[STATUS]]="CONCLUÍDO",_xlfn.XLOOKUP(tblCalculo[[#This Row],[NR_SIMULACAO]],tblVendas[[#This Row],[NR_SIMULACAO]],tblVendas[[#This Row],[VALOR_MOVEL]],""),0)</f>
        <v>0</v>
      </c>
      <c r="G634">
        <f>IF(tblCalculo[[#This Row],[STATUS]]="CONCLUÍDO",_xlfn.XLOOKUP(tblCalculo[[#This Row],[NR_SIMULACAO]],tblVendas[[#This Row],[NR_SIMULACAO]],tblVendas[[#This Row],[VALOR_AVANCADO]],""),0)</f>
        <v>0</v>
      </c>
      <c r="H634">
        <f>IF(tblCalculo[[#This Row],[STATUS]]="CONCLUÍDO",_xlfn.XLOOKUP(tblCalculo[[#This Row],[NR_SIMULACAO]],tblVendas[[#This Row],[NR_SIMULACAO]],tblVendas[[#This Row],[VALOR_FIXABASICA]],""),0)</f>
        <v>0</v>
      </c>
      <c r="I634">
        <f>IF(tblCalculo[[#This Row],[STATUS]]="CONCLUÍDO",_xlfn.XLOOKUP(tblCalculo[[#This Row],[NR_SIMULACAO]],tblVendas[[#This Row],[NR_SIMULACAO]],tblVendas[[#This Row],[VALOR_TI]],""),0)</f>
        <v>0</v>
      </c>
      <c r="J634">
        <f>IF(tblCalculo[[#This Row],[STATUS]]="CONCLUÍDO",_xlfn.XLOOKUP(tblCalculo[[#This Row],[NR_SIMULACAO]],tblVendas[[#This Row],[NR_SIMULACAO]],tblVendas[[#This Row],[VALOR_APARELHO]],""),0)</f>
        <v>0</v>
      </c>
      <c r="K634">
        <f>IF(tblCalculo[[#This Row],[STATUS]]="NEGOCIANDO",tblCalculo[[#This Row],[VALOR_TOTAL]],"")</f>
        <v>7275.12</v>
      </c>
      <c r="L634" t="str">
        <f>IF(tblCalculo[[#This Row],[STATUS]]="ALÇADA",tblCalculo[[#This Row],[VALOR_TOTAL]],"")</f>
        <v/>
      </c>
      <c r="M634" t="str">
        <f>IF(tblCalculo[[#This Row],[STATUS]]="EM ANÁLISE",tblCalculo[[#This Row],[VALOR_TOTAL]],"")</f>
        <v/>
      </c>
      <c r="N634" t="str">
        <f>IF(tblCalculo[[#This Row],[STATUS]]="TRAMITANDO",tblCalculo[[#This Row],[VALOR_TOTAL]],"")</f>
        <v/>
      </c>
      <c r="O634" t="str">
        <f>IF(tblCalculo[[#This Row],[STATUS]]="PERDIDO",tblCalculo[[#This Row],[VALOR_TOTAL]],"")</f>
        <v/>
      </c>
      <c r="P634" t="str">
        <f>IF(tblCalculo[[#This Row],[STATUS]]="CONCLUÍDO",tblCalculo[[#This Row],[VALOR_TOTAL]],"")</f>
        <v/>
      </c>
    </row>
    <row r="635" spans="1:16" x14ac:dyDescent="0.25">
      <c r="A635" t="str">
        <f>tblVendas[[#This Row],[NR_SIMULACAO]]</f>
        <v>SIM1625</v>
      </c>
      <c r="B635" s="34" t="str">
        <f>_xlfn.XLOOKUP(A635,tblVendas[[#This Row],[NR_SIMULACAO]],tblVendas[[#This Row],[NR_CNPJ]],"")</f>
        <v>66.395.762/0001-77</v>
      </c>
      <c r="C635" t="str">
        <f>_xlfn.XLOOKUP(A635,tblVendas[[#This Row],[NR_SIMULACAO]],tblVendas[[#This Row],[STATUS]],"")</f>
        <v>PERDIDO</v>
      </c>
      <c r="D635" t="str">
        <f>_xlfn.XLOOKUP(A635,tblVendas[[#This Row],[NR_SIMULACAO]],tblVendas[[#This Row],[MES]],"")</f>
        <v>Novembro</v>
      </c>
      <c r="E635">
        <f>SUM(_xlfn.XLOOKUP(tblCalculo[[#This Row],[NR_SIMULACAO]],tblVendas[[#This Row],[NR_SIMULACAO]],tblVendas[[#This Row],[VALOR_MOVEL]],""):_xlfn.XLOOKUP(tblCalculo[[#This Row],[NR_SIMULACAO]],tblVendas[[#This Row],[NR_SIMULACAO]],tblVendas[[#This Row],[VALOR_APARELHO]],""))</f>
        <v>15083.83</v>
      </c>
      <c r="F635">
        <f>IF(tblCalculo[[#This Row],[STATUS]]="CONCLUÍDO",_xlfn.XLOOKUP(tblCalculo[[#This Row],[NR_SIMULACAO]],tblVendas[[#This Row],[NR_SIMULACAO]],tblVendas[[#This Row],[VALOR_MOVEL]],""),0)</f>
        <v>0</v>
      </c>
      <c r="G635">
        <f>IF(tblCalculo[[#This Row],[STATUS]]="CONCLUÍDO",_xlfn.XLOOKUP(tblCalculo[[#This Row],[NR_SIMULACAO]],tblVendas[[#This Row],[NR_SIMULACAO]],tblVendas[[#This Row],[VALOR_AVANCADO]],""),0)</f>
        <v>0</v>
      </c>
      <c r="H635">
        <f>IF(tblCalculo[[#This Row],[STATUS]]="CONCLUÍDO",_xlfn.XLOOKUP(tblCalculo[[#This Row],[NR_SIMULACAO]],tblVendas[[#This Row],[NR_SIMULACAO]],tblVendas[[#This Row],[VALOR_FIXABASICA]],""),0)</f>
        <v>0</v>
      </c>
      <c r="I635">
        <f>IF(tblCalculo[[#This Row],[STATUS]]="CONCLUÍDO",_xlfn.XLOOKUP(tblCalculo[[#This Row],[NR_SIMULACAO]],tblVendas[[#This Row],[NR_SIMULACAO]],tblVendas[[#This Row],[VALOR_TI]],""),0)</f>
        <v>0</v>
      </c>
      <c r="J635">
        <f>IF(tblCalculo[[#This Row],[STATUS]]="CONCLUÍDO",_xlfn.XLOOKUP(tblCalculo[[#This Row],[NR_SIMULACAO]],tblVendas[[#This Row],[NR_SIMULACAO]],tblVendas[[#This Row],[VALOR_APARELHO]],""),0)</f>
        <v>0</v>
      </c>
      <c r="K635" t="str">
        <f>IF(tblCalculo[[#This Row],[STATUS]]="NEGOCIANDO",tblCalculo[[#This Row],[VALOR_TOTAL]],"")</f>
        <v/>
      </c>
      <c r="L635" t="str">
        <f>IF(tblCalculo[[#This Row],[STATUS]]="ALÇADA",tblCalculo[[#This Row],[VALOR_TOTAL]],"")</f>
        <v/>
      </c>
      <c r="M635" t="str">
        <f>IF(tblCalculo[[#This Row],[STATUS]]="EM ANÁLISE",tblCalculo[[#This Row],[VALOR_TOTAL]],"")</f>
        <v/>
      </c>
      <c r="N635" t="str">
        <f>IF(tblCalculo[[#This Row],[STATUS]]="TRAMITANDO",tblCalculo[[#This Row],[VALOR_TOTAL]],"")</f>
        <v/>
      </c>
      <c r="O635">
        <f>IF(tblCalculo[[#This Row],[STATUS]]="PERDIDO",tblCalculo[[#This Row],[VALOR_TOTAL]],"")</f>
        <v>15083.83</v>
      </c>
      <c r="P635" t="str">
        <f>IF(tblCalculo[[#This Row],[STATUS]]="CONCLUÍDO",tblCalculo[[#This Row],[VALOR_TOTAL]],"")</f>
        <v/>
      </c>
    </row>
    <row r="636" spans="1:16" x14ac:dyDescent="0.25">
      <c r="A636" t="str">
        <f>tblVendas[[#This Row],[NR_SIMULACAO]]</f>
        <v>SIM1626</v>
      </c>
      <c r="B636" s="34" t="str">
        <f>_xlfn.XLOOKUP(A636,tblVendas[[#This Row],[NR_SIMULACAO]],tblVendas[[#This Row],[NR_CNPJ]],"")</f>
        <v>13.171.378/0001-47</v>
      </c>
      <c r="C636" t="str">
        <f>_xlfn.XLOOKUP(A636,tblVendas[[#This Row],[NR_SIMULACAO]],tblVendas[[#This Row],[STATUS]],"")</f>
        <v>ALÇADA</v>
      </c>
      <c r="D636" t="str">
        <f>_xlfn.XLOOKUP(A636,tblVendas[[#This Row],[NR_SIMULACAO]],tblVendas[[#This Row],[MES]],"")</f>
        <v>Setembro</v>
      </c>
      <c r="E636">
        <f>SUM(_xlfn.XLOOKUP(tblCalculo[[#This Row],[NR_SIMULACAO]],tblVendas[[#This Row],[NR_SIMULACAO]],tblVendas[[#This Row],[VALOR_MOVEL]],""):_xlfn.XLOOKUP(tblCalculo[[#This Row],[NR_SIMULACAO]],tblVendas[[#This Row],[NR_SIMULACAO]],tblVendas[[#This Row],[VALOR_APARELHO]],""))</f>
        <v>7552.67</v>
      </c>
      <c r="F636">
        <f>IF(tblCalculo[[#This Row],[STATUS]]="CONCLUÍDO",_xlfn.XLOOKUP(tblCalculo[[#This Row],[NR_SIMULACAO]],tblVendas[[#This Row],[NR_SIMULACAO]],tblVendas[[#This Row],[VALOR_MOVEL]],""),0)</f>
        <v>0</v>
      </c>
      <c r="G636">
        <f>IF(tblCalculo[[#This Row],[STATUS]]="CONCLUÍDO",_xlfn.XLOOKUP(tblCalculo[[#This Row],[NR_SIMULACAO]],tblVendas[[#This Row],[NR_SIMULACAO]],tblVendas[[#This Row],[VALOR_AVANCADO]],""),0)</f>
        <v>0</v>
      </c>
      <c r="H636">
        <f>IF(tblCalculo[[#This Row],[STATUS]]="CONCLUÍDO",_xlfn.XLOOKUP(tblCalculo[[#This Row],[NR_SIMULACAO]],tblVendas[[#This Row],[NR_SIMULACAO]],tblVendas[[#This Row],[VALOR_FIXABASICA]],""),0)</f>
        <v>0</v>
      </c>
      <c r="I636">
        <f>IF(tblCalculo[[#This Row],[STATUS]]="CONCLUÍDO",_xlfn.XLOOKUP(tblCalculo[[#This Row],[NR_SIMULACAO]],tblVendas[[#This Row],[NR_SIMULACAO]],tblVendas[[#This Row],[VALOR_TI]],""),0)</f>
        <v>0</v>
      </c>
      <c r="J636">
        <f>IF(tblCalculo[[#This Row],[STATUS]]="CONCLUÍDO",_xlfn.XLOOKUP(tblCalculo[[#This Row],[NR_SIMULACAO]],tblVendas[[#This Row],[NR_SIMULACAO]],tblVendas[[#This Row],[VALOR_APARELHO]],""),0)</f>
        <v>0</v>
      </c>
      <c r="K636" t="str">
        <f>IF(tblCalculo[[#This Row],[STATUS]]="NEGOCIANDO",tblCalculo[[#This Row],[VALOR_TOTAL]],"")</f>
        <v/>
      </c>
      <c r="L636">
        <f>IF(tblCalculo[[#This Row],[STATUS]]="ALÇADA",tblCalculo[[#This Row],[VALOR_TOTAL]],"")</f>
        <v>7552.67</v>
      </c>
      <c r="M636" t="str">
        <f>IF(tblCalculo[[#This Row],[STATUS]]="EM ANÁLISE",tblCalculo[[#This Row],[VALOR_TOTAL]],"")</f>
        <v/>
      </c>
      <c r="N636" t="str">
        <f>IF(tblCalculo[[#This Row],[STATUS]]="TRAMITANDO",tblCalculo[[#This Row],[VALOR_TOTAL]],"")</f>
        <v/>
      </c>
      <c r="O636" t="str">
        <f>IF(tblCalculo[[#This Row],[STATUS]]="PERDIDO",tblCalculo[[#This Row],[VALOR_TOTAL]],"")</f>
        <v/>
      </c>
      <c r="P636" t="str">
        <f>IF(tblCalculo[[#This Row],[STATUS]]="CONCLUÍDO",tblCalculo[[#This Row],[VALOR_TOTAL]],"")</f>
        <v/>
      </c>
    </row>
    <row r="637" spans="1:16" x14ac:dyDescent="0.25">
      <c r="A637" t="str">
        <f>tblVendas[[#This Row],[NR_SIMULACAO]]</f>
        <v>SIM1627</v>
      </c>
      <c r="B637" s="34" t="str">
        <f>_xlfn.XLOOKUP(A637,tblVendas[[#This Row],[NR_SIMULACAO]],tblVendas[[#This Row],[NR_CNPJ]],"")</f>
        <v>59.673.286/0001-44</v>
      </c>
      <c r="C637" t="str">
        <f>_xlfn.XLOOKUP(A637,tblVendas[[#This Row],[NR_SIMULACAO]],tblVendas[[#This Row],[STATUS]],"")</f>
        <v>PERDIDO</v>
      </c>
      <c r="D637" t="str">
        <f>_xlfn.XLOOKUP(A637,tblVendas[[#This Row],[NR_SIMULACAO]],tblVendas[[#This Row],[MES]],"")</f>
        <v>Setembro</v>
      </c>
      <c r="E637">
        <f>SUM(_xlfn.XLOOKUP(tblCalculo[[#This Row],[NR_SIMULACAO]],tblVendas[[#This Row],[NR_SIMULACAO]],tblVendas[[#This Row],[VALOR_MOVEL]],""):_xlfn.XLOOKUP(tblCalculo[[#This Row],[NR_SIMULACAO]],tblVendas[[#This Row],[NR_SIMULACAO]],tblVendas[[#This Row],[VALOR_APARELHO]],""))</f>
        <v>2626.75</v>
      </c>
      <c r="F637">
        <f>IF(tblCalculo[[#This Row],[STATUS]]="CONCLUÍDO",_xlfn.XLOOKUP(tblCalculo[[#This Row],[NR_SIMULACAO]],tblVendas[[#This Row],[NR_SIMULACAO]],tblVendas[[#This Row],[VALOR_MOVEL]],""),0)</f>
        <v>0</v>
      </c>
      <c r="G637">
        <f>IF(tblCalculo[[#This Row],[STATUS]]="CONCLUÍDO",_xlfn.XLOOKUP(tblCalculo[[#This Row],[NR_SIMULACAO]],tblVendas[[#This Row],[NR_SIMULACAO]],tblVendas[[#This Row],[VALOR_AVANCADO]],""),0)</f>
        <v>0</v>
      </c>
      <c r="H637">
        <f>IF(tblCalculo[[#This Row],[STATUS]]="CONCLUÍDO",_xlfn.XLOOKUP(tblCalculo[[#This Row],[NR_SIMULACAO]],tblVendas[[#This Row],[NR_SIMULACAO]],tblVendas[[#This Row],[VALOR_FIXABASICA]],""),0)</f>
        <v>0</v>
      </c>
      <c r="I637">
        <f>IF(tblCalculo[[#This Row],[STATUS]]="CONCLUÍDO",_xlfn.XLOOKUP(tblCalculo[[#This Row],[NR_SIMULACAO]],tblVendas[[#This Row],[NR_SIMULACAO]],tblVendas[[#This Row],[VALOR_TI]],""),0)</f>
        <v>0</v>
      </c>
      <c r="J637">
        <f>IF(tblCalculo[[#This Row],[STATUS]]="CONCLUÍDO",_xlfn.XLOOKUP(tblCalculo[[#This Row],[NR_SIMULACAO]],tblVendas[[#This Row],[NR_SIMULACAO]],tblVendas[[#This Row],[VALOR_APARELHO]],""),0)</f>
        <v>0</v>
      </c>
      <c r="K637" t="str">
        <f>IF(tblCalculo[[#This Row],[STATUS]]="NEGOCIANDO",tblCalculo[[#This Row],[VALOR_TOTAL]],"")</f>
        <v/>
      </c>
      <c r="L637" t="str">
        <f>IF(tblCalculo[[#This Row],[STATUS]]="ALÇADA",tblCalculo[[#This Row],[VALOR_TOTAL]],"")</f>
        <v/>
      </c>
      <c r="M637" t="str">
        <f>IF(tblCalculo[[#This Row],[STATUS]]="EM ANÁLISE",tblCalculo[[#This Row],[VALOR_TOTAL]],"")</f>
        <v/>
      </c>
      <c r="N637" t="str">
        <f>IF(tblCalculo[[#This Row],[STATUS]]="TRAMITANDO",tblCalculo[[#This Row],[VALOR_TOTAL]],"")</f>
        <v/>
      </c>
      <c r="O637">
        <f>IF(tblCalculo[[#This Row],[STATUS]]="PERDIDO",tblCalculo[[#This Row],[VALOR_TOTAL]],"")</f>
        <v>2626.75</v>
      </c>
      <c r="P637" t="str">
        <f>IF(tblCalculo[[#This Row],[STATUS]]="CONCLUÍDO",tblCalculo[[#This Row],[VALOR_TOTAL]],"")</f>
        <v/>
      </c>
    </row>
    <row r="638" spans="1:16" x14ac:dyDescent="0.25">
      <c r="A638" t="str">
        <f>tblVendas[[#This Row],[NR_SIMULACAO]]</f>
        <v>SIM1628</v>
      </c>
      <c r="B638" s="34" t="str">
        <f>_xlfn.XLOOKUP(A638,tblVendas[[#This Row],[NR_SIMULACAO]],tblVendas[[#This Row],[NR_CNPJ]],"")</f>
        <v>36.109.521/0001-94</v>
      </c>
      <c r="C638" t="str">
        <f>_xlfn.XLOOKUP(A638,tblVendas[[#This Row],[NR_SIMULACAO]],tblVendas[[#This Row],[STATUS]],"")</f>
        <v>PERDIDO</v>
      </c>
      <c r="D638" t="str">
        <f>_xlfn.XLOOKUP(A638,tblVendas[[#This Row],[NR_SIMULACAO]],tblVendas[[#This Row],[MES]],"")</f>
        <v>Janeiro</v>
      </c>
      <c r="E638">
        <f>SUM(_xlfn.XLOOKUP(tblCalculo[[#This Row],[NR_SIMULACAO]],tblVendas[[#This Row],[NR_SIMULACAO]],tblVendas[[#This Row],[VALOR_MOVEL]],""):_xlfn.XLOOKUP(tblCalculo[[#This Row],[NR_SIMULACAO]],tblVendas[[#This Row],[NR_SIMULACAO]],tblVendas[[#This Row],[VALOR_APARELHO]],""))</f>
        <v>16594.03</v>
      </c>
      <c r="F638">
        <f>IF(tblCalculo[[#This Row],[STATUS]]="CONCLUÍDO",_xlfn.XLOOKUP(tblCalculo[[#This Row],[NR_SIMULACAO]],tblVendas[[#This Row],[NR_SIMULACAO]],tblVendas[[#This Row],[VALOR_MOVEL]],""),0)</f>
        <v>0</v>
      </c>
      <c r="G638">
        <f>IF(tblCalculo[[#This Row],[STATUS]]="CONCLUÍDO",_xlfn.XLOOKUP(tblCalculo[[#This Row],[NR_SIMULACAO]],tblVendas[[#This Row],[NR_SIMULACAO]],tblVendas[[#This Row],[VALOR_AVANCADO]],""),0)</f>
        <v>0</v>
      </c>
      <c r="H638">
        <f>IF(tblCalculo[[#This Row],[STATUS]]="CONCLUÍDO",_xlfn.XLOOKUP(tblCalculo[[#This Row],[NR_SIMULACAO]],tblVendas[[#This Row],[NR_SIMULACAO]],tblVendas[[#This Row],[VALOR_FIXABASICA]],""),0)</f>
        <v>0</v>
      </c>
      <c r="I638">
        <f>IF(tblCalculo[[#This Row],[STATUS]]="CONCLUÍDO",_xlfn.XLOOKUP(tblCalculo[[#This Row],[NR_SIMULACAO]],tblVendas[[#This Row],[NR_SIMULACAO]],tblVendas[[#This Row],[VALOR_TI]],""),0)</f>
        <v>0</v>
      </c>
      <c r="J638">
        <f>IF(tblCalculo[[#This Row],[STATUS]]="CONCLUÍDO",_xlfn.XLOOKUP(tblCalculo[[#This Row],[NR_SIMULACAO]],tblVendas[[#This Row],[NR_SIMULACAO]],tblVendas[[#This Row],[VALOR_APARELHO]],""),0)</f>
        <v>0</v>
      </c>
      <c r="K638" t="str">
        <f>IF(tblCalculo[[#This Row],[STATUS]]="NEGOCIANDO",tblCalculo[[#This Row],[VALOR_TOTAL]],"")</f>
        <v/>
      </c>
      <c r="L638" t="str">
        <f>IF(tblCalculo[[#This Row],[STATUS]]="ALÇADA",tblCalculo[[#This Row],[VALOR_TOTAL]],"")</f>
        <v/>
      </c>
      <c r="M638" t="str">
        <f>IF(tblCalculo[[#This Row],[STATUS]]="EM ANÁLISE",tblCalculo[[#This Row],[VALOR_TOTAL]],"")</f>
        <v/>
      </c>
      <c r="N638" t="str">
        <f>IF(tblCalculo[[#This Row],[STATUS]]="TRAMITANDO",tblCalculo[[#This Row],[VALOR_TOTAL]],"")</f>
        <v/>
      </c>
      <c r="O638">
        <f>IF(tblCalculo[[#This Row],[STATUS]]="PERDIDO",tblCalculo[[#This Row],[VALOR_TOTAL]],"")</f>
        <v>16594.03</v>
      </c>
      <c r="P638" t="str">
        <f>IF(tblCalculo[[#This Row],[STATUS]]="CONCLUÍDO",tblCalculo[[#This Row],[VALOR_TOTAL]],"")</f>
        <v/>
      </c>
    </row>
    <row r="639" spans="1:16" x14ac:dyDescent="0.25">
      <c r="A639" t="str">
        <f>tblVendas[[#This Row],[NR_SIMULACAO]]</f>
        <v>SIM1629</v>
      </c>
      <c r="B639" s="34" t="str">
        <f>_xlfn.XLOOKUP(A639,tblVendas[[#This Row],[NR_SIMULACAO]],tblVendas[[#This Row],[NR_CNPJ]],"")</f>
        <v>38.933.735/0001-66</v>
      </c>
      <c r="C639" t="str">
        <f>_xlfn.XLOOKUP(A639,tblVendas[[#This Row],[NR_SIMULACAO]],tblVendas[[#This Row],[STATUS]],"")</f>
        <v>CONCLUÍDO</v>
      </c>
      <c r="D639" t="str">
        <f>_xlfn.XLOOKUP(A639,tblVendas[[#This Row],[NR_SIMULACAO]],tblVendas[[#This Row],[MES]],"")</f>
        <v>Agosto</v>
      </c>
      <c r="E639">
        <f>SUM(_xlfn.XLOOKUP(tblCalculo[[#This Row],[NR_SIMULACAO]],tblVendas[[#This Row],[NR_SIMULACAO]],tblVendas[[#This Row],[VALOR_MOVEL]],""):_xlfn.XLOOKUP(tblCalculo[[#This Row],[NR_SIMULACAO]],tblVendas[[#This Row],[NR_SIMULACAO]],tblVendas[[#This Row],[VALOR_APARELHO]],""))</f>
        <v>16678.98</v>
      </c>
      <c r="F639">
        <f>IF(tblCalculo[[#This Row],[STATUS]]="CONCLUÍDO",_xlfn.XLOOKUP(tblCalculo[[#This Row],[NR_SIMULACAO]],tblVendas[[#This Row],[NR_SIMULACAO]],tblVendas[[#This Row],[VALOR_MOVEL]],""),0)</f>
        <v>0</v>
      </c>
      <c r="G639">
        <f>IF(tblCalculo[[#This Row],[STATUS]]="CONCLUÍDO",_xlfn.XLOOKUP(tblCalculo[[#This Row],[NR_SIMULACAO]],tblVendas[[#This Row],[NR_SIMULACAO]],tblVendas[[#This Row],[VALOR_AVANCADO]],""),0)</f>
        <v>0</v>
      </c>
      <c r="H639">
        <f>IF(tblCalculo[[#This Row],[STATUS]]="CONCLUÍDO",_xlfn.XLOOKUP(tblCalculo[[#This Row],[NR_SIMULACAO]],tblVendas[[#This Row],[NR_SIMULACAO]],tblVendas[[#This Row],[VALOR_FIXABASICA]],""),0)</f>
        <v>0</v>
      </c>
      <c r="I639">
        <f>IF(tblCalculo[[#This Row],[STATUS]]="CONCLUÍDO",_xlfn.XLOOKUP(tblCalculo[[#This Row],[NR_SIMULACAO]],tblVendas[[#This Row],[NR_SIMULACAO]],tblVendas[[#This Row],[VALOR_TI]],""),0)</f>
        <v>10847.25</v>
      </c>
      <c r="J639">
        <f>IF(tblCalculo[[#This Row],[STATUS]]="CONCLUÍDO",_xlfn.XLOOKUP(tblCalculo[[#This Row],[NR_SIMULACAO]],tblVendas[[#This Row],[NR_SIMULACAO]],tblVendas[[#This Row],[VALOR_APARELHO]],""),0)</f>
        <v>5831.73</v>
      </c>
      <c r="K639" t="str">
        <f>IF(tblCalculo[[#This Row],[STATUS]]="NEGOCIANDO",tblCalculo[[#This Row],[VALOR_TOTAL]],"")</f>
        <v/>
      </c>
      <c r="L639" t="str">
        <f>IF(tblCalculo[[#This Row],[STATUS]]="ALÇADA",tblCalculo[[#This Row],[VALOR_TOTAL]],"")</f>
        <v/>
      </c>
      <c r="M639" t="str">
        <f>IF(tblCalculo[[#This Row],[STATUS]]="EM ANÁLISE",tblCalculo[[#This Row],[VALOR_TOTAL]],"")</f>
        <v/>
      </c>
      <c r="N639" t="str">
        <f>IF(tblCalculo[[#This Row],[STATUS]]="TRAMITANDO",tblCalculo[[#This Row],[VALOR_TOTAL]],"")</f>
        <v/>
      </c>
      <c r="O639" t="str">
        <f>IF(tblCalculo[[#This Row],[STATUS]]="PERDIDO",tblCalculo[[#This Row],[VALOR_TOTAL]],"")</f>
        <v/>
      </c>
      <c r="P639">
        <f>IF(tblCalculo[[#This Row],[STATUS]]="CONCLUÍDO",tblCalculo[[#This Row],[VALOR_TOTAL]],"")</f>
        <v>16678.98</v>
      </c>
    </row>
    <row r="640" spans="1:16" x14ac:dyDescent="0.25">
      <c r="A640" t="str">
        <f>tblVendas[[#This Row],[NR_SIMULACAO]]</f>
        <v>SIM1630</v>
      </c>
      <c r="B640" s="34" t="str">
        <f>_xlfn.XLOOKUP(A640,tblVendas[[#This Row],[NR_SIMULACAO]],tblVendas[[#This Row],[NR_CNPJ]],"")</f>
        <v>60.996.509/0001-38</v>
      </c>
      <c r="C640" t="str">
        <f>_xlfn.XLOOKUP(A640,tblVendas[[#This Row],[NR_SIMULACAO]],tblVendas[[#This Row],[STATUS]],"")</f>
        <v>ALÇADA</v>
      </c>
      <c r="D640" t="str">
        <f>_xlfn.XLOOKUP(A640,tblVendas[[#This Row],[NR_SIMULACAO]],tblVendas[[#This Row],[MES]],"")</f>
        <v>Dezembro</v>
      </c>
      <c r="E640">
        <f>SUM(_xlfn.XLOOKUP(tblCalculo[[#This Row],[NR_SIMULACAO]],tblVendas[[#This Row],[NR_SIMULACAO]],tblVendas[[#This Row],[VALOR_MOVEL]],""):_xlfn.XLOOKUP(tblCalculo[[#This Row],[NR_SIMULACAO]],tblVendas[[#This Row],[NR_SIMULACAO]],tblVendas[[#This Row],[VALOR_APARELHO]],""))</f>
        <v>10840.05</v>
      </c>
      <c r="F640">
        <f>IF(tblCalculo[[#This Row],[STATUS]]="CONCLUÍDO",_xlfn.XLOOKUP(tblCalculo[[#This Row],[NR_SIMULACAO]],tblVendas[[#This Row],[NR_SIMULACAO]],tblVendas[[#This Row],[VALOR_MOVEL]],""),0)</f>
        <v>0</v>
      </c>
      <c r="G640">
        <f>IF(tblCalculo[[#This Row],[STATUS]]="CONCLUÍDO",_xlfn.XLOOKUP(tblCalculo[[#This Row],[NR_SIMULACAO]],tblVendas[[#This Row],[NR_SIMULACAO]],tblVendas[[#This Row],[VALOR_AVANCADO]],""),0)</f>
        <v>0</v>
      </c>
      <c r="H640">
        <f>IF(tblCalculo[[#This Row],[STATUS]]="CONCLUÍDO",_xlfn.XLOOKUP(tblCalculo[[#This Row],[NR_SIMULACAO]],tblVendas[[#This Row],[NR_SIMULACAO]],tblVendas[[#This Row],[VALOR_FIXABASICA]],""),0)</f>
        <v>0</v>
      </c>
      <c r="I640">
        <f>IF(tblCalculo[[#This Row],[STATUS]]="CONCLUÍDO",_xlfn.XLOOKUP(tblCalculo[[#This Row],[NR_SIMULACAO]],tblVendas[[#This Row],[NR_SIMULACAO]],tblVendas[[#This Row],[VALOR_TI]],""),0)</f>
        <v>0</v>
      </c>
      <c r="J640">
        <f>IF(tblCalculo[[#This Row],[STATUS]]="CONCLUÍDO",_xlfn.XLOOKUP(tblCalculo[[#This Row],[NR_SIMULACAO]],tblVendas[[#This Row],[NR_SIMULACAO]],tblVendas[[#This Row],[VALOR_APARELHO]],""),0)</f>
        <v>0</v>
      </c>
      <c r="K640" t="str">
        <f>IF(tblCalculo[[#This Row],[STATUS]]="NEGOCIANDO",tblCalculo[[#This Row],[VALOR_TOTAL]],"")</f>
        <v/>
      </c>
      <c r="L640">
        <f>IF(tblCalculo[[#This Row],[STATUS]]="ALÇADA",tblCalculo[[#This Row],[VALOR_TOTAL]],"")</f>
        <v>10840.05</v>
      </c>
      <c r="M640" t="str">
        <f>IF(tblCalculo[[#This Row],[STATUS]]="EM ANÁLISE",tblCalculo[[#This Row],[VALOR_TOTAL]],"")</f>
        <v/>
      </c>
      <c r="N640" t="str">
        <f>IF(tblCalculo[[#This Row],[STATUS]]="TRAMITANDO",tblCalculo[[#This Row],[VALOR_TOTAL]],"")</f>
        <v/>
      </c>
      <c r="O640" t="str">
        <f>IF(tblCalculo[[#This Row],[STATUS]]="PERDIDO",tblCalculo[[#This Row],[VALOR_TOTAL]],"")</f>
        <v/>
      </c>
      <c r="P640" t="str">
        <f>IF(tblCalculo[[#This Row],[STATUS]]="CONCLUÍDO",tblCalculo[[#This Row],[VALOR_TOTAL]],"")</f>
        <v/>
      </c>
    </row>
    <row r="641" spans="1:16" x14ac:dyDescent="0.25">
      <c r="A641" t="str">
        <f>tblVendas[[#This Row],[NR_SIMULACAO]]</f>
        <v>SIM1631</v>
      </c>
      <c r="B641" s="34" t="str">
        <f>_xlfn.XLOOKUP(A641,tblVendas[[#This Row],[NR_SIMULACAO]],tblVendas[[#This Row],[NR_CNPJ]],"")</f>
        <v>71.959.811/0001-43</v>
      </c>
      <c r="C641" t="str">
        <f>_xlfn.XLOOKUP(A641,tblVendas[[#This Row],[NR_SIMULACAO]],tblVendas[[#This Row],[STATUS]],"")</f>
        <v>CONCLUÍDO</v>
      </c>
      <c r="D641" t="str">
        <f>_xlfn.XLOOKUP(A641,tblVendas[[#This Row],[NR_SIMULACAO]],tblVendas[[#This Row],[MES]],"")</f>
        <v>Outubro</v>
      </c>
      <c r="E641">
        <f>SUM(_xlfn.XLOOKUP(tblCalculo[[#This Row],[NR_SIMULACAO]],tblVendas[[#This Row],[NR_SIMULACAO]],tblVendas[[#This Row],[VALOR_MOVEL]],""):_xlfn.XLOOKUP(tblCalculo[[#This Row],[NR_SIMULACAO]],tblVendas[[#This Row],[NR_SIMULACAO]],tblVendas[[#This Row],[VALOR_APARELHO]],""))</f>
        <v>15125.08</v>
      </c>
      <c r="F641">
        <f>IF(tblCalculo[[#This Row],[STATUS]]="CONCLUÍDO",_xlfn.XLOOKUP(tblCalculo[[#This Row],[NR_SIMULACAO]],tblVendas[[#This Row],[NR_SIMULACAO]],tblVendas[[#This Row],[VALOR_MOVEL]],""),0)</f>
        <v>3257.45</v>
      </c>
      <c r="G641">
        <f>IF(tblCalculo[[#This Row],[STATUS]]="CONCLUÍDO",_xlfn.XLOOKUP(tblCalculo[[#This Row],[NR_SIMULACAO]],tblVendas[[#This Row],[NR_SIMULACAO]],tblVendas[[#This Row],[VALOR_AVANCADO]],""),0)</f>
        <v>4641.21</v>
      </c>
      <c r="H641">
        <f>IF(tblCalculo[[#This Row],[STATUS]]="CONCLUÍDO",_xlfn.XLOOKUP(tblCalculo[[#This Row],[NR_SIMULACAO]],tblVendas[[#This Row],[NR_SIMULACAO]],tblVendas[[#This Row],[VALOR_FIXABASICA]],""),0)</f>
        <v>0</v>
      </c>
      <c r="I641">
        <f>IF(tblCalculo[[#This Row],[STATUS]]="CONCLUÍDO",_xlfn.XLOOKUP(tblCalculo[[#This Row],[NR_SIMULACAO]],tblVendas[[#This Row],[NR_SIMULACAO]],tblVendas[[#This Row],[VALOR_TI]],""),0)</f>
        <v>0</v>
      </c>
      <c r="J641">
        <f>IF(tblCalculo[[#This Row],[STATUS]]="CONCLUÍDO",_xlfn.XLOOKUP(tblCalculo[[#This Row],[NR_SIMULACAO]],tblVendas[[#This Row],[NR_SIMULACAO]],tblVendas[[#This Row],[VALOR_APARELHO]],""),0)</f>
        <v>7226.42</v>
      </c>
      <c r="K641" t="str">
        <f>IF(tblCalculo[[#This Row],[STATUS]]="NEGOCIANDO",tblCalculo[[#This Row],[VALOR_TOTAL]],"")</f>
        <v/>
      </c>
      <c r="L641" t="str">
        <f>IF(tblCalculo[[#This Row],[STATUS]]="ALÇADA",tblCalculo[[#This Row],[VALOR_TOTAL]],"")</f>
        <v/>
      </c>
      <c r="M641" t="str">
        <f>IF(tblCalculo[[#This Row],[STATUS]]="EM ANÁLISE",tblCalculo[[#This Row],[VALOR_TOTAL]],"")</f>
        <v/>
      </c>
      <c r="N641" t="str">
        <f>IF(tblCalculo[[#This Row],[STATUS]]="TRAMITANDO",tblCalculo[[#This Row],[VALOR_TOTAL]],"")</f>
        <v/>
      </c>
      <c r="O641" t="str">
        <f>IF(tblCalculo[[#This Row],[STATUS]]="PERDIDO",tblCalculo[[#This Row],[VALOR_TOTAL]],"")</f>
        <v/>
      </c>
      <c r="P641">
        <f>IF(tblCalculo[[#This Row],[STATUS]]="CONCLUÍDO",tblCalculo[[#This Row],[VALOR_TOTAL]],"")</f>
        <v>15125.08</v>
      </c>
    </row>
    <row r="642" spans="1:16" x14ac:dyDescent="0.25">
      <c r="A642" t="str">
        <f>tblVendas[[#This Row],[NR_SIMULACAO]]</f>
        <v>SIM1632</v>
      </c>
      <c r="B642" s="34" t="str">
        <f>_xlfn.XLOOKUP(A642,tblVendas[[#This Row],[NR_SIMULACAO]],tblVendas[[#This Row],[NR_CNPJ]],"")</f>
        <v>64.858.392/0001-45</v>
      </c>
      <c r="C642" t="str">
        <f>_xlfn.XLOOKUP(A642,tblVendas[[#This Row],[NR_SIMULACAO]],tblVendas[[#This Row],[STATUS]],"")</f>
        <v>EM ANÁLISE</v>
      </c>
      <c r="D642" t="str">
        <f>_xlfn.XLOOKUP(A642,tblVendas[[#This Row],[NR_SIMULACAO]],tblVendas[[#This Row],[MES]],"")</f>
        <v>Abril</v>
      </c>
      <c r="E642">
        <f>SUM(_xlfn.XLOOKUP(tblCalculo[[#This Row],[NR_SIMULACAO]],tblVendas[[#This Row],[NR_SIMULACAO]],tblVendas[[#This Row],[VALOR_MOVEL]],""):_xlfn.XLOOKUP(tblCalculo[[#This Row],[NR_SIMULACAO]],tblVendas[[#This Row],[NR_SIMULACAO]],tblVendas[[#This Row],[VALOR_APARELHO]],""))</f>
        <v>6036.8799999999992</v>
      </c>
      <c r="F642">
        <f>IF(tblCalculo[[#This Row],[STATUS]]="CONCLUÍDO",_xlfn.XLOOKUP(tblCalculo[[#This Row],[NR_SIMULACAO]],tblVendas[[#This Row],[NR_SIMULACAO]],tblVendas[[#This Row],[VALOR_MOVEL]],""),0)</f>
        <v>0</v>
      </c>
      <c r="G642">
        <f>IF(tblCalculo[[#This Row],[STATUS]]="CONCLUÍDO",_xlfn.XLOOKUP(tblCalculo[[#This Row],[NR_SIMULACAO]],tblVendas[[#This Row],[NR_SIMULACAO]],tblVendas[[#This Row],[VALOR_AVANCADO]],""),0)</f>
        <v>0</v>
      </c>
      <c r="H642">
        <f>IF(tblCalculo[[#This Row],[STATUS]]="CONCLUÍDO",_xlfn.XLOOKUP(tblCalculo[[#This Row],[NR_SIMULACAO]],tblVendas[[#This Row],[NR_SIMULACAO]],tblVendas[[#This Row],[VALOR_FIXABASICA]],""),0)</f>
        <v>0</v>
      </c>
      <c r="I642">
        <f>IF(tblCalculo[[#This Row],[STATUS]]="CONCLUÍDO",_xlfn.XLOOKUP(tblCalculo[[#This Row],[NR_SIMULACAO]],tblVendas[[#This Row],[NR_SIMULACAO]],tblVendas[[#This Row],[VALOR_TI]],""),0)</f>
        <v>0</v>
      </c>
      <c r="J642">
        <f>IF(tblCalculo[[#This Row],[STATUS]]="CONCLUÍDO",_xlfn.XLOOKUP(tblCalculo[[#This Row],[NR_SIMULACAO]],tblVendas[[#This Row],[NR_SIMULACAO]],tblVendas[[#This Row],[VALOR_APARELHO]],""),0)</f>
        <v>0</v>
      </c>
      <c r="K642" t="str">
        <f>IF(tblCalculo[[#This Row],[STATUS]]="NEGOCIANDO",tblCalculo[[#This Row],[VALOR_TOTAL]],"")</f>
        <v/>
      </c>
      <c r="L642" t="str">
        <f>IF(tblCalculo[[#This Row],[STATUS]]="ALÇADA",tblCalculo[[#This Row],[VALOR_TOTAL]],"")</f>
        <v/>
      </c>
      <c r="M642">
        <f>IF(tblCalculo[[#This Row],[STATUS]]="EM ANÁLISE",tblCalculo[[#This Row],[VALOR_TOTAL]],"")</f>
        <v>6036.8799999999992</v>
      </c>
      <c r="N642" t="str">
        <f>IF(tblCalculo[[#This Row],[STATUS]]="TRAMITANDO",tblCalculo[[#This Row],[VALOR_TOTAL]],"")</f>
        <v/>
      </c>
      <c r="O642" t="str">
        <f>IF(tblCalculo[[#This Row],[STATUS]]="PERDIDO",tblCalculo[[#This Row],[VALOR_TOTAL]],"")</f>
        <v/>
      </c>
      <c r="P642" t="str">
        <f>IF(tblCalculo[[#This Row],[STATUS]]="CONCLUÍDO",tblCalculo[[#This Row],[VALOR_TOTAL]],"")</f>
        <v/>
      </c>
    </row>
    <row r="643" spans="1:16" x14ac:dyDescent="0.25">
      <c r="A643" t="str">
        <f>tblVendas[[#This Row],[NR_SIMULACAO]]</f>
        <v>SIM1633</v>
      </c>
      <c r="B643" s="34" t="str">
        <f>_xlfn.XLOOKUP(A643,tblVendas[[#This Row],[NR_SIMULACAO]],tblVendas[[#This Row],[NR_CNPJ]],"")</f>
        <v>79.830.102/0001-14</v>
      </c>
      <c r="C643" t="str">
        <f>_xlfn.XLOOKUP(A643,tblVendas[[#This Row],[NR_SIMULACAO]],tblVendas[[#This Row],[STATUS]],"")</f>
        <v>NEGOCIANDO</v>
      </c>
      <c r="D643" t="str">
        <f>_xlfn.XLOOKUP(A643,tblVendas[[#This Row],[NR_SIMULACAO]],tblVendas[[#This Row],[MES]],"")</f>
        <v>Janeiro</v>
      </c>
      <c r="E643">
        <f>SUM(_xlfn.XLOOKUP(tblCalculo[[#This Row],[NR_SIMULACAO]],tblVendas[[#This Row],[NR_SIMULACAO]],tblVendas[[#This Row],[VALOR_MOVEL]],""):_xlfn.XLOOKUP(tblCalculo[[#This Row],[NR_SIMULACAO]],tblVendas[[#This Row],[NR_SIMULACAO]],tblVendas[[#This Row],[VALOR_APARELHO]],""))</f>
        <v>17392.599999999999</v>
      </c>
      <c r="F643">
        <f>IF(tblCalculo[[#This Row],[STATUS]]="CONCLUÍDO",_xlfn.XLOOKUP(tblCalculo[[#This Row],[NR_SIMULACAO]],tblVendas[[#This Row],[NR_SIMULACAO]],tblVendas[[#This Row],[VALOR_MOVEL]],""),0)</f>
        <v>0</v>
      </c>
      <c r="G643">
        <f>IF(tblCalculo[[#This Row],[STATUS]]="CONCLUÍDO",_xlfn.XLOOKUP(tblCalculo[[#This Row],[NR_SIMULACAO]],tblVendas[[#This Row],[NR_SIMULACAO]],tblVendas[[#This Row],[VALOR_AVANCADO]],""),0)</f>
        <v>0</v>
      </c>
      <c r="H643">
        <f>IF(tblCalculo[[#This Row],[STATUS]]="CONCLUÍDO",_xlfn.XLOOKUP(tblCalculo[[#This Row],[NR_SIMULACAO]],tblVendas[[#This Row],[NR_SIMULACAO]],tblVendas[[#This Row],[VALOR_FIXABASICA]],""),0)</f>
        <v>0</v>
      </c>
      <c r="I643">
        <f>IF(tblCalculo[[#This Row],[STATUS]]="CONCLUÍDO",_xlfn.XLOOKUP(tblCalculo[[#This Row],[NR_SIMULACAO]],tblVendas[[#This Row],[NR_SIMULACAO]],tblVendas[[#This Row],[VALOR_TI]],""),0)</f>
        <v>0</v>
      </c>
      <c r="J643">
        <f>IF(tblCalculo[[#This Row],[STATUS]]="CONCLUÍDO",_xlfn.XLOOKUP(tblCalculo[[#This Row],[NR_SIMULACAO]],tblVendas[[#This Row],[NR_SIMULACAO]],tblVendas[[#This Row],[VALOR_APARELHO]],""),0)</f>
        <v>0</v>
      </c>
      <c r="K643">
        <f>IF(tblCalculo[[#This Row],[STATUS]]="NEGOCIANDO",tblCalculo[[#This Row],[VALOR_TOTAL]],"")</f>
        <v>17392.599999999999</v>
      </c>
      <c r="L643" t="str">
        <f>IF(tblCalculo[[#This Row],[STATUS]]="ALÇADA",tblCalculo[[#This Row],[VALOR_TOTAL]],"")</f>
        <v/>
      </c>
      <c r="M643" t="str">
        <f>IF(tblCalculo[[#This Row],[STATUS]]="EM ANÁLISE",tblCalculo[[#This Row],[VALOR_TOTAL]],"")</f>
        <v/>
      </c>
      <c r="N643" t="str">
        <f>IF(tblCalculo[[#This Row],[STATUS]]="TRAMITANDO",tblCalculo[[#This Row],[VALOR_TOTAL]],"")</f>
        <v/>
      </c>
      <c r="O643" t="str">
        <f>IF(tblCalculo[[#This Row],[STATUS]]="PERDIDO",tblCalculo[[#This Row],[VALOR_TOTAL]],"")</f>
        <v/>
      </c>
      <c r="P643" t="str">
        <f>IF(tblCalculo[[#This Row],[STATUS]]="CONCLUÍDO",tblCalculo[[#This Row],[VALOR_TOTAL]],"")</f>
        <v/>
      </c>
    </row>
    <row r="644" spans="1:16" x14ac:dyDescent="0.25">
      <c r="A644" t="str">
        <f>tblVendas[[#This Row],[NR_SIMULACAO]]</f>
        <v>SIM1634</v>
      </c>
      <c r="B644" s="34" t="str">
        <f>_xlfn.XLOOKUP(A644,tblVendas[[#This Row],[NR_SIMULACAO]],tblVendas[[#This Row],[NR_CNPJ]],"")</f>
        <v>19.246.853/0001-12</v>
      </c>
      <c r="C644" t="str">
        <f>_xlfn.XLOOKUP(A644,tblVendas[[#This Row],[NR_SIMULACAO]],tblVendas[[#This Row],[STATUS]],"")</f>
        <v>EM ANÁLISE</v>
      </c>
      <c r="D644" t="str">
        <f>_xlfn.XLOOKUP(A644,tblVendas[[#This Row],[NR_SIMULACAO]],tblVendas[[#This Row],[MES]],"")</f>
        <v>Agosto</v>
      </c>
      <c r="E644">
        <f>SUM(_xlfn.XLOOKUP(tblCalculo[[#This Row],[NR_SIMULACAO]],tblVendas[[#This Row],[NR_SIMULACAO]],tblVendas[[#This Row],[VALOR_MOVEL]],""):_xlfn.XLOOKUP(tblCalculo[[#This Row],[NR_SIMULACAO]],tblVendas[[#This Row],[NR_SIMULACAO]],tblVendas[[#This Row],[VALOR_APARELHO]],""))</f>
        <v>12168.22</v>
      </c>
      <c r="F644">
        <f>IF(tblCalculo[[#This Row],[STATUS]]="CONCLUÍDO",_xlfn.XLOOKUP(tblCalculo[[#This Row],[NR_SIMULACAO]],tblVendas[[#This Row],[NR_SIMULACAO]],tblVendas[[#This Row],[VALOR_MOVEL]],""),0)</f>
        <v>0</v>
      </c>
      <c r="G644">
        <f>IF(tblCalculo[[#This Row],[STATUS]]="CONCLUÍDO",_xlfn.XLOOKUP(tblCalculo[[#This Row],[NR_SIMULACAO]],tblVendas[[#This Row],[NR_SIMULACAO]],tblVendas[[#This Row],[VALOR_AVANCADO]],""),0)</f>
        <v>0</v>
      </c>
      <c r="H644">
        <f>IF(tblCalculo[[#This Row],[STATUS]]="CONCLUÍDO",_xlfn.XLOOKUP(tblCalculo[[#This Row],[NR_SIMULACAO]],tblVendas[[#This Row],[NR_SIMULACAO]],tblVendas[[#This Row],[VALOR_FIXABASICA]],""),0)</f>
        <v>0</v>
      </c>
      <c r="I644">
        <f>IF(tblCalculo[[#This Row],[STATUS]]="CONCLUÍDO",_xlfn.XLOOKUP(tblCalculo[[#This Row],[NR_SIMULACAO]],tblVendas[[#This Row],[NR_SIMULACAO]],tblVendas[[#This Row],[VALOR_TI]],""),0)</f>
        <v>0</v>
      </c>
      <c r="J644">
        <f>IF(tblCalculo[[#This Row],[STATUS]]="CONCLUÍDO",_xlfn.XLOOKUP(tblCalculo[[#This Row],[NR_SIMULACAO]],tblVendas[[#This Row],[NR_SIMULACAO]],tblVendas[[#This Row],[VALOR_APARELHO]],""),0)</f>
        <v>0</v>
      </c>
      <c r="K644" t="str">
        <f>IF(tblCalculo[[#This Row],[STATUS]]="NEGOCIANDO",tblCalculo[[#This Row],[VALOR_TOTAL]],"")</f>
        <v/>
      </c>
      <c r="L644" t="str">
        <f>IF(tblCalculo[[#This Row],[STATUS]]="ALÇADA",tblCalculo[[#This Row],[VALOR_TOTAL]],"")</f>
        <v/>
      </c>
      <c r="M644">
        <f>IF(tblCalculo[[#This Row],[STATUS]]="EM ANÁLISE",tblCalculo[[#This Row],[VALOR_TOTAL]],"")</f>
        <v>12168.22</v>
      </c>
      <c r="N644" t="str">
        <f>IF(tblCalculo[[#This Row],[STATUS]]="TRAMITANDO",tblCalculo[[#This Row],[VALOR_TOTAL]],"")</f>
        <v/>
      </c>
      <c r="O644" t="str">
        <f>IF(tblCalculo[[#This Row],[STATUS]]="PERDIDO",tblCalculo[[#This Row],[VALOR_TOTAL]],"")</f>
        <v/>
      </c>
      <c r="P644" t="str">
        <f>IF(tblCalculo[[#This Row],[STATUS]]="CONCLUÍDO",tblCalculo[[#This Row],[VALOR_TOTAL]],"")</f>
        <v/>
      </c>
    </row>
    <row r="645" spans="1:16" x14ac:dyDescent="0.25">
      <c r="A645" t="str">
        <f>tblVendas[[#This Row],[NR_SIMULACAO]]</f>
        <v>SIM1635</v>
      </c>
      <c r="B645" s="34" t="str">
        <f>_xlfn.XLOOKUP(A645,tblVendas[[#This Row],[NR_SIMULACAO]],tblVendas[[#This Row],[NR_CNPJ]],"")</f>
        <v>70.786.200/0001-37</v>
      </c>
      <c r="C645" t="str">
        <f>_xlfn.XLOOKUP(A645,tblVendas[[#This Row],[NR_SIMULACAO]],tblVendas[[#This Row],[STATUS]],"")</f>
        <v>NEGOCIANDO</v>
      </c>
      <c r="D645" t="str">
        <f>_xlfn.XLOOKUP(A645,tblVendas[[#This Row],[NR_SIMULACAO]],tblVendas[[#This Row],[MES]],"")</f>
        <v>Junho</v>
      </c>
      <c r="E645">
        <f>SUM(_xlfn.XLOOKUP(tblCalculo[[#This Row],[NR_SIMULACAO]],tblVendas[[#This Row],[NR_SIMULACAO]],tblVendas[[#This Row],[VALOR_MOVEL]],""):_xlfn.XLOOKUP(tblCalculo[[#This Row],[NR_SIMULACAO]],tblVendas[[#This Row],[NR_SIMULACAO]],tblVendas[[#This Row],[VALOR_APARELHO]],""))</f>
        <v>3882.0699999999997</v>
      </c>
      <c r="F645">
        <f>IF(tblCalculo[[#This Row],[STATUS]]="CONCLUÍDO",_xlfn.XLOOKUP(tblCalculo[[#This Row],[NR_SIMULACAO]],tblVendas[[#This Row],[NR_SIMULACAO]],tblVendas[[#This Row],[VALOR_MOVEL]],""),0)</f>
        <v>0</v>
      </c>
      <c r="G645">
        <f>IF(tblCalculo[[#This Row],[STATUS]]="CONCLUÍDO",_xlfn.XLOOKUP(tblCalculo[[#This Row],[NR_SIMULACAO]],tblVendas[[#This Row],[NR_SIMULACAO]],tblVendas[[#This Row],[VALOR_AVANCADO]],""),0)</f>
        <v>0</v>
      </c>
      <c r="H645">
        <f>IF(tblCalculo[[#This Row],[STATUS]]="CONCLUÍDO",_xlfn.XLOOKUP(tblCalculo[[#This Row],[NR_SIMULACAO]],tblVendas[[#This Row],[NR_SIMULACAO]],tblVendas[[#This Row],[VALOR_FIXABASICA]],""),0)</f>
        <v>0</v>
      </c>
      <c r="I645">
        <f>IF(tblCalculo[[#This Row],[STATUS]]="CONCLUÍDO",_xlfn.XLOOKUP(tblCalculo[[#This Row],[NR_SIMULACAO]],tblVendas[[#This Row],[NR_SIMULACAO]],tblVendas[[#This Row],[VALOR_TI]],""),0)</f>
        <v>0</v>
      </c>
      <c r="J645">
        <f>IF(tblCalculo[[#This Row],[STATUS]]="CONCLUÍDO",_xlfn.XLOOKUP(tblCalculo[[#This Row],[NR_SIMULACAO]],tblVendas[[#This Row],[NR_SIMULACAO]],tblVendas[[#This Row],[VALOR_APARELHO]],""),0)</f>
        <v>0</v>
      </c>
      <c r="K645">
        <f>IF(tblCalculo[[#This Row],[STATUS]]="NEGOCIANDO",tblCalculo[[#This Row],[VALOR_TOTAL]],"")</f>
        <v>3882.0699999999997</v>
      </c>
      <c r="L645" t="str">
        <f>IF(tblCalculo[[#This Row],[STATUS]]="ALÇADA",tblCalculo[[#This Row],[VALOR_TOTAL]],"")</f>
        <v/>
      </c>
      <c r="M645" t="str">
        <f>IF(tblCalculo[[#This Row],[STATUS]]="EM ANÁLISE",tblCalculo[[#This Row],[VALOR_TOTAL]],"")</f>
        <v/>
      </c>
      <c r="N645" t="str">
        <f>IF(tblCalculo[[#This Row],[STATUS]]="TRAMITANDO",tblCalculo[[#This Row],[VALOR_TOTAL]],"")</f>
        <v/>
      </c>
      <c r="O645" t="str">
        <f>IF(tblCalculo[[#This Row],[STATUS]]="PERDIDO",tblCalculo[[#This Row],[VALOR_TOTAL]],"")</f>
        <v/>
      </c>
      <c r="P645" t="str">
        <f>IF(tblCalculo[[#This Row],[STATUS]]="CONCLUÍDO",tblCalculo[[#This Row],[VALOR_TOTAL]],"")</f>
        <v/>
      </c>
    </row>
    <row r="646" spans="1:16" x14ac:dyDescent="0.25">
      <c r="A646" t="str">
        <f>tblVendas[[#This Row],[NR_SIMULACAO]]</f>
        <v>SIM1636</v>
      </c>
      <c r="B646" s="34" t="str">
        <f>_xlfn.XLOOKUP(A646,tblVendas[[#This Row],[NR_SIMULACAO]],tblVendas[[#This Row],[NR_CNPJ]],"")</f>
        <v>52.521.487/0001-89</v>
      </c>
      <c r="C646" t="str">
        <f>_xlfn.XLOOKUP(A646,tblVendas[[#This Row],[NR_SIMULACAO]],tblVendas[[#This Row],[STATUS]],"")</f>
        <v>NEGOCIANDO</v>
      </c>
      <c r="D646" t="str">
        <f>_xlfn.XLOOKUP(A646,tblVendas[[#This Row],[NR_SIMULACAO]],tblVendas[[#This Row],[MES]],"")</f>
        <v>Agosto</v>
      </c>
      <c r="E646">
        <f>SUM(_xlfn.XLOOKUP(tblCalculo[[#This Row],[NR_SIMULACAO]],tblVendas[[#This Row],[NR_SIMULACAO]],tblVendas[[#This Row],[VALOR_MOVEL]],""):_xlfn.XLOOKUP(tblCalculo[[#This Row],[NR_SIMULACAO]],tblVendas[[#This Row],[NR_SIMULACAO]],tblVendas[[#This Row],[VALOR_APARELHO]],""))</f>
        <v>8091.8000000000011</v>
      </c>
      <c r="F646">
        <f>IF(tblCalculo[[#This Row],[STATUS]]="CONCLUÍDO",_xlfn.XLOOKUP(tblCalculo[[#This Row],[NR_SIMULACAO]],tblVendas[[#This Row],[NR_SIMULACAO]],tblVendas[[#This Row],[VALOR_MOVEL]],""),0)</f>
        <v>0</v>
      </c>
      <c r="G646">
        <f>IF(tblCalculo[[#This Row],[STATUS]]="CONCLUÍDO",_xlfn.XLOOKUP(tblCalculo[[#This Row],[NR_SIMULACAO]],tblVendas[[#This Row],[NR_SIMULACAO]],tblVendas[[#This Row],[VALOR_AVANCADO]],""),0)</f>
        <v>0</v>
      </c>
      <c r="H646">
        <f>IF(tblCalculo[[#This Row],[STATUS]]="CONCLUÍDO",_xlfn.XLOOKUP(tblCalculo[[#This Row],[NR_SIMULACAO]],tblVendas[[#This Row],[NR_SIMULACAO]],tblVendas[[#This Row],[VALOR_FIXABASICA]],""),0)</f>
        <v>0</v>
      </c>
      <c r="I646">
        <f>IF(tblCalculo[[#This Row],[STATUS]]="CONCLUÍDO",_xlfn.XLOOKUP(tblCalculo[[#This Row],[NR_SIMULACAO]],tblVendas[[#This Row],[NR_SIMULACAO]],tblVendas[[#This Row],[VALOR_TI]],""),0)</f>
        <v>0</v>
      </c>
      <c r="J646">
        <f>IF(tblCalculo[[#This Row],[STATUS]]="CONCLUÍDO",_xlfn.XLOOKUP(tblCalculo[[#This Row],[NR_SIMULACAO]],tblVendas[[#This Row],[NR_SIMULACAO]],tblVendas[[#This Row],[VALOR_APARELHO]],""),0)</f>
        <v>0</v>
      </c>
      <c r="K646">
        <f>IF(tblCalculo[[#This Row],[STATUS]]="NEGOCIANDO",tblCalculo[[#This Row],[VALOR_TOTAL]],"")</f>
        <v>8091.8000000000011</v>
      </c>
      <c r="L646" t="str">
        <f>IF(tblCalculo[[#This Row],[STATUS]]="ALÇADA",tblCalculo[[#This Row],[VALOR_TOTAL]],"")</f>
        <v/>
      </c>
      <c r="M646" t="str">
        <f>IF(tblCalculo[[#This Row],[STATUS]]="EM ANÁLISE",tblCalculo[[#This Row],[VALOR_TOTAL]],"")</f>
        <v/>
      </c>
      <c r="N646" t="str">
        <f>IF(tblCalculo[[#This Row],[STATUS]]="TRAMITANDO",tblCalculo[[#This Row],[VALOR_TOTAL]],"")</f>
        <v/>
      </c>
      <c r="O646" t="str">
        <f>IF(tblCalculo[[#This Row],[STATUS]]="PERDIDO",tblCalculo[[#This Row],[VALOR_TOTAL]],"")</f>
        <v/>
      </c>
      <c r="P646" t="str">
        <f>IF(tblCalculo[[#This Row],[STATUS]]="CONCLUÍDO",tblCalculo[[#This Row],[VALOR_TOTAL]],"")</f>
        <v/>
      </c>
    </row>
    <row r="647" spans="1:16" x14ac:dyDescent="0.25">
      <c r="A647" t="str">
        <f>tblVendas[[#This Row],[NR_SIMULACAO]]</f>
        <v>SIM1637</v>
      </c>
      <c r="B647" s="34" t="str">
        <f>_xlfn.XLOOKUP(A647,tblVendas[[#This Row],[NR_SIMULACAO]],tblVendas[[#This Row],[NR_CNPJ]],"")</f>
        <v>26.503.405/0001-33</v>
      </c>
      <c r="C647" t="str">
        <f>_xlfn.XLOOKUP(A647,tblVendas[[#This Row],[NR_SIMULACAO]],tblVendas[[#This Row],[STATUS]],"")</f>
        <v>EM ANÁLISE</v>
      </c>
      <c r="D647" t="str">
        <f>_xlfn.XLOOKUP(A647,tblVendas[[#This Row],[NR_SIMULACAO]],tblVendas[[#This Row],[MES]],"")</f>
        <v>Novembro</v>
      </c>
      <c r="E647">
        <f>SUM(_xlfn.XLOOKUP(tblCalculo[[#This Row],[NR_SIMULACAO]],tblVendas[[#This Row],[NR_SIMULACAO]],tblVendas[[#This Row],[VALOR_MOVEL]],""):_xlfn.XLOOKUP(tblCalculo[[#This Row],[NR_SIMULACAO]],tblVendas[[#This Row],[NR_SIMULACAO]],tblVendas[[#This Row],[VALOR_APARELHO]],""))</f>
        <v>3750.75</v>
      </c>
      <c r="F647">
        <f>IF(tblCalculo[[#This Row],[STATUS]]="CONCLUÍDO",_xlfn.XLOOKUP(tblCalculo[[#This Row],[NR_SIMULACAO]],tblVendas[[#This Row],[NR_SIMULACAO]],tblVendas[[#This Row],[VALOR_MOVEL]],""),0)</f>
        <v>0</v>
      </c>
      <c r="G647">
        <f>IF(tblCalculo[[#This Row],[STATUS]]="CONCLUÍDO",_xlfn.XLOOKUP(tblCalculo[[#This Row],[NR_SIMULACAO]],tblVendas[[#This Row],[NR_SIMULACAO]],tblVendas[[#This Row],[VALOR_AVANCADO]],""),0)</f>
        <v>0</v>
      </c>
      <c r="H647">
        <f>IF(tblCalculo[[#This Row],[STATUS]]="CONCLUÍDO",_xlfn.XLOOKUP(tblCalculo[[#This Row],[NR_SIMULACAO]],tblVendas[[#This Row],[NR_SIMULACAO]],tblVendas[[#This Row],[VALOR_FIXABASICA]],""),0)</f>
        <v>0</v>
      </c>
      <c r="I647">
        <f>IF(tblCalculo[[#This Row],[STATUS]]="CONCLUÍDO",_xlfn.XLOOKUP(tblCalculo[[#This Row],[NR_SIMULACAO]],tblVendas[[#This Row],[NR_SIMULACAO]],tblVendas[[#This Row],[VALOR_TI]],""),0)</f>
        <v>0</v>
      </c>
      <c r="J647">
        <f>IF(tblCalculo[[#This Row],[STATUS]]="CONCLUÍDO",_xlfn.XLOOKUP(tblCalculo[[#This Row],[NR_SIMULACAO]],tblVendas[[#This Row],[NR_SIMULACAO]],tblVendas[[#This Row],[VALOR_APARELHO]],""),0)</f>
        <v>0</v>
      </c>
      <c r="K647" t="str">
        <f>IF(tblCalculo[[#This Row],[STATUS]]="NEGOCIANDO",tblCalculo[[#This Row],[VALOR_TOTAL]],"")</f>
        <v/>
      </c>
      <c r="L647" t="str">
        <f>IF(tblCalculo[[#This Row],[STATUS]]="ALÇADA",tblCalculo[[#This Row],[VALOR_TOTAL]],"")</f>
        <v/>
      </c>
      <c r="M647">
        <f>IF(tblCalculo[[#This Row],[STATUS]]="EM ANÁLISE",tblCalculo[[#This Row],[VALOR_TOTAL]],"")</f>
        <v>3750.75</v>
      </c>
      <c r="N647" t="str">
        <f>IF(tblCalculo[[#This Row],[STATUS]]="TRAMITANDO",tblCalculo[[#This Row],[VALOR_TOTAL]],"")</f>
        <v/>
      </c>
      <c r="O647" t="str">
        <f>IF(tblCalculo[[#This Row],[STATUS]]="PERDIDO",tblCalculo[[#This Row],[VALOR_TOTAL]],"")</f>
        <v/>
      </c>
      <c r="P647" t="str">
        <f>IF(tblCalculo[[#This Row],[STATUS]]="CONCLUÍDO",tblCalculo[[#This Row],[VALOR_TOTAL]],"")</f>
        <v/>
      </c>
    </row>
    <row r="648" spans="1:16" x14ac:dyDescent="0.25">
      <c r="A648" t="str">
        <f>tblVendas[[#This Row],[NR_SIMULACAO]]</f>
        <v>SIM1638</v>
      </c>
      <c r="B648" s="34" t="str">
        <f>_xlfn.XLOOKUP(A648,tblVendas[[#This Row],[NR_SIMULACAO]],tblVendas[[#This Row],[NR_CNPJ]],"")</f>
        <v>78.201.530/0001-96</v>
      </c>
      <c r="C648" t="str">
        <f>_xlfn.XLOOKUP(A648,tblVendas[[#This Row],[NR_SIMULACAO]],tblVendas[[#This Row],[STATUS]],"")</f>
        <v>CONCLUÍDO</v>
      </c>
      <c r="D648" t="str">
        <f>_xlfn.XLOOKUP(A648,tblVendas[[#This Row],[NR_SIMULACAO]],tblVendas[[#This Row],[MES]],"")</f>
        <v>Setembro</v>
      </c>
      <c r="E648">
        <f>SUM(_xlfn.XLOOKUP(tblCalculo[[#This Row],[NR_SIMULACAO]],tblVendas[[#This Row],[NR_SIMULACAO]],tblVendas[[#This Row],[VALOR_MOVEL]],""):_xlfn.XLOOKUP(tblCalculo[[#This Row],[NR_SIMULACAO]],tblVendas[[#This Row],[NR_SIMULACAO]],tblVendas[[#This Row],[VALOR_APARELHO]],""))</f>
        <v>4406.5200000000004</v>
      </c>
      <c r="F648">
        <f>IF(tblCalculo[[#This Row],[STATUS]]="CONCLUÍDO",_xlfn.XLOOKUP(tblCalculo[[#This Row],[NR_SIMULACAO]],tblVendas[[#This Row],[NR_SIMULACAO]],tblVendas[[#This Row],[VALOR_MOVEL]],""),0)</f>
        <v>2071.56</v>
      </c>
      <c r="G648">
        <f>IF(tblCalculo[[#This Row],[STATUS]]="CONCLUÍDO",_xlfn.XLOOKUP(tblCalculo[[#This Row],[NR_SIMULACAO]],tblVendas[[#This Row],[NR_SIMULACAO]],tblVendas[[#This Row],[VALOR_AVANCADO]],""),0)</f>
        <v>2334.96</v>
      </c>
      <c r="H648">
        <f>IF(tblCalculo[[#This Row],[STATUS]]="CONCLUÍDO",_xlfn.XLOOKUP(tblCalculo[[#This Row],[NR_SIMULACAO]],tblVendas[[#This Row],[NR_SIMULACAO]],tblVendas[[#This Row],[VALOR_FIXABASICA]],""),0)</f>
        <v>0</v>
      </c>
      <c r="I648">
        <f>IF(tblCalculo[[#This Row],[STATUS]]="CONCLUÍDO",_xlfn.XLOOKUP(tblCalculo[[#This Row],[NR_SIMULACAO]],tblVendas[[#This Row],[NR_SIMULACAO]],tblVendas[[#This Row],[VALOR_TI]],""),0)</f>
        <v>0</v>
      </c>
      <c r="J648">
        <f>IF(tblCalculo[[#This Row],[STATUS]]="CONCLUÍDO",_xlfn.XLOOKUP(tblCalculo[[#This Row],[NR_SIMULACAO]],tblVendas[[#This Row],[NR_SIMULACAO]],tblVendas[[#This Row],[VALOR_APARELHO]],""),0)</f>
        <v>0</v>
      </c>
      <c r="K648" t="str">
        <f>IF(tblCalculo[[#This Row],[STATUS]]="NEGOCIANDO",tblCalculo[[#This Row],[VALOR_TOTAL]],"")</f>
        <v/>
      </c>
      <c r="L648" t="str">
        <f>IF(tblCalculo[[#This Row],[STATUS]]="ALÇADA",tblCalculo[[#This Row],[VALOR_TOTAL]],"")</f>
        <v/>
      </c>
      <c r="M648" t="str">
        <f>IF(tblCalculo[[#This Row],[STATUS]]="EM ANÁLISE",tblCalculo[[#This Row],[VALOR_TOTAL]],"")</f>
        <v/>
      </c>
      <c r="N648" t="str">
        <f>IF(tblCalculo[[#This Row],[STATUS]]="TRAMITANDO",tblCalculo[[#This Row],[VALOR_TOTAL]],"")</f>
        <v/>
      </c>
      <c r="O648" t="str">
        <f>IF(tblCalculo[[#This Row],[STATUS]]="PERDIDO",tblCalculo[[#This Row],[VALOR_TOTAL]],"")</f>
        <v/>
      </c>
      <c r="P648">
        <f>IF(tblCalculo[[#This Row],[STATUS]]="CONCLUÍDO",tblCalculo[[#This Row],[VALOR_TOTAL]],"")</f>
        <v>4406.5200000000004</v>
      </c>
    </row>
    <row r="649" spans="1:16" x14ac:dyDescent="0.25">
      <c r="A649" t="str">
        <f>tblVendas[[#This Row],[NR_SIMULACAO]]</f>
        <v>SIM1639</v>
      </c>
      <c r="B649" s="34" t="str">
        <f>_xlfn.XLOOKUP(A649,tblVendas[[#This Row],[NR_SIMULACAO]],tblVendas[[#This Row],[NR_CNPJ]],"")</f>
        <v>52.632.877/0001-94</v>
      </c>
      <c r="C649" t="str">
        <f>_xlfn.XLOOKUP(A649,tblVendas[[#This Row],[NR_SIMULACAO]],tblVendas[[#This Row],[STATUS]],"")</f>
        <v>NEGOCIANDO</v>
      </c>
      <c r="D649" t="str">
        <f>_xlfn.XLOOKUP(A649,tblVendas[[#This Row],[NR_SIMULACAO]],tblVendas[[#This Row],[MES]],"")</f>
        <v>Agosto</v>
      </c>
      <c r="E649">
        <f>SUM(_xlfn.XLOOKUP(tblCalculo[[#This Row],[NR_SIMULACAO]],tblVendas[[#This Row],[NR_SIMULACAO]],tblVendas[[#This Row],[VALOR_MOVEL]],""):_xlfn.XLOOKUP(tblCalculo[[#This Row],[NR_SIMULACAO]],tblVendas[[#This Row],[NR_SIMULACAO]],tblVendas[[#This Row],[VALOR_APARELHO]],""))</f>
        <v>8289.74</v>
      </c>
      <c r="F649">
        <f>IF(tblCalculo[[#This Row],[STATUS]]="CONCLUÍDO",_xlfn.XLOOKUP(tblCalculo[[#This Row],[NR_SIMULACAO]],tblVendas[[#This Row],[NR_SIMULACAO]],tblVendas[[#This Row],[VALOR_MOVEL]],""),0)</f>
        <v>0</v>
      </c>
      <c r="G649">
        <f>IF(tblCalculo[[#This Row],[STATUS]]="CONCLUÍDO",_xlfn.XLOOKUP(tblCalculo[[#This Row],[NR_SIMULACAO]],tblVendas[[#This Row],[NR_SIMULACAO]],tblVendas[[#This Row],[VALOR_AVANCADO]],""),0)</f>
        <v>0</v>
      </c>
      <c r="H649">
        <f>IF(tblCalculo[[#This Row],[STATUS]]="CONCLUÍDO",_xlfn.XLOOKUP(tblCalculo[[#This Row],[NR_SIMULACAO]],tblVendas[[#This Row],[NR_SIMULACAO]],tblVendas[[#This Row],[VALOR_FIXABASICA]],""),0)</f>
        <v>0</v>
      </c>
      <c r="I649">
        <f>IF(tblCalculo[[#This Row],[STATUS]]="CONCLUÍDO",_xlfn.XLOOKUP(tblCalculo[[#This Row],[NR_SIMULACAO]],tblVendas[[#This Row],[NR_SIMULACAO]],tblVendas[[#This Row],[VALOR_TI]],""),0)</f>
        <v>0</v>
      </c>
      <c r="J649">
        <f>IF(tblCalculo[[#This Row],[STATUS]]="CONCLUÍDO",_xlfn.XLOOKUP(tblCalculo[[#This Row],[NR_SIMULACAO]],tblVendas[[#This Row],[NR_SIMULACAO]],tblVendas[[#This Row],[VALOR_APARELHO]],""),0)</f>
        <v>0</v>
      </c>
      <c r="K649">
        <f>IF(tblCalculo[[#This Row],[STATUS]]="NEGOCIANDO",tblCalculo[[#This Row],[VALOR_TOTAL]],"")</f>
        <v>8289.74</v>
      </c>
      <c r="L649" t="str">
        <f>IF(tblCalculo[[#This Row],[STATUS]]="ALÇADA",tblCalculo[[#This Row],[VALOR_TOTAL]],"")</f>
        <v/>
      </c>
      <c r="M649" t="str">
        <f>IF(tblCalculo[[#This Row],[STATUS]]="EM ANÁLISE",tblCalculo[[#This Row],[VALOR_TOTAL]],"")</f>
        <v/>
      </c>
      <c r="N649" t="str">
        <f>IF(tblCalculo[[#This Row],[STATUS]]="TRAMITANDO",tblCalculo[[#This Row],[VALOR_TOTAL]],"")</f>
        <v/>
      </c>
      <c r="O649" t="str">
        <f>IF(tblCalculo[[#This Row],[STATUS]]="PERDIDO",tblCalculo[[#This Row],[VALOR_TOTAL]],"")</f>
        <v/>
      </c>
      <c r="P649" t="str">
        <f>IF(tblCalculo[[#This Row],[STATUS]]="CONCLUÍDO",tblCalculo[[#This Row],[VALOR_TOTAL]],"")</f>
        <v/>
      </c>
    </row>
    <row r="650" spans="1:16" x14ac:dyDescent="0.25">
      <c r="A650" t="str">
        <f>tblVendas[[#This Row],[NR_SIMULACAO]]</f>
        <v>SIM1640</v>
      </c>
      <c r="B650" s="34" t="str">
        <f>_xlfn.XLOOKUP(A650,tblVendas[[#This Row],[NR_SIMULACAO]],tblVendas[[#This Row],[NR_CNPJ]],"")</f>
        <v>36.271.786/0001-47</v>
      </c>
      <c r="C650" t="str">
        <f>_xlfn.XLOOKUP(A650,tblVendas[[#This Row],[NR_SIMULACAO]],tblVendas[[#This Row],[STATUS]],"")</f>
        <v>CONCLUÍDO</v>
      </c>
      <c r="D650" t="str">
        <f>_xlfn.XLOOKUP(A650,tblVendas[[#This Row],[NR_SIMULACAO]],tblVendas[[#This Row],[MES]],"")</f>
        <v>Fevereiro</v>
      </c>
      <c r="E650">
        <f>SUM(_xlfn.XLOOKUP(tblCalculo[[#This Row],[NR_SIMULACAO]],tblVendas[[#This Row],[NR_SIMULACAO]],tblVendas[[#This Row],[VALOR_MOVEL]],""):_xlfn.XLOOKUP(tblCalculo[[#This Row],[NR_SIMULACAO]],tblVendas[[#This Row],[NR_SIMULACAO]],tblVendas[[#This Row],[VALOR_APARELHO]],""))</f>
        <v>978.45</v>
      </c>
      <c r="F650">
        <f>IF(tblCalculo[[#This Row],[STATUS]]="CONCLUÍDO",_xlfn.XLOOKUP(tblCalculo[[#This Row],[NR_SIMULACAO]],tblVendas[[#This Row],[NR_SIMULACAO]],tblVendas[[#This Row],[VALOR_MOVEL]],""),0)</f>
        <v>978.45</v>
      </c>
      <c r="G650">
        <f>IF(tblCalculo[[#This Row],[STATUS]]="CONCLUÍDO",_xlfn.XLOOKUP(tblCalculo[[#This Row],[NR_SIMULACAO]],tblVendas[[#This Row],[NR_SIMULACAO]],tblVendas[[#This Row],[VALOR_AVANCADO]],""),0)</f>
        <v>0</v>
      </c>
      <c r="H650">
        <f>IF(tblCalculo[[#This Row],[STATUS]]="CONCLUÍDO",_xlfn.XLOOKUP(tblCalculo[[#This Row],[NR_SIMULACAO]],tblVendas[[#This Row],[NR_SIMULACAO]],tblVendas[[#This Row],[VALOR_FIXABASICA]],""),0)</f>
        <v>0</v>
      </c>
      <c r="I650">
        <f>IF(tblCalculo[[#This Row],[STATUS]]="CONCLUÍDO",_xlfn.XLOOKUP(tblCalculo[[#This Row],[NR_SIMULACAO]],tblVendas[[#This Row],[NR_SIMULACAO]],tblVendas[[#This Row],[VALOR_TI]],""),0)</f>
        <v>0</v>
      </c>
      <c r="J650">
        <f>IF(tblCalculo[[#This Row],[STATUS]]="CONCLUÍDO",_xlfn.XLOOKUP(tblCalculo[[#This Row],[NR_SIMULACAO]],tblVendas[[#This Row],[NR_SIMULACAO]],tblVendas[[#This Row],[VALOR_APARELHO]],""),0)</f>
        <v>0</v>
      </c>
      <c r="K650" t="str">
        <f>IF(tblCalculo[[#This Row],[STATUS]]="NEGOCIANDO",tblCalculo[[#This Row],[VALOR_TOTAL]],"")</f>
        <v/>
      </c>
      <c r="L650" t="str">
        <f>IF(tblCalculo[[#This Row],[STATUS]]="ALÇADA",tblCalculo[[#This Row],[VALOR_TOTAL]],"")</f>
        <v/>
      </c>
      <c r="M650" t="str">
        <f>IF(tblCalculo[[#This Row],[STATUS]]="EM ANÁLISE",tblCalculo[[#This Row],[VALOR_TOTAL]],"")</f>
        <v/>
      </c>
      <c r="N650" t="str">
        <f>IF(tblCalculo[[#This Row],[STATUS]]="TRAMITANDO",tblCalculo[[#This Row],[VALOR_TOTAL]],"")</f>
        <v/>
      </c>
      <c r="O650" t="str">
        <f>IF(tblCalculo[[#This Row],[STATUS]]="PERDIDO",tblCalculo[[#This Row],[VALOR_TOTAL]],"")</f>
        <v/>
      </c>
      <c r="P650">
        <f>IF(tblCalculo[[#This Row],[STATUS]]="CONCLUÍDO",tblCalculo[[#This Row],[VALOR_TOTAL]],"")</f>
        <v>978.45</v>
      </c>
    </row>
    <row r="651" spans="1:16" x14ac:dyDescent="0.25">
      <c r="A651" t="str">
        <f>tblVendas[[#This Row],[NR_SIMULACAO]]</f>
        <v>SIM1641</v>
      </c>
      <c r="B651" s="34" t="str">
        <f>_xlfn.XLOOKUP(A651,tblVendas[[#This Row],[NR_SIMULACAO]],tblVendas[[#This Row],[NR_CNPJ]],"")</f>
        <v>35.910.913/0001-50</v>
      </c>
      <c r="C651" t="str">
        <f>_xlfn.XLOOKUP(A651,tblVendas[[#This Row],[NR_SIMULACAO]],tblVendas[[#This Row],[STATUS]],"")</f>
        <v>ALÇADA</v>
      </c>
      <c r="D651" t="str">
        <f>_xlfn.XLOOKUP(A651,tblVendas[[#This Row],[NR_SIMULACAO]],tblVendas[[#This Row],[MES]],"")</f>
        <v>Fevereiro</v>
      </c>
      <c r="E651">
        <f>SUM(_xlfn.XLOOKUP(tblCalculo[[#This Row],[NR_SIMULACAO]],tblVendas[[#This Row],[NR_SIMULACAO]],tblVendas[[#This Row],[VALOR_MOVEL]],""):_xlfn.XLOOKUP(tblCalculo[[#This Row],[NR_SIMULACAO]],tblVendas[[#This Row],[NR_SIMULACAO]],tblVendas[[#This Row],[VALOR_APARELHO]],""))</f>
        <v>5919.27</v>
      </c>
      <c r="F651">
        <f>IF(tblCalculo[[#This Row],[STATUS]]="CONCLUÍDO",_xlfn.XLOOKUP(tblCalculo[[#This Row],[NR_SIMULACAO]],tblVendas[[#This Row],[NR_SIMULACAO]],tblVendas[[#This Row],[VALOR_MOVEL]],""),0)</f>
        <v>0</v>
      </c>
      <c r="G651">
        <f>IF(tblCalculo[[#This Row],[STATUS]]="CONCLUÍDO",_xlfn.XLOOKUP(tblCalculo[[#This Row],[NR_SIMULACAO]],tblVendas[[#This Row],[NR_SIMULACAO]],tblVendas[[#This Row],[VALOR_AVANCADO]],""),0)</f>
        <v>0</v>
      </c>
      <c r="H651">
        <f>IF(tblCalculo[[#This Row],[STATUS]]="CONCLUÍDO",_xlfn.XLOOKUP(tblCalculo[[#This Row],[NR_SIMULACAO]],tblVendas[[#This Row],[NR_SIMULACAO]],tblVendas[[#This Row],[VALOR_FIXABASICA]],""),0)</f>
        <v>0</v>
      </c>
      <c r="I651">
        <f>IF(tblCalculo[[#This Row],[STATUS]]="CONCLUÍDO",_xlfn.XLOOKUP(tblCalculo[[#This Row],[NR_SIMULACAO]],tblVendas[[#This Row],[NR_SIMULACAO]],tblVendas[[#This Row],[VALOR_TI]],""),0)</f>
        <v>0</v>
      </c>
      <c r="J651">
        <f>IF(tblCalculo[[#This Row],[STATUS]]="CONCLUÍDO",_xlfn.XLOOKUP(tblCalculo[[#This Row],[NR_SIMULACAO]],tblVendas[[#This Row],[NR_SIMULACAO]],tblVendas[[#This Row],[VALOR_APARELHO]],""),0)</f>
        <v>0</v>
      </c>
      <c r="K651" t="str">
        <f>IF(tblCalculo[[#This Row],[STATUS]]="NEGOCIANDO",tblCalculo[[#This Row],[VALOR_TOTAL]],"")</f>
        <v/>
      </c>
      <c r="L651">
        <f>IF(tblCalculo[[#This Row],[STATUS]]="ALÇADA",tblCalculo[[#This Row],[VALOR_TOTAL]],"")</f>
        <v>5919.27</v>
      </c>
      <c r="M651" t="str">
        <f>IF(tblCalculo[[#This Row],[STATUS]]="EM ANÁLISE",tblCalculo[[#This Row],[VALOR_TOTAL]],"")</f>
        <v/>
      </c>
      <c r="N651" t="str">
        <f>IF(tblCalculo[[#This Row],[STATUS]]="TRAMITANDO",tblCalculo[[#This Row],[VALOR_TOTAL]],"")</f>
        <v/>
      </c>
      <c r="O651" t="str">
        <f>IF(tblCalculo[[#This Row],[STATUS]]="PERDIDO",tblCalculo[[#This Row],[VALOR_TOTAL]],"")</f>
        <v/>
      </c>
      <c r="P651" t="str">
        <f>IF(tblCalculo[[#This Row],[STATUS]]="CONCLUÍDO",tblCalculo[[#This Row],[VALOR_TOTAL]],"")</f>
        <v/>
      </c>
    </row>
    <row r="652" spans="1:16" x14ac:dyDescent="0.25">
      <c r="A652" t="str">
        <f>tblVendas[[#This Row],[NR_SIMULACAO]]</f>
        <v>SIM1642</v>
      </c>
      <c r="B652" s="34" t="str">
        <f>_xlfn.XLOOKUP(A652,tblVendas[[#This Row],[NR_SIMULACAO]],tblVendas[[#This Row],[NR_CNPJ]],"")</f>
        <v>41.395.640/0001-33</v>
      </c>
      <c r="C652" t="str">
        <f>_xlfn.XLOOKUP(A652,tblVendas[[#This Row],[NR_SIMULACAO]],tblVendas[[#This Row],[STATUS]],"")</f>
        <v>CONCLUÍDO</v>
      </c>
      <c r="D652" t="str">
        <f>_xlfn.XLOOKUP(A652,tblVendas[[#This Row],[NR_SIMULACAO]],tblVendas[[#This Row],[MES]],"")</f>
        <v>Maio</v>
      </c>
      <c r="E652">
        <f>SUM(_xlfn.XLOOKUP(tblCalculo[[#This Row],[NR_SIMULACAO]],tblVendas[[#This Row],[NR_SIMULACAO]],tblVendas[[#This Row],[VALOR_MOVEL]],""):_xlfn.XLOOKUP(tblCalculo[[#This Row],[NR_SIMULACAO]],tblVendas[[#This Row],[NR_SIMULACAO]],tblVendas[[#This Row],[VALOR_APARELHO]],""))</f>
        <v>1319.55</v>
      </c>
      <c r="F652">
        <f>IF(tblCalculo[[#This Row],[STATUS]]="CONCLUÍDO",_xlfn.XLOOKUP(tblCalculo[[#This Row],[NR_SIMULACAO]],tblVendas[[#This Row],[NR_SIMULACAO]],tblVendas[[#This Row],[VALOR_MOVEL]],""),0)</f>
        <v>0</v>
      </c>
      <c r="G652">
        <f>IF(tblCalculo[[#This Row],[STATUS]]="CONCLUÍDO",_xlfn.XLOOKUP(tblCalculo[[#This Row],[NR_SIMULACAO]],tblVendas[[#This Row],[NR_SIMULACAO]],tblVendas[[#This Row],[VALOR_AVANCADO]],""),0)</f>
        <v>0</v>
      </c>
      <c r="H652">
        <f>IF(tblCalculo[[#This Row],[STATUS]]="CONCLUÍDO",_xlfn.XLOOKUP(tblCalculo[[#This Row],[NR_SIMULACAO]],tblVendas[[#This Row],[NR_SIMULACAO]],tblVendas[[#This Row],[VALOR_FIXABASICA]],""),0)</f>
        <v>1319.55</v>
      </c>
      <c r="I652">
        <f>IF(tblCalculo[[#This Row],[STATUS]]="CONCLUÍDO",_xlfn.XLOOKUP(tblCalculo[[#This Row],[NR_SIMULACAO]],tblVendas[[#This Row],[NR_SIMULACAO]],tblVendas[[#This Row],[VALOR_TI]],""),0)</f>
        <v>0</v>
      </c>
      <c r="J652">
        <f>IF(tblCalculo[[#This Row],[STATUS]]="CONCLUÍDO",_xlfn.XLOOKUP(tblCalculo[[#This Row],[NR_SIMULACAO]],tblVendas[[#This Row],[NR_SIMULACAO]],tblVendas[[#This Row],[VALOR_APARELHO]],""),0)</f>
        <v>0</v>
      </c>
      <c r="K652" t="str">
        <f>IF(tblCalculo[[#This Row],[STATUS]]="NEGOCIANDO",tblCalculo[[#This Row],[VALOR_TOTAL]],"")</f>
        <v/>
      </c>
      <c r="L652" t="str">
        <f>IF(tblCalculo[[#This Row],[STATUS]]="ALÇADA",tblCalculo[[#This Row],[VALOR_TOTAL]],"")</f>
        <v/>
      </c>
      <c r="M652" t="str">
        <f>IF(tblCalculo[[#This Row],[STATUS]]="EM ANÁLISE",tblCalculo[[#This Row],[VALOR_TOTAL]],"")</f>
        <v/>
      </c>
      <c r="N652" t="str">
        <f>IF(tblCalculo[[#This Row],[STATUS]]="TRAMITANDO",tblCalculo[[#This Row],[VALOR_TOTAL]],"")</f>
        <v/>
      </c>
      <c r="O652" t="str">
        <f>IF(tblCalculo[[#This Row],[STATUS]]="PERDIDO",tblCalculo[[#This Row],[VALOR_TOTAL]],"")</f>
        <v/>
      </c>
      <c r="P652">
        <f>IF(tblCalculo[[#This Row],[STATUS]]="CONCLUÍDO",tblCalculo[[#This Row],[VALOR_TOTAL]],"")</f>
        <v>1319.55</v>
      </c>
    </row>
    <row r="653" spans="1:16" x14ac:dyDescent="0.25">
      <c r="A653" t="str">
        <f>tblVendas[[#This Row],[NR_SIMULACAO]]</f>
        <v>SIM1643</v>
      </c>
      <c r="B653" s="34" t="str">
        <f>_xlfn.XLOOKUP(A653,tblVendas[[#This Row],[NR_SIMULACAO]],tblVendas[[#This Row],[NR_CNPJ]],"")</f>
        <v>12.401.953/0001-77</v>
      </c>
      <c r="C653" t="str">
        <f>_xlfn.XLOOKUP(A653,tblVendas[[#This Row],[NR_SIMULACAO]],tblVendas[[#This Row],[STATUS]],"")</f>
        <v>CONCLUÍDO</v>
      </c>
      <c r="D653" t="str">
        <f>_xlfn.XLOOKUP(A653,tblVendas[[#This Row],[NR_SIMULACAO]],tblVendas[[#This Row],[MES]],"")</f>
        <v>Abril</v>
      </c>
      <c r="E653">
        <f>SUM(_xlfn.XLOOKUP(tblCalculo[[#This Row],[NR_SIMULACAO]],tblVendas[[#This Row],[NR_SIMULACAO]],tblVendas[[#This Row],[VALOR_MOVEL]],""):_xlfn.XLOOKUP(tblCalculo[[#This Row],[NR_SIMULACAO]],tblVendas[[#This Row],[NR_SIMULACAO]],tblVendas[[#This Row],[VALOR_APARELHO]],""))</f>
        <v>5950.28</v>
      </c>
      <c r="F653">
        <f>IF(tblCalculo[[#This Row],[STATUS]]="CONCLUÍDO",_xlfn.XLOOKUP(tblCalculo[[#This Row],[NR_SIMULACAO]],tblVendas[[#This Row],[NR_SIMULACAO]],tblVendas[[#This Row],[VALOR_MOVEL]],""),0)</f>
        <v>5950.28</v>
      </c>
      <c r="G653">
        <f>IF(tblCalculo[[#This Row],[STATUS]]="CONCLUÍDO",_xlfn.XLOOKUP(tblCalculo[[#This Row],[NR_SIMULACAO]],tblVendas[[#This Row],[NR_SIMULACAO]],tblVendas[[#This Row],[VALOR_AVANCADO]],""),0)</f>
        <v>0</v>
      </c>
      <c r="H653">
        <f>IF(tblCalculo[[#This Row],[STATUS]]="CONCLUÍDO",_xlfn.XLOOKUP(tblCalculo[[#This Row],[NR_SIMULACAO]],tblVendas[[#This Row],[NR_SIMULACAO]],tblVendas[[#This Row],[VALOR_FIXABASICA]],""),0)</f>
        <v>0</v>
      </c>
      <c r="I653">
        <f>IF(tblCalculo[[#This Row],[STATUS]]="CONCLUÍDO",_xlfn.XLOOKUP(tblCalculo[[#This Row],[NR_SIMULACAO]],tblVendas[[#This Row],[NR_SIMULACAO]],tblVendas[[#This Row],[VALOR_TI]],""),0)</f>
        <v>0</v>
      </c>
      <c r="J653">
        <f>IF(tblCalculo[[#This Row],[STATUS]]="CONCLUÍDO",_xlfn.XLOOKUP(tblCalculo[[#This Row],[NR_SIMULACAO]],tblVendas[[#This Row],[NR_SIMULACAO]],tblVendas[[#This Row],[VALOR_APARELHO]],""),0)</f>
        <v>0</v>
      </c>
      <c r="K653" t="str">
        <f>IF(tblCalculo[[#This Row],[STATUS]]="NEGOCIANDO",tblCalculo[[#This Row],[VALOR_TOTAL]],"")</f>
        <v/>
      </c>
      <c r="L653" t="str">
        <f>IF(tblCalculo[[#This Row],[STATUS]]="ALÇADA",tblCalculo[[#This Row],[VALOR_TOTAL]],"")</f>
        <v/>
      </c>
      <c r="M653" t="str">
        <f>IF(tblCalculo[[#This Row],[STATUS]]="EM ANÁLISE",tblCalculo[[#This Row],[VALOR_TOTAL]],"")</f>
        <v/>
      </c>
      <c r="N653" t="str">
        <f>IF(tblCalculo[[#This Row],[STATUS]]="TRAMITANDO",tblCalculo[[#This Row],[VALOR_TOTAL]],"")</f>
        <v/>
      </c>
      <c r="O653" t="str">
        <f>IF(tblCalculo[[#This Row],[STATUS]]="PERDIDO",tblCalculo[[#This Row],[VALOR_TOTAL]],"")</f>
        <v/>
      </c>
      <c r="P653">
        <f>IF(tblCalculo[[#This Row],[STATUS]]="CONCLUÍDO",tblCalculo[[#This Row],[VALOR_TOTAL]],"")</f>
        <v>5950.28</v>
      </c>
    </row>
    <row r="654" spans="1:16" x14ac:dyDescent="0.25">
      <c r="A654" t="str">
        <f>tblVendas[[#This Row],[NR_SIMULACAO]]</f>
        <v>SIM1644</v>
      </c>
      <c r="B654" s="34" t="str">
        <f>_xlfn.XLOOKUP(A654,tblVendas[[#This Row],[NR_SIMULACAO]],tblVendas[[#This Row],[NR_CNPJ]],"")</f>
        <v>77.320.132/0001-53</v>
      </c>
      <c r="C654" t="str">
        <f>_xlfn.XLOOKUP(A654,tblVendas[[#This Row],[NR_SIMULACAO]],tblVendas[[#This Row],[STATUS]],"")</f>
        <v>TRAMITANDO</v>
      </c>
      <c r="D654" t="str">
        <f>_xlfn.XLOOKUP(A654,tblVendas[[#This Row],[NR_SIMULACAO]],tblVendas[[#This Row],[MES]],"")</f>
        <v>Janeiro</v>
      </c>
      <c r="E654">
        <f>SUM(_xlfn.XLOOKUP(tblCalculo[[#This Row],[NR_SIMULACAO]],tblVendas[[#This Row],[NR_SIMULACAO]],tblVendas[[#This Row],[VALOR_MOVEL]],""):_xlfn.XLOOKUP(tblCalculo[[#This Row],[NR_SIMULACAO]],tblVendas[[#This Row],[NR_SIMULACAO]],tblVendas[[#This Row],[VALOR_APARELHO]],""))</f>
        <v>15335.2</v>
      </c>
      <c r="F654">
        <f>IF(tblCalculo[[#This Row],[STATUS]]="CONCLUÍDO",_xlfn.XLOOKUP(tblCalculo[[#This Row],[NR_SIMULACAO]],tblVendas[[#This Row],[NR_SIMULACAO]],tblVendas[[#This Row],[VALOR_MOVEL]],""),0)</f>
        <v>0</v>
      </c>
      <c r="G654">
        <f>IF(tblCalculo[[#This Row],[STATUS]]="CONCLUÍDO",_xlfn.XLOOKUP(tblCalculo[[#This Row],[NR_SIMULACAO]],tblVendas[[#This Row],[NR_SIMULACAO]],tblVendas[[#This Row],[VALOR_AVANCADO]],""),0)</f>
        <v>0</v>
      </c>
      <c r="H654">
        <f>IF(tblCalculo[[#This Row],[STATUS]]="CONCLUÍDO",_xlfn.XLOOKUP(tblCalculo[[#This Row],[NR_SIMULACAO]],tblVendas[[#This Row],[NR_SIMULACAO]],tblVendas[[#This Row],[VALOR_FIXABASICA]],""),0)</f>
        <v>0</v>
      </c>
      <c r="I654">
        <f>IF(tblCalculo[[#This Row],[STATUS]]="CONCLUÍDO",_xlfn.XLOOKUP(tblCalculo[[#This Row],[NR_SIMULACAO]],tblVendas[[#This Row],[NR_SIMULACAO]],tblVendas[[#This Row],[VALOR_TI]],""),0)</f>
        <v>0</v>
      </c>
      <c r="J654">
        <f>IF(tblCalculo[[#This Row],[STATUS]]="CONCLUÍDO",_xlfn.XLOOKUP(tblCalculo[[#This Row],[NR_SIMULACAO]],tblVendas[[#This Row],[NR_SIMULACAO]],tblVendas[[#This Row],[VALOR_APARELHO]],""),0)</f>
        <v>0</v>
      </c>
      <c r="K654" t="str">
        <f>IF(tblCalculo[[#This Row],[STATUS]]="NEGOCIANDO",tblCalculo[[#This Row],[VALOR_TOTAL]],"")</f>
        <v/>
      </c>
      <c r="L654" t="str">
        <f>IF(tblCalculo[[#This Row],[STATUS]]="ALÇADA",tblCalculo[[#This Row],[VALOR_TOTAL]],"")</f>
        <v/>
      </c>
      <c r="M654" t="str">
        <f>IF(tblCalculo[[#This Row],[STATUS]]="EM ANÁLISE",tblCalculo[[#This Row],[VALOR_TOTAL]],"")</f>
        <v/>
      </c>
      <c r="N654">
        <f>IF(tblCalculo[[#This Row],[STATUS]]="TRAMITANDO",tblCalculo[[#This Row],[VALOR_TOTAL]],"")</f>
        <v>15335.2</v>
      </c>
      <c r="O654" t="str">
        <f>IF(tblCalculo[[#This Row],[STATUS]]="PERDIDO",tblCalculo[[#This Row],[VALOR_TOTAL]],"")</f>
        <v/>
      </c>
      <c r="P654" t="str">
        <f>IF(tblCalculo[[#This Row],[STATUS]]="CONCLUÍDO",tblCalculo[[#This Row],[VALOR_TOTAL]],"")</f>
        <v/>
      </c>
    </row>
    <row r="655" spans="1:16" x14ac:dyDescent="0.25">
      <c r="A655" t="str">
        <f>tblVendas[[#This Row],[NR_SIMULACAO]]</f>
        <v>SIM1645</v>
      </c>
      <c r="B655" s="34" t="str">
        <f>_xlfn.XLOOKUP(A655,tblVendas[[#This Row],[NR_SIMULACAO]],tblVendas[[#This Row],[NR_CNPJ]],"")</f>
        <v>68.481.591/0001-52</v>
      </c>
      <c r="C655" t="str">
        <f>_xlfn.XLOOKUP(A655,tblVendas[[#This Row],[NR_SIMULACAO]],tblVendas[[#This Row],[STATUS]],"")</f>
        <v>TRAMITANDO</v>
      </c>
      <c r="D655" t="str">
        <f>_xlfn.XLOOKUP(A655,tblVendas[[#This Row],[NR_SIMULACAO]],tblVendas[[#This Row],[MES]],"")</f>
        <v>Novembro</v>
      </c>
      <c r="E655">
        <f>SUM(_xlfn.XLOOKUP(tblCalculo[[#This Row],[NR_SIMULACAO]],tblVendas[[#This Row],[NR_SIMULACAO]],tblVendas[[#This Row],[VALOR_MOVEL]],""):_xlfn.XLOOKUP(tblCalculo[[#This Row],[NR_SIMULACAO]],tblVendas[[#This Row],[NR_SIMULACAO]],tblVendas[[#This Row],[VALOR_APARELHO]],""))</f>
        <v>10253</v>
      </c>
      <c r="F655">
        <f>IF(tblCalculo[[#This Row],[STATUS]]="CONCLUÍDO",_xlfn.XLOOKUP(tblCalculo[[#This Row],[NR_SIMULACAO]],tblVendas[[#This Row],[NR_SIMULACAO]],tblVendas[[#This Row],[VALOR_MOVEL]],""),0)</f>
        <v>0</v>
      </c>
      <c r="G655">
        <f>IF(tblCalculo[[#This Row],[STATUS]]="CONCLUÍDO",_xlfn.XLOOKUP(tblCalculo[[#This Row],[NR_SIMULACAO]],tblVendas[[#This Row],[NR_SIMULACAO]],tblVendas[[#This Row],[VALOR_AVANCADO]],""),0)</f>
        <v>0</v>
      </c>
      <c r="H655">
        <f>IF(tblCalculo[[#This Row],[STATUS]]="CONCLUÍDO",_xlfn.XLOOKUP(tblCalculo[[#This Row],[NR_SIMULACAO]],tblVendas[[#This Row],[NR_SIMULACAO]],tblVendas[[#This Row],[VALOR_FIXABASICA]],""),0)</f>
        <v>0</v>
      </c>
      <c r="I655">
        <f>IF(tblCalculo[[#This Row],[STATUS]]="CONCLUÍDO",_xlfn.XLOOKUP(tblCalculo[[#This Row],[NR_SIMULACAO]],tblVendas[[#This Row],[NR_SIMULACAO]],tblVendas[[#This Row],[VALOR_TI]],""),0)</f>
        <v>0</v>
      </c>
      <c r="J655">
        <f>IF(tblCalculo[[#This Row],[STATUS]]="CONCLUÍDO",_xlfn.XLOOKUP(tblCalculo[[#This Row],[NR_SIMULACAO]],tblVendas[[#This Row],[NR_SIMULACAO]],tblVendas[[#This Row],[VALOR_APARELHO]],""),0)</f>
        <v>0</v>
      </c>
      <c r="K655" t="str">
        <f>IF(tblCalculo[[#This Row],[STATUS]]="NEGOCIANDO",tblCalculo[[#This Row],[VALOR_TOTAL]],"")</f>
        <v/>
      </c>
      <c r="L655" t="str">
        <f>IF(tblCalculo[[#This Row],[STATUS]]="ALÇADA",tblCalculo[[#This Row],[VALOR_TOTAL]],"")</f>
        <v/>
      </c>
      <c r="M655" t="str">
        <f>IF(tblCalculo[[#This Row],[STATUS]]="EM ANÁLISE",tblCalculo[[#This Row],[VALOR_TOTAL]],"")</f>
        <v/>
      </c>
      <c r="N655">
        <f>IF(tblCalculo[[#This Row],[STATUS]]="TRAMITANDO",tblCalculo[[#This Row],[VALOR_TOTAL]],"")</f>
        <v>10253</v>
      </c>
      <c r="O655" t="str">
        <f>IF(tblCalculo[[#This Row],[STATUS]]="PERDIDO",tblCalculo[[#This Row],[VALOR_TOTAL]],"")</f>
        <v/>
      </c>
      <c r="P655" t="str">
        <f>IF(tblCalculo[[#This Row],[STATUS]]="CONCLUÍDO",tblCalculo[[#This Row],[VALOR_TOTAL]],"")</f>
        <v/>
      </c>
    </row>
    <row r="656" spans="1:16" x14ac:dyDescent="0.25">
      <c r="A656" t="str">
        <f>tblVendas[[#This Row],[NR_SIMULACAO]]</f>
        <v>SIM1646</v>
      </c>
      <c r="B656" s="34" t="str">
        <f>_xlfn.XLOOKUP(A656,tblVendas[[#This Row],[NR_SIMULACAO]],tblVendas[[#This Row],[NR_CNPJ]],"")</f>
        <v>71.393.571/0001-37</v>
      </c>
      <c r="C656" t="str">
        <f>_xlfn.XLOOKUP(A656,tblVendas[[#This Row],[NR_SIMULACAO]],tblVendas[[#This Row],[STATUS]],"")</f>
        <v>NEGOCIANDO</v>
      </c>
      <c r="D656" t="str">
        <f>_xlfn.XLOOKUP(A656,tblVendas[[#This Row],[NR_SIMULACAO]],tblVendas[[#This Row],[MES]],"")</f>
        <v>Outubro</v>
      </c>
      <c r="E656">
        <f>SUM(_xlfn.XLOOKUP(tblCalculo[[#This Row],[NR_SIMULACAO]],tblVendas[[#This Row],[NR_SIMULACAO]],tblVendas[[#This Row],[VALOR_MOVEL]],""):_xlfn.XLOOKUP(tblCalculo[[#This Row],[NR_SIMULACAO]],tblVendas[[#This Row],[NR_SIMULACAO]],tblVendas[[#This Row],[VALOR_APARELHO]],""))</f>
        <v>1715.82</v>
      </c>
      <c r="F656">
        <f>IF(tblCalculo[[#This Row],[STATUS]]="CONCLUÍDO",_xlfn.XLOOKUP(tblCalculo[[#This Row],[NR_SIMULACAO]],tblVendas[[#This Row],[NR_SIMULACAO]],tblVendas[[#This Row],[VALOR_MOVEL]],""),0)</f>
        <v>0</v>
      </c>
      <c r="G656">
        <f>IF(tblCalculo[[#This Row],[STATUS]]="CONCLUÍDO",_xlfn.XLOOKUP(tblCalculo[[#This Row],[NR_SIMULACAO]],tblVendas[[#This Row],[NR_SIMULACAO]],tblVendas[[#This Row],[VALOR_AVANCADO]],""),0)</f>
        <v>0</v>
      </c>
      <c r="H656">
        <f>IF(tblCalculo[[#This Row],[STATUS]]="CONCLUÍDO",_xlfn.XLOOKUP(tblCalculo[[#This Row],[NR_SIMULACAO]],tblVendas[[#This Row],[NR_SIMULACAO]],tblVendas[[#This Row],[VALOR_FIXABASICA]],""),0)</f>
        <v>0</v>
      </c>
      <c r="I656">
        <f>IF(tblCalculo[[#This Row],[STATUS]]="CONCLUÍDO",_xlfn.XLOOKUP(tblCalculo[[#This Row],[NR_SIMULACAO]],tblVendas[[#This Row],[NR_SIMULACAO]],tblVendas[[#This Row],[VALOR_TI]],""),0)</f>
        <v>0</v>
      </c>
      <c r="J656">
        <f>IF(tblCalculo[[#This Row],[STATUS]]="CONCLUÍDO",_xlfn.XLOOKUP(tblCalculo[[#This Row],[NR_SIMULACAO]],tblVendas[[#This Row],[NR_SIMULACAO]],tblVendas[[#This Row],[VALOR_APARELHO]],""),0)</f>
        <v>0</v>
      </c>
      <c r="K656">
        <f>IF(tblCalculo[[#This Row],[STATUS]]="NEGOCIANDO",tblCalculo[[#This Row],[VALOR_TOTAL]],"")</f>
        <v>1715.82</v>
      </c>
      <c r="L656" t="str">
        <f>IF(tblCalculo[[#This Row],[STATUS]]="ALÇADA",tblCalculo[[#This Row],[VALOR_TOTAL]],"")</f>
        <v/>
      </c>
      <c r="M656" t="str">
        <f>IF(tblCalculo[[#This Row],[STATUS]]="EM ANÁLISE",tblCalculo[[#This Row],[VALOR_TOTAL]],"")</f>
        <v/>
      </c>
      <c r="N656" t="str">
        <f>IF(tblCalculo[[#This Row],[STATUS]]="TRAMITANDO",tblCalculo[[#This Row],[VALOR_TOTAL]],"")</f>
        <v/>
      </c>
      <c r="O656" t="str">
        <f>IF(tblCalculo[[#This Row],[STATUS]]="PERDIDO",tblCalculo[[#This Row],[VALOR_TOTAL]],"")</f>
        <v/>
      </c>
      <c r="P656" t="str">
        <f>IF(tblCalculo[[#This Row],[STATUS]]="CONCLUÍDO",tblCalculo[[#This Row],[VALOR_TOTAL]],"")</f>
        <v/>
      </c>
    </row>
    <row r="657" spans="1:16" x14ac:dyDescent="0.25">
      <c r="A657" t="str">
        <f>tblVendas[[#This Row],[NR_SIMULACAO]]</f>
        <v>SIM1647</v>
      </c>
      <c r="B657" s="34" t="str">
        <f>_xlfn.XLOOKUP(A657,tblVendas[[#This Row],[NR_SIMULACAO]],tblVendas[[#This Row],[NR_CNPJ]],"")</f>
        <v>57.908.287/0001-59</v>
      </c>
      <c r="C657" t="str">
        <f>_xlfn.XLOOKUP(A657,tblVendas[[#This Row],[NR_SIMULACAO]],tblVendas[[#This Row],[STATUS]],"")</f>
        <v>ALÇADA</v>
      </c>
      <c r="D657" t="str">
        <f>_xlfn.XLOOKUP(A657,tblVendas[[#This Row],[NR_SIMULACAO]],tblVendas[[#This Row],[MES]],"")</f>
        <v>Janeiro</v>
      </c>
      <c r="E657">
        <f>SUM(_xlfn.XLOOKUP(tblCalculo[[#This Row],[NR_SIMULACAO]],tblVendas[[#This Row],[NR_SIMULACAO]],tblVendas[[#This Row],[VALOR_MOVEL]],""):_xlfn.XLOOKUP(tblCalculo[[#This Row],[NR_SIMULACAO]],tblVendas[[#This Row],[NR_SIMULACAO]],tblVendas[[#This Row],[VALOR_APARELHO]],""))</f>
        <v>6577.6399999999994</v>
      </c>
      <c r="F657">
        <f>IF(tblCalculo[[#This Row],[STATUS]]="CONCLUÍDO",_xlfn.XLOOKUP(tblCalculo[[#This Row],[NR_SIMULACAO]],tblVendas[[#This Row],[NR_SIMULACAO]],tblVendas[[#This Row],[VALOR_MOVEL]],""),0)</f>
        <v>0</v>
      </c>
      <c r="G657">
        <f>IF(tblCalculo[[#This Row],[STATUS]]="CONCLUÍDO",_xlfn.XLOOKUP(tblCalculo[[#This Row],[NR_SIMULACAO]],tblVendas[[#This Row],[NR_SIMULACAO]],tblVendas[[#This Row],[VALOR_AVANCADO]],""),0)</f>
        <v>0</v>
      </c>
      <c r="H657">
        <f>IF(tblCalculo[[#This Row],[STATUS]]="CONCLUÍDO",_xlfn.XLOOKUP(tblCalculo[[#This Row],[NR_SIMULACAO]],tblVendas[[#This Row],[NR_SIMULACAO]],tblVendas[[#This Row],[VALOR_FIXABASICA]],""),0)</f>
        <v>0</v>
      </c>
      <c r="I657">
        <f>IF(tblCalculo[[#This Row],[STATUS]]="CONCLUÍDO",_xlfn.XLOOKUP(tblCalculo[[#This Row],[NR_SIMULACAO]],tblVendas[[#This Row],[NR_SIMULACAO]],tblVendas[[#This Row],[VALOR_TI]],""),0)</f>
        <v>0</v>
      </c>
      <c r="J657">
        <f>IF(tblCalculo[[#This Row],[STATUS]]="CONCLUÍDO",_xlfn.XLOOKUP(tblCalculo[[#This Row],[NR_SIMULACAO]],tblVendas[[#This Row],[NR_SIMULACAO]],tblVendas[[#This Row],[VALOR_APARELHO]],""),0)</f>
        <v>0</v>
      </c>
      <c r="K657" t="str">
        <f>IF(tblCalculo[[#This Row],[STATUS]]="NEGOCIANDO",tblCalculo[[#This Row],[VALOR_TOTAL]],"")</f>
        <v/>
      </c>
      <c r="L657">
        <f>IF(tblCalculo[[#This Row],[STATUS]]="ALÇADA",tblCalculo[[#This Row],[VALOR_TOTAL]],"")</f>
        <v>6577.6399999999994</v>
      </c>
      <c r="M657" t="str">
        <f>IF(tblCalculo[[#This Row],[STATUS]]="EM ANÁLISE",tblCalculo[[#This Row],[VALOR_TOTAL]],"")</f>
        <v/>
      </c>
      <c r="N657" t="str">
        <f>IF(tblCalculo[[#This Row],[STATUS]]="TRAMITANDO",tblCalculo[[#This Row],[VALOR_TOTAL]],"")</f>
        <v/>
      </c>
      <c r="O657" t="str">
        <f>IF(tblCalculo[[#This Row],[STATUS]]="PERDIDO",tblCalculo[[#This Row],[VALOR_TOTAL]],"")</f>
        <v/>
      </c>
      <c r="P657" t="str">
        <f>IF(tblCalculo[[#This Row],[STATUS]]="CONCLUÍDO",tblCalculo[[#This Row],[VALOR_TOTAL]],"")</f>
        <v/>
      </c>
    </row>
    <row r="658" spans="1:16" x14ac:dyDescent="0.25">
      <c r="A658" t="str">
        <f>tblVendas[[#This Row],[NR_SIMULACAO]]</f>
        <v>SIM1648</v>
      </c>
      <c r="B658" s="34" t="str">
        <f>_xlfn.XLOOKUP(A658,tblVendas[[#This Row],[NR_SIMULACAO]],tblVendas[[#This Row],[NR_CNPJ]],"")</f>
        <v>12.295.211/0001-58</v>
      </c>
      <c r="C658" t="str">
        <f>_xlfn.XLOOKUP(A658,tblVendas[[#This Row],[NR_SIMULACAO]],tblVendas[[#This Row],[STATUS]],"")</f>
        <v>TRAMITANDO</v>
      </c>
      <c r="D658" t="str">
        <f>_xlfn.XLOOKUP(A658,tblVendas[[#This Row],[NR_SIMULACAO]],tblVendas[[#This Row],[MES]],"")</f>
        <v>Julho</v>
      </c>
      <c r="E658">
        <f>SUM(_xlfn.XLOOKUP(tblCalculo[[#This Row],[NR_SIMULACAO]],tblVendas[[#This Row],[NR_SIMULACAO]],tblVendas[[#This Row],[VALOR_MOVEL]],""):_xlfn.XLOOKUP(tblCalculo[[#This Row],[NR_SIMULACAO]],tblVendas[[#This Row],[NR_SIMULACAO]],tblVendas[[#This Row],[VALOR_APARELHO]],""))</f>
        <v>13337.36</v>
      </c>
      <c r="F658">
        <f>IF(tblCalculo[[#This Row],[STATUS]]="CONCLUÍDO",_xlfn.XLOOKUP(tblCalculo[[#This Row],[NR_SIMULACAO]],tblVendas[[#This Row],[NR_SIMULACAO]],tblVendas[[#This Row],[VALOR_MOVEL]],""),0)</f>
        <v>0</v>
      </c>
      <c r="G658">
        <f>IF(tblCalculo[[#This Row],[STATUS]]="CONCLUÍDO",_xlfn.XLOOKUP(tblCalculo[[#This Row],[NR_SIMULACAO]],tblVendas[[#This Row],[NR_SIMULACAO]],tblVendas[[#This Row],[VALOR_AVANCADO]],""),0)</f>
        <v>0</v>
      </c>
      <c r="H658">
        <f>IF(tblCalculo[[#This Row],[STATUS]]="CONCLUÍDO",_xlfn.XLOOKUP(tblCalculo[[#This Row],[NR_SIMULACAO]],tblVendas[[#This Row],[NR_SIMULACAO]],tblVendas[[#This Row],[VALOR_FIXABASICA]],""),0)</f>
        <v>0</v>
      </c>
      <c r="I658">
        <f>IF(tblCalculo[[#This Row],[STATUS]]="CONCLUÍDO",_xlfn.XLOOKUP(tblCalculo[[#This Row],[NR_SIMULACAO]],tblVendas[[#This Row],[NR_SIMULACAO]],tblVendas[[#This Row],[VALOR_TI]],""),0)</f>
        <v>0</v>
      </c>
      <c r="J658">
        <f>IF(tblCalculo[[#This Row],[STATUS]]="CONCLUÍDO",_xlfn.XLOOKUP(tblCalculo[[#This Row],[NR_SIMULACAO]],tblVendas[[#This Row],[NR_SIMULACAO]],tblVendas[[#This Row],[VALOR_APARELHO]],""),0)</f>
        <v>0</v>
      </c>
      <c r="K658" t="str">
        <f>IF(tblCalculo[[#This Row],[STATUS]]="NEGOCIANDO",tblCalculo[[#This Row],[VALOR_TOTAL]],"")</f>
        <v/>
      </c>
      <c r="L658" t="str">
        <f>IF(tblCalculo[[#This Row],[STATUS]]="ALÇADA",tblCalculo[[#This Row],[VALOR_TOTAL]],"")</f>
        <v/>
      </c>
      <c r="M658" t="str">
        <f>IF(tblCalculo[[#This Row],[STATUS]]="EM ANÁLISE",tblCalculo[[#This Row],[VALOR_TOTAL]],"")</f>
        <v/>
      </c>
      <c r="N658">
        <f>IF(tblCalculo[[#This Row],[STATUS]]="TRAMITANDO",tblCalculo[[#This Row],[VALOR_TOTAL]],"")</f>
        <v>13337.36</v>
      </c>
      <c r="O658" t="str">
        <f>IF(tblCalculo[[#This Row],[STATUS]]="PERDIDO",tblCalculo[[#This Row],[VALOR_TOTAL]],"")</f>
        <v/>
      </c>
      <c r="P658" t="str">
        <f>IF(tblCalculo[[#This Row],[STATUS]]="CONCLUÍDO",tblCalculo[[#This Row],[VALOR_TOTAL]],"")</f>
        <v/>
      </c>
    </row>
    <row r="659" spans="1:16" x14ac:dyDescent="0.25">
      <c r="A659" t="str">
        <f>tblVendas[[#This Row],[NR_SIMULACAO]]</f>
        <v>SIM1649</v>
      </c>
      <c r="B659" s="34" t="str">
        <f>_xlfn.XLOOKUP(A659,tblVendas[[#This Row],[NR_SIMULACAO]],tblVendas[[#This Row],[NR_CNPJ]],"")</f>
        <v>22.886.747/0001-80</v>
      </c>
      <c r="C659" t="str">
        <f>_xlfn.XLOOKUP(A659,tblVendas[[#This Row],[NR_SIMULACAO]],tblVendas[[#This Row],[STATUS]],"")</f>
        <v>CONCLUÍDO</v>
      </c>
      <c r="D659" t="str">
        <f>_xlfn.XLOOKUP(A659,tblVendas[[#This Row],[NR_SIMULACAO]],tblVendas[[#This Row],[MES]],"")</f>
        <v>Fevereiro</v>
      </c>
      <c r="E659">
        <f>SUM(_xlfn.XLOOKUP(tblCalculo[[#This Row],[NR_SIMULACAO]],tblVendas[[#This Row],[NR_SIMULACAO]],tblVendas[[#This Row],[VALOR_MOVEL]],""):_xlfn.XLOOKUP(tblCalculo[[#This Row],[NR_SIMULACAO]],tblVendas[[#This Row],[NR_SIMULACAO]],tblVendas[[#This Row],[VALOR_APARELHO]],""))</f>
        <v>5165.9399999999996</v>
      </c>
      <c r="F659">
        <f>IF(tblCalculo[[#This Row],[STATUS]]="CONCLUÍDO",_xlfn.XLOOKUP(tblCalculo[[#This Row],[NR_SIMULACAO]],tblVendas[[#This Row],[NR_SIMULACAO]],tblVendas[[#This Row],[VALOR_MOVEL]],""),0)</f>
        <v>0</v>
      </c>
      <c r="G659">
        <f>IF(tblCalculo[[#This Row],[STATUS]]="CONCLUÍDO",_xlfn.XLOOKUP(tblCalculo[[#This Row],[NR_SIMULACAO]],tblVendas[[#This Row],[NR_SIMULACAO]],tblVendas[[#This Row],[VALOR_AVANCADO]],""),0)</f>
        <v>4402.62</v>
      </c>
      <c r="H659">
        <f>IF(tblCalculo[[#This Row],[STATUS]]="CONCLUÍDO",_xlfn.XLOOKUP(tblCalculo[[#This Row],[NR_SIMULACAO]],tblVendas[[#This Row],[NR_SIMULACAO]],tblVendas[[#This Row],[VALOR_FIXABASICA]],""),0)</f>
        <v>763.32</v>
      </c>
      <c r="I659">
        <f>IF(tblCalculo[[#This Row],[STATUS]]="CONCLUÍDO",_xlfn.XLOOKUP(tblCalculo[[#This Row],[NR_SIMULACAO]],tblVendas[[#This Row],[NR_SIMULACAO]],tblVendas[[#This Row],[VALOR_TI]],""),0)</f>
        <v>0</v>
      </c>
      <c r="J659">
        <f>IF(tblCalculo[[#This Row],[STATUS]]="CONCLUÍDO",_xlfn.XLOOKUP(tblCalculo[[#This Row],[NR_SIMULACAO]],tblVendas[[#This Row],[NR_SIMULACAO]],tblVendas[[#This Row],[VALOR_APARELHO]],""),0)</f>
        <v>0</v>
      </c>
      <c r="K659" t="str">
        <f>IF(tblCalculo[[#This Row],[STATUS]]="NEGOCIANDO",tblCalculo[[#This Row],[VALOR_TOTAL]],"")</f>
        <v/>
      </c>
      <c r="L659" t="str">
        <f>IF(tblCalculo[[#This Row],[STATUS]]="ALÇADA",tblCalculo[[#This Row],[VALOR_TOTAL]],"")</f>
        <v/>
      </c>
      <c r="M659" t="str">
        <f>IF(tblCalculo[[#This Row],[STATUS]]="EM ANÁLISE",tblCalculo[[#This Row],[VALOR_TOTAL]],"")</f>
        <v/>
      </c>
      <c r="N659" t="str">
        <f>IF(tblCalculo[[#This Row],[STATUS]]="TRAMITANDO",tblCalculo[[#This Row],[VALOR_TOTAL]],"")</f>
        <v/>
      </c>
      <c r="O659" t="str">
        <f>IF(tblCalculo[[#This Row],[STATUS]]="PERDIDO",tblCalculo[[#This Row],[VALOR_TOTAL]],"")</f>
        <v/>
      </c>
      <c r="P659">
        <f>IF(tblCalculo[[#This Row],[STATUS]]="CONCLUÍDO",tblCalculo[[#This Row],[VALOR_TOTAL]],"")</f>
        <v>5165.9399999999996</v>
      </c>
    </row>
    <row r="660" spans="1:16" x14ac:dyDescent="0.25">
      <c r="A660" t="str">
        <f>tblVendas[[#This Row],[NR_SIMULACAO]]</f>
        <v>SIM1650</v>
      </c>
      <c r="B660" s="34" t="str">
        <f>_xlfn.XLOOKUP(A660,tblVendas[[#This Row],[NR_SIMULACAO]],tblVendas[[#This Row],[NR_CNPJ]],"")</f>
        <v>28.218.268/0001-71</v>
      </c>
      <c r="C660" t="str">
        <f>_xlfn.XLOOKUP(A660,tblVendas[[#This Row],[NR_SIMULACAO]],tblVendas[[#This Row],[STATUS]],"")</f>
        <v>ALÇADA</v>
      </c>
      <c r="D660" t="str">
        <f>_xlfn.XLOOKUP(A660,tblVendas[[#This Row],[NR_SIMULACAO]],tblVendas[[#This Row],[MES]],"")</f>
        <v>Março</v>
      </c>
      <c r="E660">
        <f>SUM(_xlfn.XLOOKUP(tblCalculo[[#This Row],[NR_SIMULACAO]],tblVendas[[#This Row],[NR_SIMULACAO]],tblVendas[[#This Row],[VALOR_MOVEL]],""):_xlfn.XLOOKUP(tblCalculo[[#This Row],[NR_SIMULACAO]],tblVendas[[#This Row],[NR_SIMULACAO]],tblVendas[[#This Row],[VALOR_APARELHO]],""))</f>
        <v>507.69</v>
      </c>
      <c r="F660">
        <f>IF(tblCalculo[[#This Row],[STATUS]]="CONCLUÍDO",_xlfn.XLOOKUP(tblCalculo[[#This Row],[NR_SIMULACAO]],tblVendas[[#This Row],[NR_SIMULACAO]],tblVendas[[#This Row],[VALOR_MOVEL]],""),0)</f>
        <v>0</v>
      </c>
      <c r="G660">
        <f>IF(tblCalculo[[#This Row],[STATUS]]="CONCLUÍDO",_xlfn.XLOOKUP(tblCalculo[[#This Row],[NR_SIMULACAO]],tblVendas[[#This Row],[NR_SIMULACAO]],tblVendas[[#This Row],[VALOR_AVANCADO]],""),0)</f>
        <v>0</v>
      </c>
      <c r="H660">
        <f>IF(tblCalculo[[#This Row],[STATUS]]="CONCLUÍDO",_xlfn.XLOOKUP(tblCalculo[[#This Row],[NR_SIMULACAO]],tblVendas[[#This Row],[NR_SIMULACAO]],tblVendas[[#This Row],[VALOR_FIXABASICA]],""),0)</f>
        <v>0</v>
      </c>
      <c r="I660">
        <f>IF(tblCalculo[[#This Row],[STATUS]]="CONCLUÍDO",_xlfn.XLOOKUP(tblCalculo[[#This Row],[NR_SIMULACAO]],tblVendas[[#This Row],[NR_SIMULACAO]],tblVendas[[#This Row],[VALOR_TI]],""),0)</f>
        <v>0</v>
      </c>
      <c r="J660">
        <f>IF(tblCalculo[[#This Row],[STATUS]]="CONCLUÍDO",_xlfn.XLOOKUP(tblCalculo[[#This Row],[NR_SIMULACAO]],tblVendas[[#This Row],[NR_SIMULACAO]],tblVendas[[#This Row],[VALOR_APARELHO]],""),0)</f>
        <v>0</v>
      </c>
      <c r="K660" t="str">
        <f>IF(tblCalculo[[#This Row],[STATUS]]="NEGOCIANDO",tblCalculo[[#This Row],[VALOR_TOTAL]],"")</f>
        <v/>
      </c>
      <c r="L660">
        <f>IF(tblCalculo[[#This Row],[STATUS]]="ALÇADA",tblCalculo[[#This Row],[VALOR_TOTAL]],"")</f>
        <v>507.69</v>
      </c>
      <c r="M660" t="str">
        <f>IF(tblCalculo[[#This Row],[STATUS]]="EM ANÁLISE",tblCalculo[[#This Row],[VALOR_TOTAL]],"")</f>
        <v/>
      </c>
      <c r="N660" t="str">
        <f>IF(tblCalculo[[#This Row],[STATUS]]="TRAMITANDO",tblCalculo[[#This Row],[VALOR_TOTAL]],"")</f>
        <v/>
      </c>
      <c r="O660" t="str">
        <f>IF(tblCalculo[[#This Row],[STATUS]]="PERDIDO",tblCalculo[[#This Row],[VALOR_TOTAL]],"")</f>
        <v/>
      </c>
      <c r="P660" t="str">
        <f>IF(tblCalculo[[#This Row],[STATUS]]="CONCLUÍDO",tblCalculo[[#This Row],[VALOR_TOTAL]],"")</f>
        <v/>
      </c>
    </row>
    <row r="661" spans="1:16" x14ac:dyDescent="0.25">
      <c r="A661" t="str">
        <f>tblVendas[[#This Row],[NR_SIMULACAO]]</f>
        <v>SIM1651</v>
      </c>
      <c r="B661" s="34" t="str">
        <f>_xlfn.XLOOKUP(A661,tblVendas[[#This Row],[NR_SIMULACAO]],tblVendas[[#This Row],[NR_CNPJ]],"")</f>
        <v>62.543.468/0001-14</v>
      </c>
      <c r="C661" t="str">
        <f>_xlfn.XLOOKUP(A661,tblVendas[[#This Row],[NR_SIMULACAO]],tblVendas[[#This Row],[STATUS]],"")</f>
        <v>PERDIDO</v>
      </c>
      <c r="D661" t="str">
        <f>_xlfn.XLOOKUP(A661,tblVendas[[#This Row],[NR_SIMULACAO]],tblVendas[[#This Row],[MES]],"")</f>
        <v>Abril</v>
      </c>
      <c r="E661">
        <f>SUM(_xlfn.XLOOKUP(tblCalculo[[#This Row],[NR_SIMULACAO]],tblVendas[[#This Row],[NR_SIMULACAO]],tblVendas[[#This Row],[VALOR_MOVEL]],""):_xlfn.XLOOKUP(tblCalculo[[#This Row],[NR_SIMULACAO]],tblVendas[[#This Row],[NR_SIMULACAO]],tblVendas[[#This Row],[VALOR_APARELHO]],""))</f>
        <v>4683.2</v>
      </c>
      <c r="F661">
        <f>IF(tblCalculo[[#This Row],[STATUS]]="CONCLUÍDO",_xlfn.XLOOKUP(tblCalculo[[#This Row],[NR_SIMULACAO]],tblVendas[[#This Row],[NR_SIMULACAO]],tblVendas[[#This Row],[VALOR_MOVEL]],""),0)</f>
        <v>0</v>
      </c>
      <c r="G661">
        <f>IF(tblCalculo[[#This Row],[STATUS]]="CONCLUÍDO",_xlfn.XLOOKUP(tblCalculo[[#This Row],[NR_SIMULACAO]],tblVendas[[#This Row],[NR_SIMULACAO]],tblVendas[[#This Row],[VALOR_AVANCADO]],""),0)</f>
        <v>0</v>
      </c>
      <c r="H661">
        <f>IF(tblCalculo[[#This Row],[STATUS]]="CONCLUÍDO",_xlfn.XLOOKUP(tblCalculo[[#This Row],[NR_SIMULACAO]],tblVendas[[#This Row],[NR_SIMULACAO]],tblVendas[[#This Row],[VALOR_FIXABASICA]],""),0)</f>
        <v>0</v>
      </c>
      <c r="I661">
        <f>IF(tblCalculo[[#This Row],[STATUS]]="CONCLUÍDO",_xlfn.XLOOKUP(tblCalculo[[#This Row],[NR_SIMULACAO]],tblVendas[[#This Row],[NR_SIMULACAO]],tblVendas[[#This Row],[VALOR_TI]],""),0)</f>
        <v>0</v>
      </c>
      <c r="J661">
        <f>IF(tblCalculo[[#This Row],[STATUS]]="CONCLUÍDO",_xlfn.XLOOKUP(tblCalculo[[#This Row],[NR_SIMULACAO]],tblVendas[[#This Row],[NR_SIMULACAO]],tblVendas[[#This Row],[VALOR_APARELHO]],""),0)</f>
        <v>0</v>
      </c>
      <c r="K661" t="str">
        <f>IF(tblCalculo[[#This Row],[STATUS]]="NEGOCIANDO",tblCalculo[[#This Row],[VALOR_TOTAL]],"")</f>
        <v/>
      </c>
      <c r="L661" t="str">
        <f>IF(tblCalculo[[#This Row],[STATUS]]="ALÇADA",tblCalculo[[#This Row],[VALOR_TOTAL]],"")</f>
        <v/>
      </c>
      <c r="M661" t="str">
        <f>IF(tblCalculo[[#This Row],[STATUS]]="EM ANÁLISE",tblCalculo[[#This Row],[VALOR_TOTAL]],"")</f>
        <v/>
      </c>
      <c r="N661" t="str">
        <f>IF(tblCalculo[[#This Row],[STATUS]]="TRAMITANDO",tblCalculo[[#This Row],[VALOR_TOTAL]],"")</f>
        <v/>
      </c>
      <c r="O661">
        <f>IF(tblCalculo[[#This Row],[STATUS]]="PERDIDO",tblCalculo[[#This Row],[VALOR_TOTAL]],"")</f>
        <v>4683.2</v>
      </c>
      <c r="P661" t="str">
        <f>IF(tblCalculo[[#This Row],[STATUS]]="CONCLUÍDO",tblCalculo[[#This Row],[VALOR_TOTAL]],"")</f>
        <v/>
      </c>
    </row>
    <row r="662" spans="1:16" x14ac:dyDescent="0.25">
      <c r="A662" t="str">
        <f>tblVendas[[#This Row],[NR_SIMULACAO]]</f>
        <v>SIM1652</v>
      </c>
      <c r="B662" s="34" t="str">
        <f>_xlfn.XLOOKUP(A662,tblVendas[[#This Row],[NR_SIMULACAO]],tblVendas[[#This Row],[NR_CNPJ]],"")</f>
        <v>80.653.881/0001-26</v>
      </c>
      <c r="C662" t="str">
        <f>_xlfn.XLOOKUP(A662,tblVendas[[#This Row],[NR_SIMULACAO]],tblVendas[[#This Row],[STATUS]],"")</f>
        <v>CONCLUÍDO</v>
      </c>
      <c r="D662" t="str">
        <f>_xlfn.XLOOKUP(A662,tblVendas[[#This Row],[NR_SIMULACAO]],tblVendas[[#This Row],[MES]],"")</f>
        <v>Novembro</v>
      </c>
      <c r="E662">
        <f>SUM(_xlfn.XLOOKUP(tblCalculo[[#This Row],[NR_SIMULACAO]],tblVendas[[#This Row],[NR_SIMULACAO]],tblVendas[[#This Row],[VALOR_MOVEL]],""):_xlfn.XLOOKUP(tblCalculo[[#This Row],[NR_SIMULACAO]],tblVendas[[#This Row],[NR_SIMULACAO]],tblVendas[[#This Row],[VALOR_APARELHO]],""))</f>
        <v>5041.01</v>
      </c>
      <c r="F662">
        <f>IF(tblCalculo[[#This Row],[STATUS]]="CONCLUÍDO",_xlfn.XLOOKUP(tblCalculo[[#This Row],[NR_SIMULACAO]],tblVendas[[#This Row],[NR_SIMULACAO]],tblVendas[[#This Row],[VALOR_MOVEL]],""),0)</f>
        <v>0</v>
      </c>
      <c r="G662">
        <f>IF(tblCalculo[[#This Row],[STATUS]]="CONCLUÍDO",_xlfn.XLOOKUP(tblCalculo[[#This Row],[NR_SIMULACAO]],tblVendas[[#This Row],[NR_SIMULACAO]],tblVendas[[#This Row],[VALOR_AVANCADO]],""),0)</f>
        <v>2102.92</v>
      </c>
      <c r="H662">
        <f>IF(tblCalculo[[#This Row],[STATUS]]="CONCLUÍDO",_xlfn.XLOOKUP(tblCalculo[[#This Row],[NR_SIMULACAO]],tblVendas[[#This Row],[NR_SIMULACAO]],tblVendas[[#This Row],[VALOR_FIXABASICA]],""),0)</f>
        <v>1516.08</v>
      </c>
      <c r="I662">
        <f>IF(tblCalculo[[#This Row],[STATUS]]="CONCLUÍDO",_xlfn.XLOOKUP(tblCalculo[[#This Row],[NR_SIMULACAO]],tblVendas[[#This Row],[NR_SIMULACAO]],tblVendas[[#This Row],[VALOR_TI]],""),0)</f>
        <v>0</v>
      </c>
      <c r="J662">
        <f>IF(tblCalculo[[#This Row],[STATUS]]="CONCLUÍDO",_xlfn.XLOOKUP(tblCalculo[[#This Row],[NR_SIMULACAO]],tblVendas[[#This Row],[NR_SIMULACAO]],tblVendas[[#This Row],[VALOR_APARELHO]],""),0)</f>
        <v>1422.01</v>
      </c>
      <c r="K662" t="str">
        <f>IF(tblCalculo[[#This Row],[STATUS]]="NEGOCIANDO",tblCalculo[[#This Row],[VALOR_TOTAL]],"")</f>
        <v/>
      </c>
      <c r="L662" t="str">
        <f>IF(tblCalculo[[#This Row],[STATUS]]="ALÇADA",tblCalculo[[#This Row],[VALOR_TOTAL]],"")</f>
        <v/>
      </c>
      <c r="M662" t="str">
        <f>IF(tblCalculo[[#This Row],[STATUS]]="EM ANÁLISE",tblCalculo[[#This Row],[VALOR_TOTAL]],"")</f>
        <v/>
      </c>
      <c r="N662" t="str">
        <f>IF(tblCalculo[[#This Row],[STATUS]]="TRAMITANDO",tblCalculo[[#This Row],[VALOR_TOTAL]],"")</f>
        <v/>
      </c>
      <c r="O662" t="str">
        <f>IF(tblCalculo[[#This Row],[STATUS]]="PERDIDO",tblCalculo[[#This Row],[VALOR_TOTAL]],"")</f>
        <v/>
      </c>
      <c r="P662">
        <f>IF(tblCalculo[[#This Row],[STATUS]]="CONCLUÍDO",tblCalculo[[#This Row],[VALOR_TOTAL]],"")</f>
        <v>5041.01</v>
      </c>
    </row>
    <row r="663" spans="1:16" x14ac:dyDescent="0.25">
      <c r="A663" t="str">
        <f>tblVendas[[#This Row],[NR_SIMULACAO]]</f>
        <v>SIM1653</v>
      </c>
      <c r="B663" s="34" t="str">
        <f>_xlfn.XLOOKUP(A663,tblVendas[[#This Row],[NR_SIMULACAO]],tblVendas[[#This Row],[NR_CNPJ]],"")</f>
        <v>93.375.401/0001-16</v>
      </c>
      <c r="C663" t="str">
        <f>_xlfn.XLOOKUP(A663,tblVendas[[#This Row],[NR_SIMULACAO]],tblVendas[[#This Row],[STATUS]],"")</f>
        <v>NEGOCIANDO</v>
      </c>
      <c r="D663" t="str">
        <f>_xlfn.XLOOKUP(A663,tblVendas[[#This Row],[NR_SIMULACAO]],tblVendas[[#This Row],[MES]],"")</f>
        <v>Fevereiro</v>
      </c>
      <c r="E663">
        <f>SUM(_xlfn.XLOOKUP(tblCalculo[[#This Row],[NR_SIMULACAO]],tblVendas[[#This Row],[NR_SIMULACAO]],tblVendas[[#This Row],[VALOR_MOVEL]],""):_xlfn.XLOOKUP(tblCalculo[[#This Row],[NR_SIMULACAO]],tblVendas[[#This Row],[NR_SIMULACAO]],tblVendas[[#This Row],[VALOR_APARELHO]],""))</f>
        <v>1964.44</v>
      </c>
      <c r="F663">
        <f>IF(tblCalculo[[#This Row],[STATUS]]="CONCLUÍDO",_xlfn.XLOOKUP(tblCalculo[[#This Row],[NR_SIMULACAO]],tblVendas[[#This Row],[NR_SIMULACAO]],tblVendas[[#This Row],[VALOR_MOVEL]],""),0)</f>
        <v>0</v>
      </c>
      <c r="G663">
        <f>IF(tblCalculo[[#This Row],[STATUS]]="CONCLUÍDO",_xlfn.XLOOKUP(tblCalculo[[#This Row],[NR_SIMULACAO]],tblVendas[[#This Row],[NR_SIMULACAO]],tblVendas[[#This Row],[VALOR_AVANCADO]],""),0)</f>
        <v>0</v>
      </c>
      <c r="H663">
        <f>IF(tblCalculo[[#This Row],[STATUS]]="CONCLUÍDO",_xlfn.XLOOKUP(tblCalculo[[#This Row],[NR_SIMULACAO]],tblVendas[[#This Row],[NR_SIMULACAO]],tblVendas[[#This Row],[VALOR_FIXABASICA]],""),0)</f>
        <v>0</v>
      </c>
      <c r="I663">
        <f>IF(tblCalculo[[#This Row],[STATUS]]="CONCLUÍDO",_xlfn.XLOOKUP(tblCalculo[[#This Row],[NR_SIMULACAO]],tblVendas[[#This Row],[NR_SIMULACAO]],tblVendas[[#This Row],[VALOR_TI]],""),0)</f>
        <v>0</v>
      </c>
      <c r="J663">
        <f>IF(tblCalculo[[#This Row],[STATUS]]="CONCLUÍDO",_xlfn.XLOOKUP(tblCalculo[[#This Row],[NR_SIMULACAO]],tblVendas[[#This Row],[NR_SIMULACAO]],tblVendas[[#This Row],[VALOR_APARELHO]],""),0)</f>
        <v>0</v>
      </c>
      <c r="K663">
        <f>IF(tblCalculo[[#This Row],[STATUS]]="NEGOCIANDO",tblCalculo[[#This Row],[VALOR_TOTAL]],"")</f>
        <v>1964.44</v>
      </c>
      <c r="L663" t="str">
        <f>IF(tblCalculo[[#This Row],[STATUS]]="ALÇADA",tblCalculo[[#This Row],[VALOR_TOTAL]],"")</f>
        <v/>
      </c>
      <c r="M663" t="str">
        <f>IF(tblCalculo[[#This Row],[STATUS]]="EM ANÁLISE",tblCalculo[[#This Row],[VALOR_TOTAL]],"")</f>
        <v/>
      </c>
      <c r="N663" t="str">
        <f>IF(tblCalculo[[#This Row],[STATUS]]="TRAMITANDO",tblCalculo[[#This Row],[VALOR_TOTAL]],"")</f>
        <v/>
      </c>
      <c r="O663" t="str">
        <f>IF(tblCalculo[[#This Row],[STATUS]]="PERDIDO",tblCalculo[[#This Row],[VALOR_TOTAL]],"")</f>
        <v/>
      </c>
      <c r="P663" t="str">
        <f>IF(tblCalculo[[#This Row],[STATUS]]="CONCLUÍDO",tblCalculo[[#This Row],[VALOR_TOTAL]],"")</f>
        <v/>
      </c>
    </row>
    <row r="664" spans="1:16" x14ac:dyDescent="0.25">
      <c r="A664" t="str">
        <f>tblVendas[[#This Row],[NR_SIMULACAO]]</f>
        <v>SIM1654</v>
      </c>
      <c r="B664" s="34" t="str">
        <f>_xlfn.XLOOKUP(A664,tblVendas[[#This Row],[NR_SIMULACAO]],tblVendas[[#This Row],[NR_CNPJ]],"")</f>
        <v>44.858.419/0001-10</v>
      </c>
      <c r="C664" t="str">
        <f>_xlfn.XLOOKUP(A664,tblVendas[[#This Row],[NR_SIMULACAO]],tblVendas[[#This Row],[STATUS]],"")</f>
        <v>EM ANÁLISE</v>
      </c>
      <c r="D664" t="str">
        <f>_xlfn.XLOOKUP(A664,tblVendas[[#This Row],[NR_SIMULACAO]],tblVendas[[#This Row],[MES]],"")</f>
        <v>Outubro</v>
      </c>
      <c r="E664">
        <f>SUM(_xlfn.XLOOKUP(tblCalculo[[#This Row],[NR_SIMULACAO]],tblVendas[[#This Row],[NR_SIMULACAO]],tblVendas[[#This Row],[VALOR_MOVEL]],""):_xlfn.XLOOKUP(tblCalculo[[#This Row],[NR_SIMULACAO]],tblVendas[[#This Row],[NR_SIMULACAO]],tblVendas[[#This Row],[VALOR_APARELHO]],""))</f>
        <v>12437.99</v>
      </c>
      <c r="F664">
        <f>IF(tblCalculo[[#This Row],[STATUS]]="CONCLUÍDO",_xlfn.XLOOKUP(tblCalculo[[#This Row],[NR_SIMULACAO]],tblVendas[[#This Row],[NR_SIMULACAO]],tblVendas[[#This Row],[VALOR_MOVEL]],""),0)</f>
        <v>0</v>
      </c>
      <c r="G664">
        <f>IF(tblCalculo[[#This Row],[STATUS]]="CONCLUÍDO",_xlfn.XLOOKUP(tblCalculo[[#This Row],[NR_SIMULACAO]],tblVendas[[#This Row],[NR_SIMULACAO]],tblVendas[[#This Row],[VALOR_AVANCADO]],""),0)</f>
        <v>0</v>
      </c>
      <c r="H664">
        <f>IF(tblCalculo[[#This Row],[STATUS]]="CONCLUÍDO",_xlfn.XLOOKUP(tblCalculo[[#This Row],[NR_SIMULACAO]],tblVendas[[#This Row],[NR_SIMULACAO]],tblVendas[[#This Row],[VALOR_FIXABASICA]],""),0)</f>
        <v>0</v>
      </c>
      <c r="I664">
        <f>IF(tblCalculo[[#This Row],[STATUS]]="CONCLUÍDO",_xlfn.XLOOKUP(tblCalculo[[#This Row],[NR_SIMULACAO]],tblVendas[[#This Row],[NR_SIMULACAO]],tblVendas[[#This Row],[VALOR_TI]],""),0)</f>
        <v>0</v>
      </c>
      <c r="J664">
        <f>IF(tblCalculo[[#This Row],[STATUS]]="CONCLUÍDO",_xlfn.XLOOKUP(tblCalculo[[#This Row],[NR_SIMULACAO]],tblVendas[[#This Row],[NR_SIMULACAO]],tblVendas[[#This Row],[VALOR_APARELHO]],""),0)</f>
        <v>0</v>
      </c>
      <c r="K664" t="str">
        <f>IF(tblCalculo[[#This Row],[STATUS]]="NEGOCIANDO",tblCalculo[[#This Row],[VALOR_TOTAL]],"")</f>
        <v/>
      </c>
      <c r="L664" t="str">
        <f>IF(tblCalculo[[#This Row],[STATUS]]="ALÇADA",tblCalculo[[#This Row],[VALOR_TOTAL]],"")</f>
        <v/>
      </c>
      <c r="M664">
        <f>IF(tblCalculo[[#This Row],[STATUS]]="EM ANÁLISE",tblCalculo[[#This Row],[VALOR_TOTAL]],"")</f>
        <v>12437.99</v>
      </c>
      <c r="N664" t="str">
        <f>IF(tblCalculo[[#This Row],[STATUS]]="TRAMITANDO",tblCalculo[[#This Row],[VALOR_TOTAL]],"")</f>
        <v/>
      </c>
      <c r="O664" t="str">
        <f>IF(tblCalculo[[#This Row],[STATUS]]="PERDIDO",tblCalculo[[#This Row],[VALOR_TOTAL]],"")</f>
        <v/>
      </c>
      <c r="P664" t="str">
        <f>IF(tblCalculo[[#This Row],[STATUS]]="CONCLUÍDO",tblCalculo[[#This Row],[VALOR_TOTAL]],"")</f>
        <v/>
      </c>
    </row>
    <row r="665" spans="1:16" x14ac:dyDescent="0.25">
      <c r="A665" t="str">
        <f>tblVendas[[#This Row],[NR_SIMULACAO]]</f>
        <v>SIM1655</v>
      </c>
      <c r="B665" s="34" t="str">
        <f>_xlfn.XLOOKUP(A665,tblVendas[[#This Row],[NR_SIMULACAO]],tblVendas[[#This Row],[NR_CNPJ]],"")</f>
        <v>42.928.163/0001-20</v>
      </c>
      <c r="C665" t="str">
        <f>_xlfn.XLOOKUP(A665,tblVendas[[#This Row],[NR_SIMULACAO]],tblVendas[[#This Row],[STATUS]],"")</f>
        <v>NEGOCIANDO</v>
      </c>
      <c r="D665" t="str">
        <f>_xlfn.XLOOKUP(A665,tblVendas[[#This Row],[NR_SIMULACAO]],tblVendas[[#This Row],[MES]],"")</f>
        <v>Julho</v>
      </c>
      <c r="E665">
        <f>SUM(_xlfn.XLOOKUP(tblCalculo[[#This Row],[NR_SIMULACAO]],tblVendas[[#This Row],[NR_SIMULACAO]],tblVendas[[#This Row],[VALOR_MOVEL]],""):_xlfn.XLOOKUP(tblCalculo[[#This Row],[NR_SIMULACAO]],tblVendas[[#This Row],[NR_SIMULACAO]],tblVendas[[#This Row],[VALOR_APARELHO]],""))</f>
        <v>15097.66</v>
      </c>
      <c r="F665">
        <f>IF(tblCalculo[[#This Row],[STATUS]]="CONCLUÍDO",_xlfn.XLOOKUP(tblCalculo[[#This Row],[NR_SIMULACAO]],tblVendas[[#This Row],[NR_SIMULACAO]],tblVendas[[#This Row],[VALOR_MOVEL]],""),0)</f>
        <v>0</v>
      </c>
      <c r="G665">
        <f>IF(tblCalculo[[#This Row],[STATUS]]="CONCLUÍDO",_xlfn.XLOOKUP(tblCalculo[[#This Row],[NR_SIMULACAO]],tblVendas[[#This Row],[NR_SIMULACAO]],tblVendas[[#This Row],[VALOR_AVANCADO]],""),0)</f>
        <v>0</v>
      </c>
      <c r="H665">
        <f>IF(tblCalculo[[#This Row],[STATUS]]="CONCLUÍDO",_xlfn.XLOOKUP(tblCalculo[[#This Row],[NR_SIMULACAO]],tblVendas[[#This Row],[NR_SIMULACAO]],tblVendas[[#This Row],[VALOR_FIXABASICA]],""),0)</f>
        <v>0</v>
      </c>
      <c r="I665">
        <f>IF(tblCalculo[[#This Row],[STATUS]]="CONCLUÍDO",_xlfn.XLOOKUP(tblCalculo[[#This Row],[NR_SIMULACAO]],tblVendas[[#This Row],[NR_SIMULACAO]],tblVendas[[#This Row],[VALOR_TI]],""),0)</f>
        <v>0</v>
      </c>
      <c r="J665">
        <f>IF(tblCalculo[[#This Row],[STATUS]]="CONCLUÍDO",_xlfn.XLOOKUP(tblCalculo[[#This Row],[NR_SIMULACAO]],tblVendas[[#This Row],[NR_SIMULACAO]],tblVendas[[#This Row],[VALOR_APARELHO]],""),0)</f>
        <v>0</v>
      </c>
      <c r="K665">
        <f>IF(tblCalculo[[#This Row],[STATUS]]="NEGOCIANDO",tblCalculo[[#This Row],[VALOR_TOTAL]],"")</f>
        <v>15097.66</v>
      </c>
      <c r="L665" t="str">
        <f>IF(tblCalculo[[#This Row],[STATUS]]="ALÇADA",tblCalculo[[#This Row],[VALOR_TOTAL]],"")</f>
        <v/>
      </c>
      <c r="M665" t="str">
        <f>IF(tblCalculo[[#This Row],[STATUS]]="EM ANÁLISE",tblCalculo[[#This Row],[VALOR_TOTAL]],"")</f>
        <v/>
      </c>
      <c r="N665" t="str">
        <f>IF(tblCalculo[[#This Row],[STATUS]]="TRAMITANDO",tblCalculo[[#This Row],[VALOR_TOTAL]],"")</f>
        <v/>
      </c>
      <c r="O665" t="str">
        <f>IF(tblCalculo[[#This Row],[STATUS]]="PERDIDO",tblCalculo[[#This Row],[VALOR_TOTAL]],"")</f>
        <v/>
      </c>
      <c r="P665" t="str">
        <f>IF(tblCalculo[[#This Row],[STATUS]]="CONCLUÍDO",tblCalculo[[#This Row],[VALOR_TOTAL]],"")</f>
        <v/>
      </c>
    </row>
    <row r="666" spans="1:16" x14ac:dyDescent="0.25">
      <c r="A666" t="str">
        <f>tblVendas[[#This Row],[NR_SIMULACAO]]</f>
        <v>SIM1656</v>
      </c>
      <c r="B666" s="34" t="str">
        <f>_xlfn.XLOOKUP(A666,tblVendas[[#This Row],[NR_SIMULACAO]],tblVendas[[#This Row],[NR_CNPJ]],"")</f>
        <v>98.146.462/0001-29</v>
      </c>
      <c r="C666" t="str">
        <f>_xlfn.XLOOKUP(A666,tblVendas[[#This Row],[NR_SIMULACAO]],tblVendas[[#This Row],[STATUS]],"")</f>
        <v>CONCLUÍDO</v>
      </c>
      <c r="D666" t="str">
        <f>_xlfn.XLOOKUP(A666,tblVendas[[#This Row],[NR_SIMULACAO]],tblVendas[[#This Row],[MES]],"")</f>
        <v>Julho</v>
      </c>
      <c r="E666">
        <f>SUM(_xlfn.XLOOKUP(tblCalculo[[#This Row],[NR_SIMULACAO]],tblVendas[[#This Row],[NR_SIMULACAO]],tblVendas[[#This Row],[VALOR_MOVEL]],""):_xlfn.XLOOKUP(tblCalculo[[#This Row],[NR_SIMULACAO]],tblVendas[[#This Row],[NR_SIMULACAO]],tblVendas[[#This Row],[VALOR_APARELHO]],""))</f>
        <v>2621.13</v>
      </c>
      <c r="F666">
        <f>IF(tblCalculo[[#This Row],[STATUS]]="CONCLUÍDO",_xlfn.XLOOKUP(tblCalculo[[#This Row],[NR_SIMULACAO]],tblVendas[[#This Row],[NR_SIMULACAO]],tblVendas[[#This Row],[VALOR_MOVEL]],""),0)</f>
        <v>0</v>
      </c>
      <c r="G666">
        <f>IF(tblCalculo[[#This Row],[STATUS]]="CONCLUÍDO",_xlfn.XLOOKUP(tblCalculo[[#This Row],[NR_SIMULACAO]],tblVendas[[#This Row],[NR_SIMULACAO]],tblVendas[[#This Row],[VALOR_AVANCADO]],""),0)</f>
        <v>0</v>
      </c>
      <c r="H666">
        <f>IF(tblCalculo[[#This Row],[STATUS]]="CONCLUÍDO",_xlfn.XLOOKUP(tblCalculo[[#This Row],[NR_SIMULACAO]],tblVendas[[#This Row],[NR_SIMULACAO]],tblVendas[[#This Row],[VALOR_FIXABASICA]],""),0)</f>
        <v>2621.13</v>
      </c>
      <c r="I666">
        <f>IF(tblCalculo[[#This Row],[STATUS]]="CONCLUÍDO",_xlfn.XLOOKUP(tblCalculo[[#This Row],[NR_SIMULACAO]],tblVendas[[#This Row],[NR_SIMULACAO]],tblVendas[[#This Row],[VALOR_TI]],""),0)</f>
        <v>0</v>
      </c>
      <c r="J666">
        <f>IF(tblCalculo[[#This Row],[STATUS]]="CONCLUÍDO",_xlfn.XLOOKUP(tblCalculo[[#This Row],[NR_SIMULACAO]],tblVendas[[#This Row],[NR_SIMULACAO]],tblVendas[[#This Row],[VALOR_APARELHO]],""),0)</f>
        <v>0</v>
      </c>
      <c r="K666" t="str">
        <f>IF(tblCalculo[[#This Row],[STATUS]]="NEGOCIANDO",tblCalculo[[#This Row],[VALOR_TOTAL]],"")</f>
        <v/>
      </c>
      <c r="L666" t="str">
        <f>IF(tblCalculo[[#This Row],[STATUS]]="ALÇADA",tblCalculo[[#This Row],[VALOR_TOTAL]],"")</f>
        <v/>
      </c>
      <c r="M666" t="str">
        <f>IF(tblCalculo[[#This Row],[STATUS]]="EM ANÁLISE",tblCalculo[[#This Row],[VALOR_TOTAL]],"")</f>
        <v/>
      </c>
      <c r="N666" t="str">
        <f>IF(tblCalculo[[#This Row],[STATUS]]="TRAMITANDO",tblCalculo[[#This Row],[VALOR_TOTAL]],"")</f>
        <v/>
      </c>
      <c r="O666" t="str">
        <f>IF(tblCalculo[[#This Row],[STATUS]]="PERDIDO",tblCalculo[[#This Row],[VALOR_TOTAL]],"")</f>
        <v/>
      </c>
      <c r="P666">
        <f>IF(tblCalculo[[#This Row],[STATUS]]="CONCLUÍDO",tblCalculo[[#This Row],[VALOR_TOTAL]],"")</f>
        <v>2621.13</v>
      </c>
    </row>
    <row r="667" spans="1:16" x14ac:dyDescent="0.25">
      <c r="A667" t="str">
        <f>tblVendas[[#This Row],[NR_SIMULACAO]]</f>
        <v>SIM1657</v>
      </c>
      <c r="B667" s="34" t="str">
        <f>_xlfn.XLOOKUP(A667,tblVendas[[#This Row],[NR_SIMULACAO]],tblVendas[[#This Row],[NR_CNPJ]],"")</f>
        <v>81.336.356/0001-65</v>
      </c>
      <c r="C667" t="str">
        <f>_xlfn.XLOOKUP(A667,tblVendas[[#This Row],[NR_SIMULACAO]],tblVendas[[#This Row],[STATUS]],"")</f>
        <v>NEGOCIANDO</v>
      </c>
      <c r="D667" t="str">
        <f>_xlfn.XLOOKUP(A667,tblVendas[[#This Row],[NR_SIMULACAO]],tblVendas[[#This Row],[MES]],"")</f>
        <v>Abril</v>
      </c>
      <c r="E667">
        <f>SUM(_xlfn.XLOOKUP(tblCalculo[[#This Row],[NR_SIMULACAO]],tblVendas[[#This Row],[NR_SIMULACAO]],tblVendas[[#This Row],[VALOR_MOVEL]],""):_xlfn.XLOOKUP(tblCalculo[[#This Row],[NR_SIMULACAO]],tblVendas[[#This Row],[NR_SIMULACAO]],tblVendas[[#This Row],[VALOR_APARELHO]],""))</f>
        <v>14944.68</v>
      </c>
      <c r="F667">
        <f>IF(tblCalculo[[#This Row],[STATUS]]="CONCLUÍDO",_xlfn.XLOOKUP(tblCalculo[[#This Row],[NR_SIMULACAO]],tblVendas[[#This Row],[NR_SIMULACAO]],tblVendas[[#This Row],[VALOR_MOVEL]],""),0)</f>
        <v>0</v>
      </c>
      <c r="G667">
        <f>IF(tblCalculo[[#This Row],[STATUS]]="CONCLUÍDO",_xlfn.XLOOKUP(tblCalculo[[#This Row],[NR_SIMULACAO]],tblVendas[[#This Row],[NR_SIMULACAO]],tblVendas[[#This Row],[VALOR_AVANCADO]],""),0)</f>
        <v>0</v>
      </c>
      <c r="H667">
        <f>IF(tblCalculo[[#This Row],[STATUS]]="CONCLUÍDO",_xlfn.XLOOKUP(tblCalculo[[#This Row],[NR_SIMULACAO]],tblVendas[[#This Row],[NR_SIMULACAO]],tblVendas[[#This Row],[VALOR_FIXABASICA]],""),0)</f>
        <v>0</v>
      </c>
      <c r="I667">
        <f>IF(tblCalculo[[#This Row],[STATUS]]="CONCLUÍDO",_xlfn.XLOOKUP(tblCalculo[[#This Row],[NR_SIMULACAO]],tblVendas[[#This Row],[NR_SIMULACAO]],tblVendas[[#This Row],[VALOR_TI]],""),0)</f>
        <v>0</v>
      </c>
      <c r="J667">
        <f>IF(tblCalculo[[#This Row],[STATUS]]="CONCLUÍDO",_xlfn.XLOOKUP(tblCalculo[[#This Row],[NR_SIMULACAO]],tblVendas[[#This Row],[NR_SIMULACAO]],tblVendas[[#This Row],[VALOR_APARELHO]],""),0)</f>
        <v>0</v>
      </c>
      <c r="K667">
        <f>IF(tblCalculo[[#This Row],[STATUS]]="NEGOCIANDO",tblCalculo[[#This Row],[VALOR_TOTAL]],"")</f>
        <v>14944.68</v>
      </c>
      <c r="L667" t="str">
        <f>IF(tblCalculo[[#This Row],[STATUS]]="ALÇADA",tblCalculo[[#This Row],[VALOR_TOTAL]],"")</f>
        <v/>
      </c>
      <c r="M667" t="str">
        <f>IF(tblCalculo[[#This Row],[STATUS]]="EM ANÁLISE",tblCalculo[[#This Row],[VALOR_TOTAL]],"")</f>
        <v/>
      </c>
      <c r="N667" t="str">
        <f>IF(tblCalculo[[#This Row],[STATUS]]="TRAMITANDO",tblCalculo[[#This Row],[VALOR_TOTAL]],"")</f>
        <v/>
      </c>
      <c r="O667" t="str">
        <f>IF(tblCalculo[[#This Row],[STATUS]]="PERDIDO",tblCalculo[[#This Row],[VALOR_TOTAL]],"")</f>
        <v/>
      </c>
      <c r="P667" t="str">
        <f>IF(tblCalculo[[#This Row],[STATUS]]="CONCLUÍDO",tblCalculo[[#This Row],[VALOR_TOTAL]],"")</f>
        <v/>
      </c>
    </row>
    <row r="668" spans="1:16" x14ac:dyDescent="0.25">
      <c r="A668" t="str">
        <f>tblVendas[[#This Row],[NR_SIMULACAO]]</f>
        <v>SIM1658</v>
      </c>
      <c r="B668" s="34" t="str">
        <f>_xlfn.XLOOKUP(A668,tblVendas[[#This Row],[NR_SIMULACAO]],tblVendas[[#This Row],[NR_CNPJ]],"")</f>
        <v>26.383.136/0001-65</v>
      </c>
      <c r="C668" t="str">
        <f>_xlfn.XLOOKUP(A668,tblVendas[[#This Row],[NR_SIMULACAO]],tblVendas[[#This Row],[STATUS]],"")</f>
        <v>PERDIDO</v>
      </c>
      <c r="D668" t="str">
        <f>_xlfn.XLOOKUP(A668,tblVendas[[#This Row],[NR_SIMULACAO]],tblVendas[[#This Row],[MES]],"")</f>
        <v>Janeiro</v>
      </c>
      <c r="E668">
        <f>SUM(_xlfn.XLOOKUP(tblCalculo[[#This Row],[NR_SIMULACAO]],tblVendas[[#This Row],[NR_SIMULACAO]],tblVendas[[#This Row],[VALOR_MOVEL]],""):_xlfn.XLOOKUP(tblCalculo[[#This Row],[NR_SIMULACAO]],tblVendas[[#This Row],[NR_SIMULACAO]],tblVendas[[#This Row],[VALOR_APARELHO]],""))</f>
        <v>16933.84</v>
      </c>
      <c r="F668">
        <f>IF(tblCalculo[[#This Row],[STATUS]]="CONCLUÍDO",_xlfn.XLOOKUP(tblCalculo[[#This Row],[NR_SIMULACAO]],tblVendas[[#This Row],[NR_SIMULACAO]],tblVendas[[#This Row],[VALOR_MOVEL]],""),0)</f>
        <v>0</v>
      </c>
      <c r="G668">
        <f>IF(tblCalculo[[#This Row],[STATUS]]="CONCLUÍDO",_xlfn.XLOOKUP(tblCalculo[[#This Row],[NR_SIMULACAO]],tblVendas[[#This Row],[NR_SIMULACAO]],tblVendas[[#This Row],[VALOR_AVANCADO]],""),0)</f>
        <v>0</v>
      </c>
      <c r="H668">
        <f>IF(tblCalculo[[#This Row],[STATUS]]="CONCLUÍDO",_xlfn.XLOOKUP(tblCalculo[[#This Row],[NR_SIMULACAO]],tblVendas[[#This Row],[NR_SIMULACAO]],tblVendas[[#This Row],[VALOR_FIXABASICA]],""),0)</f>
        <v>0</v>
      </c>
      <c r="I668">
        <f>IF(tblCalculo[[#This Row],[STATUS]]="CONCLUÍDO",_xlfn.XLOOKUP(tblCalculo[[#This Row],[NR_SIMULACAO]],tblVendas[[#This Row],[NR_SIMULACAO]],tblVendas[[#This Row],[VALOR_TI]],""),0)</f>
        <v>0</v>
      </c>
      <c r="J668">
        <f>IF(tblCalculo[[#This Row],[STATUS]]="CONCLUÍDO",_xlfn.XLOOKUP(tblCalculo[[#This Row],[NR_SIMULACAO]],tblVendas[[#This Row],[NR_SIMULACAO]],tblVendas[[#This Row],[VALOR_APARELHO]],""),0)</f>
        <v>0</v>
      </c>
      <c r="K668" t="str">
        <f>IF(tblCalculo[[#This Row],[STATUS]]="NEGOCIANDO",tblCalculo[[#This Row],[VALOR_TOTAL]],"")</f>
        <v/>
      </c>
      <c r="L668" t="str">
        <f>IF(tblCalculo[[#This Row],[STATUS]]="ALÇADA",tblCalculo[[#This Row],[VALOR_TOTAL]],"")</f>
        <v/>
      </c>
      <c r="M668" t="str">
        <f>IF(tblCalculo[[#This Row],[STATUS]]="EM ANÁLISE",tblCalculo[[#This Row],[VALOR_TOTAL]],"")</f>
        <v/>
      </c>
      <c r="N668" t="str">
        <f>IF(tblCalculo[[#This Row],[STATUS]]="TRAMITANDO",tblCalculo[[#This Row],[VALOR_TOTAL]],"")</f>
        <v/>
      </c>
      <c r="O668">
        <f>IF(tblCalculo[[#This Row],[STATUS]]="PERDIDO",tblCalculo[[#This Row],[VALOR_TOTAL]],"")</f>
        <v>16933.84</v>
      </c>
      <c r="P668" t="str">
        <f>IF(tblCalculo[[#This Row],[STATUS]]="CONCLUÍDO",tblCalculo[[#This Row],[VALOR_TOTAL]],"")</f>
        <v/>
      </c>
    </row>
    <row r="669" spans="1:16" x14ac:dyDescent="0.25">
      <c r="A669" t="str">
        <f>tblVendas[[#This Row],[NR_SIMULACAO]]</f>
        <v>SIM1659</v>
      </c>
      <c r="B669" s="34" t="str">
        <f>_xlfn.XLOOKUP(A669,tblVendas[[#This Row],[NR_SIMULACAO]],tblVendas[[#This Row],[NR_CNPJ]],"")</f>
        <v>42.859.829/0001-99</v>
      </c>
      <c r="C669" t="str">
        <f>_xlfn.XLOOKUP(A669,tblVendas[[#This Row],[NR_SIMULACAO]],tblVendas[[#This Row],[STATUS]],"")</f>
        <v>CONCLUÍDO</v>
      </c>
      <c r="D669" t="str">
        <f>_xlfn.XLOOKUP(A669,tblVendas[[#This Row],[NR_SIMULACAO]],tblVendas[[#This Row],[MES]],"")</f>
        <v>Julho</v>
      </c>
      <c r="E669">
        <f>SUM(_xlfn.XLOOKUP(tblCalculo[[#This Row],[NR_SIMULACAO]],tblVendas[[#This Row],[NR_SIMULACAO]],tblVendas[[#This Row],[VALOR_MOVEL]],""):_xlfn.XLOOKUP(tblCalculo[[#This Row],[NR_SIMULACAO]],tblVendas[[#This Row],[NR_SIMULACAO]],tblVendas[[#This Row],[VALOR_APARELHO]],""))</f>
        <v>31646.090000000004</v>
      </c>
      <c r="F669">
        <f>IF(tblCalculo[[#This Row],[STATUS]]="CONCLUÍDO",_xlfn.XLOOKUP(tblCalculo[[#This Row],[NR_SIMULACAO]],tblVendas[[#This Row],[NR_SIMULACAO]],tblVendas[[#This Row],[VALOR_MOVEL]],""),0)</f>
        <v>7471.15</v>
      </c>
      <c r="G669">
        <f>IF(tblCalculo[[#This Row],[STATUS]]="CONCLUÍDO",_xlfn.XLOOKUP(tblCalculo[[#This Row],[NR_SIMULACAO]],tblVendas[[#This Row],[NR_SIMULACAO]],tblVendas[[#This Row],[VALOR_AVANCADO]],""),0)</f>
        <v>2497.96</v>
      </c>
      <c r="H669">
        <f>IF(tblCalculo[[#This Row],[STATUS]]="CONCLUÍDO",_xlfn.XLOOKUP(tblCalculo[[#This Row],[NR_SIMULACAO]],tblVendas[[#This Row],[NR_SIMULACAO]],tblVendas[[#This Row],[VALOR_FIXABASICA]],""),0)</f>
        <v>0</v>
      </c>
      <c r="I669">
        <f>IF(tblCalculo[[#This Row],[STATUS]]="CONCLUÍDO",_xlfn.XLOOKUP(tblCalculo[[#This Row],[NR_SIMULACAO]],tblVendas[[#This Row],[NR_SIMULACAO]],tblVendas[[#This Row],[VALOR_TI]],""),0)</f>
        <v>8925.2199999999993</v>
      </c>
      <c r="J669">
        <f>IF(tblCalculo[[#This Row],[STATUS]]="CONCLUÍDO",_xlfn.XLOOKUP(tblCalculo[[#This Row],[NR_SIMULACAO]],tblVendas[[#This Row],[NR_SIMULACAO]],tblVendas[[#This Row],[VALOR_APARELHO]],""),0)</f>
        <v>12751.76</v>
      </c>
      <c r="K669" t="str">
        <f>IF(tblCalculo[[#This Row],[STATUS]]="NEGOCIANDO",tblCalculo[[#This Row],[VALOR_TOTAL]],"")</f>
        <v/>
      </c>
      <c r="L669" t="str">
        <f>IF(tblCalculo[[#This Row],[STATUS]]="ALÇADA",tblCalculo[[#This Row],[VALOR_TOTAL]],"")</f>
        <v/>
      </c>
      <c r="M669" t="str">
        <f>IF(tblCalculo[[#This Row],[STATUS]]="EM ANÁLISE",tblCalculo[[#This Row],[VALOR_TOTAL]],"")</f>
        <v/>
      </c>
      <c r="N669" t="str">
        <f>IF(tblCalculo[[#This Row],[STATUS]]="TRAMITANDO",tblCalculo[[#This Row],[VALOR_TOTAL]],"")</f>
        <v/>
      </c>
      <c r="O669" t="str">
        <f>IF(tblCalculo[[#This Row],[STATUS]]="PERDIDO",tblCalculo[[#This Row],[VALOR_TOTAL]],"")</f>
        <v/>
      </c>
      <c r="P669">
        <f>IF(tblCalculo[[#This Row],[STATUS]]="CONCLUÍDO",tblCalculo[[#This Row],[VALOR_TOTAL]],"")</f>
        <v>31646.090000000004</v>
      </c>
    </row>
    <row r="670" spans="1:16" x14ac:dyDescent="0.25">
      <c r="A670" t="str">
        <f>tblVendas[[#This Row],[NR_SIMULACAO]]</f>
        <v>SIM1660</v>
      </c>
      <c r="B670" s="34" t="str">
        <f>_xlfn.XLOOKUP(A670,tblVendas[[#This Row],[NR_SIMULACAO]],tblVendas[[#This Row],[NR_CNPJ]],"")</f>
        <v>48.262.553/0001-17</v>
      </c>
      <c r="C670" t="str">
        <f>_xlfn.XLOOKUP(A670,tblVendas[[#This Row],[NR_SIMULACAO]],tblVendas[[#This Row],[STATUS]],"")</f>
        <v>ALÇADA</v>
      </c>
      <c r="D670" t="str">
        <f>_xlfn.XLOOKUP(A670,tblVendas[[#This Row],[NR_SIMULACAO]],tblVendas[[#This Row],[MES]],"")</f>
        <v>Maio</v>
      </c>
      <c r="E670">
        <f>SUM(_xlfn.XLOOKUP(tblCalculo[[#This Row],[NR_SIMULACAO]],tblVendas[[#This Row],[NR_SIMULACAO]],tblVendas[[#This Row],[VALOR_MOVEL]],""):_xlfn.XLOOKUP(tblCalculo[[#This Row],[NR_SIMULACAO]],tblVendas[[#This Row],[NR_SIMULACAO]],tblVendas[[#This Row],[VALOR_APARELHO]],""))</f>
        <v>7427.24</v>
      </c>
      <c r="F670">
        <f>IF(tblCalculo[[#This Row],[STATUS]]="CONCLUÍDO",_xlfn.XLOOKUP(tblCalculo[[#This Row],[NR_SIMULACAO]],tblVendas[[#This Row],[NR_SIMULACAO]],tblVendas[[#This Row],[VALOR_MOVEL]],""),0)</f>
        <v>0</v>
      </c>
      <c r="G670">
        <f>IF(tblCalculo[[#This Row],[STATUS]]="CONCLUÍDO",_xlfn.XLOOKUP(tblCalculo[[#This Row],[NR_SIMULACAO]],tblVendas[[#This Row],[NR_SIMULACAO]],tblVendas[[#This Row],[VALOR_AVANCADO]],""),0)</f>
        <v>0</v>
      </c>
      <c r="H670">
        <f>IF(tblCalculo[[#This Row],[STATUS]]="CONCLUÍDO",_xlfn.XLOOKUP(tblCalculo[[#This Row],[NR_SIMULACAO]],tblVendas[[#This Row],[NR_SIMULACAO]],tblVendas[[#This Row],[VALOR_FIXABASICA]],""),0)</f>
        <v>0</v>
      </c>
      <c r="I670">
        <f>IF(tblCalculo[[#This Row],[STATUS]]="CONCLUÍDO",_xlfn.XLOOKUP(tblCalculo[[#This Row],[NR_SIMULACAO]],tblVendas[[#This Row],[NR_SIMULACAO]],tblVendas[[#This Row],[VALOR_TI]],""),0)</f>
        <v>0</v>
      </c>
      <c r="J670">
        <f>IF(tblCalculo[[#This Row],[STATUS]]="CONCLUÍDO",_xlfn.XLOOKUP(tblCalculo[[#This Row],[NR_SIMULACAO]],tblVendas[[#This Row],[NR_SIMULACAO]],tblVendas[[#This Row],[VALOR_APARELHO]],""),0)</f>
        <v>0</v>
      </c>
      <c r="K670" t="str">
        <f>IF(tblCalculo[[#This Row],[STATUS]]="NEGOCIANDO",tblCalculo[[#This Row],[VALOR_TOTAL]],"")</f>
        <v/>
      </c>
      <c r="L670">
        <f>IF(tblCalculo[[#This Row],[STATUS]]="ALÇADA",tblCalculo[[#This Row],[VALOR_TOTAL]],"")</f>
        <v>7427.24</v>
      </c>
      <c r="M670" t="str">
        <f>IF(tblCalculo[[#This Row],[STATUS]]="EM ANÁLISE",tblCalculo[[#This Row],[VALOR_TOTAL]],"")</f>
        <v/>
      </c>
      <c r="N670" t="str">
        <f>IF(tblCalculo[[#This Row],[STATUS]]="TRAMITANDO",tblCalculo[[#This Row],[VALOR_TOTAL]],"")</f>
        <v/>
      </c>
      <c r="O670" t="str">
        <f>IF(tblCalculo[[#This Row],[STATUS]]="PERDIDO",tblCalculo[[#This Row],[VALOR_TOTAL]],"")</f>
        <v/>
      </c>
      <c r="P670" t="str">
        <f>IF(tblCalculo[[#This Row],[STATUS]]="CONCLUÍDO",tblCalculo[[#This Row],[VALOR_TOTAL]],"")</f>
        <v/>
      </c>
    </row>
    <row r="671" spans="1:16" x14ac:dyDescent="0.25">
      <c r="A671" t="str">
        <f>tblVendas[[#This Row],[NR_SIMULACAO]]</f>
        <v>SIM1661</v>
      </c>
      <c r="B671" s="34" t="str">
        <f>_xlfn.XLOOKUP(A671,tblVendas[[#This Row],[NR_SIMULACAO]],tblVendas[[#This Row],[NR_CNPJ]],"")</f>
        <v>12.979.624/0001-24</v>
      </c>
      <c r="C671" t="str">
        <f>_xlfn.XLOOKUP(A671,tblVendas[[#This Row],[NR_SIMULACAO]],tblVendas[[#This Row],[STATUS]],"")</f>
        <v>ALÇADA</v>
      </c>
      <c r="D671" t="str">
        <f>_xlfn.XLOOKUP(A671,tblVendas[[#This Row],[NR_SIMULACAO]],tblVendas[[#This Row],[MES]],"")</f>
        <v>Junho</v>
      </c>
      <c r="E671">
        <f>SUM(_xlfn.XLOOKUP(tblCalculo[[#This Row],[NR_SIMULACAO]],tblVendas[[#This Row],[NR_SIMULACAO]],tblVendas[[#This Row],[VALOR_MOVEL]],""):_xlfn.XLOOKUP(tblCalculo[[#This Row],[NR_SIMULACAO]],tblVendas[[#This Row],[NR_SIMULACAO]],tblVendas[[#This Row],[VALOR_APARELHO]],""))</f>
        <v>11886.33</v>
      </c>
      <c r="F671">
        <f>IF(tblCalculo[[#This Row],[STATUS]]="CONCLUÍDO",_xlfn.XLOOKUP(tblCalculo[[#This Row],[NR_SIMULACAO]],tblVendas[[#This Row],[NR_SIMULACAO]],tblVendas[[#This Row],[VALOR_MOVEL]],""),0)</f>
        <v>0</v>
      </c>
      <c r="G671">
        <f>IF(tblCalculo[[#This Row],[STATUS]]="CONCLUÍDO",_xlfn.XLOOKUP(tblCalculo[[#This Row],[NR_SIMULACAO]],tblVendas[[#This Row],[NR_SIMULACAO]],tblVendas[[#This Row],[VALOR_AVANCADO]],""),0)</f>
        <v>0</v>
      </c>
      <c r="H671">
        <f>IF(tblCalculo[[#This Row],[STATUS]]="CONCLUÍDO",_xlfn.XLOOKUP(tblCalculo[[#This Row],[NR_SIMULACAO]],tblVendas[[#This Row],[NR_SIMULACAO]],tblVendas[[#This Row],[VALOR_FIXABASICA]],""),0)</f>
        <v>0</v>
      </c>
      <c r="I671">
        <f>IF(tblCalculo[[#This Row],[STATUS]]="CONCLUÍDO",_xlfn.XLOOKUP(tblCalculo[[#This Row],[NR_SIMULACAO]],tblVendas[[#This Row],[NR_SIMULACAO]],tblVendas[[#This Row],[VALOR_TI]],""),0)</f>
        <v>0</v>
      </c>
      <c r="J671">
        <f>IF(tblCalculo[[#This Row],[STATUS]]="CONCLUÍDO",_xlfn.XLOOKUP(tblCalculo[[#This Row],[NR_SIMULACAO]],tblVendas[[#This Row],[NR_SIMULACAO]],tblVendas[[#This Row],[VALOR_APARELHO]],""),0)</f>
        <v>0</v>
      </c>
      <c r="K671" t="str">
        <f>IF(tblCalculo[[#This Row],[STATUS]]="NEGOCIANDO",tblCalculo[[#This Row],[VALOR_TOTAL]],"")</f>
        <v/>
      </c>
      <c r="L671">
        <f>IF(tblCalculo[[#This Row],[STATUS]]="ALÇADA",tblCalculo[[#This Row],[VALOR_TOTAL]],"")</f>
        <v>11886.33</v>
      </c>
      <c r="M671" t="str">
        <f>IF(tblCalculo[[#This Row],[STATUS]]="EM ANÁLISE",tblCalculo[[#This Row],[VALOR_TOTAL]],"")</f>
        <v/>
      </c>
      <c r="N671" t="str">
        <f>IF(tblCalculo[[#This Row],[STATUS]]="TRAMITANDO",tblCalculo[[#This Row],[VALOR_TOTAL]],"")</f>
        <v/>
      </c>
      <c r="O671" t="str">
        <f>IF(tblCalculo[[#This Row],[STATUS]]="PERDIDO",tblCalculo[[#This Row],[VALOR_TOTAL]],"")</f>
        <v/>
      </c>
      <c r="P671" t="str">
        <f>IF(tblCalculo[[#This Row],[STATUS]]="CONCLUÍDO",tblCalculo[[#This Row],[VALOR_TOTAL]],"")</f>
        <v/>
      </c>
    </row>
    <row r="672" spans="1:16" x14ac:dyDescent="0.25">
      <c r="A672" t="str">
        <f>tblVendas[[#This Row],[NR_SIMULACAO]]</f>
        <v>SIM1662</v>
      </c>
      <c r="B672" s="34" t="str">
        <f>_xlfn.XLOOKUP(A672,tblVendas[[#This Row],[NR_SIMULACAO]],tblVendas[[#This Row],[NR_CNPJ]],"")</f>
        <v>68.526.376/0001-33</v>
      </c>
      <c r="C672" t="str">
        <f>_xlfn.XLOOKUP(A672,tblVendas[[#This Row],[NR_SIMULACAO]],tblVendas[[#This Row],[STATUS]],"")</f>
        <v>NEGOCIANDO</v>
      </c>
      <c r="D672" t="str">
        <f>_xlfn.XLOOKUP(A672,tblVendas[[#This Row],[NR_SIMULACAO]],tblVendas[[#This Row],[MES]],"")</f>
        <v>Novembro</v>
      </c>
      <c r="E672">
        <f>SUM(_xlfn.XLOOKUP(tblCalculo[[#This Row],[NR_SIMULACAO]],tblVendas[[#This Row],[NR_SIMULACAO]],tblVendas[[#This Row],[VALOR_MOVEL]],""):_xlfn.XLOOKUP(tblCalculo[[#This Row],[NR_SIMULACAO]],tblVendas[[#This Row],[NR_SIMULACAO]],tblVendas[[#This Row],[VALOR_APARELHO]],""))</f>
        <v>1659.8200000000002</v>
      </c>
      <c r="F672">
        <f>IF(tblCalculo[[#This Row],[STATUS]]="CONCLUÍDO",_xlfn.XLOOKUP(tblCalculo[[#This Row],[NR_SIMULACAO]],tblVendas[[#This Row],[NR_SIMULACAO]],tblVendas[[#This Row],[VALOR_MOVEL]],""),0)</f>
        <v>0</v>
      </c>
      <c r="G672">
        <f>IF(tblCalculo[[#This Row],[STATUS]]="CONCLUÍDO",_xlfn.XLOOKUP(tblCalculo[[#This Row],[NR_SIMULACAO]],tblVendas[[#This Row],[NR_SIMULACAO]],tblVendas[[#This Row],[VALOR_AVANCADO]],""),0)</f>
        <v>0</v>
      </c>
      <c r="H672">
        <f>IF(tblCalculo[[#This Row],[STATUS]]="CONCLUÍDO",_xlfn.XLOOKUP(tblCalculo[[#This Row],[NR_SIMULACAO]],tblVendas[[#This Row],[NR_SIMULACAO]],tblVendas[[#This Row],[VALOR_FIXABASICA]],""),0)</f>
        <v>0</v>
      </c>
      <c r="I672">
        <f>IF(tblCalculo[[#This Row],[STATUS]]="CONCLUÍDO",_xlfn.XLOOKUP(tblCalculo[[#This Row],[NR_SIMULACAO]],tblVendas[[#This Row],[NR_SIMULACAO]],tblVendas[[#This Row],[VALOR_TI]],""),0)</f>
        <v>0</v>
      </c>
      <c r="J672">
        <f>IF(tblCalculo[[#This Row],[STATUS]]="CONCLUÍDO",_xlfn.XLOOKUP(tblCalculo[[#This Row],[NR_SIMULACAO]],tblVendas[[#This Row],[NR_SIMULACAO]],tblVendas[[#This Row],[VALOR_APARELHO]],""),0)</f>
        <v>0</v>
      </c>
      <c r="K672">
        <f>IF(tblCalculo[[#This Row],[STATUS]]="NEGOCIANDO",tblCalculo[[#This Row],[VALOR_TOTAL]],"")</f>
        <v>1659.8200000000002</v>
      </c>
      <c r="L672" t="str">
        <f>IF(tblCalculo[[#This Row],[STATUS]]="ALÇADA",tblCalculo[[#This Row],[VALOR_TOTAL]],"")</f>
        <v/>
      </c>
      <c r="M672" t="str">
        <f>IF(tblCalculo[[#This Row],[STATUS]]="EM ANÁLISE",tblCalculo[[#This Row],[VALOR_TOTAL]],"")</f>
        <v/>
      </c>
      <c r="N672" t="str">
        <f>IF(tblCalculo[[#This Row],[STATUS]]="TRAMITANDO",tblCalculo[[#This Row],[VALOR_TOTAL]],"")</f>
        <v/>
      </c>
      <c r="O672" t="str">
        <f>IF(tblCalculo[[#This Row],[STATUS]]="PERDIDO",tblCalculo[[#This Row],[VALOR_TOTAL]],"")</f>
        <v/>
      </c>
      <c r="P672" t="str">
        <f>IF(tblCalculo[[#This Row],[STATUS]]="CONCLUÍDO",tblCalculo[[#This Row],[VALOR_TOTAL]],"")</f>
        <v/>
      </c>
    </row>
    <row r="673" spans="1:16" x14ac:dyDescent="0.25">
      <c r="A673" t="str">
        <f>tblVendas[[#This Row],[NR_SIMULACAO]]</f>
        <v>SIM1663</v>
      </c>
      <c r="B673" s="34" t="str">
        <f>_xlfn.XLOOKUP(A673,tblVendas[[#This Row],[NR_SIMULACAO]],tblVendas[[#This Row],[NR_CNPJ]],"")</f>
        <v>55.115.138/0001-19</v>
      </c>
      <c r="C673" t="str">
        <f>_xlfn.XLOOKUP(A673,tblVendas[[#This Row],[NR_SIMULACAO]],tblVendas[[#This Row],[STATUS]],"")</f>
        <v>NEGOCIANDO</v>
      </c>
      <c r="D673" t="str">
        <f>_xlfn.XLOOKUP(A673,tblVendas[[#This Row],[NR_SIMULACAO]],tblVendas[[#This Row],[MES]],"")</f>
        <v>Julho</v>
      </c>
      <c r="E673">
        <f>SUM(_xlfn.XLOOKUP(tblCalculo[[#This Row],[NR_SIMULACAO]],tblVendas[[#This Row],[NR_SIMULACAO]],tblVendas[[#This Row],[VALOR_MOVEL]],""):_xlfn.XLOOKUP(tblCalculo[[#This Row],[NR_SIMULACAO]],tblVendas[[#This Row],[NR_SIMULACAO]],tblVendas[[#This Row],[VALOR_APARELHO]],""))</f>
        <v>9654.34</v>
      </c>
      <c r="F673">
        <f>IF(tblCalculo[[#This Row],[STATUS]]="CONCLUÍDO",_xlfn.XLOOKUP(tblCalculo[[#This Row],[NR_SIMULACAO]],tblVendas[[#This Row],[NR_SIMULACAO]],tblVendas[[#This Row],[VALOR_MOVEL]],""),0)</f>
        <v>0</v>
      </c>
      <c r="G673">
        <f>IF(tblCalculo[[#This Row],[STATUS]]="CONCLUÍDO",_xlfn.XLOOKUP(tblCalculo[[#This Row],[NR_SIMULACAO]],tblVendas[[#This Row],[NR_SIMULACAO]],tblVendas[[#This Row],[VALOR_AVANCADO]],""),0)</f>
        <v>0</v>
      </c>
      <c r="H673">
        <f>IF(tblCalculo[[#This Row],[STATUS]]="CONCLUÍDO",_xlfn.XLOOKUP(tblCalculo[[#This Row],[NR_SIMULACAO]],tblVendas[[#This Row],[NR_SIMULACAO]],tblVendas[[#This Row],[VALOR_FIXABASICA]],""),0)</f>
        <v>0</v>
      </c>
      <c r="I673">
        <f>IF(tblCalculo[[#This Row],[STATUS]]="CONCLUÍDO",_xlfn.XLOOKUP(tblCalculo[[#This Row],[NR_SIMULACAO]],tblVendas[[#This Row],[NR_SIMULACAO]],tblVendas[[#This Row],[VALOR_TI]],""),0)</f>
        <v>0</v>
      </c>
      <c r="J673">
        <f>IF(tblCalculo[[#This Row],[STATUS]]="CONCLUÍDO",_xlfn.XLOOKUP(tblCalculo[[#This Row],[NR_SIMULACAO]],tblVendas[[#This Row],[NR_SIMULACAO]],tblVendas[[#This Row],[VALOR_APARELHO]],""),0)</f>
        <v>0</v>
      </c>
      <c r="K673">
        <f>IF(tblCalculo[[#This Row],[STATUS]]="NEGOCIANDO",tblCalculo[[#This Row],[VALOR_TOTAL]],"")</f>
        <v>9654.34</v>
      </c>
      <c r="L673" t="str">
        <f>IF(tblCalculo[[#This Row],[STATUS]]="ALÇADA",tblCalculo[[#This Row],[VALOR_TOTAL]],"")</f>
        <v/>
      </c>
      <c r="M673" t="str">
        <f>IF(tblCalculo[[#This Row],[STATUS]]="EM ANÁLISE",tblCalculo[[#This Row],[VALOR_TOTAL]],"")</f>
        <v/>
      </c>
      <c r="N673" t="str">
        <f>IF(tblCalculo[[#This Row],[STATUS]]="TRAMITANDO",tblCalculo[[#This Row],[VALOR_TOTAL]],"")</f>
        <v/>
      </c>
      <c r="O673" t="str">
        <f>IF(tblCalculo[[#This Row],[STATUS]]="PERDIDO",tblCalculo[[#This Row],[VALOR_TOTAL]],"")</f>
        <v/>
      </c>
      <c r="P673" t="str">
        <f>IF(tblCalculo[[#This Row],[STATUS]]="CONCLUÍDO",tblCalculo[[#This Row],[VALOR_TOTAL]],"")</f>
        <v/>
      </c>
    </row>
    <row r="674" spans="1:16" x14ac:dyDescent="0.25">
      <c r="A674" t="str">
        <f>tblVendas[[#This Row],[NR_SIMULACAO]]</f>
        <v>SIM1664</v>
      </c>
      <c r="B674" s="34" t="str">
        <f>_xlfn.XLOOKUP(A674,tblVendas[[#This Row],[NR_SIMULACAO]],tblVendas[[#This Row],[NR_CNPJ]],"")</f>
        <v>57.843.951/0001-21</v>
      </c>
      <c r="C674" t="str">
        <f>_xlfn.XLOOKUP(A674,tblVendas[[#This Row],[NR_SIMULACAO]],tblVendas[[#This Row],[STATUS]],"")</f>
        <v>EM ANÁLISE</v>
      </c>
      <c r="D674" t="str">
        <f>_xlfn.XLOOKUP(A674,tblVendas[[#This Row],[NR_SIMULACAO]],tblVendas[[#This Row],[MES]],"")</f>
        <v>Janeiro</v>
      </c>
      <c r="E674">
        <f>SUM(_xlfn.XLOOKUP(tblCalculo[[#This Row],[NR_SIMULACAO]],tblVendas[[#This Row],[NR_SIMULACAO]],tblVendas[[#This Row],[VALOR_MOVEL]],""):_xlfn.XLOOKUP(tblCalculo[[#This Row],[NR_SIMULACAO]],tblVendas[[#This Row],[NR_SIMULACAO]],tblVendas[[#This Row],[VALOR_APARELHO]],""))</f>
        <v>7675.16</v>
      </c>
      <c r="F674">
        <f>IF(tblCalculo[[#This Row],[STATUS]]="CONCLUÍDO",_xlfn.XLOOKUP(tblCalculo[[#This Row],[NR_SIMULACAO]],tblVendas[[#This Row],[NR_SIMULACAO]],tblVendas[[#This Row],[VALOR_MOVEL]],""),0)</f>
        <v>0</v>
      </c>
      <c r="G674">
        <f>IF(tblCalculo[[#This Row],[STATUS]]="CONCLUÍDO",_xlfn.XLOOKUP(tblCalculo[[#This Row],[NR_SIMULACAO]],tblVendas[[#This Row],[NR_SIMULACAO]],tblVendas[[#This Row],[VALOR_AVANCADO]],""),0)</f>
        <v>0</v>
      </c>
      <c r="H674">
        <f>IF(tblCalculo[[#This Row],[STATUS]]="CONCLUÍDO",_xlfn.XLOOKUP(tblCalculo[[#This Row],[NR_SIMULACAO]],tblVendas[[#This Row],[NR_SIMULACAO]],tblVendas[[#This Row],[VALOR_FIXABASICA]],""),0)</f>
        <v>0</v>
      </c>
      <c r="I674">
        <f>IF(tblCalculo[[#This Row],[STATUS]]="CONCLUÍDO",_xlfn.XLOOKUP(tblCalculo[[#This Row],[NR_SIMULACAO]],tblVendas[[#This Row],[NR_SIMULACAO]],tblVendas[[#This Row],[VALOR_TI]],""),0)</f>
        <v>0</v>
      </c>
      <c r="J674">
        <f>IF(tblCalculo[[#This Row],[STATUS]]="CONCLUÍDO",_xlfn.XLOOKUP(tblCalculo[[#This Row],[NR_SIMULACAO]],tblVendas[[#This Row],[NR_SIMULACAO]],tblVendas[[#This Row],[VALOR_APARELHO]],""),0)</f>
        <v>0</v>
      </c>
      <c r="K674" t="str">
        <f>IF(tblCalculo[[#This Row],[STATUS]]="NEGOCIANDO",tblCalculo[[#This Row],[VALOR_TOTAL]],"")</f>
        <v/>
      </c>
      <c r="L674" t="str">
        <f>IF(tblCalculo[[#This Row],[STATUS]]="ALÇADA",tblCalculo[[#This Row],[VALOR_TOTAL]],"")</f>
        <v/>
      </c>
      <c r="M674">
        <f>IF(tblCalculo[[#This Row],[STATUS]]="EM ANÁLISE",tblCalculo[[#This Row],[VALOR_TOTAL]],"")</f>
        <v>7675.16</v>
      </c>
      <c r="N674" t="str">
        <f>IF(tblCalculo[[#This Row],[STATUS]]="TRAMITANDO",tblCalculo[[#This Row],[VALOR_TOTAL]],"")</f>
        <v/>
      </c>
      <c r="O674" t="str">
        <f>IF(tblCalculo[[#This Row],[STATUS]]="PERDIDO",tblCalculo[[#This Row],[VALOR_TOTAL]],"")</f>
        <v/>
      </c>
      <c r="P674" t="str">
        <f>IF(tblCalculo[[#This Row],[STATUS]]="CONCLUÍDO",tblCalculo[[#This Row],[VALOR_TOTAL]],"")</f>
        <v/>
      </c>
    </row>
    <row r="675" spans="1:16" x14ac:dyDescent="0.25">
      <c r="A675" t="str">
        <f>tblVendas[[#This Row],[NR_SIMULACAO]]</f>
        <v>SIM1665</v>
      </c>
      <c r="B675" s="34" t="str">
        <f>_xlfn.XLOOKUP(A675,tblVendas[[#This Row],[NR_SIMULACAO]],tblVendas[[#This Row],[NR_CNPJ]],"")</f>
        <v>33.805.802/0001-15</v>
      </c>
      <c r="C675" t="str">
        <f>_xlfn.XLOOKUP(A675,tblVendas[[#This Row],[NR_SIMULACAO]],tblVendas[[#This Row],[STATUS]],"")</f>
        <v>TRAMITANDO</v>
      </c>
      <c r="D675" t="str">
        <f>_xlfn.XLOOKUP(A675,tblVendas[[#This Row],[NR_SIMULACAO]],tblVendas[[#This Row],[MES]],"")</f>
        <v>Dezembro</v>
      </c>
      <c r="E675">
        <f>SUM(_xlfn.XLOOKUP(tblCalculo[[#This Row],[NR_SIMULACAO]],tblVendas[[#This Row],[NR_SIMULACAO]],tblVendas[[#This Row],[VALOR_MOVEL]],""):_xlfn.XLOOKUP(tblCalculo[[#This Row],[NR_SIMULACAO]],tblVendas[[#This Row],[NR_SIMULACAO]],tblVendas[[#This Row],[VALOR_APARELHO]],""))</f>
        <v>3528.6</v>
      </c>
      <c r="F675">
        <f>IF(tblCalculo[[#This Row],[STATUS]]="CONCLUÍDO",_xlfn.XLOOKUP(tblCalculo[[#This Row],[NR_SIMULACAO]],tblVendas[[#This Row],[NR_SIMULACAO]],tblVendas[[#This Row],[VALOR_MOVEL]],""),0)</f>
        <v>0</v>
      </c>
      <c r="G675">
        <f>IF(tblCalculo[[#This Row],[STATUS]]="CONCLUÍDO",_xlfn.XLOOKUP(tblCalculo[[#This Row],[NR_SIMULACAO]],tblVendas[[#This Row],[NR_SIMULACAO]],tblVendas[[#This Row],[VALOR_AVANCADO]],""),0)</f>
        <v>0</v>
      </c>
      <c r="H675">
        <f>IF(tblCalculo[[#This Row],[STATUS]]="CONCLUÍDO",_xlfn.XLOOKUP(tblCalculo[[#This Row],[NR_SIMULACAO]],tblVendas[[#This Row],[NR_SIMULACAO]],tblVendas[[#This Row],[VALOR_FIXABASICA]],""),0)</f>
        <v>0</v>
      </c>
      <c r="I675">
        <f>IF(tblCalculo[[#This Row],[STATUS]]="CONCLUÍDO",_xlfn.XLOOKUP(tblCalculo[[#This Row],[NR_SIMULACAO]],tblVendas[[#This Row],[NR_SIMULACAO]],tblVendas[[#This Row],[VALOR_TI]],""),0)</f>
        <v>0</v>
      </c>
      <c r="J675">
        <f>IF(tblCalculo[[#This Row],[STATUS]]="CONCLUÍDO",_xlfn.XLOOKUP(tblCalculo[[#This Row],[NR_SIMULACAO]],tblVendas[[#This Row],[NR_SIMULACAO]],tblVendas[[#This Row],[VALOR_APARELHO]],""),0)</f>
        <v>0</v>
      </c>
      <c r="K675" t="str">
        <f>IF(tblCalculo[[#This Row],[STATUS]]="NEGOCIANDO",tblCalculo[[#This Row],[VALOR_TOTAL]],"")</f>
        <v/>
      </c>
      <c r="L675" t="str">
        <f>IF(tblCalculo[[#This Row],[STATUS]]="ALÇADA",tblCalculo[[#This Row],[VALOR_TOTAL]],"")</f>
        <v/>
      </c>
      <c r="M675" t="str">
        <f>IF(tblCalculo[[#This Row],[STATUS]]="EM ANÁLISE",tblCalculo[[#This Row],[VALOR_TOTAL]],"")</f>
        <v/>
      </c>
      <c r="N675">
        <f>IF(tblCalculo[[#This Row],[STATUS]]="TRAMITANDO",tblCalculo[[#This Row],[VALOR_TOTAL]],"")</f>
        <v>3528.6</v>
      </c>
      <c r="O675" t="str">
        <f>IF(tblCalculo[[#This Row],[STATUS]]="PERDIDO",tblCalculo[[#This Row],[VALOR_TOTAL]],"")</f>
        <v/>
      </c>
      <c r="P675" t="str">
        <f>IF(tblCalculo[[#This Row],[STATUS]]="CONCLUÍDO",tblCalculo[[#This Row],[VALOR_TOTAL]],"")</f>
        <v/>
      </c>
    </row>
    <row r="676" spans="1:16" x14ac:dyDescent="0.25">
      <c r="A676" t="str">
        <f>tblVendas[[#This Row],[NR_SIMULACAO]]</f>
        <v>SIM1666</v>
      </c>
      <c r="B676" s="34" t="str">
        <f>_xlfn.XLOOKUP(A676,tblVendas[[#This Row],[NR_SIMULACAO]],tblVendas[[#This Row],[NR_CNPJ]],"")</f>
        <v>50.717.678/0001-45</v>
      </c>
      <c r="C676" t="str">
        <f>_xlfn.XLOOKUP(A676,tblVendas[[#This Row],[NR_SIMULACAO]],tblVendas[[#This Row],[STATUS]],"")</f>
        <v>EM ANÁLISE</v>
      </c>
      <c r="D676" t="str">
        <f>_xlfn.XLOOKUP(A676,tblVendas[[#This Row],[NR_SIMULACAO]],tblVendas[[#This Row],[MES]],"")</f>
        <v>Fevereiro</v>
      </c>
      <c r="E676">
        <f>SUM(_xlfn.XLOOKUP(tblCalculo[[#This Row],[NR_SIMULACAO]],tblVendas[[#This Row],[NR_SIMULACAO]],tblVendas[[#This Row],[VALOR_MOVEL]],""):_xlfn.XLOOKUP(tblCalculo[[#This Row],[NR_SIMULACAO]],tblVendas[[#This Row],[NR_SIMULACAO]],tblVendas[[#This Row],[VALOR_APARELHO]],""))</f>
        <v>27258.42</v>
      </c>
      <c r="F676">
        <f>IF(tblCalculo[[#This Row],[STATUS]]="CONCLUÍDO",_xlfn.XLOOKUP(tblCalculo[[#This Row],[NR_SIMULACAO]],tblVendas[[#This Row],[NR_SIMULACAO]],tblVendas[[#This Row],[VALOR_MOVEL]],""),0)</f>
        <v>0</v>
      </c>
      <c r="G676">
        <f>IF(tblCalculo[[#This Row],[STATUS]]="CONCLUÍDO",_xlfn.XLOOKUP(tblCalculo[[#This Row],[NR_SIMULACAO]],tblVendas[[#This Row],[NR_SIMULACAO]],tblVendas[[#This Row],[VALOR_AVANCADO]],""),0)</f>
        <v>0</v>
      </c>
      <c r="H676">
        <f>IF(tblCalculo[[#This Row],[STATUS]]="CONCLUÍDO",_xlfn.XLOOKUP(tblCalculo[[#This Row],[NR_SIMULACAO]],tblVendas[[#This Row],[NR_SIMULACAO]],tblVendas[[#This Row],[VALOR_FIXABASICA]],""),0)</f>
        <v>0</v>
      </c>
      <c r="I676">
        <f>IF(tblCalculo[[#This Row],[STATUS]]="CONCLUÍDO",_xlfn.XLOOKUP(tblCalculo[[#This Row],[NR_SIMULACAO]],tblVendas[[#This Row],[NR_SIMULACAO]],tblVendas[[#This Row],[VALOR_TI]],""),0)</f>
        <v>0</v>
      </c>
      <c r="J676">
        <f>IF(tblCalculo[[#This Row],[STATUS]]="CONCLUÍDO",_xlfn.XLOOKUP(tblCalculo[[#This Row],[NR_SIMULACAO]],tblVendas[[#This Row],[NR_SIMULACAO]],tblVendas[[#This Row],[VALOR_APARELHO]],""),0)</f>
        <v>0</v>
      </c>
      <c r="K676" t="str">
        <f>IF(tblCalculo[[#This Row],[STATUS]]="NEGOCIANDO",tblCalculo[[#This Row],[VALOR_TOTAL]],"")</f>
        <v/>
      </c>
      <c r="L676" t="str">
        <f>IF(tblCalculo[[#This Row],[STATUS]]="ALÇADA",tblCalculo[[#This Row],[VALOR_TOTAL]],"")</f>
        <v/>
      </c>
      <c r="M676">
        <f>IF(tblCalculo[[#This Row],[STATUS]]="EM ANÁLISE",tblCalculo[[#This Row],[VALOR_TOTAL]],"")</f>
        <v>27258.42</v>
      </c>
      <c r="N676" t="str">
        <f>IF(tblCalculo[[#This Row],[STATUS]]="TRAMITANDO",tblCalculo[[#This Row],[VALOR_TOTAL]],"")</f>
        <v/>
      </c>
      <c r="O676" t="str">
        <f>IF(tblCalculo[[#This Row],[STATUS]]="PERDIDO",tblCalculo[[#This Row],[VALOR_TOTAL]],"")</f>
        <v/>
      </c>
      <c r="P676" t="str">
        <f>IF(tblCalculo[[#This Row],[STATUS]]="CONCLUÍDO",tblCalculo[[#This Row],[VALOR_TOTAL]],"")</f>
        <v/>
      </c>
    </row>
    <row r="677" spans="1:16" x14ac:dyDescent="0.25">
      <c r="A677" t="str">
        <f>tblVendas[[#This Row],[NR_SIMULACAO]]</f>
        <v>SIM1667</v>
      </c>
      <c r="B677" s="34" t="str">
        <f>_xlfn.XLOOKUP(A677,tblVendas[[#This Row],[NR_SIMULACAO]],tblVendas[[#This Row],[NR_CNPJ]],"")</f>
        <v>23.756.256/0001-62</v>
      </c>
      <c r="C677" t="str">
        <f>_xlfn.XLOOKUP(A677,tblVendas[[#This Row],[NR_SIMULACAO]],tblVendas[[#This Row],[STATUS]],"")</f>
        <v>TRAMITANDO</v>
      </c>
      <c r="D677" t="str">
        <f>_xlfn.XLOOKUP(A677,tblVendas[[#This Row],[NR_SIMULACAO]],tblVendas[[#This Row],[MES]],"")</f>
        <v>Novembro</v>
      </c>
      <c r="E677">
        <f>SUM(_xlfn.XLOOKUP(tblCalculo[[#This Row],[NR_SIMULACAO]],tblVendas[[#This Row],[NR_SIMULACAO]],tblVendas[[#This Row],[VALOR_MOVEL]],""):_xlfn.XLOOKUP(tblCalculo[[#This Row],[NR_SIMULACAO]],tblVendas[[#This Row],[NR_SIMULACAO]],tblVendas[[#This Row],[VALOR_APARELHO]],""))</f>
        <v>19797.7</v>
      </c>
      <c r="F677">
        <f>IF(tblCalculo[[#This Row],[STATUS]]="CONCLUÍDO",_xlfn.XLOOKUP(tblCalculo[[#This Row],[NR_SIMULACAO]],tblVendas[[#This Row],[NR_SIMULACAO]],tblVendas[[#This Row],[VALOR_MOVEL]],""),0)</f>
        <v>0</v>
      </c>
      <c r="G677">
        <f>IF(tblCalculo[[#This Row],[STATUS]]="CONCLUÍDO",_xlfn.XLOOKUP(tblCalculo[[#This Row],[NR_SIMULACAO]],tblVendas[[#This Row],[NR_SIMULACAO]],tblVendas[[#This Row],[VALOR_AVANCADO]],""),0)</f>
        <v>0</v>
      </c>
      <c r="H677">
        <f>IF(tblCalculo[[#This Row],[STATUS]]="CONCLUÍDO",_xlfn.XLOOKUP(tblCalculo[[#This Row],[NR_SIMULACAO]],tblVendas[[#This Row],[NR_SIMULACAO]],tblVendas[[#This Row],[VALOR_FIXABASICA]],""),0)</f>
        <v>0</v>
      </c>
      <c r="I677">
        <f>IF(tblCalculo[[#This Row],[STATUS]]="CONCLUÍDO",_xlfn.XLOOKUP(tblCalculo[[#This Row],[NR_SIMULACAO]],tblVendas[[#This Row],[NR_SIMULACAO]],tblVendas[[#This Row],[VALOR_TI]],""),0)</f>
        <v>0</v>
      </c>
      <c r="J677">
        <f>IF(tblCalculo[[#This Row],[STATUS]]="CONCLUÍDO",_xlfn.XLOOKUP(tblCalculo[[#This Row],[NR_SIMULACAO]],tblVendas[[#This Row],[NR_SIMULACAO]],tblVendas[[#This Row],[VALOR_APARELHO]],""),0)</f>
        <v>0</v>
      </c>
      <c r="K677" t="str">
        <f>IF(tblCalculo[[#This Row],[STATUS]]="NEGOCIANDO",tblCalculo[[#This Row],[VALOR_TOTAL]],"")</f>
        <v/>
      </c>
      <c r="L677" t="str">
        <f>IF(tblCalculo[[#This Row],[STATUS]]="ALÇADA",tblCalculo[[#This Row],[VALOR_TOTAL]],"")</f>
        <v/>
      </c>
      <c r="M677" t="str">
        <f>IF(tblCalculo[[#This Row],[STATUS]]="EM ANÁLISE",tblCalculo[[#This Row],[VALOR_TOTAL]],"")</f>
        <v/>
      </c>
      <c r="N677">
        <f>IF(tblCalculo[[#This Row],[STATUS]]="TRAMITANDO",tblCalculo[[#This Row],[VALOR_TOTAL]],"")</f>
        <v>19797.7</v>
      </c>
      <c r="O677" t="str">
        <f>IF(tblCalculo[[#This Row],[STATUS]]="PERDIDO",tblCalculo[[#This Row],[VALOR_TOTAL]],"")</f>
        <v/>
      </c>
      <c r="P677" t="str">
        <f>IF(tblCalculo[[#This Row],[STATUS]]="CONCLUÍDO",tblCalculo[[#This Row],[VALOR_TOTAL]],"")</f>
        <v/>
      </c>
    </row>
    <row r="678" spans="1:16" x14ac:dyDescent="0.25">
      <c r="A678" t="str">
        <f>tblVendas[[#This Row],[NR_SIMULACAO]]</f>
        <v>SIM1668</v>
      </c>
      <c r="B678" s="34" t="str">
        <f>_xlfn.XLOOKUP(A678,tblVendas[[#This Row],[NR_SIMULACAO]],tblVendas[[#This Row],[NR_CNPJ]],"")</f>
        <v>14.967.525/0001-82</v>
      </c>
      <c r="C678" t="str">
        <f>_xlfn.XLOOKUP(A678,tblVendas[[#This Row],[NR_SIMULACAO]],tblVendas[[#This Row],[STATUS]],"")</f>
        <v>ALÇADA</v>
      </c>
      <c r="D678" t="str">
        <f>_xlfn.XLOOKUP(A678,tblVendas[[#This Row],[NR_SIMULACAO]],tblVendas[[#This Row],[MES]],"")</f>
        <v>Maio</v>
      </c>
      <c r="E678">
        <f>SUM(_xlfn.XLOOKUP(tblCalculo[[#This Row],[NR_SIMULACAO]],tblVendas[[#This Row],[NR_SIMULACAO]],tblVendas[[#This Row],[VALOR_MOVEL]],""):_xlfn.XLOOKUP(tblCalculo[[#This Row],[NR_SIMULACAO]],tblVendas[[#This Row],[NR_SIMULACAO]],tblVendas[[#This Row],[VALOR_APARELHO]],""))</f>
        <v>18005.46</v>
      </c>
      <c r="F678">
        <f>IF(tblCalculo[[#This Row],[STATUS]]="CONCLUÍDO",_xlfn.XLOOKUP(tblCalculo[[#This Row],[NR_SIMULACAO]],tblVendas[[#This Row],[NR_SIMULACAO]],tblVendas[[#This Row],[VALOR_MOVEL]],""),0)</f>
        <v>0</v>
      </c>
      <c r="G678">
        <f>IF(tblCalculo[[#This Row],[STATUS]]="CONCLUÍDO",_xlfn.XLOOKUP(tblCalculo[[#This Row],[NR_SIMULACAO]],tblVendas[[#This Row],[NR_SIMULACAO]],tblVendas[[#This Row],[VALOR_AVANCADO]],""),0)</f>
        <v>0</v>
      </c>
      <c r="H678">
        <f>IF(tblCalculo[[#This Row],[STATUS]]="CONCLUÍDO",_xlfn.XLOOKUP(tblCalculo[[#This Row],[NR_SIMULACAO]],tblVendas[[#This Row],[NR_SIMULACAO]],tblVendas[[#This Row],[VALOR_FIXABASICA]],""),0)</f>
        <v>0</v>
      </c>
      <c r="I678">
        <f>IF(tblCalculo[[#This Row],[STATUS]]="CONCLUÍDO",_xlfn.XLOOKUP(tblCalculo[[#This Row],[NR_SIMULACAO]],tblVendas[[#This Row],[NR_SIMULACAO]],tblVendas[[#This Row],[VALOR_TI]],""),0)</f>
        <v>0</v>
      </c>
      <c r="J678">
        <f>IF(tblCalculo[[#This Row],[STATUS]]="CONCLUÍDO",_xlfn.XLOOKUP(tblCalculo[[#This Row],[NR_SIMULACAO]],tblVendas[[#This Row],[NR_SIMULACAO]],tblVendas[[#This Row],[VALOR_APARELHO]],""),0)</f>
        <v>0</v>
      </c>
      <c r="K678" t="str">
        <f>IF(tblCalculo[[#This Row],[STATUS]]="NEGOCIANDO",tblCalculo[[#This Row],[VALOR_TOTAL]],"")</f>
        <v/>
      </c>
      <c r="L678">
        <f>IF(tblCalculo[[#This Row],[STATUS]]="ALÇADA",tblCalculo[[#This Row],[VALOR_TOTAL]],"")</f>
        <v>18005.46</v>
      </c>
      <c r="M678" t="str">
        <f>IF(tblCalculo[[#This Row],[STATUS]]="EM ANÁLISE",tblCalculo[[#This Row],[VALOR_TOTAL]],"")</f>
        <v/>
      </c>
      <c r="N678" t="str">
        <f>IF(tblCalculo[[#This Row],[STATUS]]="TRAMITANDO",tblCalculo[[#This Row],[VALOR_TOTAL]],"")</f>
        <v/>
      </c>
      <c r="O678" t="str">
        <f>IF(tblCalculo[[#This Row],[STATUS]]="PERDIDO",tblCalculo[[#This Row],[VALOR_TOTAL]],"")</f>
        <v/>
      </c>
      <c r="P678" t="str">
        <f>IF(tblCalculo[[#This Row],[STATUS]]="CONCLUÍDO",tblCalculo[[#This Row],[VALOR_TOTAL]],"")</f>
        <v/>
      </c>
    </row>
    <row r="679" spans="1:16" x14ac:dyDescent="0.25">
      <c r="A679" t="str">
        <f>tblVendas[[#This Row],[NR_SIMULACAO]]</f>
        <v>SIM1669</v>
      </c>
      <c r="B679" s="34" t="str">
        <f>_xlfn.XLOOKUP(A679,tblVendas[[#This Row],[NR_SIMULACAO]],tblVendas[[#This Row],[NR_CNPJ]],"")</f>
        <v>65.154.184/0001-48</v>
      </c>
      <c r="C679" t="str">
        <f>_xlfn.XLOOKUP(A679,tblVendas[[#This Row],[NR_SIMULACAO]],tblVendas[[#This Row],[STATUS]],"")</f>
        <v>CONCLUÍDO</v>
      </c>
      <c r="D679" t="str">
        <f>_xlfn.XLOOKUP(A679,tblVendas[[#This Row],[NR_SIMULACAO]],tblVendas[[#This Row],[MES]],"")</f>
        <v>Março</v>
      </c>
      <c r="E679">
        <f>SUM(_xlfn.XLOOKUP(tblCalculo[[#This Row],[NR_SIMULACAO]],tblVendas[[#This Row],[NR_SIMULACAO]],tblVendas[[#This Row],[VALOR_MOVEL]],""):_xlfn.XLOOKUP(tblCalculo[[#This Row],[NR_SIMULACAO]],tblVendas[[#This Row],[NR_SIMULACAO]],tblVendas[[#This Row],[VALOR_APARELHO]],""))</f>
        <v>8576.5399999999991</v>
      </c>
      <c r="F679">
        <f>IF(tblCalculo[[#This Row],[STATUS]]="CONCLUÍDO",_xlfn.XLOOKUP(tblCalculo[[#This Row],[NR_SIMULACAO]],tblVendas[[#This Row],[NR_SIMULACAO]],tblVendas[[#This Row],[VALOR_MOVEL]],""),0)</f>
        <v>7257.4</v>
      </c>
      <c r="G679">
        <f>IF(tblCalculo[[#This Row],[STATUS]]="CONCLUÍDO",_xlfn.XLOOKUP(tblCalculo[[#This Row],[NR_SIMULACAO]],tblVendas[[#This Row],[NR_SIMULACAO]],tblVendas[[#This Row],[VALOR_AVANCADO]],""),0)</f>
        <v>1319.14</v>
      </c>
      <c r="H679">
        <f>IF(tblCalculo[[#This Row],[STATUS]]="CONCLUÍDO",_xlfn.XLOOKUP(tblCalculo[[#This Row],[NR_SIMULACAO]],tblVendas[[#This Row],[NR_SIMULACAO]],tblVendas[[#This Row],[VALOR_FIXABASICA]],""),0)</f>
        <v>0</v>
      </c>
      <c r="I679">
        <f>IF(tblCalculo[[#This Row],[STATUS]]="CONCLUÍDO",_xlfn.XLOOKUP(tblCalculo[[#This Row],[NR_SIMULACAO]],tblVendas[[#This Row],[NR_SIMULACAO]],tblVendas[[#This Row],[VALOR_TI]],""),0)</f>
        <v>0</v>
      </c>
      <c r="J679">
        <f>IF(tblCalculo[[#This Row],[STATUS]]="CONCLUÍDO",_xlfn.XLOOKUP(tblCalculo[[#This Row],[NR_SIMULACAO]],tblVendas[[#This Row],[NR_SIMULACAO]],tblVendas[[#This Row],[VALOR_APARELHO]],""),0)</f>
        <v>0</v>
      </c>
      <c r="K679" t="str">
        <f>IF(tblCalculo[[#This Row],[STATUS]]="NEGOCIANDO",tblCalculo[[#This Row],[VALOR_TOTAL]],"")</f>
        <v/>
      </c>
      <c r="L679" t="str">
        <f>IF(tblCalculo[[#This Row],[STATUS]]="ALÇADA",tblCalculo[[#This Row],[VALOR_TOTAL]],"")</f>
        <v/>
      </c>
      <c r="M679" t="str">
        <f>IF(tblCalculo[[#This Row],[STATUS]]="EM ANÁLISE",tblCalculo[[#This Row],[VALOR_TOTAL]],"")</f>
        <v/>
      </c>
      <c r="N679" t="str">
        <f>IF(tblCalculo[[#This Row],[STATUS]]="TRAMITANDO",tblCalculo[[#This Row],[VALOR_TOTAL]],"")</f>
        <v/>
      </c>
      <c r="O679" t="str">
        <f>IF(tblCalculo[[#This Row],[STATUS]]="PERDIDO",tblCalculo[[#This Row],[VALOR_TOTAL]],"")</f>
        <v/>
      </c>
      <c r="P679">
        <f>IF(tblCalculo[[#This Row],[STATUS]]="CONCLUÍDO",tblCalculo[[#This Row],[VALOR_TOTAL]],"")</f>
        <v>8576.5399999999991</v>
      </c>
    </row>
    <row r="680" spans="1:16" x14ac:dyDescent="0.25">
      <c r="A680" t="str">
        <f>tblVendas[[#This Row],[NR_SIMULACAO]]</f>
        <v>SIM1670</v>
      </c>
      <c r="B680" s="34" t="str">
        <f>_xlfn.XLOOKUP(A680,tblVendas[[#This Row],[NR_SIMULACAO]],tblVendas[[#This Row],[NR_CNPJ]],"")</f>
        <v>73.334.637/0001-89</v>
      </c>
      <c r="C680" t="str">
        <f>_xlfn.XLOOKUP(A680,tblVendas[[#This Row],[NR_SIMULACAO]],tblVendas[[#This Row],[STATUS]],"")</f>
        <v>TRAMITANDO</v>
      </c>
      <c r="D680" t="str">
        <f>_xlfn.XLOOKUP(A680,tblVendas[[#This Row],[NR_SIMULACAO]],tblVendas[[#This Row],[MES]],"")</f>
        <v>Dezembro</v>
      </c>
      <c r="E680">
        <f>SUM(_xlfn.XLOOKUP(tblCalculo[[#This Row],[NR_SIMULACAO]],tblVendas[[#This Row],[NR_SIMULACAO]],tblVendas[[#This Row],[VALOR_MOVEL]],""):_xlfn.XLOOKUP(tblCalculo[[#This Row],[NR_SIMULACAO]],tblVendas[[#This Row],[NR_SIMULACAO]],tblVendas[[#This Row],[VALOR_APARELHO]],""))</f>
        <v>6713.91</v>
      </c>
      <c r="F680">
        <f>IF(tblCalculo[[#This Row],[STATUS]]="CONCLUÍDO",_xlfn.XLOOKUP(tblCalculo[[#This Row],[NR_SIMULACAO]],tblVendas[[#This Row],[NR_SIMULACAO]],tblVendas[[#This Row],[VALOR_MOVEL]],""),0)</f>
        <v>0</v>
      </c>
      <c r="G680">
        <f>IF(tblCalculo[[#This Row],[STATUS]]="CONCLUÍDO",_xlfn.XLOOKUP(tblCalculo[[#This Row],[NR_SIMULACAO]],tblVendas[[#This Row],[NR_SIMULACAO]],tblVendas[[#This Row],[VALOR_AVANCADO]],""),0)</f>
        <v>0</v>
      </c>
      <c r="H680">
        <f>IF(tblCalculo[[#This Row],[STATUS]]="CONCLUÍDO",_xlfn.XLOOKUP(tblCalculo[[#This Row],[NR_SIMULACAO]],tblVendas[[#This Row],[NR_SIMULACAO]],tblVendas[[#This Row],[VALOR_FIXABASICA]],""),0)</f>
        <v>0</v>
      </c>
      <c r="I680">
        <f>IF(tblCalculo[[#This Row],[STATUS]]="CONCLUÍDO",_xlfn.XLOOKUP(tblCalculo[[#This Row],[NR_SIMULACAO]],tblVendas[[#This Row],[NR_SIMULACAO]],tblVendas[[#This Row],[VALOR_TI]],""),0)</f>
        <v>0</v>
      </c>
      <c r="J680">
        <f>IF(tblCalculo[[#This Row],[STATUS]]="CONCLUÍDO",_xlfn.XLOOKUP(tblCalculo[[#This Row],[NR_SIMULACAO]],tblVendas[[#This Row],[NR_SIMULACAO]],tblVendas[[#This Row],[VALOR_APARELHO]],""),0)</f>
        <v>0</v>
      </c>
      <c r="K680" t="str">
        <f>IF(tblCalculo[[#This Row],[STATUS]]="NEGOCIANDO",tblCalculo[[#This Row],[VALOR_TOTAL]],"")</f>
        <v/>
      </c>
      <c r="L680" t="str">
        <f>IF(tblCalculo[[#This Row],[STATUS]]="ALÇADA",tblCalculo[[#This Row],[VALOR_TOTAL]],"")</f>
        <v/>
      </c>
      <c r="M680" t="str">
        <f>IF(tblCalculo[[#This Row],[STATUS]]="EM ANÁLISE",tblCalculo[[#This Row],[VALOR_TOTAL]],"")</f>
        <v/>
      </c>
      <c r="N680">
        <f>IF(tblCalculo[[#This Row],[STATUS]]="TRAMITANDO",tblCalculo[[#This Row],[VALOR_TOTAL]],"")</f>
        <v>6713.91</v>
      </c>
      <c r="O680" t="str">
        <f>IF(tblCalculo[[#This Row],[STATUS]]="PERDIDO",tblCalculo[[#This Row],[VALOR_TOTAL]],"")</f>
        <v/>
      </c>
      <c r="P680" t="str">
        <f>IF(tblCalculo[[#This Row],[STATUS]]="CONCLUÍDO",tblCalculo[[#This Row],[VALOR_TOTAL]],"")</f>
        <v/>
      </c>
    </row>
    <row r="681" spans="1:16" x14ac:dyDescent="0.25">
      <c r="A681" t="str">
        <f>tblVendas[[#This Row],[NR_SIMULACAO]]</f>
        <v>SIM1671</v>
      </c>
      <c r="B681" s="34" t="str">
        <f>_xlfn.XLOOKUP(A681,tblVendas[[#This Row],[NR_SIMULACAO]],tblVendas[[#This Row],[NR_CNPJ]],"")</f>
        <v>54.211.795/0001-42</v>
      </c>
      <c r="C681" t="str">
        <f>_xlfn.XLOOKUP(A681,tblVendas[[#This Row],[NR_SIMULACAO]],tblVendas[[#This Row],[STATUS]],"")</f>
        <v>CONCLUÍDO</v>
      </c>
      <c r="D681" t="str">
        <f>_xlfn.XLOOKUP(A681,tblVendas[[#This Row],[NR_SIMULACAO]],tblVendas[[#This Row],[MES]],"")</f>
        <v>Fevereiro</v>
      </c>
      <c r="E681">
        <f>SUM(_xlfn.XLOOKUP(tblCalculo[[#This Row],[NR_SIMULACAO]],tblVendas[[#This Row],[NR_SIMULACAO]],tblVendas[[#This Row],[VALOR_MOVEL]],""):_xlfn.XLOOKUP(tblCalculo[[#This Row],[NR_SIMULACAO]],tblVendas[[#This Row],[NR_SIMULACAO]],tblVendas[[#This Row],[VALOR_APARELHO]],""))</f>
        <v>12300.35</v>
      </c>
      <c r="F681">
        <f>IF(tblCalculo[[#This Row],[STATUS]]="CONCLUÍDO",_xlfn.XLOOKUP(tblCalculo[[#This Row],[NR_SIMULACAO]],tblVendas[[#This Row],[NR_SIMULACAO]],tblVendas[[#This Row],[VALOR_MOVEL]],""),0)</f>
        <v>5474.87</v>
      </c>
      <c r="G681">
        <f>IF(tblCalculo[[#This Row],[STATUS]]="CONCLUÍDO",_xlfn.XLOOKUP(tblCalculo[[#This Row],[NR_SIMULACAO]],tblVendas[[#This Row],[NR_SIMULACAO]],tblVendas[[#This Row],[VALOR_AVANCADO]],""),0)</f>
        <v>0</v>
      </c>
      <c r="H681">
        <f>IF(tblCalculo[[#This Row],[STATUS]]="CONCLUÍDO",_xlfn.XLOOKUP(tblCalculo[[#This Row],[NR_SIMULACAO]],tblVendas[[#This Row],[NR_SIMULACAO]],tblVendas[[#This Row],[VALOR_FIXABASICA]],""),0)</f>
        <v>639.76</v>
      </c>
      <c r="I681">
        <f>IF(tblCalculo[[#This Row],[STATUS]]="CONCLUÍDO",_xlfn.XLOOKUP(tblCalculo[[#This Row],[NR_SIMULACAO]],tblVendas[[#This Row],[NR_SIMULACAO]],tblVendas[[#This Row],[VALOR_TI]],""),0)</f>
        <v>4147.95</v>
      </c>
      <c r="J681">
        <f>IF(tblCalculo[[#This Row],[STATUS]]="CONCLUÍDO",_xlfn.XLOOKUP(tblCalculo[[#This Row],[NR_SIMULACAO]],tblVendas[[#This Row],[NR_SIMULACAO]],tblVendas[[#This Row],[VALOR_APARELHO]],""),0)</f>
        <v>2037.77</v>
      </c>
      <c r="K681" t="str">
        <f>IF(tblCalculo[[#This Row],[STATUS]]="NEGOCIANDO",tblCalculo[[#This Row],[VALOR_TOTAL]],"")</f>
        <v/>
      </c>
      <c r="L681" t="str">
        <f>IF(tblCalculo[[#This Row],[STATUS]]="ALÇADA",tblCalculo[[#This Row],[VALOR_TOTAL]],"")</f>
        <v/>
      </c>
      <c r="M681" t="str">
        <f>IF(tblCalculo[[#This Row],[STATUS]]="EM ANÁLISE",tblCalculo[[#This Row],[VALOR_TOTAL]],"")</f>
        <v/>
      </c>
      <c r="N681" t="str">
        <f>IF(tblCalculo[[#This Row],[STATUS]]="TRAMITANDO",tblCalculo[[#This Row],[VALOR_TOTAL]],"")</f>
        <v/>
      </c>
      <c r="O681" t="str">
        <f>IF(tblCalculo[[#This Row],[STATUS]]="PERDIDO",tblCalculo[[#This Row],[VALOR_TOTAL]],"")</f>
        <v/>
      </c>
      <c r="P681">
        <f>IF(tblCalculo[[#This Row],[STATUS]]="CONCLUÍDO",tblCalculo[[#This Row],[VALOR_TOTAL]],"")</f>
        <v>12300.35</v>
      </c>
    </row>
    <row r="682" spans="1:16" x14ac:dyDescent="0.25">
      <c r="A682" t="str">
        <f>tblVendas[[#This Row],[NR_SIMULACAO]]</f>
        <v>SIM1672</v>
      </c>
      <c r="B682" s="34" t="str">
        <f>_xlfn.XLOOKUP(A682,tblVendas[[#This Row],[NR_SIMULACAO]],tblVendas[[#This Row],[NR_CNPJ]],"")</f>
        <v>22.153.713/0001-61</v>
      </c>
      <c r="C682" t="str">
        <f>_xlfn.XLOOKUP(A682,tblVendas[[#This Row],[NR_SIMULACAO]],tblVendas[[#This Row],[STATUS]],"")</f>
        <v>CONCLUÍDO</v>
      </c>
      <c r="D682" t="str">
        <f>_xlfn.XLOOKUP(A682,tblVendas[[#This Row],[NR_SIMULACAO]],tblVendas[[#This Row],[MES]],"")</f>
        <v>Agosto</v>
      </c>
      <c r="E682">
        <f>SUM(_xlfn.XLOOKUP(tblCalculo[[#This Row],[NR_SIMULACAO]],tblVendas[[#This Row],[NR_SIMULACAO]],tblVendas[[#This Row],[VALOR_MOVEL]],""):_xlfn.XLOOKUP(tblCalculo[[#This Row],[NR_SIMULACAO]],tblVendas[[#This Row],[NR_SIMULACAO]],tblVendas[[#This Row],[VALOR_APARELHO]],""))</f>
        <v>4683.25</v>
      </c>
      <c r="F682">
        <f>IF(tblCalculo[[#This Row],[STATUS]]="CONCLUÍDO",_xlfn.XLOOKUP(tblCalculo[[#This Row],[NR_SIMULACAO]],tblVendas[[#This Row],[NR_SIMULACAO]],tblVendas[[#This Row],[VALOR_MOVEL]],""),0)</f>
        <v>1750.12</v>
      </c>
      <c r="G682">
        <f>IF(tblCalculo[[#This Row],[STATUS]]="CONCLUÍDO",_xlfn.XLOOKUP(tblCalculo[[#This Row],[NR_SIMULACAO]],tblVendas[[#This Row],[NR_SIMULACAO]],tblVendas[[#This Row],[VALOR_AVANCADO]],""),0)</f>
        <v>1699.68</v>
      </c>
      <c r="H682">
        <f>IF(tblCalculo[[#This Row],[STATUS]]="CONCLUÍDO",_xlfn.XLOOKUP(tblCalculo[[#This Row],[NR_SIMULACAO]],tblVendas[[#This Row],[NR_SIMULACAO]],tblVendas[[#This Row],[VALOR_FIXABASICA]],""),0)</f>
        <v>0</v>
      </c>
      <c r="I682">
        <f>IF(tblCalculo[[#This Row],[STATUS]]="CONCLUÍDO",_xlfn.XLOOKUP(tblCalculo[[#This Row],[NR_SIMULACAO]],tblVendas[[#This Row],[NR_SIMULACAO]],tblVendas[[#This Row],[VALOR_TI]],""),0)</f>
        <v>1233.45</v>
      </c>
      <c r="J682">
        <f>IF(tblCalculo[[#This Row],[STATUS]]="CONCLUÍDO",_xlfn.XLOOKUP(tblCalculo[[#This Row],[NR_SIMULACAO]],tblVendas[[#This Row],[NR_SIMULACAO]],tblVendas[[#This Row],[VALOR_APARELHO]],""),0)</f>
        <v>0</v>
      </c>
      <c r="K682" t="str">
        <f>IF(tblCalculo[[#This Row],[STATUS]]="NEGOCIANDO",tblCalculo[[#This Row],[VALOR_TOTAL]],"")</f>
        <v/>
      </c>
      <c r="L682" t="str">
        <f>IF(tblCalculo[[#This Row],[STATUS]]="ALÇADA",tblCalculo[[#This Row],[VALOR_TOTAL]],"")</f>
        <v/>
      </c>
      <c r="M682" t="str">
        <f>IF(tblCalculo[[#This Row],[STATUS]]="EM ANÁLISE",tblCalculo[[#This Row],[VALOR_TOTAL]],"")</f>
        <v/>
      </c>
      <c r="N682" t="str">
        <f>IF(tblCalculo[[#This Row],[STATUS]]="TRAMITANDO",tblCalculo[[#This Row],[VALOR_TOTAL]],"")</f>
        <v/>
      </c>
      <c r="O682" t="str">
        <f>IF(tblCalculo[[#This Row],[STATUS]]="PERDIDO",tblCalculo[[#This Row],[VALOR_TOTAL]],"")</f>
        <v/>
      </c>
      <c r="P682">
        <f>IF(tblCalculo[[#This Row],[STATUS]]="CONCLUÍDO",tblCalculo[[#This Row],[VALOR_TOTAL]],"")</f>
        <v>4683.25</v>
      </c>
    </row>
    <row r="683" spans="1:16" x14ac:dyDescent="0.25">
      <c r="A683" t="str">
        <f>tblVendas[[#This Row],[NR_SIMULACAO]]</f>
        <v>SIM1673</v>
      </c>
      <c r="B683" s="34" t="str">
        <f>_xlfn.XLOOKUP(A683,tblVendas[[#This Row],[NR_SIMULACAO]],tblVendas[[#This Row],[NR_CNPJ]],"")</f>
        <v>80.420.477/0001-23</v>
      </c>
      <c r="C683" t="str">
        <f>_xlfn.XLOOKUP(A683,tblVendas[[#This Row],[NR_SIMULACAO]],tblVendas[[#This Row],[STATUS]],"")</f>
        <v>ALÇADA</v>
      </c>
      <c r="D683" t="str">
        <f>_xlfn.XLOOKUP(A683,tblVendas[[#This Row],[NR_SIMULACAO]],tblVendas[[#This Row],[MES]],"")</f>
        <v>Outubro</v>
      </c>
      <c r="E683">
        <f>SUM(_xlfn.XLOOKUP(tblCalculo[[#This Row],[NR_SIMULACAO]],tblVendas[[#This Row],[NR_SIMULACAO]],tblVendas[[#This Row],[VALOR_MOVEL]],""):_xlfn.XLOOKUP(tblCalculo[[#This Row],[NR_SIMULACAO]],tblVendas[[#This Row],[NR_SIMULACAO]],tblVendas[[#This Row],[VALOR_APARELHO]],""))</f>
        <v>3993.8199999999997</v>
      </c>
      <c r="F683">
        <f>IF(tblCalculo[[#This Row],[STATUS]]="CONCLUÍDO",_xlfn.XLOOKUP(tblCalculo[[#This Row],[NR_SIMULACAO]],tblVendas[[#This Row],[NR_SIMULACAO]],tblVendas[[#This Row],[VALOR_MOVEL]],""),0)</f>
        <v>0</v>
      </c>
      <c r="G683">
        <f>IF(tblCalculo[[#This Row],[STATUS]]="CONCLUÍDO",_xlfn.XLOOKUP(tblCalculo[[#This Row],[NR_SIMULACAO]],tblVendas[[#This Row],[NR_SIMULACAO]],tblVendas[[#This Row],[VALOR_AVANCADO]],""),0)</f>
        <v>0</v>
      </c>
      <c r="H683">
        <f>IF(tblCalculo[[#This Row],[STATUS]]="CONCLUÍDO",_xlfn.XLOOKUP(tblCalculo[[#This Row],[NR_SIMULACAO]],tblVendas[[#This Row],[NR_SIMULACAO]],tblVendas[[#This Row],[VALOR_FIXABASICA]],""),0)</f>
        <v>0</v>
      </c>
      <c r="I683">
        <f>IF(tblCalculo[[#This Row],[STATUS]]="CONCLUÍDO",_xlfn.XLOOKUP(tblCalculo[[#This Row],[NR_SIMULACAO]],tblVendas[[#This Row],[NR_SIMULACAO]],tblVendas[[#This Row],[VALOR_TI]],""),0)</f>
        <v>0</v>
      </c>
      <c r="J683">
        <f>IF(tblCalculo[[#This Row],[STATUS]]="CONCLUÍDO",_xlfn.XLOOKUP(tblCalculo[[#This Row],[NR_SIMULACAO]],tblVendas[[#This Row],[NR_SIMULACAO]],tblVendas[[#This Row],[VALOR_APARELHO]],""),0)</f>
        <v>0</v>
      </c>
      <c r="K683" t="str">
        <f>IF(tblCalculo[[#This Row],[STATUS]]="NEGOCIANDO",tblCalculo[[#This Row],[VALOR_TOTAL]],"")</f>
        <v/>
      </c>
      <c r="L683">
        <f>IF(tblCalculo[[#This Row],[STATUS]]="ALÇADA",tblCalculo[[#This Row],[VALOR_TOTAL]],"")</f>
        <v>3993.8199999999997</v>
      </c>
      <c r="M683" t="str">
        <f>IF(tblCalculo[[#This Row],[STATUS]]="EM ANÁLISE",tblCalculo[[#This Row],[VALOR_TOTAL]],"")</f>
        <v/>
      </c>
      <c r="N683" t="str">
        <f>IF(tblCalculo[[#This Row],[STATUS]]="TRAMITANDO",tblCalculo[[#This Row],[VALOR_TOTAL]],"")</f>
        <v/>
      </c>
      <c r="O683" t="str">
        <f>IF(tblCalculo[[#This Row],[STATUS]]="PERDIDO",tblCalculo[[#This Row],[VALOR_TOTAL]],"")</f>
        <v/>
      </c>
      <c r="P683" t="str">
        <f>IF(tblCalculo[[#This Row],[STATUS]]="CONCLUÍDO",tblCalculo[[#This Row],[VALOR_TOTAL]],"")</f>
        <v/>
      </c>
    </row>
    <row r="684" spans="1:16" x14ac:dyDescent="0.25">
      <c r="A684" t="str">
        <f>tblVendas[[#This Row],[NR_SIMULACAO]]</f>
        <v>SIM1674</v>
      </c>
      <c r="B684" s="34" t="str">
        <f>_xlfn.XLOOKUP(A684,tblVendas[[#This Row],[NR_SIMULACAO]],tblVendas[[#This Row],[NR_CNPJ]],"")</f>
        <v>78.983.303/0001-28</v>
      </c>
      <c r="C684" t="str">
        <f>_xlfn.XLOOKUP(A684,tblVendas[[#This Row],[NR_SIMULACAO]],tblVendas[[#This Row],[STATUS]],"")</f>
        <v>NEGOCIANDO</v>
      </c>
      <c r="D684" t="str">
        <f>_xlfn.XLOOKUP(A684,tblVendas[[#This Row],[NR_SIMULACAO]],tblVendas[[#This Row],[MES]],"")</f>
        <v>Maio</v>
      </c>
      <c r="E684">
        <f>SUM(_xlfn.XLOOKUP(tblCalculo[[#This Row],[NR_SIMULACAO]],tblVendas[[#This Row],[NR_SIMULACAO]],tblVendas[[#This Row],[VALOR_MOVEL]],""):_xlfn.XLOOKUP(tblCalculo[[#This Row],[NR_SIMULACAO]],tblVendas[[#This Row],[NR_SIMULACAO]],tblVendas[[#This Row],[VALOR_APARELHO]],""))</f>
        <v>1321.72</v>
      </c>
      <c r="F684">
        <f>IF(tblCalculo[[#This Row],[STATUS]]="CONCLUÍDO",_xlfn.XLOOKUP(tblCalculo[[#This Row],[NR_SIMULACAO]],tblVendas[[#This Row],[NR_SIMULACAO]],tblVendas[[#This Row],[VALOR_MOVEL]],""),0)</f>
        <v>0</v>
      </c>
      <c r="G684">
        <f>IF(tblCalculo[[#This Row],[STATUS]]="CONCLUÍDO",_xlfn.XLOOKUP(tblCalculo[[#This Row],[NR_SIMULACAO]],tblVendas[[#This Row],[NR_SIMULACAO]],tblVendas[[#This Row],[VALOR_AVANCADO]],""),0)</f>
        <v>0</v>
      </c>
      <c r="H684">
        <f>IF(tblCalculo[[#This Row],[STATUS]]="CONCLUÍDO",_xlfn.XLOOKUP(tblCalculo[[#This Row],[NR_SIMULACAO]],tblVendas[[#This Row],[NR_SIMULACAO]],tblVendas[[#This Row],[VALOR_FIXABASICA]],""),0)</f>
        <v>0</v>
      </c>
      <c r="I684">
        <f>IF(tblCalculo[[#This Row],[STATUS]]="CONCLUÍDO",_xlfn.XLOOKUP(tblCalculo[[#This Row],[NR_SIMULACAO]],tblVendas[[#This Row],[NR_SIMULACAO]],tblVendas[[#This Row],[VALOR_TI]],""),0)</f>
        <v>0</v>
      </c>
      <c r="J684">
        <f>IF(tblCalculo[[#This Row],[STATUS]]="CONCLUÍDO",_xlfn.XLOOKUP(tblCalculo[[#This Row],[NR_SIMULACAO]],tblVendas[[#This Row],[NR_SIMULACAO]],tblVendas[[#This Row],[VALOR_APARELHO]],""),0)</f>
        <v>0</v>
      </c>
      <c r="K684">
        <f>IF(tblCalculo[[#This Row],[STATUS]]="NEGOCIANDO",tblCalculo[[#This Row],[VALOR_TOTAL]],"")</f>
        <v>1321.72</v>
      </c>
      <c r="L684" t="str">
        <f>IF(tblCalculo[[#This Row],[STATUS]]="ALÇADA",tblCalculo[[#This Row],[VALOR_TOTAL]],"")</f>
        <v/>
      </c>
      <c r="M684" t="str">
        <f>IF(tblCalculo[[#This Row],[STATUS]]="EM ANÁLISE",tblCalculo[[#This Row],[VALOR_TOTAL]],"")</f>
        <v/>
      </c>
      <c r="N684" t="str">
        <f>IF(tblCalculo[[#This Row],[STATUS]]="TRAMITANDO",tblCalculo[[#This Row],[VALOR_TOTAL]],"")</f>
        <v/>
      </c>
      <c r="O684" t="str">
        <f>IF(tblCalculo[[#This Row],[STATUS]]="PERDIDO",tblCalculo[[#This Row],[VALOR_TOTAL]],"")</f>
        <v/>
      </c>
      <c r="P684" t="str">
        <f>IF(tblCalculo[[#This Row],[STATUS]]="CONCLUÍDO",tblCalculo[[#This Row],[VALOR_TOTAL]],"")</f>
        <v/>
      </c>
    </row>
    <row r="685" spans="1:16" x14ac:dyDescent="0.25">
      <c r="A685" t="str">
        <f>tblVendas[[#This Row],[NR_SIMULACAO]]</f>
        <v>SIM1675</v>
      </c>
      <c r="B685" s="34" t="str">
        <f>_xlfn.XLOOKUP(A685,tblVendas[[#This Row],[NR_SIMULACAO]],tblVendas[[#This Row],[NR_CNPJ]],"")</f>
        <v>94.958.291/0001-30</v>
      </c>
      <c r="C685" t="str">
        <f>_xlfn.XLOOKUP(A685,tblVendas[[#This Row],[NR_SIMULACAO]],tblVendas[[#This Row],[STATUS]],"")</f>
        <v>PERDIDO</v>
      </c>
      <c r="D685" t="str">
        <f>_xlfn.XLOOKUP(A685,tblVendas[[#This Row],[NR_SIMULACAO]],tblVendas[[#This Row],[MES]],"")</f>
        <v>Março</v>
      </c>
      <c r="E685">
        <f>SUM(_xlfn.XLOOKUP(tblCalculo[[#This Row],[NR_SIMULACAO]],tblVendas[[#This Row],[NR_SIMULACAO]],tblVendas[[#This Row],[VALOR_MOVEL]],""):_xlfn.XLOOKUP(tblCalculo[[#This Row],[NR_SIMULACAO]],tblVendas[[#This Row],[NR_SIMULACAO]],tblVendas[[#This Row],[VALOR_APARELHO]],""))</f>
        <v>15836.06</v>
      </c>
      <c r="F685">
        <f>IF(tblCalculo[[#This Row],[STATUS]]="CONCLUÍDO",_xlfn.XLOOKUP(tblCalculo[[#This Row],[NR_SIMULACAO]],tblVendas[[#This Row],[NR_SIMULACAO]],tblVendas[[#This Row],[VALOR_MOVEL]],""),0)</f>
        <v>0</v>
      </c>
      <c r="G685">
        <f>IF(tblCalculo[[#This Row],[STATUS]]="CONCLUÍDO",_xlfn.XLOOKUP(tblCalculo[[#This Row],[NR_SIMULACAO]],tblVendas[[#This Row],[NR_SIMULACAO]],tblVendas[[#This Row],[VALOR_AVANCADO]],""),0)</f>
        <v>0</v>
      </c>
      <c r="H685">
        <f>IF(tblCalculo[[#This Row],[STATUS]]="CONCLUÍDO",_xlfn.XLOOKUP(tblCalculo[[#This Row],[NR_SIMULACAO]],tblVendas[[#This Row],[NR_SIMULACAO]],tblVendas[[#This Row],[VALOR_FIXABASICA]],""),0)</f>
        <v>0</v>
      </c>
      <c r="I685">
        <f>IF(tblCalculo[[#This Row],[STATUS]]="CONCLUÍDO",_xlfn.XLOOKUP(tblCalculo[[#This Row],[NR_SIMULACAO]],tblVendas[[#This Row],[NR_SIMULACAO]],tblVendas[[#This Row],[VALOR_TI]],""),0)</f>
        <v>0</v>
      </c>
      <c r="J685">
        <f>IF(tblCalculo[[#This Row],[STATUS]]="CONCLUÍDO",_xlfn.XLOOKUP(tblCalculo[[#This Row],[NR_SIMULACAO]],tblVendas[[#This Row],[NR_SIMULACAO]],tblVendas[[#This Row],[VALOR_APARELHO]],""),0)</f>
        <v>0</v>
      </c>
      <c r="K685" t="str">
        <f>IF(tblCalculo[[#This Row],[STATUS]]="NEGOCIANDO",tblCalculo[[#This Row],[VALOR_TOTAL]],"")</f>
        <v/>
      </c>
      <c r="L685" t="str">
        <f>IF(tblCalculo[[#This Row],[STATUS]]="ALÇADA",tblCalculo[[#This Row],[VALOR_TOTAL]],"")</f>
        <v/>
      </c>
      <c r="M685" t="str">
        <f>IF(tblCalculo[[#This Row],[STATUS]]="EM ANÁLISE",tblCalculo[[#This Row],[VALOR_TOTAL]],"")</f>
        <v/>
      </c>
      <c r="N685" t="str">
        <f>IF(tblCalculo[[#This Row],[STATUS]]="TRAMITANDO",tblCalculo[[#This Row],[VALOR_TOTAL]],"")</f>
        <v/>
      </c>
      <c r="O685">
        <f>IF(tblCalculo[[#This Row],[STATUS]]="PERDIDO",tblCalculo[[#This Row],[VALOR_TOTAL]],"")</f>
        <v>15836.06</v>
      </c>
      <c r="P685" t="str">
        <f>IF(tblCalculo[[#This Row],[STATUS]]="CONCLUÍDO",tblCalculo[[#This Row],[VALOR_TOTAL]],"")</f>
        <v/>
      </c>
    </row>
    <row r="686" spans="1:16" x14ac:dyDescent="0.25">
      <c r="A686" t="str">
        <f>tblVendas[[#This Row],[NR_SIMULACAO]]</f>
        <v>SIM1676</v>
      </c>
      <c r="B686" s="34" t="str">
        <f>_xlfn.XLOOKUP(A686,tblVendas[[#This Row],[NR_SIMULACAO]],tblVendas[[#This Row],[NR_CNPJ]],"")</f>
        <v>95.475.906/0001-68</v>
      </c>
      <c r="C686" t="str">
        <f>_xlfn.XLOOKUP(A686,tblVendas[[#This Row],[NR_SIMULACAO]],tblVendas[[#This Row],[STATUS]],"")</f>
        <v>CONCLUÍDO</v>
      </c>
      <c r="D686" t="str">
        <f>_xlfn.XLOOKUP(A686,tblVendas[[#This Row],[NR_SIMULACAO]],tblVendas[[#This Row],[MES]],"")</f>
        <v>Abril</v>
      </c>
      <c r="E686">
        <f>SUM(_xlfn.XLOOKUP(tblCalculo[[#This Row],[NR_SIMULACAO]],tblVendas[[#This Row],[NR_SIMULACAO]],tblVendas[[#This Row],[VALOR_MOVEL]],""):_xlfn.XLOOKUP(tblCalculo[[#This Row],[NR_SIMULACAO]],tblVendas[[#This Row],[NR_SIMULACAO]],tblVendas[[#This Row],[VALOR_APARELHO]],""))</f>
        <v>18600.41</v>
      </c>
      <c r="F686">
        <f>IF(tblCalculo[[#This Row],[STATUS]]="CONCLUÍDO",_xlfn.XLOOKUP(tblCalculo[[#This Row],[NR_SIMULACAO]],tblVendas[[#This Row],[NR_SIMULACAO]],tblVendas[[#This Row],[VALOR_MOVEL]],""),0)</f>
        <v>4474.46</v>
      </c>
      <c r="G686">
        <f>IF(tblCalculo[[#This Row],[STATUS]]="CONCLUÍDO",_xlfn.XLOOKUP(tblCalculo[[#This Row],[NR_SIMULACAO]],tblVendas[[#This Row],[NR_SIMULACAO]],tblVendas[[#This Row],[VALOR_AVANCADO]],""),0)</f>
        <v>0</v>
      </c>
      <c r="H686">
        <f>IF(tblCalculo[[#This Row],[STATUS]]="CONCLUÍDO",_xlfn.XLOOKUP(tblCalculo[[#This Row],[NR_SIMULACAO]],tblVendas[[#This Row],[NR_SIMULACAO]],tblVendas[[#This Row],[VALOR_FIXABASICA]],""),0)</f>
        <v>0</v>
      </c>
      <c r="I686">
        <f>IF(tblCalculo[[#This Row],[STATUS]]="CONCLUÍDO",_xlfn.XLOOKUP(tblCalculo[[#This Row],[NR_SIMULACAO]],tblVendas[[#This Row],[NR_SIMULACAO]],tblVendas[[#This Row],[VALOR_TI]],""),0)</f>
        <v>0</v>
      </c>
      <c r="J686">
        <f>IF(tblCalculo[[#This Row],[STATUS]]="CONCLUÍDO",_xlfn.XLOOKUP(tblCalculo[[#This Row],[NR_SIMULACAO]],tblVendas[[#This Row],[NR_SIMULACAO]],tblVendas[[#This Row],[VALOR_APARELHO]],""),0)</f>
        <v>14125.95</v>
      </c>
      <c r="K686" t="str">
        <f>IF(tblCalculo[[#This Row],[STATUS]]="NEGOCIANDO",tblCalculo[[#This Row],[VALOR_TOTAL]],"")</f>
        <v/>
      </c>
      <c r="L686" t="str">
        <f>IF(tblCalculo[[#This Row],[STATUS]]="ALÇADA",tblCalculo[[#This Row],[VALOR_TOTAL]],"")</f>
        <v/>
      </c>
      <c r="M686" t="str">
        <f>IF(tblCalculo[[#This Row],[STATUS]]="EM ANÁLISE",tblCalculo[[#This Row],[VALOR_TOTAL]],"")</f>
        <v/>
      </c>
      <c r="N686" t="str">
        <f>IF(tblCalculo[[#This Row],[STATUS]]="TRAMITANDO",tblCalculo[[#This Row],[VALOR_TOTAL]],"")</f>
        <v/>
      </c>
      <c r="O686" t="str">
        <f>IF(tblCalculo[[#This Row],[STATUS]]="PERDIDO",tblCalculo[[#This Row],[VALOR_TOTAL]],"")</f>
        <v/>
      </c>
      <c r="P686">
        <f>IF(tblCalculo[[#This Row],[STATUS]]="CONCLUÍDO",tblCalculo[[#This Row],[VALOR_TOTAL]],"")</f>
        <v>18600.41</v>
      </c>
    </row>
    <row r="687" spans="1:16" x14ac:dyDescent="0.25">
      <c r="A687" t="str">
        <f>tblVendas[[#This Row],[NR_SIMULACAO]]</f>
        <v>SIM1677</v>
      </c>
      <c r="B687" s="34" t="str">
        <f>_xlfn.XLOOKUP(A687,tblVendas[[#This Row],[NR_SIMULACAO]],tblVendas[[#This Row],[NR_CNPJ]],"")</f>
        <v>16.584.692/0001-31</v>
      </c>
      <c r="C687" t="str">
        <f>_xlfn.XLOOKUP(A687,tblVendas[[#This Row],[NR_SIMULACAO]],tblVendas[[#This Row],[STATUS]],"")</f>
        <v>PERDIDO</v>
      </c>
      <c r="D687" t="str">
        <f>_xlfn.XLOOKUP(A687,tblVendas[[#This Row],[NR_SIMULACAO]],tblVendas[[#This Row],[MES]],"")</f>
        <v>Janeiro</v>
      </c>
      <c r="E687">
        <f>SUM(_xlfn.XLOOKUP(tblCalculo[[#This Row],[NR_SIMULACAO]],tblVendas[[#This Row],[NR_SIMULACAO]],tblVendas[[#This Row],[VALOR_MOVEL]],""):_xlfn.XLOOKUP(tblCalculo[[#This Row],[NR_SIMULACAO]],tblVendas[[#This Row],[NR_SIMULACAO]],tblVendas[[#This Row],[VALOR_APARELHO]],""))</f>
        <v>10217.1</v>
      </c>
      <c r="F687">
        <f>IF(tblCalculo[[#This Row],[STATUS]]="CONCLUÍDO",_xlfn.XLOOKUP(tblCalculo[[#This Row],[NR_SIMULACAO]],tblVendas[[#This Row],[NR_SIMULACAO]],tblVendas[[#This Row],[VALOR_MOVEL]],""),0)</f>
        <v>0</v>
      </c>
      <c r="G687">
        <f>IF(tblCalculo[[#This Row],[STATUS]]="CONCLUÍDO",_xlfn.XLOOKUP(tblCalculo[[#This Row],[NR_SIMULACAO]],tblVendas[[#This Row],[NR_SIMULACAO]],tblVendas[[#This Row],[VALOR_AVANCADO]],""),0)</f>
        <v>0</v>
      </c>
      <c r="H687">
        <f>IF(tblCalculo[[#This Row],[STATUS]]="CONCLUÍDO",_xlfn.XLOOKUP(tblCalculo[[#This Row],[NR_SIMULACAO]],tblVendas[[#This Row],[NR_SIMULACAO]],tblVendas[[#This Row],[VALOR_FIXABASICA]],""),0)</f>
        <v>0</v>
      </c>
      <c r="I687">
        <f>IF(tblCalculo[[#This Row],[STATUS]]="CONCLUÍDO",_xlfn.XLOOKUP(tblCalculo[[#This Row],[NR_SIMULACAO]],tblVendas[[#This Row],[NR_SIMULACAO]],tblVendas[[#This Row],[VALOR_TI]],""),0)</f>
        <v>0</v>
      </c>
      <c r="J687">
        <f>IF(tblCalculo[[#This Row],[STATUS]]="CONCLUÍDO",_xlfn.XLOOKUP(tblCalculo[[#This Row],[NR_SIMULACAO]],tblVendas[[#This Row],[NR_SIMULACAO]],tblVendas[[#This Row],[VALOR_APARELHO]],""),0)</f>
        <v>0</v>
      </c>
      <c r="K687" t="str">
        <f>IF(tblCalculo[[#This Row],[STATUS]]="NEGOCIANDO",tblCalculo[[#This Row],[VALOR_TOTAL]],"")</f>
        <v/>
      </c>
      <c r="L687" t="str">
        <f>IF(tblCalculo[[#This Row],[STATUS]]="ALÇADA",tblCalculo[[#This Row],[VALOR_TOTAL]],"")</f>
        <v/>
      </c>
      <c r="M687" t="str">
        <f>IF(tblCalculo[[#This Row],[STATUS]]="EM ANÁLISE",tblCalculo[[#This Row],[VALOR_TOTAL]],"")</f>
        <v/>
      </c>
      <c r="N687" t="str">
        <f>IF(tblCalculo[[#This Row],[STATUS]]="TRAMITANDO",tblCalculo[[#This Row],[VALOR_TOTAL]],"")</f>
        <v/>
      </c>
      <c r="O687">
        <f>IF(tblCalculo[[#This Row],[STATUS]]="PERDIDO",tblCalculo[[#This Row],[VALOR_TOTAL]],"")</f>
        <v>10217.1</v>
      </c>
      <c r="P687" t="str">
        <f>IF(tblCalculo[[#This Row],[STATUS]]="CONCLUÍDO",tblCalculo[[#This Row],[VALOR_TOTAL]],"")</f>
        <v/>
      </c>
    </row>
    <row r="688" spans="1:16" x14ac:dyDescent="0.25">
      <c r="A688" t="str">
        <f>tblVendas[[#This Row],[NR_SIMULACAO]]</f>
        <v>SIM1678</v>
      </c>
      <c r="B688" s="34" t="str">
        <f>_xlfn.XLOOKUP(A688,tblVendas[[#This Row],[NR_SIMULACAO]],tblVendas[[#This Row],[NR_CNPJ]],"")</f>
        <v>48.169.498/0001-98</v>
      </c>
      <c r="C688" t="str">
        <f>_xlfn.XLOOKUP(A688,tblVendas[[#This Row],[NR_SIMULACAO]],tblVendas[[#This Row],[STATUS]],"")</f>
        <v>CONCLUÍDO</v>
      </c>
      <c r="D688" t="str">
        <f>_xlfn.XLOOKUP(A688,tblVendas[[#This Row],[NR_SIMULACAO]],tblVendas[[#This Row],[MES]],"")</f>
        <v>Dezembro</v>
      </c>
      <c r="E688">
        <f>SUM(_xlfn.XLOOKUP(tblCalculo[[#This Row],[NR_SIMULACAO]],tblVendas[[#This Row],[NR_SIMULACAO]],tblVendas[[#This Row],[VALOR_MOVEL]],""):_xlfn.XLOOKUP(tblCalculo[[#This Row],[NR_SIMULACAO]],tblVendas[[#This Row],[NR_SIMULACAO]],tblVendas[[#This Row],[VALOR_APARELHO]],""))</f>
        <v>4341.18</v>
      </c>
      <c r="F688">
        <f>IF(tblCalculo[[#This Row],[STATUS]]="CONCLUÍDO",_xlfn.XLOOKUP(tblCalculo[[#This Row],[NR_SIMULACAO]],tblVendas[[#This Row],[NR_SIMULACAO]],tblVendas[[#This Row],[VALOR_MOVEL]],""),0)</f>
        <v>0</v>
      </c>
      <c r="G688">
        <f>IF(tblCalculo[[#This Row],[STATUS]]="CONCLUÍDO",_xlfn.XLOOKUP(tblCalculo[[#This Row],[NR_SIMULACAO]],tblVendas[[#This Row],[NR_SIMULACAO]],tblVendas[[#This Row],[VALOR_AVANCADO]],""),0)</f>
        <v>0</v>
      </c>
      <c r="H688">
        <f>IF(tblCalculo[[#This Row],[STATUS]]="CONCLUÍDO",_xlfn.XLOOKUP(tblCalculo[[#This Row],[NR_SIMULACAO]],tblVendas[[#This Row],[NR_SIMULACAO]],tblVendas[[#This Row],[VALOR_FIXABASICA]],""),0)</f>
        <v>563.95000000000005</v>
      </c>
      <c r="I688">
        <f>IF(tblCalculo[[#This Row],[STATUS]]="CONCLUÍDO",_xlfn.XLOOKUP(tblCalculo[[#This Row],[NR_SIMULACAO]],tblVendas[[#This Row],[NR_SIMULACAO]],tblVendas[[#This Row],[VALOR_TI]],""),0)</f>
        <v>0</v>
      </c>
      <c r="J688">
        <f>IF(tblCalculo[[#This Row],[STATUS]]="CONCLUÍDO",_xlfn.XLOOKUP(tblCalculo[[#This Row],[NR_SIMULACAO]],tblVendas[[#This Row],[NR_SIMULACAO]],tblVendas[[#This Row],[VALOR_APARELHO]],""),0)</f>
        <v>3777.23</v>
      </c>
      <c r="K688" t="str">
        <f>IF(tblCalculo[[#This Row],[STATUS]]="NEGOCIANDO",tblCalculo[[#This Row],[VALOR_TOTAL]],"")</f>
        <v/>
      </c>
      <c r="L688" t="str">
        <f>IF(tblCalculo[[#This Row],[STATUS]]="ALÇADA",tblCalculo[[#This Row],[VALOR_TOTAL]],"")</f>
        <v/>
      </c>
      <c r="M688" t="str">
        <f>IF(tblCalculo[[#This Row],[STATUS]]="EM ANÁLISE",tblCalculo[[#This Row],[VALOR_TOTAL]],"")</f>
        <v/>
      </c>
      <c r="N688" t="str">
        <f>IF(tblCalculo[[#This Row],[STATUS]]="TRAMITANDO",tblCalculo[[#This Row],[VALOR_TOTAL]],"")</f>
        <v/>
      </c>
      <c r="O688" t="str">
        <f>IF(tblCalculo[[#This Row],[STATUS]]="PERDIDO",tblCalculo[[#This Row],[VALOR_TOTAL]],"")</f>
        <v/>
      </c>
      <c r="P688">
        <f>IF(tblCalculo[[#This Row],[STATUS]]="CONCLUÍDO",tblCalculo[[#This Row],[VALOR_TOTAL]],"")</f>
        <v>4341.18</v>
      </c>
    </row>
    <row r="689" spans="1:16" x14ac:dyDescent="0.25">
      <c r="A689" t="str">
        <f>tblVendas[[#This Row],[NR_SIMULACAO]]</f>
        <v>SIM1679</v>
      </c>
      <c r="B689" s="34" t="str">
        <f>_xlfn.XLOOKUP(A689,tblVendas[[#This Row],[NR_SIMULACAO]],tblVendas[[#This Row],[NR_CNPJ]],"")</f>
        <v>20.927.279/0001-10</v>
      </c>
      <c r="C689" t="str">
        <f>_xlfn.XLOOKUP(A689,tblVendas[[#This Row],[NR_SIMULACAO]],tblVendas[[#This Row],[STATUS]],"")</f>
        <v>PERDIDO</v>
      </c>
      <c r="D689" t="str">
        <f>_xlfn.XLOOKUP(A689,tblVendas[[#This Row],[NR_SIMULACAO]],tblVendas[[#This Row],[MES]],"")</f>
        <v>Setembro</v>
      </c>
      <c r="E689">
        <f>SUM(_xlfn.XLOOKUP(tblCalculo[[#This Row],[NR_SIMULACAO]],tblVendas[[#This Row],[NR_SIMULACAO]],tblVendas[[#This Row],[VALOR_MOVEL]],""):_xlfn.XLOOKUP(tblCalculo[[#This Row],[NR_SIMULACAO]],tblVendas[[#This Row],[NR_SIMULACAO]],tblVendas[[#This Row],[VALOR_APARELHO]],""))</f>
        <v>16391.509999999998</v>
      </c>
      <c r="F689">
        <f>IF(tblCalculo[[#This Row],[STATUS]]="CONCLUÍDO",_xlfn.XLOOKUP(tblCalculo[[#This Row],[NR_SIMULACAO]],tblVendas[[#This Row],[NR_SIMULACAO]],tblVendas[[#This Row],[VALOR_MOVEL]],""),0)</f>
        <v>0</v>
      </c>
      <c r="G689">
        <f>IF(tblCalculo[[#This Row],[STATUS]]="CONCLUÍDO",_xlfn.XLOOKUP(tblCalculo[[#This Row],[NR_SIMULACAO]],tblVendas[[#This Row],[NR_SIMULACAO]],tblVendas[[#This Row],[VALOR_AVANCADO]],""),0)</f>
        <v>0</v>
      </c>
      <c r="H689">
        <f>IF(tblCalculo[[#This Row],[STATUS]]="CONCLUÍDO",_xlfn.XLOOKUP(tblCalculo[[#This Row],[NR_SIMULACAO]],tblVendas[[#This Row],[NR_SIMULACAO]],tblVendas[[#This Row],[VALOR_FIXABASICA]],""),0)</f>
        <v>0</v>
      </c>
      <c r="I689">
        <f>IF(tblCalculo[[#This Row],[STATUS]]="CONCLUÍDO",_xlfn.XLOOKUP(tblCalculo[[#This Row],[NR_SIMULACAO]],tblVendas[[#This Row],[NR_SIMULACAO]],tblVendas[[#This Row],[VALOR_TI]],""),0)</f>
        <v>0</v>
      </c>
      <c r="J689">
        <f>IF(tblCalculo[[#This Row],[STATUS]]="CONCLUÍDO",_xlfn.XLOOKUP(tblCalculo[[#This Row],[NR_SIMULACAO]],tblVendas[[#This Row],[NR_SIMULACAO]],tblVendas[[#This Row],[VALOR_APARELHO]],""),0)</f>
        <v>0</v>
      </c>
      <c r="K689" t="str">
        <f>IF(tblCalculo[[#This Row],[STATUS]]="NEGOCIANDO",tblCalculo[[#This Row],[VALOR_TOTAL]],"")</f>
        <v/>
      </c>
      <c r="L689" t="str">
        <f>IF(tblCalculo[[#This Row],[STATUS]]="ALÇADA",tblCalculo[[#This Row],[VALOR_TOTAL]],"")</f>
        <v/>
      </c>
      <c r="M689" t="str">
        <f>IF(tblCalculo[[#This Row],[STATUS]]="EM ANÁLISE",tblCalculo[[#This Row],[VALOR_TOTAL]],"")</f>
        <v/>
      </c>
      <c r="N689" t="str">
        <f>IF(tblCalculo[[#This Row],[STATUS]]="TRAMITANDO",tblCalculo[[#This Row],[VALOR_TOTAL]],"")</f>
        <v/>
      </c>
      <c r="O689">
        <f>IF(tblCalculo[[#This Row],[STATUS]]="PERDIDO",tblCalculo[[#This Row],[VALOR_TOTAL]],"")</f>
        <v>16391.509999999998</v>
      </c>
      <c r="P689" t="str">
        <f>IF(tblCalculo[[#This Row],[STATUS]]="CONCLUÍDO",tblCalculo[[#This Row],[VALOR_TOTAL]],"")</f>
        <v/>
      </c>
    </row>
    <row r="690" spans="1:16" x14ac:dyDescent="0.25">
      <c r="A690" t="str">
        <f>tblVendas[[#This Row],[NR_SIMULACAO]]</f>
        <v>SIM1680</v>
      </c>
      <c r="B690" s="34" t="str">
        <f>_xlfn.XLOOKUP(A690,tblVendas[[#This Row],[NR_SIMULACAO]],tblVendas[[#This Row],[NR_CNPJ]],"")</f>
        <v>94.280.255/0001-15</v>
      </c>
      <c r="C690" t="str">
        <f>_xlfn.XLOOKUP(A690,tblVendas[[#This Row],[NR_SIMULACAO]],tblVendas[[#This Row],[STATUS]],"")</f>
        <v>TRAMITANDO</v>
      </c>
      <c r="D690" t="str">
        <f>_xlfn.XLOOKUP(A690,tblVendas[[#This Row],[NR_SIMULACAO]],tblVendas[[#This Row],[MES]],"")</f>
        <v>Abril</v>
      </c>
      <c r="E690">
        <f>SUM(_xlfn.XLOOKUP(tblCalculo[[#This Row],[NR_SIMULACAO]],tblVendas[[#This Row],[NR_SIMULACAO]],tblVendas[[#This Row],[VALOR_MOVEL]],""):_xlfn.XLOOKUP(tblCalculo[[#This Row],[NR_SIMULACAO]],tblVendas[[#This Row],[NR_SIMULACAO]],tblVendas[[#This Row],[VALOR_APARELHO]],""))</f>
        <v>20046.830000000002</v>
      </c>
      <c r="F690">
        <f>IF(tblCalculo[[#This Row],[STATUS]]="CONCLUÍDO",_xlfn.XLOOKUP(tblCalculo[[#This Row],[NR_SIMULACAO]],tblVendas[[#This Row],[NR_SIMULACAO]],tblVendas[[#This Row],[VALOR_MOVEL]],""),0)</f>
        <v>0</v>
      </c>
      <c r="G690">
        <f>IF(tblCalculo[[#This Row],[STATUS]]="CONCLUÍDO",_xlfn.XLOOKUP(tblCalculo[[#This Row],[NR_SIMULACAO]],tblVendas[[#This Row],[NR_SIMULACAO]],tblVendas[[#This Row],[VALOR_AVANCADO]],""),0)</f>
        <v>0</v>
      </c>
      <c r="H690">
        <f>IF(tblCalculo[[#This Row],[STATUS]]="CONCLUÍDO",_xlfn.XLOOKUP(tblCalculo[[#This Row],[NR_SIMULACAO]],tblVendas[[#This Row],[NR_SIMULACAO]],tblVendas[[#This Row],[VALOR_FIXABASICA]],""),0)</f>
        <v>0</v>
      </c>
      <c r="I690">
        <f>IF(tblCalculo[[#This Row],[STATUS]]="CONCLUÍDO",_xlfn.XLOOKUP(tblCalculo[[#This Row],[NR_SIMULACAO]],tblVendas[[#This Row],[NR_SIMULACAO]],tblVendas[[#This Row],[VALOR_TI]],""),0)</f>
        <v>0</v>
      </c>
      <c r="J690">
        <f>IF(tblCalculo[[#This Row],[STATUS]]="CONCLUÍDO",_xlfn.XLOOKUP(tblCalculo[[#This Row],[NR_SIMULACAO]],tblVendas[[#This Row],[NR_SIMULACAO]],tblVendas[[#This Row],[VALOR_APARELHO]],""),0)</f>
        <v>0</v>
      </c>
      <c r="K690" t="str">
        <f>IF(tblCalculo[[#This Row],[STATUS]]="NEGOCIANDO",tblCalculo[[#This Row],[VALOR_TOTAL]],"")</f>
        <v/>
      </c>
      <c r="L690" t="str">
        <f>IF(tblCalculo[[#This Row],[STATUS]]="ALÇADA",tblCalculo[[#This Row],[VALOR_TOTAL]],"")</f>
        <v/>
      </c>
      <c r="M690" t="str">
        <f>IF(tblCalculo[[#This Row],[STATUS]]="EM ANÁLISE",tblCalculo[[#This Row],[VALOR_TOTAL]],"")</f>
        <v/>
      </c>
      <c r="N690">
        <f>IF(tblCalculo[[#This Row],[STATUS]]="TRAMITANDO",tblCalculo[[#This Row],[VALOR_TOTAL]],"")</f>
        <v>20046.830000000002</v>
      </c>
      <c r="O690" t="str">
        <f>IF(tblCalculo[[#This Row],[STATUS]]="PERDIDO",tblCalculo[[#This Row],[VALOR_TOTAL]],"")</f>
        <v/>
      </c>
      <c r="P690" t="str">
        <f>IF(tblCalculo[[#This Row],[STATUS]]="CONCLUÍDO",tblCalculo[[#This Row],[VALOR_TOTAL]],"")</f>
        <v/>
      </c>
    </row>
    <row r="691" spans="1:16" x14ac:dyDescent="0.25">
      <c r="A691" t="str">
        <f>tblVendas[[#This Row],[NR_SIMULACAO]]</f>
        <v>SIM1681</v>
      </c>
      <c r="B691" s="34" t="str">
        <f>_xlfn.XLOOKUP(A691,tblVendas[[#This Row],[NR_SIMULACAO]],tblVendas[[#This Row],[NR_CNPJ]],"")</f>
        <v>53.911.443/0001-32</v>
      </c>
      <c r="C691" t="str">
        <f>_xlfn.XLOOKUP(A691,tblVendas[[#This Row],[NR_SIMULACAO]],tblVendas[[#This Row],[STATUS]],"")</f>
        <v>CONCLUÍDO</v>
      </c>
      <c r="D691" t="str">
        <f>_xlfn.XLOOKUP(A691,tblVendas[[#This Row],[NR_SIMULACAO]],tblVendas[[#This Row],[MES]],"")</f>
        <v>Janeiro</v>
      </c>
      <c r="E691">
        <f>SUM(_xlfn.XLOOKUP(tblCalculo[[#This Row],[NR_SIMULACAO]],tblVendas[[#This Row],[NR_SIMULACAO]],tblVendas[[#This Row],[VALOR_MOVEL]],""):_xlfn.XLOOKUP(tblCalculo[[#This Row],[NR_SIMULACAO]],tblVendas[[#This Row],[NR_SIMULACAO]],tblVendas[[#This Row],[VALOR_APARELHO]],""))</f>
        <v>6642.34</v>
      </c>
      <c r="F691">
        <f>IF(tblCalculo[[#This Row],[STATUS]]="CONCLUÍDO",_xlfn.XLOOKUP(tblCalculo[[#This Row],[NR_SIMULACAO]],tblVendas[[#This Row],[NR_SIMULACAO]],tblVendas[[#This Row],[VALOR_MOVEL]],""),0)</f>
        <v>1896.01</v>
      </c>
      <c r="G691">
        <f>IF(tblCalculo[[#This Row],[STATUS]]="CONCLUÍDO",_xlfn.XLOOKUP(tblCalculo[[#This Row],[NR_SIMULACAO]],tblVendas[[#This Row],[NR_SIMULACAO]],tblVendas[[#This Row],[VALOR_AVANCADO]],""),0)</f>
        <v>4746.33</v>
      </c>
      <c r="H691">
        <f>IF(tblCalculo[[#This Row],[STATUS]]="CONCLUÍDO",_xlfn.XLOOKUP(tblCalculo[[#This Row],[NR_SIMULACAO]],tblVendas[[#This Row],[NR_SIMULACAO]],tblVendas[[#This Row],[VALOR_FIXABASICA]],""),0)</f>
        <v>0</v>
      </c>
      <c r="I691">
        <f>IF(tblCalculo[[#This Row],[STATUS]]="CONCLUÍDO",_xlfn.XLOOKUP(tblCalculo[[#This Row],[NR_SIMULACAO]],tblVendas[[#This Row],[NR_SIMULACAO]],tblVendas[[#This Row],[VALOR_TI]],""),0)</f>
        <v>0</v>
      </c>
      <c r="J691">
        <f>IF(tblCalculo[[#This Row],[STATUS]]="CONCLUÍDO",_xlfn.XLOOKUP(tblCalculo[[#This Row],[NR_SIMULACAO]],tblVendas[[#This Row],[NR_SIMULACAO]],tblVendas[[#This Row],[VALOR_APARELHO]],""),0)</f>
        <v>0</v>
      </c>
      <c r="K691" t="str">
        <f>IF(tblCalculo[[#This Row],[STATUS]]="NEGOCIANDO",tblCalculo[[#This Row],[VALOR_TOTAL]],"")</f>
        <v/>
      </c>
      <c r="L691" t="str">
        <f>IF(tblCalculo[[#This Row],[STATUS]]="ALÇADA",tblCalculo[[#This Row],[VALOR_TOTAL]],"")</f>
        <v/>
      </c>
      <c r="M691" t="str">
        <f>IF(tblCalculo[[#This Row],[STATUS]]="EM ANÁLISE",tblCalculo[[#This Row],[VALOR_TOTAL]],"")</f>
        <v/>
      </c>
      <c r="N691" t="str">
        <f>IF(tblCalculo[[#This Row],[STATUS]]="TRAMITANDO",tblCalculo[[#This Row],[VALOR_TOTAL]],"")</f>
        <v/>
      </c>
      <c r="O691" t="str">
        <f>IF(tblCalculo[[#This Row],[STATUS]]="PERDIDO",tblCalculo[[#This Row],[VALOR_TOTAL]],"")</f>
        <v/>
      </c>
      <c r="P691">
        <f>IF(tblCalculo[[#This Row],[STATUS]]="CONCLUÍDO",tblCalculo[[#This Row],[VALOR_TOTAL]],"")</f>
        <v>6642.34</v>
      </c>
    </row>
    <row r="692" spans="1:16" x14ac:dyDescent="0.25">
      <c r="A692" t="str">
        <f>tblVendas[[#This Row],[NR_SIMULACAO]]</f>
        <v>SIM1682</v>
      </c>
      <c r="B692" s="34" t="str">
        <f>_xlfn.XLOOKUP(A692,tblVendas[[#This Row],[NR_SIMULACAO]],tblVendas[[#This Row],[NR_CNPJ]],"")</f>
        <v>45.314.113/0001-43</v>
      </c>
      <c r="C692" t="str">
        <f>_xlfn.XLOOKUP(A692,tblVendas[[#This Row],[NR_SIMULACAO]],tblVendas[[#This Row],[STATUS]],"")</f>
        <v>EM ANÁLISE</v>
      </c>
      <c r="D692" t="str">
        <f>_xlfn.XLOOKUP(A692,tblVendas[[#This Row],[NR_SIMULACAO]],tblVendas[[#This Row],[MES]],"")</f>
        <v>Agosto</v>
      </c>
      <c r="E692">
        <f>SUM(_xlfn.XLOOKUP(tblCalculo[[#This Row],[NR_SIMULACAO]],tblVendas[[#This Row],[NR_SIMULACAO]],tblVendas[[#This Row],[VALOR_MOVEL]],""):_xlfn.XLOOKUP(tblCalculo[[#This Row],[NR_SIMULACAO]],tblVendas[[#This Row],[NR_SIMULACAO]],tblVendas[[#This Row],[VALOR_APARELHO]],""))</f>
        <v>18079</v>
      </c>
      <c r="F692">
        <f>IF(tblCalculo[[#This Row],[STATUS]]="CONCLUÍDO",_xlfn.XLOOKUP(tblCalculo[[#This Row],[NR_SIMULACAO]],tblVendas[[#This Row],[NR_SIMULACAO]],tblVendas[[#This Row],[VALOR_MOVEL]],""),0)</f>
        <v>0</v>
      </c>
      <c r="G692">
        <f>IF(tblCalculo[[#This Row],[STATUS]]="CONCLUÍDO",_xlfn.XLOOKUP(tblCalculo[[#This Row],[NR_SIMULACAO]],tblVendas[[#This Row],[NR_SIMULACAO]],tblVendas[[#This Row],[VALOR_AVANCADO]],""),0)</f>
        <v>0</v>
      </c>
      <c r="H692">
        <f>IF(tblCalculo[[#This Row],[STATUS]]="CONCLUÍDO",_xlfn.XLOOKUP(tblCalculo[[#This Row],[NR_SIMULACAO]],tblVendas[[#This Row],[NR_SIMULACAO]],tblVendas[[#This Row],[VALOR_FIXABASICA]],""),0)</f>
        <v>0</v>
      </c>
      <c r="I692">
        <f>IF(tblCalculo[[#This Row],[STATUS]]="CONCLUÍDO",_xlfn.XLOOKUP(tblCalculo[[#This Row],[NR_SIMULACAO]],tblVendas[[#This Row],[NR_SIMULACAO]],tblVendas[[#This Row],[VALOR_TI]],""),0)</f>
        <v>0</v>
      </c>
      <c r="J692">
        <f>IF(tblCalculo[[#This Row],[STATUS]]="CONCLUÍDO",_xlfn.XLOOKUP(tblCalculo[[#This Row],[NR_SIMULACAO]],tblVendas[[#This Row],[NR_SIMULACAO]],tblVendas[[#This Row],[VALOR_APARELHO]],""),0)</f>
        <v>0</v>
      </c>
      <c r="K692" t="str">
        <f>IF(tblCalculo[[#This Row],[STATUS]]="NEGOCIANDO",tblCalculo[[#This Row],[VALOR_TOTAL]],"")</f>
        <v/>
      </c>
      <c r="L692" t="str">
        <f>IF(tblCalculo[[#This Row],[STATUS]]="ALÇADA",tblCalculo[[#This Row],[VALOR_TOTAL]],"")</f>
        <v/>
      </c>
      <c r="M692">
        <f>IF(tblCalculo[[#This Row],[STATUS]]="EM ANÁLISE",tblCalculo[[#This Row],[VALOR_TOTAL]],"")</f>
        <v>18079</v>
      </c>
      <c r="N692" t="str">
        <f>IF(tblCalculo[[#This Row],[STATUS]]="TRAMITANDO",tblCalculo[[#This Row],[VALOR_TOTAL]],"")</f>
        <v/>
      </c>
      <c r="O692" t="str">
        <f>IF(tblCalculo[[#This Row],[STATUS]]="PERDIDO",tblCalculo[[#This Row],[VALOR_TOTAL]],"")</f>
        <v/>
      </c>
      <c r="P692" t="str">
        <f>IF(tblCalculo[[#This Row],[STATUS]]="CONCLUÍDO",tblCalculo[[#This Row],[VALOR_TOTAL]],"")</f>
        <v/>
      </c>
    </row>
    <row r="693" spans="1:16" x14ac:dyDescent="0.25">
      <c r="A693" t="str">
        <f>tblVendas[[#This Row],[NR_SIMULACAO]]</f>
        <v>SIM1683</v>
      </c>
      <c r="B693" s="34" t="str">
        <f>_xlfn.XLOOKUP(A693,tblVendas[[#This Row],[NR_SIMULACAO]],tblVendas[[#This Row],[NR_CNPJ]],"")</f>
        <v>33.383.495/0001-88</v>
      </c>
      <c r="C693" t="str">
        <f>_xlfn.XLOOKUP(A693,tblVendas[[#This Row],[NR_SIMULACAO]],tblVendas[[#This Row],[STATUS]],"")</f>
        <v>TRAMITANDO</v>
      </c>
      <c r="D693" t="str">
        <f>_xlfn.XLOOKUP(A693,tblVendas[[#This Row],[NR_SIMULACAO]],tblVendas[[#This Row],[MES]],"")</f>
        <v>Junho</v>
      </c>
      <c r="E693">
        <f>SUM(_xlfn.XLOOKUP(tblCalculo[[#This Row],[NR_SIMULACAO]],tblVendas[[#This Row],[NR_SIMULACAO]],tblVendas[[#This Row],[VALOR_MOVEL]],""):_xlfn.XLOOKUP(tblCalculo[[#This Row],[NR_SIMULACAO]],tblVendas[[#This Row],[NR_SIMULACAO]],tblVendas[[#This Row],[VALOR_APARELHO]],""))</f>
        <v>7725.8</v>
      </c>
      <c r="F693">
        <f>IF(tblCalculo[[#This Row],[STATUS]]="CONCLUÍDO",_xlfn.XLOOKUP(tblCalculo[[#This Row],[NR_SIMULACAO]],tblVendas[[#This Row],[NR_SIMULACAO]],tblVendas[[#This Row],[VALOR_MOVEL]],""),0)</f>
        <v>0</v>
      </c>
      <c r="G693">
        <f>IF(tblCalculo[[#This Row],[STATUS]]="CONCLUÍDO",_xlfn.XLOOKUP(tblCalculo[[#This Row],[NR_SIMULACAO]],tblVendas[[#This Row],[NR_SIMULACAO]],tblVendas[[#This Row],[VALOR_AVANCADO]],""),0)</f>
        <v>0</v>
      </c>
      <c r="H693">
        <f>IF(tblCalculo[[#This Row],[STATUS]]="CONCLUÍDO",_xlfn.XLOOKUP(tblCalculo[[#This Row],[NR_SIMULACAO]],tblVendas[[#This Row],[NR_SIMULACAO]],tblVendas[[#This Row],[VALOR_FIXABASICA]],""),0)</f>
        <v>0</v>
      </c>
      <c r="I693">
        <f>IF(tblCalculo[[#This Row],[STATUS]]="CONCLUÍDO",_xlfn.XLOOKUP(tblCalculo[[#This Row],[NR_SIMULACAO]],tblVendas[[#This Row],[NR_SIMULACAO]],tblVendas[[#This Row],[VALOR_TI]],""),0)</f>
        <v>0</v>
      </c>
      <c r="J693">
        <f>IF(tblCalculo[[#This Row],[STATUS]]="CONCLUÍDO",_xlfn.XLOOKUP(tblCalculo[[#This Row],[NR_SIMULACAO]],tblVendas[[#This Row],[NR_SIMULACAO]],tblVendas[[#This Row],[VALOR_APARELHO]],""),0)</f>
        <v>0</v>
      </c>
      <c r="K693" t="str">
        <f>IF(tblCalculo[[#This Row],[STATUS]]="NEGOCIANDO",tblCalculo[[#This Row],[VALOR_TOTAL]],"")</f>
        <v/>
      </c>
      <c r="L693" t="str">
        <f>IF(tblCalculo[[#This Row],[STATUS]]="ALÇADA",tblCalculo[[#This Row],[VALOR_TOTAL]],"")</f>
        <v/>
      </c>
      <c r="M693" t="str">
        <f>IF(tblCalculo[[#This Row],[STATUS]]="EM ANÁLISE",tblCalculo[[#This Row],[VALOR_TOTAL]],"")</f>
        <v/>
      </c>
      <c r="N693">
        <f>IF(tblCalculo[[#This Row],[STATUS]]="TRAMITANDO",tblCalculo[[#This Row],[VALOR_TOTAL]],"")</f>
        <v>7725.8</v>
      </c>
      <c r="O693" t="str">
        <f>IF(tblCalculo[[#This Row],[STATUS]]="PERDIDO",tblCalculo[[#This Row],[VALOR_TOTAL]],"")</f>
        <v/>
      </c>
      <c r="P693" t="str">
        <f>IF(tblCalculo[[#This Row],[STATUS]]="CONCLUÍDO",tblCalculo[[#This Row],[VALOR_TOTAL]],"")</f>
        <v/>
      </c>
    </row>
    <row r="694" spans="1:16" x14ac:dyDescent="0.25">
      <c r="A694" t="str">
        <f>tblVendas[[#This Row],[NR_SIMULACAO]]</f>
        <v>SIM1684</v>
      </c>
      <c r="B694" s="34" t="str">
        <f>_xlfn.XLOOKUP(A694,tblVendas[[#This Row],[NR_SIMULACAO]],tblVendas[[#This Row],[NR_CNPJ]],"")</f>
        <v>89.889.492/0001-51</v>
      </c>
      <c r="C694" t="str">
        <f>_xlfn.XLOOKUP(A694,tblVendas[[#This Row],[NR_SIMULACAO]],tblVendas[[#This Row],[STATUS]],"")</f>
        <v>ALÇADA</v>
      </c>
      <c r="D694" t="str">
        <f>_xlfn.XLOOKUP(A694,tblVendas[[#This Row],[NR_SIMULACAO]],tblVendas[[#This Row],[MES]],"")</f>
        <v>Outubro</v>
      </c>
      <c r="E694">
        <f>SUM(_xlfn.XLOOKUP(tblCalculo[[#This Row],[NR_SIMULACAO]],tblVendas[[#This Row],[NR_SIMULACAO]],tblVendas[[#This Row],[VALOR_MOVEL]],""):_xlfn.XLOOKUP(tblCalculo[[#This Row],[NR_SIMULACAO]],tblVendas[[#This Row],[NR_SIMULACAO]],tblVendas[[#This Row],[VALOR_APARELHO]],""))</f>
        <v>9333.8799999999992</v>
      </c>
      <c r="F694">
        <f>IF(tblCalculo[[#This Row],[STATUS]]="CONCLUÍDO",_xlfn.XLOOKUP(tblCalculo[[#This Row],[NR_SIMULACAO]],tblVendas[[#This Row],[NR_SIMULACAO]],tblVendas[[#This Row],[VALOR_MOVEL]],""),0)</f>
        <v>0</v>
      </c>
      <c r="G694">
        <f>IF(tblCalculo[[#This Row],[STATUS]]="CONCLUÍDO",_xlfn.XLOOKUP(tblCalculo[[#This Row],[NR_SIMULACAO]],tblVendas[[#This Row],[NR_SIMULACAO]],tblVendas[[#This Row],[VALOR_AVANCADO]],""),0)</f>
        <v>0</v>
      </c>
      <c r="H694">
        <f>IF(tblCalculo[[#This Row],[STATUS]]="CONCLUÍDO",_xlfn.XLOOKUP(tblCalculo[[#This Row],[NR_SIMULACAO]],tblVendas[[#This Row],[NR_SIMULACAO]],tblVendas[[#This Row],[VALOR_FIXABASICA]],""),0)</f>
        <v>0</v>
      </c>
      <c r="I694">
        <f>IF(tblCalculo[[#This Row],[STATUS]]="CONCLUÍDO",_xlfn.XLOOKUP(tblCalculo[[#This Row],[NR_SIMULACAO]],tblVendas[[#This Row],[NR_SIMULACAO]],tblVendas[[#This Row],[VALOR_TI]],""),0)</f>
        <v>0</v>
      </c>
      <c r="J694">
        <f>IF(tblCalculo[[#This Row],[STATUS]]="CONCLUÍDO",_xlfn.XLOOKUP(tblCalculo[[#This Row],[NR_SIMULACAO]],tblVendas[[#This Row],[NR_SIMULACAO]],tblVendas[[#This Row],[VALOR_APARELHO]],""),0)</f>
        <v>0</v>
      </c>
      <c r="K694" t="str">
        <f>IF(tblCalculo[[#This Row],[STATUS]]="NEGOCIANDO",tblCalculo[[#This Row],[VALOR_TOTAL]],"")</f>
        <v/>
      </c>
      <c r="L694">
        <f>IF(tblCalculo[[#This Row],[STATUS]]="ALÇADA",tblCalculo[[#This Row],[VALOR_TOTAL]],"")</f>
        <v>9333.8799999999992</v>
      </c>
      <c r="M694" t="str">
        <f>IF(tblCalculo[[#This Row],[STATUS]]="EM ANÁLISE",tblCalculo[[#This Row],[VALOR_TOTAL]],"")</f>
        <v/>
      </c>
      <c r="N694" t="str">
        <f>IF(tblCalculo[[#This Row],[STATUS]]="TRAMITANDO",tblCalculo[[#This Row],[VALOR_TOTAL]],"")</f>
        <v/>
      </c>
      <c r="O694" t="str">
        <f>IF(tblCalculo[[#This Row],[STATUS]]="PERDIDO",tblCalculo[[#This Row],[VALOR_TOTAL]],"")</f>
        <v/>
      </c>
      <c r="P694" t="str">
        <f>IF(tblCalculo[[#This Row],[STATUS]]="CONCLUÍDO",tblCalculo[[#This Row],[VALOR_TOTAL]],"")</f>
        <v/>
      </c>
    </row>
    <row r="695" spans="1:16" x14ac:dyDescent="0.25">
      <c r="A695" t="str">
        <f>tblVendas[[#This Row],[NR_SIMULACAO]]</f>
        <v>SIM1685</v>
      </c>
      <c r="B695" s="34" t="str">
        <f>_xlfn.XLOOKUP(A695,tblVendas[[#This Row],[NR_SIMULACAO]],tblVendas[[#This Row],[NR_CNPJ]],"")</f>
        <v>21.904.600/0001-71</v>
      </c>
      <c r="C695" t="str">
        <f>_xlfn.XLOOKUP(A695,tblVendas[[#This Row],[NR_SIMULACAO]],tblVendas[[#This Row],[STATUS]],"")</f>
        <v>CONCLUÍDO</v>
      </c>
      <c r="D695" t="str">
        <f>_xlfn.XLOOKUP(A695,tblVendas[[#This Row],[NR_SIMULACAO]],tblVendas[[#This Row],[MES]],"")</f>
        <v>Julho</v>
      </c>
      <c r="E695">
        <f>SUM(_xlfn.XLOOKUP(tblCalculo[[#This Row],[NR_SIMULACAO]],tblVendas[[#This Row],[NR_SIMULACAO]],tblVendas[[#This Row],[VALOR_MOVEL]],""):_xlfn.XLOOKUP(tblCalculo[[#This Row],[NR_SIMULACAO]],tblVendas[[#This Row],[NR_SIMULACAO]],tblVendas[[#This Row],[VALOR_APARELHO]],""))</f>
        <v>13852.84</v>
      </c>
      <c r="F695">
        <f>IF(tblCalculo[[#This Row],[STATUS]]="CONCLUÍDO",_xlfn.XLOOKUP(tblCalculo[[#This Row],[NR_SIMULACAO]],tblVendas[[#This Row],[NR_SIMULACAO]],tblVendas[[#This Row],[VALOR_MOVEL]],""),0)</f>
        <v>0</v>
      </c>
      <c r="G695">
        <f>IF(tblCalculo[[#This Row],[STATUS]]="CONCLUÍDO",_xlfn.XLOOKUP(tblCalculo[[#This Row],[NR_SIMULACAO]],tblVendas[[#This Row],[NR_SIMULACAO]],tblVendas[[#This Row],[VALOR_AVANCADO]],""),0)</f>
        <v>0</v>
      </c>
      <c r="H695">
        <f>IF(tblCalculo[[#This Row],[STATUS]]="CONCLUÍDO",_xlfn.XLOOKUP(tblCalculo[[#This Row],[NR_SIMULACAO]],tblVendas[[#This Row],[NR_SIMULACAO]],tblVendas[[#This Row],[VALOR_FIXABASICA]],""),0)</f>
        <v>1811.1</v>
      </c>
      <c r="I695">
        <f>IF(tblCalculo[[#This Row],[STATUS]]="CONCLUÍDO",_xlfn.XLOOKUP(tblCalculo[[#This Row],[NR_SIMULACAO]],tblVendas[[#This Row],[NR_SIMULACAO]],tblVendas[[#This Row],[VALOR_TI]],""),0)</f>
        <v>7402.34</v>
      </c>
      <c r="J695">
        <f>IF(tblCalculo[[#This Row],[STATUS]]="CONCLUÍDO",_xlfn.XLOOKUP(tblCalculo[[#This Row],[NR_SIMULACAO]],tblVendas[[#This Row],[NR_SIMULACAO]],tblVendas[[#This Row],[VALOR_APARELHO]],""),0)</f>
        <v>4639.3999999999996</v>
      </c>
      <c r="K695" t="str">
        <f>IF(tblCalculo[[#This Row],[STATUS]]="NEGOCIANDO",tblCalculo[[#This Row],[VALOR_TOTAL]],"")</f>
        <v/>
      </c>
      <c r="L695" t="str">
        <f>IF(tblCalculo[[#This Row],[STATUS]]="ALÇADA",tblCalculo[[#This Row],[VALOR_TOTAL]],"")</f>
        <v/>
      </c>
      <c r="M695" t="str">
        <f>IF(tblCalculo[[#This Row],[STATUS]]="EM ANÁLISE",tblCalculo[[#This Row],[VALOR_TOTAL]],"")</f>
        <v/>
      </c>
      <c r="N695" t="str">
        <f>IF(tblCalculo[[#This Row],[STATUS]]="TRAMITANDO",tblCalculo[[#This Row],[VALOR_TOTAL]],"")</f>
        <v/>
      </c>
      <c r="O695" t="str">
        <f>IF(tblCalculo[[#This Row],[STATUS]]="PERDIDO",tblCalculo[[#This Row],[VALOR_TOTAL]],"")</f>
        <v/>
      </c>
      <c r="P695">
        <f>IF(tblCalculo[[#This Row],[STATUS]]="CONCLUÍDO",tblCalculo[[#This Row],[VALOR_TOTAL]],"")</f>
        <v>13852.84</v>
      </c>
    </row>
    <row r="696" spans="1:16" x14ac:dyDescent="0.25">
      <c r="A696" t="str">
        <f>tblVendas[[#This Row],[NR_SIMULACAO]]</f>
        <v>SIM1686</v>
      </c>
      <c r="B696" s="34" t="str">
        <f>_xlfn.XLOOKUP(A696,tblVendas[[#This Row],[NR_SIMULACAO]],tblVendas[[#This Row],[NR_CNPJ]],"")</f>
        <v>39.751.967/0001-39</v>
      </c>
      <c r="C696" t="str">
        <f>_xlfn.XLOOKUP(A696,tblVendas[[#This Row],[NR_SIMULACAO]],tblVendas[[#This Row],[STATUS]],"")</f>
        <v>ALÇADA</v>
      </c>
      <c r="D696" t="str">
        <f>_xlfn.XLOOKUP(A696,tblVendas[[#This Row],[NR_SIMULACAO]],tblVendas[[#This Row],[MES]],"")</f>
        <v>Outubro</v>
      </c>
      <c r="E696">
        <f>SUM(_xlfn.XLOOKUP(tblCalculo[[#This Row],[NR_SIMULACAO]],tblVendas[[#This Row],[NR_SIMULACAO]],tblVendas[[#This Row],[VALOR_MOVEL]],""):_xlfn.XLOOKUP(tblCalculo[[#This Row],[NR_SIMULACAO]],tblVendas[[#This Row],[NR_SIMULACAO]],tblVendas[[#This Row],[VALOR_APARELHO]],""))</f>
        <v>17049.739999999998</v>
      </c>
      <c r="F696">
        <f>IF(tblCalculo[[#This Row],[STATUS]]="CONCLUÍDO",_xlfn.XLOOKUP(tblCalculo[[#This Row],[NR_SIMULACAO]],tblVendas[[#This Row],[NR_SIMULACAO]],tblVendas[[#This Row],[VALOR_MOVEL]],""),0)</f>
        <v>0</v>
      </c>
      <c r="G696">
        <f>IF(tblCalculo[[#This Row],[STATUS]]="CONCLUÍDO",_xlfn.XLOOKUP(tblCalculo[[#This Row],[NR_SIMULACAO]],tblVendas[[#This Row],[NR_SIMULACAO]],tblVendas[[#This Row],[VALOR_AVANCADO]],""),0)</f>
        <v>0</v>
      </c>
      <c r="H696">
        <f>IF(tblCalculo[[#This Row],[STATUS]]="CONCLUÍDO",_xlfn.XLOOKUP(tblCalculo[[#This Row],[NR_SIMULACAO]],tblVendas[[#This Row],[NR_SIMULACAO]],tblVendas[[#This Row],[VALOR_FIXABASICA]],""),0)</f>
        <v>0</v>
      </c>
      <c r="I696">
        <f>IF(tblCalculo[[#This Row],[STATUS]]="CONCLUÍDO",_xlfn.XLOOKUP(tblCalculo[[#This Row],[NR_SIMULACAO]],tblVendas[[#This Row],[NR_SIMULACAO]],tblVendas[[#This Row],[VALOR_TI]],""),0)</f>
        <v>0</v>
      </c>
      <c r="J696">
        <f>IF(tblCalculo[[#This Row],[STATUS]]="CONCLUÍDO",_xlfn.XLOOKUP(tblCalculo[[#This Row],[NR_SIMULACAO]],tblVendas[[#This Row],[NR_SIMULACAO]],tblVendas[[#This Row],[VALOR_APARELHO]],""),0)</f>
        <v>0</v>
      </c>
      <c r="K696" t="str">
        <f>IF(tblCalculo[[#This Row],[STATUS]]="NEGOCIANDO",tblCalculo[[#This Row],[VALOR_TOTAL]],"")</f>
        <v/>
      </c>
      <c r="L696">
        <f>IF(tblCalculo[[#This Row],[STATUS]]="ALÇADA",tblCalculo[[#This Row],[VALOR_TOTAL]],"")</f>
        <v>17049.739999999998</v>
      </c>
      <c r="M696" t="str">
        <f>IF(tblCalculo[[#This Row],[STATUS]]="EM ANÁLISE",tblCalculo[[#This Row],[VALOR_TOTAL]],"")</f>
        <v/>
      </c>
      <c r="N696" t="str">
        <f>IF(tblCalculo[[#This Row],[STATUS]]="TRAMITANDO",tblCalculo[[#This Row],[VALOR_TOTAL]],"")</f>
        <v/>
      </c>
      <c r="O696" t="str">
        <f>IF(tblCalculo[[#This Row],[STATUS]]="PERDIDO",tblCalculo[[#This Row],[VALOR_TOTAL]],"")</f>
        <v/>
      </c>
      <c r="P696" t="str">
        <f>IF(tblCalculo[[#This Row],[STATUS]]="CONCLUÍDO",tblCalculo[[#This Row],[VALOR_TOTAL]],"")</f>
        <v/>
      </c>
    </row>
    <row r="697" spans="1:16" x14ac:dyDescent="0.25">
      <c r="A697" t="str">
        <f>tblVendas[[#This Row],[NR_SIMULACAO]]</f>
        <v>SIM1687</v>
      </c>
      <c r="B697" s="34" t="str">
        <f>_xlfn.XLOOKUP(A697,tblVendas[[#This Row],[NR_SIMULACAO]],tblVendas[[#This Row],[NR_CNPJ]],"")</f>
        <v>48.985.571/0001-80</v>
      </c>
      <c r="C697" t="str">
        <f>_xlfn.XLOOKUP(A697,tblVendas[[#This Row],[NR_SIMULACAO]],tblVendas[[#This Row],[STATUS]],"")</f>
        <v>TRAMITANDO</v>
      </c>
      <c r="D697" t="str">
        <f>_xlfn.XLOOKUP(A697,tblVendas[[#This Row],[NR_SIMULACAO]],tblVendas[[#This Row],[MES]],"")</f>
        <v>Março</v>
      </c>
      <c r="E697">
        <f>SUM(_xlfn.XLOOKUP(tblCalculo[[#This Row],[NR_SIMULACAO]],tblVendas[[#This Row],[NR_SIMULACAO]],tblVendas[[#This Row],[VALOR_MOVEL]],""):_xlfn.XLOOKUP(tblCalculo[[#This Row],[NR_SIMULACAO]],tblVendas[[#This Row],[NR_SIMULACAO]],tblVendas[[#This Row],[VALOR_APARELHO]],""))</f>
        <v>12906.15</v>
      </c>
      <c r="F697">
        <f>IF(tblCalculo[[#This Row],[STATUS]]="CONCLUÍDO",_xlfn.XLOOKUP(tblCalculo[[#This Row],[NR_SIMULACAO]],tblVendas[[#This Row],[NR_SIMULACAO]],tblVendas[[#This Row],[VALOR_MOVEL]],""),0)</f>
        <v>0</v>
      </c>
      <c r="G697">
        <f>IF(tblCalculo[[#This Row],[STATUS]]="CONCLUÍDO",_xlfn.XLOOKUP(tblCalculo[[#This Row],[NR_SIMULACAO]],tblVendas[[#This Row],[NR_SIMULACAO]],tblVendas[[#This Row],[VALOR_AVANCADO]],""),0)</f>
        <v>0</v>
      </c>
      <c r="H697">
        <f>IF(tblCalculo[[#This Row],[STATUS]]="CONCLUÍDO",_xlfn.XLOOKUP(tblCalculo[[#This Row],[NR_SIMULACAO]],tblVendas[[#This Row],[NR_SIMULACAO]],tblVendas[[#This Row],[VALOR_FIXABASICA]],""),0)</f>
        <v>0</v>
      </c>
      <c r="I697">
        <f>IF(tblCalculo[[#This Row],[STATUS]]="CONCLUÍDO",_xlfn.XLOOKUP(tblCalculo[[#This Row],[NR_SIMULACAO]],tblVendas[[#This Row],[NR_SIMULACAO]],tblVendas[[#This Row],[VALOR_TI]],""),0)</f>
        <v>0</v>
      </c>
      <c r="J697">
        <f>IF(tblCalculo[[#This Row],[STATUS]]="CONCLUÍDO",_xlfn.XLOOKUP(tblCalculo[[#This Row],[NR_SIMULACAO]],tblVendas[[#This Row],[NR_SIMULACAO]],tblVendas[[#This Row],[VALOR_APARELHO]],""),0)</f>
        <v>0</v>
      </c>
      <c r="K697" t="str">
        <f>IF(tblCalculo[[#This Row],[STATUS]]="NEGOCIANDO",tblCalculo[[#This Row],[VALOR_TOTAL]],"")</f>
        <v/>
      </c>
      <c r="L697" t="str">
        <f>IF(tblCalculo[[#This Row],[STATUS]]="ALÇADA",tblCalculo[[#This Row],[VALOR_TOTAL]],"")</f>
        <v/>
      </c>
      <c r="M697" t="str">
        <f>IF(tblCalculo[[#This Row],[STATUS]]="EM ANÁLISE",tblCalculo[[#This Row],[VALOR_TOTAL]],"")</f>
        <v/>
      </c>
      <c r="N697">
        <f>IF(tblCalculo[[#This Row],[STATUS]]="TRAMITANDO",tblCalculo[[#This Row],[VALOR_TOTAL]],"")</f>
        <v>12906.15</v>
      </c>
      <c r="O697" t="str">
        <f>IF(tblCalculo[[#This Row],[STATUS]]="PERDIDO",tblCalculo[[#This Row],[VALOR_TOTAL]],"")</f>
        <v/>
      </c>
      <c r="P697" t="str">
        <f>IF(tblCalculo[[#This Row],[STATUS]]="CONCLUÍDO",tblCalculo[[#This Row],[VALOR_TOTAL]],"")</f>
        <v/>
      </c>
    </row>
    <row r="698" spans="1:16" x14ac:dyDescent="0.25">
      <c r="A698" t="str">
        <f>tblVendas[[#This Row],[NR_SIMULACAO]]</f>
        <v>SIM1688</v>
      </c>
      <c r="B698" s="34" t="str">
        <f>_xlfn.XLOOKUP(A698,tblVendas[[#This Row],[NR_SIMULACAO]],tblVendas[[#This Row],[NR_CNPJ]],"")</f>
        <v>51.439.238/0001-48</v>
      </c>
      <c r="C698" t="str">
        <f>_xlfn.XLOOKUP(A698,tblVendas[[#This Row],[NR_SIMULACAO]],tblVendas[[#This Row],[STATUS]],"")</f>
        <v>CONCLUÍDO</v>
      </c>
      <c r="D698" t="str">
        <f>_xlfn.XLOOKUP(A698,tblVendas[[#This Row],[NR_SIMULACAO]],tblVendas[[#This Row],[MES]],"")</f>
        <v>Fevereiro</v>
      </c>
      <c r="E698">
        <f>SUM(_xlfn.XLOOKUP(tblCalculo[[#This Row],[NR_SIMULACAO]],tblVendas[[#This Row],[NR_SIMULACAO]],tblVendas[[#This Row],[VALOR_MOVEL]],""):_xlfn.XLOOKUP(tblCalculo[[#This Row],[NR_SIMULACAO]],tblVendas[[#This Row],[NR_SIMULACAO]],tblVendas[[#This Row],[VALOR_APARELHO]],""))</f>
        <v>18207.38</v>
      </c>
      <c r="F698">
        <f>IF(tblCalculo[[#This Row],[STATUS]]="CONCLUÍDO",_xlfn.XLOOKUP(tblCalculo[[#This Row],[NR_SIMULACAO]],tblVendas[[#This Row],[NR_SIMULACAO]],tblVendas[[#This Row],[VALOR_MOVEL]],""),0)</f>
        <v>3457.9</v>
      </c>
      <c r="G698">
        <f>IF(tblCalculo[[#This Row],[STATUS]]="CONCLUÍDO",_xlfn.XLOOKUP(tblCalculo[[#This Row],[NR_SIMULACAO]],tblVendas[[#This Row],[NR_SIMULACAO]],tblVendas[[#This Row],[VALOR_AVANCADO]],""),0)</f>
        <v>2874.15</v>
      </c>
      <c r="H698">
        <f>IF(tblCalculo[[#This Row],[STATUS]]="CONCLUÍDO",_xlfn.XLOOKUP(tblCalculo[[#This Row],[NR_SIMULACAO]],tblVendas[[#This Row],[NR_SIMULACAO]],tblVendas[[#This Row],[VALOR_FIXABASICA]],""),0)</f>
        <v>0</v>
      </c>
      <c r="I698">
        <f>IF(tblCalculo[[#This Row],[STATUS]]="CONCLUÍDO",_xlfn.XLOOKUP(tblCalculo[[#This Row],[NR_SIMULACAO]],tblVendas[[#This Row],[NR_SIMULACAO]],tblVendas[[#This Row],[VALOR_TI]],""),0)</f>
        <v>11587.22</v>
      </c>
      <c r="J698">
        <f>IF(tblCalculo[[#This Row],[STATUS]]="CONCLUÍDO",_xlfn.XLOOKUP(tblCalculo[[#This Row],[NR_SIMULACAO]],tblVendas[[#This Row],[NR_SIMULACAO]],tblVendas[[#This Row],[VALOR_APARELHO]],""),0)</f>
        <v>288.11</v>
      </c>
      <c r="K698" t="str">
        <f>IF(tblCalculo[[#This Row],[STATUS]]="NEGOCIANDO",tblCalculo[[#This Row],[VALOR_TOTAL]],"")</f>
        <v/>
      </c>
      <c r="L698" t="str">
        <f>IF(tblCalculo[[#This Row],[STATUS]]="ALÇADA",tblCalculo[[#This Row],[VALOR_TOTAL]],"")</f>
        <v/>
      </c>
      <c r="M698" t="str">
        <f>IF(tblCalculo[[#This Row],[STATUS]]="EM ANÁLISE",tblCalculo[[#This Row],[VALOR_TOTAL]],"")</f>
        <v/>
      </c>
      <c r="N698" t="str">
        <f>IF(tblCalculo[[#This Row],[STATUS]]="TRAMITANDO",tblCalculo[[#This Row],[VALOR_TOTAL]],"")</f>
        <v/>
      </c>
      <c r="O698" t="str">
        <f>IF(tblCalculo[[#This Row],[STATUS]]="PERDIDO",tblCalculo[[#This Row],[VALOR_TOTAL]],"")</f>
        <v/>
      </c>
      <c r="P698">
        <f>IF(tblCalculo[[#This Row],[STATUS]]="CONCLUÍDO",tblCalculo[[#This Row],[VALOR_TOTAL]],"")</f>
        <v>18207.38</v>
      </c>
    </row>
    <row r="699" spans="1:16" x14ac:dyDescent="0.25">
      <c r="A699" t="str">
        <f>tblVendas[[#This Row],[NR_SIMULACAO]]</f>
        <v>SIM1689</v>
      </c>
      <c r="B699" s="34" t="str">
        <f>_xlfn.XLOOKUP(A699,tblVendas[[#This Row],[NR_SIMULACAO]],tblVendas[[#This Row],[NR_CNPJ]],"")</f>
        <v>24.534.341/0001-96</v>
      </c>
      <c r="C699" t="str">
        <f>_xlfn.XLOOKUP(A699,tblVendas[[#This Row],[NR_SIMULACAO]],tblVendas[[#This Row],[STATUS]],"")</f>
        <v>EM ANÁLISE</v>
      </c>
      <c r="D699" t="str">
        <f>_xlfn.XLOOKUP(A699,tblVendas[[#This Row],[NR_SIMULACAO]],tblVendas[[#This Row],[MES]],"")</f>
        <v>Julho</v>
      </c>
      <c r="E699">
        <f>SUM(_xlfn.XLOOKUP(tblCalculo[[#This Row],[NR_SIMULACAO]],tblVendas[[#This Row],[NR_SIMULACAO]],tblVendas[[#This Row],[VALOR_MOVEL]],""):_xlfn.XLOOKUP(tblCalculo[[#This Row],[NR_SIMULACAO]],tblVendas[[#This Row],[NR_SIMULACAO]],tblVendas[[#This Row],[VALOR_APARELHO]],""))</f>
        <v>9868.7999999999993</v>
      </c>
      <c r="F699">
        <f>IF(tblCalculo[[#This Row],[STATUS]]="CONCLUÍDO",_xlfn.XLOOKUP(tblCalculo[[#This Row],[NR_SIMULACAO]],tblVendas[[#This Row],[NR_SIMULACAO]],tblVendas[[#This Row],[VALOR_MOVEL]],""),0)</f>
        <v>0</v>
      </c>
      <c r="G699">
        <f>IF(tblCalculo[[#This Row],[STATUS]]="CONCLUÍDO",_xlfn.XLOOKUP(tblCalculo[[#This Row],[NR_SIMULACAO]],tblVendas[[#This Row],[NR_SIMULACAO]],tblVendas[[#This Row],[VALOR_AVANCADO]],""),0)</f>
        <v>0</v>
      </c>
      <c r="H699">
        <f>IF(tblCalculo[[#This Row],[STATUS]]="CONCLUÍDO",_xlfn.XLOOKUP(tblCalculo[[#This Row],[NR_SIMULACAO]],tblVendas[[#This Row],[NR_SIMULACAO]],tblVendas[[#This Row],[VALOR_FIXABASICA]],""),0)</f>
        <v>0</v>
      </c>
      <c r="I699">
        <f>IF(tblCalculo[[#This Row],[STATUS]]="CONCLUÍDO",_xlfn.XLOOKUP(tblCalculo[[#This Row],[NR_SIMULACAO]],tblVendas[[#This Row],[NR_SIMULACAO]],tblVendas[[#This Row],[VALOR_TI]],""),0)</f>
        <v>0</v>
      </c>
      <c r="J699">
        <f>IF(tblCalculo[[#This Row],[STATUS]]="CONCLUÍDO",_xlfn.XLOOKUP(tblCalculo[[#This Row],[NR_SIMULACAO]],tblVendas[[#This Row],[NR_SIMULACAO]],tblVendas[[#This Row],[VALOR_APARELHO]],""),0)</f>
        <v>0</v>
      </c>
      <c r="K699" t="str">
        <f>IF(tblCalculo[[#This Row],[STATUS]]="NEGOCIANDO",tblCalculo[[#This Row],[VALOR_TOTAL]],"")</f>
        <v/>
      </c>
      <c r="L699" t="str">
        <f>IF(tblCalculo[[#This Row],[STATUS]]="ALÇADA",tblCalculo[[#This Row],[VALOR_TOTAL]],"")</f>
        <v/>
      </c>
      <c r="M699">
        <f>IF(tblCalculo[[#This Row],[STATUS]]="EM ANÁLISE",tblCalculo[[#This Row],[VALOR_TOTAL]],"")</f>
        <v>9868.7999999999993</v>
      </c>
      <c r="N699" t="str">
        <f>IF(tblCalculo[[#This Row],[STATUS]]="TRAMITANDO",tblCalculo[[#This Row],[VALOR_TOTAL]],"")</f>
        <v/>
      </c>
      <c r="O699" t="str">
        <f>IF(tblCalculo[[#This Row],[STATUS]]="PERDIDO",tblCalculo[[#This Row],[VALOR_TOTAL]],"")</f>
        <v/>
      </c>
      <c r="P699" t="str">
        <f>IF(tblCalculo[[#This Row],[STATUS]]="CONCLUÍDO",tblCalculo[[#This Row],[VALOR_TOTAL]],"")</f>
        <v/>
      </c>
    </row>
    <row r="700" spans="1:16" x14ac:dyDescent="0.25">
      <c r="A700" t="str">
        <f>tblVendas[[#This Row],[NR_SIMULACAO]]</f>
        <v>SIM1690</v>
      </c>
      <c r="B700" s="34" t="str">
        <f>_xlfn.XLOOKUP(A700,tblVendas[[#This Row],[NR_SIMULACAO]],tblVendas[[#This Row],[NR_CNPJ]],"")</f>
        <v>36.867.180/0001-43</v>
      </c>
      <c r="C700" t="str">
        <f>_xlfn.XLOOKUP(A700,tblVendas[[#This Row],[NR_SIMULACAO]],tblVendas[[#This Row],[STATUS]],"")</f>
        <v>TRAMITANDO</v>
      </c>
      <c r="D700" t="str">
        <f>_xlfn.XLOOKUP(A700,tblVendas[[#This Row],[NR_SIMULACAO]],tblVendas[[#This Row],[MES]],"")</f>
        <v>Setembro</v>
      </c>
      <c r="E700">
        <f>SUM(_xlfn.XLOOKUP(tblCalculo[[#This Row],[NR_SIMULACAO]],tblVendas[[#This Row],[NR_SIMULACAO]],tblVendas[[#This Row],[VALOR_MOVEL]],""):_xlfn.XLOOKUP(tblCalculo[[#This Row],[NR_SIMULACAO]],tblVendas[[#This Row],[NR_SIMULACAO]],tblVendas[[#This Row],[VALOR_APARELHO]],""))</f>
        <v>14097.45</v>
      </c>
      <c r="F700">
        <f>IF(tblCalculo[[#This Row],[STATUS]]="CONCLUÍDO",_xlfn.XLOOKUP(tblCalculo[[#This Row],[NR_SIMULACAO]],tblVendas[[#This Row],[NR_SIMULACAO]],tblVendas[[#This Row],[VALOR_MOVEL]],""),0)</f>
        <v>0</v>
      </c>
      <c r="G700">
        <f>IF(tblCalculo[[#This Row],[STATUS]]="CONCLUÍDO",_xlfn.XLOOKUP(tblCalculo[[#This Row],[NR_SIMULACAO]],tblVendas[[#This Row],[NR_SIMULACAO]],tblVendas[[#This Row],[VALOR_AVANCADO]],""),0)</f>
        <v>0</v>
      </c>
      <c r="H700">
        <f>IF(tblCalculo[[#This Row],[STATUS]]="CONCLUÍDO",_xlfn.XLOOKUP(tblCalculo[[#This Row],[NR_SIMULACAO]],tblVendas[[#This Row],[NR_SIMULACAO]],tblVendas[[#This Row],[VALOR_FIXABASICA]],""),0)</f>
        <v>0</v>
      </c>
      <c r="I700">
        <f>IF(tblCalculo[[#This Row],[STATUS]]="CONCLUÍDO",_xlfn.XLOOKUP(tblCalculo[[#This Row],[NR_SIMULACAO]],tblVendas[[#This Row],[NR_SIMULACAO]],tblVendas[[#This Row],[VALOR_TI]],""),0)</f>
        <v>0</v>
      </c>
      <c r="J700">
        <f>IF(tblCalculo[[#This Row],[STATUS]]="CONCLUÍDO",_xlfn.XLOOKUP(tblCalculo[[#This Row],[NR_SIMULACAO]],tblVendas[[#This Row],[NR_SIMULACAO]],tblVendas[[#This Row],[VALOR_APARELHO]],""),0)</f>
        <v>0</v>
      </c>
      <c r="K700" t="str">
        <f>IF(tblCalculo[[#This Row],[STATUS]]="NEGOCIANDO",tblCalculo[[#This Row],[VALOR_TOTAL]],"")</f>
        <v/>
      </c>
      <c r="L700" t="str">
        <f>IF(tblCalculo[[#This Row],[STATUS]]="ALÇADA",tblCalculo[[#This Row],[VALOR_TOTAL]],"")</f>
        <v/>
      </c>
      <c r="M700" t="str">
        <f>IF(tblCalculo[[#This Row],[STATUS]]="EM ANÁLISE",tblCalculo[[#This Row],[VALOR_TOTAL]],"")</f>
        <v/>
      </c>
      <c r="N700">
        <f>IF(tblCalculo[[#This Row],[STATUS]]="TRAMITANDO",tblCalculo[[#This Row],[VALOR_TOTAL]],"")</f>
        <v>14097.45</v>
      </c>
      <c r="O700" t="str">
        <f>IF(tblCalculo[[#This Row],[STATUS]]="PERDIDO",tblCalculo[[#This Row],[VALOR_TOTAL]],"")</f>
        <v/>
      </c>
      <c r="P700" t="str">
        <f>IF(tblCalculo[[#This Row],[STATUS]]="CONCLUÍDO",tblCalculo[[#This Row],[VALOR_TOTAL]],"")</f>
        <v/>
      </c>
    </row>
    <row r="701" spans="1:16" x14ac:dyDescent="0.25">
      <c r="A701" t="str">
        <f>tblVendas[[#This Row],[NR_SIMULACAO]]</f>
        <v>SIM1691</v>
      </c>
      <c r="B701" s="34" t="str">
        <f>_xlfn.XLOOKUP(A701,tblVendas[[#This Row],[NR_SIMULACAO]],tblVendas[[#This Row],[NR_CNPJ]],"")</f>
        <v>88.416.769/0001-45</v>
      </c>
      <c r="C701" t="str">
        <f>_xlfn.XLOOKUP(A701,tblVendas[[#This Row],[NR_SIMULACAO]],tblVendas[[#This Row],[STATUS]],"")</f>
        <v>PERDIDO</v>
      </c>
      <c r="D701" t="str">
        <f>_xlfn.XLOOKUP(A701,tblVendas[[#This Row],[NR_SIMULACAO]],tblVendas[[#This Row],[MES]],"")</f>
        <v>Novembro</v>
      </c>
      <c r="E701">
        <f>SUM(_xlfn.XLOOKUP(tblCalculo[[#This Row],[NR_SIMULACAO]],tblVendas[[#This Row],[NR_SIMULACAO]],tblVendas[[#This Row],[VALOR_MOVEL]],""):_xlfn.XLOOKUP(tblCalculo[[#This Row],[NR_SIMULACAO]],tblVendas[[#This Row],[NR_SIMULACAO]],tblVendas[[#This Row],[VALOR_APARELHO]],""))</f>
        <v>9580.5099999999984</v>
      </c>
      <c r="F701">
        <f>IF(tblCalculo[[#This Row],[STATUS]]="CONCLUÍDO",_xlfn.XLOOKUP(tblCalculo[[#This Row],[NR_SIMULACAO]],tblVendas[[#This Row],[NR_SIMULACAO]],tblVendas[[#This Row],[VALOR_MOVEL]],""),0)</f>
        <v>0</v>
      </c>
      <c r="G701">
        <f>IF(tblCalculo[[#This Row],[STATUS]]="CONCLUÍDO",_xlfn.XLOOKUP(tblCalculo[[#This Row],[NR_SIMULACAO]],tblVendas[[#This Row],[NR_SIMULACAO]],tblVendas[[#This Row],[VALOR_AVANCADO]],""),0)</f>
        <v>0</v>
      </c>
      <c r="H701">
        <f>IF(tblCalculo[[#This Row],[STATUS]]="CONCLUÍDO",_xlfn.XLOOKUP(tblCalculo[[#This Row],[NR_SIMULACAO]],tblVendas[[#This Row],[NR_SIMULACAO]],tblVendas[[#This Row],[VALOR_FIXABASICA]],""),0)</f>
        <v>0</v>
      </c>
      <c r="I701">
        <f>IF(tblCalculo[[#This Row],[STATUS]]="CONCLUÍDO",_xlfn.XLOOKUP(tblCalculo[[#This Row],[NR_SIMULACAO]],tblVendas[[#This Row],[NR_SIMULACAO]],tblVendas[[#This Row],[VALOR_TI]],""),0)</f>
        <v>0</v>
      </c>
      <c r="J701">
        <f>IF(tblCalculo[[#This Row],[STATUS]]="CONCLUÍDO",_xlfn.XLOOKUP(tblCalculo[[#This Row],[NR_SIMULACAO]],tblVendas[[#This Row],[NR_SIMULACAO]],tblVendas[[#This Row],[VALOR_APARELHO]],""),0)</f>
        <v>0</v>
      </c>
      <c r="K701" t="str">
        <f>IF(tblCalculo[[#This Row],[STATUS]]="NEGOCIANDO",tblCalculo[[#This Row],[VALOR_TOTAL]],"")</f>
        <v/>
      </c>
      <c r="L701" t="str">
        <f>IF(tblCalculo[[#This Row],[STATUS]]="ALÇADA",tblCalculo[[#This Row],[VALOR_TOTAL]],"")</f>
        <v/>
      </c>
      <c r="M701" t="str">
        <f>IF(tblCalculo[[#This Row],[STATUS]]="EM ANÁLISE",tblCalculo[[#This Row],[VALOR_TOTAL]],"")</f>
        <v/>
      </c>
      <c r="N701" t="str">
        <f>IF(tblCalculo[[#This Row],[STATUS]]="TRAMITANDO",tblCalculo[[#This Row],[VALOR_TOTAL]],"")</f>
        <v/>
      </c>
      <c r="O701">
        <f>IF(tblCalculo[[#This Row],[STATUS]]="PERDIDO",tblCalculo[[#This Row],[VALOR_TOTAL]],"")</f>
        <v>9580.5099999999984</v>
      </c>
      <c r="P701" t="str">
        <f>IF(tblCalculo[[#This Row],[STATUS]]="CONCLUÍDO",tblCalculo[[#This Row],[VALOR_TOTAL]],"")</f>
        <v/>
      </c>
    </row>
    <row r="702" spans="1:16" x14ac:dyDescent="0.25">
      <c r="A702" t="str">
        <f>tblVendas[[#This Row],[NR_SIMULACAO]]</f>
        <v>SIM1692</v>
      </c>
      <c r="B702" s="34" t="str">
        <f>_xlfn.XLOOKUP(A702,tblVendas[[#This Row],[NR_SIMULACAO]],tblVendas[[#This Row],[NR_CNPJ]],"")</f>
        <v>62.334.500/0001-38</v>
      </c>
      <c r="C702" t="str">
        <f>_xlfn.XLOOKUP(A702,tblVendas[[#This Row],[NR_SIMULACAO]],tblVendas[[#This Row],[STATUS]],"")</f>
        <v>ALÇADA</v>
      </c>
      <c r="D702" t="str">
        <f>_xlfn.XLOOKUP(A702,tblVendas[[#This Row],[NR_SIMULACAO]],tblVendas[[#This Row],[MES]],"")</f>
        <v>Fevereiro</v>
      </c>
      <c r="E702">
        <f>SUM(_xlfn.XLOOKUP(tblCalculo[[#This Row],[NR_SIMULACAO]],tblVendas[[#This Row],[NR_SIMULACAO]],tblVendas[[#This Row],[VALOR_MOVEL]],""):_xlfn.XLOOKUP(tblCalculo[[#This Row],[NR_SIMULACAO]],tblVendas[[#This Row],[NR_SIMULACAO]],tblVendas[[#This Row],[VALOR_APARELHO]],""))</f>
        <v>12739.02</v>
      </c>
      <c r="F702">
        <f>IF(tblCalculo[[#This Row],[STATUS]]="CONCLUÍDO",_xlfn.XLOOKUP(tblCalculo[[#This Row],[NR_SIMULACAO]],tblVendas[[#This Row],[NR_SIMULACAO]],tblVendas[[#This Row],[VALOR_MOVEL]],""),0)</f>
        <v>0</v>
      </c>
      <c r="G702">
        <f>IF(tblCalculo[[#This Row],[STATUS]]="CONCLUÍDO",_xlfn.XLOOKUP(tblCalculo[[#This Row],[NR_SIMULACAO]],tblVendas[[#This Row],[NR_SIMULACAO]],tblVendas[[#This Row],[VALOR_AVANCADO]],""),0)</f>
        <v>0</v>
      </c>
      <c r="H702">
        <f>IF(tblCalculo[[#This Row],[STATUS]]="CONCLUÍDO",_xlfn.XLOOKUP(tblCalculo[[#This Row],[NR_SIMULACAO]],tblVendas[[#This Row],[NR_SIMULACAO]],tblVendas[[#This Row],[VALOR_FIXABASICA]],""),0)</f>
        <v>0</v>
      </c>
      <c r="I702">
        <f>IF(tblCalculo[[#This Row],[STATUS]]="CONCLUÍDO",_xlfn.XLOOKUP(tblCalculo[[#This Row],[NR_SIMULACAO]],tblVendas[[#This Row],[NR_SIMULACAO]],tblVendas[[#This Row],[VALOR_TI]],""),0)</f>
        <v>0</v>
      </c>
      <c r="J702">
        <f>IF(tblCalculo[[#This Row],[STATUS]]="CONCLUÍDO",_xlfn.XLOOKUP(tblCalculo[[#This Row],[NR_SIMULACAO]],tblVendas[[#This Row],[NR_SIMULACAO]],tblVendas[[#This Row],[VALOR_APARELHO]],""),0)</f>
        <v>0</v>
      </c>
      <c r="K702" t="str">
        <f>IF(tblCalculo[[#This Row],[STATUS]]="NEGOCIANDO",tblCalculo[[#This Row],[VALOR_TOTAL]],"")</f>
        <v/>
      </c>
      <c r="L702">
        <f>IF(tblCalculo[[#This Row],[STATUS]]="ALÇADA",tblCalculo[[#This Row],[VALOR_TOTAL]],"")</f>
        <v>12739.02</v>
      </c>
      <c r="M702" t="str">
        <f>IF(tblCalculo[[#This Row],[STATUS]]="EM ANÁLISE",tblCalculo[[#This Row],[VALOR_TOTAL]],"")</f>
        <v/>
      </c>
      <c r="N702" t="str">
        <f>IF(tblCalculo[[#This Row],[STATUS]]="TRAMITANDO",tblCalculo[[#This Row],[VALOR_TOTAL]],"")</f>
        <v/>
      </c>
      <c r="O702" t="str">
        <f>IF(tblCalculo[[#This Row],[STATUS]]="PERDIDO",tblCalculo[[#This Row],[VALOR_TOTAL]],"")</f>
        <v/>
      </c>
      <c r="P702" t="str">
        <f>IF(tblCalculo[[#This Row],[STATUS]]="CONCLUÍDO",tblCalculo[[#This Row],[VALOR_TOTAL]],"")</f>
        <v/>
      </c>
    </row>
    <row r="703" spans="1:16" x14ac:dyDescent="0.25">
      <c r="A703" t="str">
        <f>tblVendas[[#This Row],[NR_SIMULACAO]]</f>
        <v>SIM1693</v>
      </c>
      <c r="B703" s="34" t="str">
        <f>_xlfn.XLOOKUP(A703,tblVendas[[#This Row],[NR_SIMULACAO]],tblVendas[[#This Row],[NR_CNPJ]],"")</f>
        <v>41.165.916/0001-90</v>
      </c>
      <c r="C703" t="str">
        <f>_xlfn.XLOOKUP(A703,tblVendas[[#This Row],[NR_SIMULACAO]],tblVendas[[#This Row],[STATUS]],"")</f>
        <v>ALÇADA</v>
      </c>
      <c r="D703" t="str">
        <f>_xlfn.XLOOKUP(A703,tblVendas[[#This Row],[NR_SIMULACAO]],tblVendas[[#This Row],[MES]],"")</f>
        <v>Fevereiro</v>
      </c>
      <c r="E703">
        <f>SUM(_xlfn.XLOOKUP(tblCalculo[[#This Row],[NR_SIMULACAO]],tblVendas[[#This Row],[NR_SIMULACAO]],tblVendas[[#This Row],[VALOR_MOVEL]],""):_xlfn.XLOOKUP(tblCalculo[[#This Row],[NR_SIMULACAO]],tblVendas[[#This Row],[NR_SIMULACAO]],tblVendas[[#This Row],[VALOR_APARELHO]],""))</f>
        <v>15184.670000000002</v>
      </c>
      <c r="F703">
        <f>IF(tblCalculo[[#This Row],[STATUS]]="CONCLUÍDO",_xlfn.XLOOKUP(tblCalculo[[#This Row],[NR_SIMULACAO]],tblVendas[[#This Row],[NR_SIMULACAO]],tblVendas[[#This Row],[VALOR_MOVEL]],""),0)</f>
        <v>0</v>
      </c>
      <c r="G703">
        <f>IF(tblCalculo[[#This Row],[STATUS]]="CONCLUÍDO",_xlfn.XLOOKUP(tblCalculo[[#This Row],[NR_SIMULACAO]],tblVendas[[#This Row],[NR_SIMULACAO]],tblVendas[[#This Row],[VALOR_AVANCADO]],""),0)</f>
        <v>0</v>
      </c>
      <c r="H703">
        <f>IF(tblCalculo[[#This Row],[STATUS]]="CONCLUÍDO",_xlfn.XLOOKUP(tblCalculo[[#This Row],[NR_SIMULACAO]],tblVendas[[#This Row],[NR_SIMULACAO]],tblVendas[[#This Row],[VALOR_FIXABASICA]],""),0)</f>
        <v>0</v>
      </c>
      <c r="I703">
        <f>IF(tblCalculo[[#This Row],[STATUS]]="CONCLUÍDO",_xlfn.XLOOKUP(tblCalculo[[#This Row],[NR_SIMULACAO]],tblVendas[[#This Row],[NR_SIMULACAO]],tblVendas[[#This Row],[VALOR_TI]],""),0)</f>
        <v>0</v>
      </c>
      <c r="J703">
        <f>IF(tblCalculo[[#This Row],[STATUS]]="CONCLUÍDO",_xlfn.XLOOKUP(tblCalculo[[#This Row],[NR_SIMULACAO]],tblVendas[[#This Row],[NR_SIMULACAO]],tblVendas[[#This Row],[VALOR_APARELHO]],""),0)</f>
        <v>0</v>
      </c>
      <c r="K703" t="str">
        <f>IF(tblCalculo[[#This Row],[STATUS]]="NEGOCIANDO",tblCalculo[[#This Row],[VALOR_TOTAL]],"")</f>
        <v/>
      </c>
      <c r="L703">
        <f>IF(tblCalculo[[#This Row],[STATUS]]="ALÇADA",tblCalculo[[#This Row],[VALOR_TOTAL]],"")</f>
        <v>15184.670000000002</v>
      </c>
      <c r="M703" t="str">
        <f>IF(tblCalculo[[#This Row],[STATUS]]="EM ANÁLISE",tblCalculo[[#This Row],[VALOR_TOTAL]],"")</f>
        <v/>
      </c>
      <c r="N703" t="str">
        <f>IF(tblCalculo[[#This Row],[STATUS]]="TRAMITANDO",tblCalculo[[#This Row],[VALOR_TOTAL]],"")</f>
        <v/>
      </c>
      <c r="O703" t="str">
        <f>IF(tblCalculo[[#This Row],[STATUS]]="PERDIDO",tblCalculo[[#This Row],[VALOR_TOTAL]],"")</f>
        <v/>
      </c>
      <c r="P703" t="str">
        <f>IF(tblCalculo[[#This Row],[STATUS]]="CONCLUÍDO",tblCalculo[[#This Row],[VALOR_TOTAL]],"")</f>
        <v/>
      </c>
    </row>
    <row r="704" spans="1:16" x14ac:dyDescent="0.25">
      <c r="A704" t="str">
        <f>tblVendas[[#This Row],[NR_SIMULACAO]]</f>
        <v>SIM1694</v>
      </c>
      <c r="B704" s="34" t="str">
        <f>_xlfn.XLOOKUP(A704,tblVendas[[#This Row],[NR_SIMULACAO]],tblVendas[[#This Row],[NR_CNPJ]],"")</f>
        <v>29.508.509/0001-48</v>
      </c>
      <c r="C704" t="str">
        <f>_xlfn.XLOOKUP(A704,tblVendas[[#This Row],[NR_SIMULACAO]],tblVendas[[#This Row],[STATUS]],"")</f>
        <v>EM ANÁLISE</v>
      </c>
      <c r="D704" t="str">
        <f>_xlfn.XLOOKUP(A704,tblVendas[[#This Row],[NR_SIMULACAO]],tblVendas[[#This Row],[MES]],"")</f>
        <v>Julho</v>
      </c>
      <c r="E704">
        <f>SUM(_xlfn.XLOOKUP(tblCalculo[[#This Row],[NR_SIMULACAO]],tblVendas[[#This Row],[NR_SIMULACAO]],tblVendas[[#This Row],[VALOR_MOVEL]],""):_xlfn.XLOOKUP(tblCalculo[[#This Row],[NR_SIMULACAO]],tblVendas[[#This Row],[NR_SIMULACAO]],tblVendas[[#This Row],[VALOR_APARELHO]],""))</f>
        <v>7792.32</v>
      </c>
      <c r="F704">
        <f>IF(tblCalculo[[#This Row],[STATUS]]="CONCLUÍDO",_xlfn.XLOOKUP(tblCalculo[[#This Row],[NR_SIMULACAO]],tblVendas[[#This Row],[NR_SIMULACAO]],tblVendas[[#This Row],[VALOR_MOVEL]],""),0)</f>
        <v>0</v>
      </c>
      <c r="G704">
        <f>IF(tblCalculo[[#This Row],[STATUS]]="CONCLUÍDO",_xlfn.XLOOKUP(tblCalculo[[#This Row],[NR_SIMULACAO]],tblVendas[[#This Row],[NR_SIMULACAO]],tblVendas[[#This Row],[VALOR_AVANCADO]],""),0)</f>
        <v>0</v>
      </c>
      <c r="H704">
        <f>IF(tblCalculo[[#This Row],[STATUS]]="CONCLUÍDO",_xlfn.XLOOKUP(tblCalculo[[#This Row],[NR_SIMULACAO]],tblVendas[[#This Row],[NR_SIMULACAO]],tblVendas[[#This Row],[VALOR_FIXABASICA]],""),0)</f>
        <v>0</v>
      </c>
      <c r="I704">
        <f>IF(tblCalculo[[#This Row],[STATUS]]="CONCLUÍDO",_xlfn.XLOOKUP(tblCalculo[[#This Row],[NR_SIMULACAO]],tblVendas[[#This Row],[NR_SIMULACAO]],tblVendas[[#This Row],[VALOR_TI]],""),0)</f>
        <v>0</v>
      </c>
      <c r="J704">
        <f>IF(tblCalculo[[#This Row],[STATUS]]="CONCLUÍDO",_xlfn.XLOOKUP(tblCalculo[[#This Row],[NR_SIMULACAO]],tblVendas[[#This Row],[NR_SIMULACAO]],tblVendas[[#This Row],[VALOR_APARELHO]],""),0)</f>
        <v>0</v>
      </c>
      <c r="K704" t="str">
        <f>IF(tblCalculo[[#This Row],[STATUS]]="NEGOCIANDO",tblCalculo[[#This Row],[VALOR_TOTAL]],"")</f>
        <v/>
      </c>
      <c r="L704" t="str">
        <f>IF(tblCalculo[[#This Row],[STATUS]]="ALÇADA",tblCalculo[[#This Row],[VALOR_TOTAL]],"")</f>
        <v/>
      </c>
      <c r="M704">
        <f>IF(tblCalculo[[#This Row],[STATUS]]="EM ANÁLISE",tblCalculo[[#This Row],[VALOR_TOTAL]],"")</f>
        <v>7792.32</v>
      </c>
      <c r="N704" t="str">
        <f>IF(tblCalculo[[#This Row],[STATUS]]="TRAMITANDO",tblCalculo[[#This Row],[VALOR_TOTAL]],"")</f>
        <v/>
      </c>
      <c r="O704" t="str">
        <f>IF(tblCalculo[[#This Row],[STATUS]]="PERDIDO",tblCalculo[[#This Row],[VALOR_TOTAL]],"")</f>
        <v/>
      </c>
      <c r="P704" t="str">
        <f>IF(tblCalculo[[#This Row],[STATUS]]="CONCLUÍDO",tblCalculo[[#This Row],[VALOR_TOTAL]],"")</f>
        <v/>
      </c>
    </row>
    <row r="705" spans="1:16" x14ac:dyDescent="0.25">
      <c r="A705" t="str">
        <f>tblVendas[[#This Row],[NR_SIMULACAO]]</f>
        <v>SIM1695</v>
      </c>
      <c r="B705" s="34" t="str">
        <f>_xlfn.XLOOKUP(A705,tblVendas[[#This Row],[NR_SIMULACAO]],tblVendas[[#This Row],[NR_CNPJ]],"")</f>
        <v>51.509.753/0001-88</v>
      </c>
      <c r="C705" t="str">
        <f>_xlfn.XLOOKUP(A705,tblVendas[[#This Row],[NR_SIMULACAO]],tblVendas[[#This Row],[STATUS]],"")</f>
        <v>NEGOCIANDO</v>
      </c>
      <c r="D705" t="str">
        <f>_xlfn.XLOOKUP(A705,tblVendas[[#This Row],[NR_SIMULACAO]],tblVendas[[#This Row],[MES]],"")</f>
        <v>Março</v>
      </c>
      <c r="E705">
        <f>SUM(_xlfn.XLOOKUP(tblCalculo[[#This Row],[NR_SIMULACAO]],tblVendas[[#This Row],[NR_SIMULACAO]],tblVendas[[#This Row],[VALOR_MOVEL]],""):_xlfn.XLOOKUP(tblCalculo[[#This Row],[NR_SIMULACAO]],tblVendas[[#This Row],[NR_SIMULACAO]],tblVendas[[#This Row],[VALOR_APARELHO]],""))</f>
        <v>13406.13</v>
      </c>
      <c r="F705">
        <f>IF(tblCalculo[[#This Row],[STATUS]]="CONCLUÍDO",_xlfn.XLOOKUP(tblCalculo[[#This Row],[NR_SIMULACAO]],tblVendas[[#This Row],[NR_SIMULACAO]],tblVendas[[#This Row],[VALOR_MOVEL]],""),0)</f>
        <v>0</v>
      </c>
      <c r="G705">
        <f>IF(tblCalculo[[#This Row],[STATUS]]="CONCLUÍDO",_xlfn.XLOOKUP(tblCalculo[[#This Row],[NR_SIMULACAO]],tblVendas[[#This Row],[NR_SIMULACAO]],tblVendas[[#This Row],[VALOR_AVANCADO]],""),0)</f>
        <v>0</v>
      </c>
      <c r="H705">
        <f>IF(tblCalculo[[#This Row],[STATUS]]="CONCLUÍDO",_xlfn.XLOOKUP(tblCalculo[[#This Row],[NR_SIMULACAO]],tblVendas[[#This Row],[NR_SIMULACAO]],tblVendas[[#This Row],[VALOR_FIXABASICA]],""),0)</f>
        <v>0</v>
      </c>
      <c r="I705">
        <f>IF(tblCalculo[[#This Row],[STATUS]]="CONCLUÍDO",_xlfn.XLOOKUP(tblCalculo[[#This Row],[NR_SIMULACAO]],tblVendas[[#This Row],[NR_SIMULACAO]],tblVendas[[#This Row],[VALOR_TI]],""),0)</f>
        <v>0</v>
      </c>
      <c r="J705">
        <f>IF(tblCalculo[[#This Row],[STATUS]]="CONCLUÍDO",_xlfn.XLOOKUP(tblCalculo[[#This Row],[NR_SIMULACAO]],tblVendas[[#This Row],[NR_SIMULACAO]],tblVendas[[#This Row],[VALOR_APARELHO]],""),0)</f>
        <v>0</v>
      </c>
      <c r="K705">
        <f>IF(tblCalculo[[#This Row],[STATUS]]="NEGOCIANDO",tblCalculo[[#This Row],[VALOR_TOTAL]],"")</f>
        <v>13406.13</v>
      </c>
      <c r="L705" t="str">
        <f>IF(tblCalculo[[#This Row],[STATUS]]="ALÇADA",tblCalculo[[#This Row],[VALOR_TOTAL]],"")</f>
        <v/>
      </c>
      <c r="M705" t="str">
        <f>IF(tblCalculo[[#This Row],[STATUS]]="EM ANÁLISE",tblCalculo[[#This Row],[VALOR_TOTAL]],"")</f>
        <v/>
      </c>
      <c r="N705" t="str">
        <f>IF(tblCalculo[[#This Row],[STATUS]]="TRAMITANDO",tblCalculo[[#This Row],[VALOR_TOTAL]],"")</f>
        <v/>
      </c>
      <c r="O705" t="str">
        <f>IF(tblCalculo[[#This Row],[STATUS]]="PERDIDO",tblCalculo[[#This Row],[VALOR_TOTAL]],"")</f>
        <v/>
      </c>
      <c r="P705" t="str">
        <f>IF(tblCalculo[[#This Row],[STATUS]]="CONCLUÍDO",tblCalculo[[#This Row],[VALOR_TOTAL]],"")</f>
        <v/>
      </c>
    </row>
    <row r="706" spans="1:16" x14ac:dyDescent="0.25">
      <c r="A706" t="str">
        <f>tblVendas[[#This Row],[NR_SIMULACAO]]</f>
        <v>SIM1696</v>
      </c>
      <c r="B706" s="34" t="str">
        <f>_xlfn.XLOOKUP(A706,tblVendas[[#This Row],[NR_SIMULACAO]],tblVendas[[#This Row],[NR_CNPJ]],"")</f>
        <v>65.534.705/0001-36</v>
      </c>
      <c r="C706" t="str">
        <f>_xlfn.XLOOKUP(A706,tblVendas[[#This Row],[NR_SIMULACAO]],tblVendas[[#This Row],[STATUS]],"")</f>
        <v>NEGOCIANDO</v>
      </c>
      <c r="D706" t="str">
        <f>_xlfn.XLOOKUP(A706,tblVendas[[#This Row],[NR_SIMULACAO]],tblVendas[[#This Row],[MES]],"")</f>
        <v>Maio</v>
      </c>
      <c r="E706">
        <f>SUM(_xlfn.XLOOKUP(tblCalculo[[#This Row],[NR_SIMULACAO]],tblVendas[[#This Row],[NR_SIMULACAO]],tblVendas[[#This Row],[VALOR_MOVEL]],""):_xlfn.XLOOKUP(tblCalculo[[#This Row],[NR_SIMULACAO]],tblVendas[[#This Row],[NR_SIMULACAO]],tblVendas[[#This Row],[VALOR_APARELHO]],""))</f>
        <v>846.91</v>
      </c>
      <c r="F706">
        <f>IF(tblCalculo[[#This Row],[STATUS]]="CONCLUÍDO",_xlfn.XLOOKUP(tblCalculo[[#This Row],[NR_SIMULACAO]],tblVendas[[#This Row],[NR_SIMULACAO]],tblVendas[[#This Row],[VALOR_MOVEL]],""),0)</f>
        <v>0</v>
      </c>
      <c r="G706">
        <f>IF(tblCalculo[[#This Row],[STATUS]]="CONCLUÍDO",_xlfn.XLOOKUP(tblCalculo[[#This Row],[NR_SIMULACAO]],tblVendas[[#This Row],[NR_SIMULACAO]],tblVendas[[#This Row],[VALOR_AVANCADO]],""),0)</f>
        <v>0</v>
      </c>
      <c r="H706">
        <f>IF(tblCalculo[[#This Row],[STATUS]]="CONCLUÍDO",_xlfn.XLOOKUP(tblCalculo[[#This Row],[NR_SIMULACAO]],tblVendas[[#This Row],[NR_SIMULACAO]],tblVendas[[#This Row],[VALOR_FIXABASICA]],""),0)</f>
        <v>0</v>
      </c>
      <c r="I706">
        <f>IF(tblCalculo[[#This Row],[STATUS]]="CONCLUÍDO",_xlfn.XLOOKUP(tblCalculo[[#This Row],[NR_SIMULACAO]],tblVendas[[#This Row],[NR_SIMULACAO]],tblVendas[[#This Row],[VALOR_TI]],""),0)</f>
        <v>0</v>
      </c>
      <c r="J706">
        <f>IF(tblCalculo[[#This Row],[STATUS]]="CONCLUÍDO",_xlfn.XLOOKUP(tblCalculo[[#This Row],[NR_SIMULACAO]],tblVendas[[#This Row],[NR_SIMULACAO]],tblVendas[[#This Row],[VALOR_APARELHO]],""),0)</f>
        <v>0</v>
      </c>
      <c r="K706">
        <f>IF(tblCalculo[[#This Row],[STATUS]]="NEGOCIANDO",tblCalculo[[#This Row],[VALOR_TOTAL]],"")</f>
        <v>846.91</v>
      </c>
      <c r="L706" t="str">
        <f>IF(tblCalculo[[#This Row],[STATUS]]="ALÇADA",tblCalculo[[#This Row],[VALOR_TOTAL]],"")</f>
        <v/>
      </c>
      <c r="M706" t="str">
        <f>IF(tblCalculo[[#This Row],[STATUS]]="EM ANÁLISE",tblCalculo[[#This Row],[VALOR_TOTAL]],"")</f>
        <v/>
      </c>
      <c r="N706" t="str">
        <f>IF(tblCalculo[[#This Row],[STATUS]]="TRAMITANDO",tblCalculo[[#This Row],[VALOR_TOTAL]],"")</f>
        <v/>
      </c>
      <c r="O706" t="str">
        <f>IF(tblCalculo[[#This Row],[STATUS]]="PERDIDO",tblCalculo[[#This Row],[VALOR_TOTAL]],"")</f>
        <v/>
      </c>
      <c r="P706" t="str">
        <f>IF(tblCalculo[[#This Row],[STATUS]]="CONCLUÍDO",tblCalculo[[#This Row],[VALOR_TOTAL]],"")</f>
        <v/>
      </c>
    </row>
    <row r="707" spans="1:16" x14ac:dyDescent="0.25">
      <c r="A707" t="str">
        <f>tblVendas[[#This Row],[NR_SIMULACAO]]</f>
        <v>SIM1697</v>
      </c>
      <c r="B707" s="34" t="str">
        <f>_xlfn.XLOOKUP(A707,tblVendas[[#This Row],[NR_SIMULACAO]],tblVendas[[#This Row],[NR_CNPJ]],"")</f>
        <v>47.196.770/0001-80</v>
      </c>
      <c r="C707" t="str">
        <f>_xlfn.XLOOKUP(A707,tblVendas[[#This Row],[NR_SIMULACAO]],tblVendas[[#This Row],[STATUS]],"")</f>
        <v>NEGOCIANDO</v>
      </c>
      <c r="D707" t="str">
        <f>_xlfn.XLOOKUP(A707,tblVendas[[#This Row],[NR_SIMULACAO]],tblVendas[[#This Row],[MES]],"")</f>
        <v>Julho</v>
      </c>
      <c r="E707">
        <f>SUM(_xlfn.XLOOKUP(tblCalculo[[#This Row],[NR_SIMULACAO]],tblVendas[[#This Row],[NR_SIMULACAO]],tblVendas[[#This Row],[VALOR_MOVEL]],""):_xlfn.XLOOKUP(tblCalculo[[#This Row],[NR_SIMULACAO]],tblVendas[[#This Row],[NR_SIMULACAO]],tblVendas[[#This Row],[VALOR_APARELHO]],""))</f>
        <v>19035.939999999999</v>
      </c>
      <c r="F707">
        <f>IF(tblCalculo[[#This Row],[STATUS]]="CONCLUÍDO",_xlfn.XLOOKUP(tblCalculo[[#This Row],[NR_SIMULACAO]],tblVendas[[#This Row],[NR_SIMULACAO]],tblVendas[[#This Row],[VALOR_MOVEL]],""),0)</f>
        <v>0</v>
      </c>
      <c r="G707">
        <f>IF(tblCalculo[[#This Row],[STATUS]]="CONCLUÍDO",_xlfn.XLOOKUP(tblCalculo[[#This Row],[NR_SIMULACAO]],tblVendas[[#This Row],[NR_SIMULACAO]],tblVendas[[#This Row],[VALOR_AVANCADO]],""),0)</f>
        <v>0</v>
      </c>
      <c r="H707">
        <f>IF(tblCalculo[[#This Row],[STATUS]]="CONCLUÍDO",_xlfn.XLOOKUP(tblCalculo[[#This Row],[NR_SIMULACAO]],tblVendas[[#This Row],[NR_SIMULACAO]],tblVendas[[#This Row],[VALOR_FIXABASICA]],""),0)</f>
        <v>0</v>
      </c>
      <c r="I707">
        <f>IF(tblCalculo[[#This Row],[STATUS]]="CONCLUÍDO",_xlfn.XLOOKUP(tblCalculo[[#This Row],[NR_SIMULACAO]],tblVendas[[#This Row],[NR_SIMULACAO]],tblVendas[[#This Row],[VALOR_TI]],""),0)</f>
        <v>0</v>
      </c>
      <c r="J707">
        <f>IF(tblCalculo[[#This Row],[STATUS]]="CONCLUÍDO",_xlfn.XLOOKUP(tblCalculo[[#This Row],[NR_SIMULACAO]],tblVendas[[#This Row],[NR_SIMULACAO]],tblVendas[[#This Row],[VALOR_APARELHO]],""),0)</f>
        <v>0</v>
      </c>
      <c r="K707">
        <f>IF(tblCalculo[[#This Row],[STATUS]]="NEGOCIANDO",tblCalculo[[#This Row],[VALOR_TOTAL]],"")</f>
        <v>19035.939999999999</v>
      </c>
      <c r="L707" t="str">
        <f>IF(tblCalculo[[#This Row],[STATUS]]="ALÇADA",tblCalculo[[#This Row],[VALOR_TOTAL]],"")</f>
        <v/>
      </c>
      <c r="M707" t="str">
        <f>IF(tblCalculo[[#This Row],[STATUS]]="EM ANÁLISE",tblCalculo[[#This Row],[VALOR_TOTAL]],"")</f>
        <v/>
      </c>
      <c r="N707" t="str">
        <f>IF(tblCalculo[[#This Row],[STATUS]]="TRAMITANDO",tblCalculo[[#This Row],[VALOR_TOTAL]],"")</f>
        <v/>
      </c>
      <c r="O707" t="str">
        <f>IF(tblCalculo[[#This Row],[STATUS]]="PERDIDO",tblCalculo[[#This Row],[VALOR_TOTAL]],"")</f>
        <v/>
      </c>
      <c r="P707" t="str">
        <f>IF(tblCalculo[[#This Row],[STATUS]]="CONCLUÍDO",tblCalculo[[#This Row],[VALOR_TOTAL]],"")</f>
        <v/>
      </c>
    </row>
    <row r="708" spans="1:16" x14ac:dyDescent="0.25">
      <c r="A708" t="str">
        <f>tblVendas[[#This Row],[NR_SIMULACAO]]</f>
        <v>SIM1698</v>
      </c>
      <c r="B708" s="34" t="str">
        <f>_xlfn.XLOOKUP(A708,tblVendas[[#This Row],[NR_SIMULACAO]],tblVendas[[#This Row],[NR_CNPJ]],"")</f>
        <v>89.750.867/0001-24</v>
      </c>
      <c r="C708" t="str">
        <f>_xlfn.XLOOKUP(A708,tblVendas[[#This Row],[NR_SIMULACAO]],tblVendas[[#This Row],[STATUS]],"")</f>
        <v>TRAMITANDO</v>
      </c>
      <c r="D708" t="str">
        <f>_xlfn.XLOOKUP(A708,tblVendas[[#This Row],[NR_SIMULACAO]],tblVendas[[#This Row],[MES]],"")</f>
        <v>Novembro</v>
      </c>
      <c r="E708">
        <f>SUM(_xlfn.XLOOKUP(tblCalculo[[#This Row],[NR_SIMULACAO]],tblVendas[[#This Row],[NR_SIMULACAO]],tblVendas[[#This Row],[VALOR_MOVEL]],""):_xlfn.XLOOKUP(tblCalculo[[#This Row],[NR_SIMULACAO]],tblVendas[[#This Row],[NR_SIMULACAO]],tblVendas[[#This Row],[VALOR_APARELHO]],""))</f>
        <v>9720.2000000000007</v>
      </c>
      <c r="F708">
        <f>IF(tblCalculo[[#This Row],[STATUS]]="CONCLUÍDO",_xlfn.XLOOKUP(tblCalculo[[#This Row],[NR_SIMULACAO]],tblVendas[[#This Row],[NR_SIMULACAO]],tblVendas[[#This Row],[VALOR_MOVEL]],""),0)</f>
        <v>0</v>
      </c>
      <c r="G708">
        <f>IF(tblCalculo[[#This Row],[STATUS]]="CONCLUÍDO",_xlfn.XLOOKUP(tblCalculo[[#This Row],[NR_SIMULACAO]],tblVendas[[#This Row],[NR_SIMULACAO]],tblVendas[[#This Row],[VALOR_AVANCADO]],""),0)</f>
        <v>0</v>
      </c>
      <c r="H708">
        <f>IF(tblCalculo[[#This Row],[STATUS]]="CONCLUÍDO",_xlfn.XLOOKUP(tblCalculo[[#This Row],[NR_SIMULACAO]],tblVendas[[#This Row],[NR_SIMULACAO]],tblVendas[[#This Row],[VALOR_FIXABASICA]],""),0)</f>
        <v>0</v>
      </c>
      <c r="I708">
        <f>IF(tblCalculo[[#This Row],[STATUS]]="CONCLUÍDO",_xlfn.XLOOKUP(tblCalculo[[#This Row],[NR_SIMULACAO]],tblVendas[[#This Row],[NR_SIMULACAO]],tblVendas[[#This Row],[VALOR_TI]],""),0)</f>
        <v>0</v>
      </c>
      <c r="J708">
        <f>IF(tblCalculo[[#This Row],[STATUS]]="CONCLUÍDO",_xlfn.XLOOKUP(tblCalculo[[#This Row],[NR_SIMULACAO]],tblVendas[[#This Row],[NR_SIMULACAO]],tblVendas[[#This Row],[VALOR_APARELHO]],""),0)</f>
        <v>0</v>
      </c>
      <c r="K708" t="str">
        <f>IF(tblCalculo[[#This Row],[STATUS]]="NEGOCIANDO",tblCalculo[[#This Row],[VALOR_TOTAL]],"")</f>
        <v/>
      </c>
      <c r="L708" t="str">
        <f>IF(tblCalculo[[#This Row],[STATUS]]="ALÇADA",tblCalculo[[#This Row],[VALOR_TOTAL]],"")</f>
        <v/>
      </c>
      <c r="M708" t="str">
        <f>IF(tblCalculo[[#This Row],[STATUS]]="EM ANÁLISE",tblCalculo[[#This Row],[VALOR_TOTAL]],"")</f>
        <v/>
      </c>
      <c r="N708">
        <f>IF(tblCalculo[[#This Row],[STATUS]]="TRAMITANDO",tblCalculo[[#This Row],[VALOR_TOTAL]],"")</f>
        <v>9720.2000000000007</v>
      </c>
      <c r="O708" t="str">
        <f>IF(tblCalculo[[#This Row],[STATUS]]="PERDIDO",tblCalculo[[#This Row],[VALOR_TOTAL]],"")</f>
        <v/>
      </c>
      <c r="P708" t="str">
        <f>IF(tblCalculo[[#This Row],[STATUS]]="CONCLUÍDO",tblCalculo[[#This Row],[VALOR_TOTAL]],"")</f>
        <v/>
      </c>
    </row>
    <row r="709" spans="1:16" x14ac:dyDescent="0.25">
      <c r="A709" t="str">
        <f>tblVendas[[#This Row],[NR_SIMULACAO]]</f>
        <v>SIM1699</v>
      </c>
      <c r="B709" s="34" t="str">
        <f>_xlfn.XLOOKUP(A709,tblVendas[[#This Row],[NR_SIMULACAO]],tblVendas[[#This Row],[NR_CNPJ]],"")</f>
        <v>24.559.860/0001-18</v>
      </c>
      <c r="C709" t="str">
        <f>_xlfn.XLOOKUP(A709,tblVendas[[#This Row],[NR_SIMULACAO]],tblVendas[[#This Row],[STATUS]],"")</f>
        <v>ALÇADA</v>
      </c>
      <c r="D709" t="str">
        <f>_xlfn.XLOOKUP(A709,tblVendas[[#This Row],[NR_SIMULACAO]],tblVendas[[#This Row],[MES]],"")</f>
        <v>Janeiro</v>
      </c>
      <c r="E709">
        <f>SUM(_xlfn.XLOOKUP(tblCalculo[[#This Row],[NR_SIMULACAO]],tblVendas[[#This Row],[NR_SIMULACAO]],tblVendas[[#This Row],[VALOR_MOVEL]],""):_xlfn.XLOOKUP(tblCalculo[[#This Row],[NR_SIMULACAO]],tblVendas[[#This Row],[NR_SIMULACAO]],tblVendas[[#This Row],[VALOR_APARELHO]],""))</f>
        <v>15227.86</v>
      </c>
      <c r="F709">
        <f>IF(tblCalculo[[#This Row],[STATUS]]="CONCLUÍDO",_xlfn.XLOOKUP(tblCalculo[[#This Row],[NR_SIMULACAO]],tblVendas[[#This Row],[NR_SIMULACAO]],tblVendas[[#This Row],[VALOR_MOVEL]],""),0)</f>
        <v>0</v>
      </c>
      <c r="G709">
        <f>IF(tblCalculo[[#This Row],[STATUS]]="CONCLUÍDO",_xlfn.XLOOKUP(tblCalculo[[#This Row],[NR_SIMULACAO]],tblVendas[[#This Row],[NR_SIMULACAO]],tblVendas[[#This Row],[VALOR_AVANCADO]],""),0)</f>
        <v>0</v>
      </c>
      <c r="H709">
        <f>IF(tblCalculo[[#This Row],[STATUS]]="CONCLUÍDO",_xlfn.XLOOKUP(tblCalculo[[#This Row],[NR_SIMULACAO]],tblVendas[[#This Row],[NR_SIMULACAO]],tblVendas[[#This Row],[VALOR_FIXABASICA]],""),0)</f>
        <v>0</v>
      </c>
      <c r="I709">
        <f>IF(tblCalculo[[#This Row],[STATUS]]="CONCLUÍDO",_xlfn.XLOOKUP(tblCalculo[[#This Row],[NR_SIMULACAO]],tblVendas[[#This Row],[NR_SIMULACAO]],tblVendas[[#This Row],[VALOR_TI]],""),0)</f>
        <v>0</v>
      </c>
      <c r="J709">
        <f>IF(tblCalculo[[#This Row],[STATUS]]="CONCLUÍDO",_xlfn.XLOOKUP(tblCalculo[[#This Row],[NR_SIMULACAO]],tblVendas[[#This Row],[NR_SIMULACAO]],tblVendas[[#This Row],[VALOR_APARELHO]],""),0)</f>
        <v>0</v>
      </c>
      <c r="K709" t="str">
        <f>IF(tblCalculo[[#This Row],[STATUS]]="NEGOCIANDO",tblCalculo[[#This Row],[VALOR_TOTAL]],"")</f>
        <v/>
      </c>
      <c r="L709">
        <f>IF(tblCalculo[[#This Row],[STATUS]]="ALÇADA",tblCalculo[[#This Row],[VALOR_TOTAL]],"")</f>
        <v>15227.86</v>
      </c>
      <c r="M709" t="str">
        <f>IF(tblCalculo[[#This Row],[STATUS]]="EM ANÁLISE",tblCalculo[[#This Row],[VALOR_TOTAL]],"")</f>
        <v/>
      </c>
      <c r="N709" t="str">
        <f>IF(tblCalculo[[#This Row],[STATUS]]="TRAMITANDO",tblCalculo[[#This Row],[VALOR_TOTAL]],"")</f>
        <v/>
      </c>
      <c r="O709" t="str">
        <f>IF(tblCalculo[[#This Row],[STATUS]]="PERDIDO",tblCalculo[[#This Row],[VALOR_TOTAL]],"")</f>
        <v/>
      </c>
      <c r="P709" t="str">
        <f>IF(tblCalculo[[#This Row],[STATUS]]="CONCLUÍDO",tblCalculo[[#This Row],[VALOR_TOTAL]],"")</f>
        <v/>
      </c>
    </row>
    <row r="710" spans="1:16" x14ac:dyDescent="0.25">
      <c r="A710" t="str">
        <f>tblVendas[[#This Row],[NR_SIMULACAO]]</f>
        <v>SIM1700</v>
      </c>
      <c r="B710" s="34" t="str">
        <f>_xlfn.XLOOKUP(A710,tblVendas[[#This Row],[NR_SIMULACAO]],tblVendas[[#This Row],[NR_CNPJ]],"")</f>
        <v>61.337.896/0001-98</v>
      </c>
      <c r="C710" t="str">
        <f>_xlfn.XLOOKUP(A710,tblVendas[[#This Row],[NR_SIMULACAO]],tblVendas[[#This Row],[STATUS]],"")</f>
        <v>ALÇADA</v>
      </c>
      <c r="D710" t="str">
        <f>_xlfn.XLOOKUP(A710,tblVendas[[#This Row],[NR_SIMULACAO]],tblVendas[[#This Row],[MES]],"")</f>
        <v>Dezembro</v>
      </c>
      <c r="E710">
        <f>SUM(_xlfn.XLOOKUP(tblCalculo[[#This Row],[NR_SIMULACAO]],tblVendas[[#This Row],[NR_SIMULACAO]],tblVendas[[#This Row],[VALOR_MOVEL]],""):_xlfn.XLOOKUP(tblCalculo[[#This Row],[NR_SIMULACAO]],tblVendas[[#This Row],[NR_SIMULACAO]],tblVendas[[#This Row],[VALOR_APARELHO]],""))</f>
        <v>2851.84</v>
      </c>
      <c r="F710">
        <f>IF(tblCalculo[[#This Row],[STATUS]]="CONCLUÍDO",_xlfn.XLOOKUP(tblCalculo[[#This Row],[NR_SIMULACAO]],tblVendas[[#This Row],[NR_SIMULACAO]],tblVendas[[#This Row],[VALOR_MOVEL]],""),0)</f>
        <v>0</v>
      </c>
      <c r="G710">
        <f>IF(tblCalculo[[#This Row],[STATUS]]="CONCLUÍDO",_xlfn.XLOOKUP(tblCalculo[[#This Row],[NR_SIMULACAO]],tblVendas[[#This Row],[NR_SIMULACAO]],tblVendas[[#This Row],[VALOR_AVANCADO]],""),0)</f>
        <v>0</v>
      </c>
      <c r="H710">
        <f>IF(tblCalculo[[#This Row],[STATUS]]="CONCLUÍDO",_xlfn.XLOOKUP(tblCalculo[[#This Row],[NR_SIMULACAO]],tblVendas[[#This Row],[NR_SIMULACAO]],tblVendas[[#This Row],[VALOR_FIXABASICA]],""),0)</f>
        <v>0</v>
      </c>
      <c r="I710">
        <f>IF(tblCalculo[[#This Row],[STATUS]]="CONCLUÍDO",_xlfn.XLOOKUP(tblCalculo[[#This Row],[NR_SIMULACAO]],tblVendas[[#This Row],[NR_SIMULACAO]],tblVendas[[#This Row],[VALOR_TI]],""),0)</f>
        <v>0</v>
      </c>
      <c r="J710">
        <f>IF(tblCalculo[[#This Row],[STATUS]]="CONCLUÍDO",_xlfn.XLOOKUP(tblCalculo[[#This Row],[NR_SIMULACAO]],tblVendas[[#This Row],[NR_SIMULACAO]],tblVendas[[#This Row],[VALOR_APARELHO]],""),0)</f>
        <v>0</v>
      </c>
      <c r="K710" t="str">
        <f>IF(tblCalculo[[#This Row],[STATUS]]="NEGOCIANDO",tblCalculo[[#This Row],[VALOR_TOTAL]],"")</f>
        <v/>
      </c>
      <c r="L710">
        <f>IF(tblCalculo[[#This Row],[STATUS]]="ALÇADA",tblCalculo[[#This Row],[VALOR_TOTAL]],"")</f>
        <v>2851.84</v>
      </c>
      <c r="M710" t="str">
        <f>IF(tblCalculo[[#This Row],[STATUS]]="EM ANÁLISE",tblCalculo[[#This Row],[VALOR_TOTAL]],"")</f>
        <v/>
      </c>
      <c r="N710" t="str">
        <f>IF(tblCalculo[[#This Row],[STATUS]]="TRAMITANDO",tblCalculo[[#This Row],[VALOR_TOTAL]],"")</f>
        <v/>
      </c>
      <c r="O710" t="str">
        <f>IF(tblCalculo[[#This Row],[STATUS]]="PERDIDO",tblCalculo[[#This Row],[VALOR_TOTAL]],"")</f>
        <v/>
      </c>
      <c r="P710" t="str">
        <f>IF(tblCalculo[[#This Row],[STATUS]]="CONCLUÍDO",tblCalculo[[#This Row],[VALOR_TOTAL]],"")</f>
        <v/>
      </c>
    </row>
    <row r="711" spans="1:16" x14ac:dyDescent="0.25">
      <c r="A711" t="str">
        <f>tblVendas[[#This Row],[NR_SIMULACAO]]</f>
        <v>SIM1701</v>
      </c>
      <c r="B711" s="34" t="str">
        <f>_xlfn.XLOOKUP(A711,tblVendas[[#This Row],[NR_SIMULACAO]],tblVendas[[#This Row],[NR_CNPJ]],"")</f>
        <v>93.558.501/0001-79</v>
      </c>
      <c r="C711" t="str">
        <f>_xlfn.XLOOKUP(A711,tblVendas[[#This Row],[NR_SIMULACAO]],tblVendas[[#This Row],[STATUS]],"")</f>
        <v>EM ANÁLISE</v>
      </c>
      <c r="D711" t="str">
        <f>_xlfn.XLOOKUP(A711,tblVendas[[#This Row],[NR_SIMULACAO]],tblVendas[[#This Row],[MES]],"")</f>
        <v>Agosto</v>
      </c>
      <c r="E711">
        <f>SUM(_xlfn.XLOOKUP(tblCalculo[[#This Row],[NR_SIMULACAO]],tblVendas[[#This Row],[NR_SIMULACAO]],tblVendas[[#This Row],[VALOR_MOVEL]],""):_xlfn.XLOOKUP(tblCalculo[[#This Row],[NR_SIMULACAO]],tblVendas[[#This Row],[NR_SIMULACAO]],tblVendas[[#This Row],[VALOR_APARELHO]],""))</f>
        <v>1414.9</v>
      </c>
      <c r="F711">
        <f>IF(tblCalculo[[#This Row],[STATUS]]="CONCLUÍDO",_xlfn.XLOOKUP(tblCalculo[[#This Row],[NR_SIMULACAO]],tblVendas[[#This Row],[NR_SIMULACAO]],tblVendas[[#This Row],[VALOR_MOVEL]],""),0)</f>
        <v>0</v>
      </c>
      <c r="G711">
        <f>IF(tblCalculo[[#This Row],[STATUS]]="CONCLUÍDO",_xlfn.XLOOKUP(tblCalculo[[#This Row],[NR_SIMULACAO]],tblVendas[[#This Row],[NR_SIMULACAO]],tblVendas[[#This Row],[VALOR_AVANCADO]],""),0)</f>
        <v>0</v>
      </c>
      <c r="H711">
        <f>IF(tblCalculo[[#This Row],[STATUS]]="CONCLUÍDO",_xlfn.XLOOKUP(tblCalculo[[#This Row],[NR_SIMULACAO]],tblVendas[[#This Row],[NR_SIMULACAO]],tblVendas[[#This Row],[VALOR_FIXABASICA]],""),0)</f>
        <v>0</v>
      </c>
      <c r="I711">
        <f>IF(tblCalculo[[#This Row],[STATUS]]="CONCLUÍDO",_xlfn.XLOOKUP(tblCalculo[[#This Row],[NR_SIMULACAO]],tblVendas[[#This Row],[NR_SIMULACAO]],tblVendas[[#This Row],[VALOR_TI]],""),0)</f>
        <v>0</v>
      </c>
      <c r="J711">
        <f>IF(tblCalculo[[#This Row],[STATUS]]="CONCLUÍDO",_xlfn.XLOOKUP(tblCalculo[[#This Row],[NR_SIMULACAO]],tblVendas[[#This Row],[NR_SIMULACAO]],tblVendas[[#This Row],[VALOR_APARELHO]],""),0)</f>
        <v>0</v>
      </c>
      <c r="K711" t="str">
        <f>IF(tblCalculo[[#This Row],[STATUS]]="NEGOCIANDO",tblCalculo[[#This Row],[VALOR_TOTAL]],"")</f>
        <v/>
      </c>
      <c r="L711" t="str">
        <f>IF(tblCalculo[[#This Row],[STATUS]]="ALÇADA",tblCalculo[[#This Row],[VALOR_TOTAL]],"")</f>
        <v/>
      </c>
      <c r="M711">
        <f>IF(tblCalculo[[#This Row],[STATUS]]="EM ANÁLISE",tblCalculo[[#This Row],[VALOR_TOTAL]],"")</f>
        <v>1414.9</v>
      </c>
      <c r="N711" t="str">
        <f>IF(tblCalculo[[#This Row],[STATUS]]="TRAMITANDO",tblCalculo[[#This Row],[VALOR_TOTAL]],"")</f>
        <v/>
      </c>
      <c r="O711" t="str">
        <f>IF(tblCalculo[[#This Row],[STATUS]]="PERDIDO",tblCalculo[[#This Row],[VALOR_TOTAL]],"")</f>
        <v/>
      </c>
      <c r="P711" t="str">
        <f>IF(tblCalculo[[#This Row],[STATUS]]="CONCLUÍDO",tblCalculo[[#This Row],[VALOR_TOTAL]],"")</f>
        <v/>
      </c>
    </row>
    <row r="712" spans="1:16" x14ac:dyDescent="0.25">
      <c r="A712" t="str">
        <f>tblVendas[[#This Row],[NR_SIMULACAO]]</f>
        <v>SIM1702</v>
      </c>
      <c r="B712" s="34" t="str">
        <f>_xlfn.XLOOKUP(A712,tblVendas[[#This Row],[NR_SIMULACAO]],tblVendas[[#This Row],[NR_CNPJ]],"")</f>
        <v>78.407.701/0001-70</v>
      </c>
      <c r="C712" t="str">
        <f>_xlfn.XLOOKUP(A712,tblVendas[[#This Row],[NR_SIMULACAO]],tblVendas[[#This Row],[STATUS]],"")</f>
        <v>NEGOCIANDO</v>
      </c>
      <c r="D712" t="str">
        <f>_xlfn.XLOOKUP(A712,tblVendas[[#This Row],[NR_SIMULACAO]],tblVendas[[#This Row],[MES]],"")</f>
        <v>Janeiro</v>
      </c>
      <c r="E712">
        <f>SUM(_xlfn.XLOOKUP(tblCalculo[[#This Row],[NR_SIMULACAO]],tblVendas[[#This Row],[NR_SIMULACAO]],tblVendas[[#This Row],[VALOR_MOVEL]],""):_xlfn.XLOOKUP(tblCalculo[[#This Row],[NR_SIMULACAO]],tblVendas[[#This Row],[NR_SIMULACAO]],tblVendas[[#This Row],[VALOR_APARELHO]],""))</f>
        <v>9755.0600000000013</v>
      </c>
      <c r="F712">
        <f>IF(tblCalculo[[#This Row],[STATUS]]="CONCLUÍDO",_xlfn.XLOOKUP(tblCalculo[[#This Row],[NR_SIMULACAO]],tblVendas[[#This Row],[NR_SIMULACAO]],tblVendas[[#This Row],[VALOR_MOVEL]],""),0)</f>
        <v>0</v>
      </c>
      <c r="G712">
        <f>IF(tblCalculo[[#This Row],[STATUS]]="CONCLUÍDO",_xlfn.XLOOKUP(tblCalculo[[#This Row],[NR_SIMULACAO]],tblVendas[[#This Row],[NR_SIMULACAO]],tblVendas[[#This Row],[VALOR_AVANCADO]],""),0)</f>
        <v>0</v>
      </c>
      <c r="H712">
        <f>IF(tblCalculo[[#This Row],[STATUS]]="CONCLUÍDO",_xlfn.XLOOKUP(tblCalculo[[#This Row],[NR_SIMULACAO]],tblVendas[[#This Row],[NR_SIMULACAO]],tblVendas[[#This Row],[VALOR_FIXABASICA]],""),0)</f>
        <v>0</v>
      </c>
      <c r="I712">
        <f>IF(tblCalculo[[#This Row],[STATUS]]="CONCLUÍDO",_xlfn.XLOOKUP(tblCalculo[[#This Row],[NR_SIMULACAO]],tblVendas[[#This Row],[NR_SIMULACAO]],tblVendas[[#This Row],[VALOR_TI]],""),0)</f>
        <v>0</v>
      </c>
      <c r="J712">
        <f>IF(tblCalculo[[#This Row],[STATUS]]="CONCLUÍDO",_xlfn.XLOOKUP(tblCalculo[[#This Row],[NR_SIMULACAO]],tblVendas[[#This Row],[NR_SIMULACAO]],tblVendas[[#This Row],[VALOR_APARELHO]],""),0)</f>
        <v>0</v>
      </c>
      <c r="K712">
        <f>IF(tblCalculo[[#This Row],[STATUS]]="NEGOCIANDO",tblCalculo[[#This Row],[VALOR_TOTAL]],"")</f>
        <v>9755.0600000000013</v>
      </c>
      <c r="L712" t="str">
        <f>IF(tblCalculo[[#This Row],[STATUS]]="ALÇADA",tblCalculo[[#This Row],[VALOR_TOTAL]],"")</f>
        <v/>
      </c>
      <c r="M712" t="str">
        <f>IF(tblCalculo[[#This Row],[STATUS]]="EM ANÁLISE",tblCalculo[[#This Row],[VALOR_TOTAL]],"")</f>
        <v/>
      </c>
      <c r="N712" t="str">
        <f>IF(tblCalculo[[#This Row],[STATUS]]="TRAMITANDO",tblCalculo[[#This Row],[VALOR_TOTAL]],"")</f>
        <v/>
      </c>
      <c r="O712" t="str">
        <f>IF(tblCalculo[[#This Row],[STATUS]]="PERDIDO",tblCalculo[[#This Row],[VALOR_TOTAL]],"")</f>
        <v/>
      </c>
      <c r="P712" t="str">
        <f>IF(tblCalculo[[#This Row],[STATUS]]="CONCLUÍDO",tblCalculo[[#This Row],[VALOR_TOTAL]],"")</f>
        <v/>
      </c>
    </row>
    <row r="713" spans="1:16" x14ac:dyDescent="0.25">
      <c r="A713" t="str">
        <f>tblVendas[[#This Row],[NR_SIMULACAO]]</f>
        <v>SIM1703</v>
      </c>
      <c r="B713" s="34" t="str">
        <f>_xlfn.XLOOKUP(A713,tblVendas[[#This Row],[NR_SIMULACAO]],tblVendas[[#This Row],[NR_CNPJ]],"")</f>
        <v>38.502.417/0001-60</v>
      </c>
      <c r="C713" t="str">
        <f>_xlfn.XLOOKUP(A713,tblVendas[[#This Row],[NR_SIMULACAO]],tblVendas[[#This Row],[STATUS]],"")</f>
        <v>EM ANÁLISE</v>
      </c>
      <c r="D713" t="str">
        <f>_xlfn.XLOOKUP(A713,tblVendas[[#This Row],[NR_SIMULACAO]],tblVendas[[#This Row],[MES]],"")</f>
        <v>Fevereiro</v>
      </c>
      <c r="E713">
        <f>SUM(_xlfn.XLOOKUP(tblCalculo[[#This Row],[NR_SIMULACAO]],tblVendas[[#This Row],[NR_SIMULACAO]],tblVendas[[#This Row],[VALOR_MOVEL]],""):_xlfn.XLOOKUP(tblCalculo[[#This Row],[NR_SIMULACAO]],tblVendas[[#This Row],[NR_SIMULACAO]],tblVendas[[#This Row],[VALOR_APARELHO]],""))</f>
        <v>8379.07</v>
      </c>
      <c r="F713">
        <f>IF(tblCalculo[[#This Row],[STATUS]]="CONCLUÍDO",_xlfn.XLOOKUP(tblCalculo[[#This Row],[NR_SIMULACAO]],tblVendas[[#This Row],[NR_SIMULACAO]],tblVendas[[#This Row],[VALOR_MOVEL]],""),0)</f>
        <v>0</v>
      </c>
      <c r="G713">
        <f>IF(tblCalculo[[#This Row],[STATUS]]="CONCLUÍDO",_xlfn.XLOOKUP(tblCalculo[[#This Row],[NR_SIMULACAO]],tblVendas[[#This Row],[NR_SIMULACAO]],tblVendas[[#This Row],[VALOR_AVANCADO]],""),0)</f>
        <v>0</v>
      </c>
      <c r="H713">
        <f>IF(tblCalculo[[#This Row],[STATUS]]="CONCLUÍDO",_xlfn.XLOOKUP(tblCalculo[[#This Row],[NR_SIMULACAO]],tblVendas[[#This Row],[NR_SIMULACAO]],tblVendas[[#This Row],[VALOR_FIXABASICA]],""),0)</f>
        <v>0</v>
      </c>
      <c r="I713">
        <f>IF(tblCalculo[[#This Row],[STATUS]]="CONCLUÍDO",_xlfn.XLOOKUP(tblCalculo[[#This Row],[NR_SIMULACAO]],tblVendas[[#This Row],[NR_SIMULACAO]],tblVendas[[#This Row],[VALOR_TI]],""),0)</f>
        <v>0</v>
      </c>
      <c r="J713">
        <f>IF(tblCalculo[[#This Row],[STATUS]]="CONCLUÍDO",_xlfn.XLOOKUP(tblCalculo[[#This Row],[NR_SIMULACAO]],tblVendas[[#This Row],[NR_SIMULACAO]],tblVendas[[#This Row],[VALOR_APARELHO]],""),0)</f>
        <v>0</v>
      </c>
      <c r="K713" t="str">
        <f>IF(tblCalculo[[#This Row],[STATUS]]="NEGOCIANDO",tblCalculo[[#This Row],[VALOR_TOTAL]],"")</f>
        <v/>
      </c>
      <c r="L713" t="str">
        <f>IF(tblCalculo[[#This Row],[STATUS]]="ALÇADA",tblCalculo[[#This Row],[VALOR_TOTAL]],"")</f>
        <v/>
      </c>
      <c r="M713">
        <f>IF(tblCalculo[[#This Row],[STATUS]]="EM ANÁLISE",tblCalculo[[#This Row],[VALOR_TOTAL]],"")</f>
        <v>8379.07</v>
      </c>
      <c r="N713" t="str">
        <f>IF(tblCalculo[[#This Row],[STATUS]]="TRAMITANDO",tblCalculo[[#This Row],[VALOR_TOTAL]],"")</f>
        <v/>
      </c>
      <c r="O713" t="str">
        <f>IF(tblCalculo[[#This Row],[STATUS]]="PERDIDO",tblCalculo[[#This Row],[VALOR_TOTAL]],"")</f>
        <v/>
      </c>
      <c r="P713" t="str">
        <f>IF(tblCalculo[[#This Row],[STATUS]]="CONCLUÍDO",tblCalculo[[#This Row],[VALOR_TOTAL]],"")</f>
        <v/>
      </c>
    </row>
    <row r="714" spans="1:16" x14ac:dyDescent="0.25">
      <c r="A714" t="str">
        <f>tblVendas[[#This Row],[NR_SIMULACAO]]</f>
        <v>SIM1704</v>
      </c>
      <c r="B714" s="34" t="str">
        <f>_xlfn.XLOOKUP(A714,tblVendas[[#This Row],[NR_SIMULACAO]],tblVendas[[#This Row],[NR_CNPJ]],"")</f>
        <v>52.818.640/0001-96</v>
      </c>
      <c r="C714" t="str">
        <f>_xlfn.XLOOKUP(A714,tblVendas[[#This Row],[NR_SIMULACAO]],tblVendas[[#This Row],[STATUS]],"")</f>
        <v>ALÇADA</v>
      </c>
      <c r="D714" t="str">
        <f>_xlfn.XLOOKUP(A714,tblVendas[[#This Row],[NR_SIMULACAO]],tblVendas[[#This Row],[MES]],"")</f>
        <v>Abril</v>
      </c>
      <c r="E714">
        <f>SUM(_xlfn.XLOOKUP(tblCalculo[[#This Row],[NR_SIMULACAO]],tblVendas[[#This Row],[NR_SIMULACAO]],tblVendas[[#This Row],[VALOR_MOVEL]],""):_xlfn.XLOOKUP(tblCalculo[[#This Row],[NR_SIMULACAO]],tblVendas[[#This Row],[NR_SIMULACAO]],tblVendas[[#This Row],[VALOR_APARELHO]],""))</f>
        <v>6025.64</v>
      </c>
      <c r="F714">
        <f>IF(tblCalculo[[#This Row],[STATUS]]="CONCLUÍDO",_xlfn.XLOOKUP(tblCalculo[[#This Row],[NR_SIMULACAO]],tblVendas[[#This Row],[NR_SIMULACAO]],tblVendas[[#This Row],[VALOR_MOVEL]],""),0)</f>
        <v>0</v>
      </c>
      <c r="G714">
        <f>IF(tblCalculo[[#This Row],[STATUS]]="CONCLUÍDO",_xlfn.XLOOKUP(tblCalculo[[#This Row],[NR_SIMULACAO]],tblVendas[[#This Row],[NR_SIMULACAO]],tblVendas[[#This Row],[VALOR_AVANCADO]],""),0)</f>
        <v>0</v>
      </c>
      <c r="H714">
        <f>IF(tblCalculo[[#This Row],[STATUS]]="CONCLUÍDO",_xlfn.XLOOKUP(tblCalculo[[#This Row],[NR_SIMULACAO]],tblVendas[[#This Row],[NR_SIMULACAO]],tblVendas[[#This Row],[VALOR_FIXABASICA]],""),0)</f>
        <v>0</v>
      </c>
      <c r="I714">
        <f>IF(tblCalculo[[#This Row],[STATUS]]="CONCLUÍDO",_xlfn.XLOOKUP(tblCalculo[[#This Row],[NR_SIMULACAO]],tblVendas[[#This Row],[NR_SIMULACAO]],tblVendas[[#This Row],[VALOR_TI]],""),0)</f>
        <v>0</v>
      </c>
      <c r="J714">
        <f>IF(tblCalculo[[#This Row],[STATUS]]="CONCLUÍDO",_xlfn.XLOOKUP(tblCalculo[[#This Row],[NR_SIMULACAO]],tblVendas[[#This Row],[NR_SIMULACAO]],tblVendas[[#This Row],[VALOR_APARELHO]],""),0)</f>
        <v>0</v>
      </c>
      <c r="K714" t="str">
        <f>IF(tblCalculo[[#This Row],[STATUS]]="NEGOCIANDO",tblCalculo[[#This Row],[VALOR_TOTAL]],"")</f>
        <v/>
      </c>
      <c r="L714">
        <f>IF(tblCalculo[[#This Row],[STATUS]]="ALÇADA",tblCalculo[[#This Row],[VALOR_TOTAL]],"")</f>
        <v>6025.64</v>
      </c>
      <c r="M714" t="str">
        <f>IF(tblCalculo[[#This Row],[STATUS]]="EM ANÁLISE",tblCalculo[[#This Row],[VALOR_TOTAL]],"")</f>
        <v/>
      </c>
      <c r="N714" t="str">
        <f>IF(tblCalculo[[#This Row],[STATUS]]="TRAMITANDO",tblCalculo[[#This Row],[VALOR_TOTAL]],"")</f>
        <v/>
      </c>
      <c r="O714" t="str">
        <f>IF(tblCalculo[[#This Row],[STATUS]]="PERDIDO",tblCalculo[[#This Row],[VALOR_TOTAL]],"")</f>
        <v/>
      </c>
      <c r="P714" t="str">
        <f>IF(tblCalculo[[#This Row],[STATUS]]="CONCLUÍDO",tblCalculo[[#This Row],[VALOR_TOTAL]],"")</f>
        <v/>
      </c>
    </row>
    <row r="715" spans="1:16" x14ac:dyDescent="0.25">
      <c r="A715" t="str">
        <f>tblVendas[[#This Row],[NR_SIMULACAO]]</f>
        <v>SIM1705</v>
      </c>
      <c r="B715" s="34" t="str">
        <f>_xlfn.XLOOKUP(A715,tblVendas[[#This Row],[NR_SIMULACAO]],tblVendas[[#This Row],[NR_CNPJ]],"")</f>
        <v>34.744.329/0001-61</v>
      </c>
      <c r="C715" t="str">
        <f>_xlfn.XLOOKUP(A715,tblVendas[[#This Row],[NR_SIMULACAO]],tblVendas[[#This Row],[STATUS]],"")</f>
        <v>NEGOCIANDO</v>
      </c>
      <c r="D715" t="str">
        <f>_xlfn.XLOOKUP(A715,tblVendas[[#This Row],[NR_SIMULACAO]],tblVendas[[#This Row],[MES]],"")</f>
        <v>Dezembro</v>
      </c>
      <c r="E715">
        <f>SUM(_xlfn.XLOOKUP(tblCalculo[[#This Row],[NR_SIMULACAO]],tblVendas[[#This Row],[NR_SIMULACAO]],tblVendas[[#This Row],[VALOR_MOVEL]],""):_xlfn.XLOOKUP(tblCalculo[[#This Row],[NR_SIMULACAO]],tblVendas[[#This Row],[NR_SIMULACAO]],tblVendas[[#This Row],[VALOR_APARELHO]],""))</f>
        <v>12611.78</v>
      </c>
      <c r="F715">
        <f>IF(tblCalculo[[#This Row],[STATUS]]="CONCLUÍDO",_xlfn.XLOOKUP(tblCalculo[[#This Row],[NR_SIMULACAO]],tblVendas[[#This Row],[NR_SIMULACAO]],tblVendas[[#This Row],[VALOR_MOVEL]],""),0)</f>
        <v>0</v>
      </c>
      <c r="G715">
        <f>IF(tblCalculo[[#This Row],[STATUS]]="CONCLUÍDO",_xlfn.XLOOKUP(tblCalculo[[#This Row],[NR_SIMULACAO]],tblVendas[[#This Row],[NR_SIMULACAO]],tblVendas[[#This Row],[VALOR_AVANCADO]],""),0)</f>
        <v>0</v>
      </c>
      <c r="H715">
        <f>IF(tblCalculo[[#This Row],[STATUS]]="CONCLUÍDO",_xlfn.XLOOKUP(tblCalculo[[#This Row],[NR_SIMULACAO]],tblVendas[[#This Row],[NR_SIMULACAO]],tblVendas[[#This Row],[VALOR_FIXABASICA]],""),0)</f>
        <v>0</v>
      </c>
      <c r="I715">
        <f>IF(tblCalculo[[#This Row],[STATUS]]="CONCLUÍDO",_xlfn.XLOOKUP(tblCalculo[[#This Row],[NR_SIMULACAO]],tblVendas[[#This Row],[NR_SIMULACAO]],tblVendas[[#This Row],[VALOR_TI]],""),0)</f>
        <v>0</v>
      </c>
      <c r="J715">
        <f>IF(tblCalculo[[#This Row],[STATUS]]="CONCLUÍDO",_xlfn.XLOOKUP(tblCalculo[[#This Row],[NR_SIMULACAO]],tblVendas[[#This Row],[NR_SIMULACAO]],tblVendas[[#This Row],[VALOR_APARELHO]],""),0)</f>
        <v>0</v>
      </c>
      <c r="K715">
        <f>IF(tblCalculo[[#This Row],[STATUS]]="NEGOCIANDO",tblCalculo[[#This Row],[VALOR_TOTAL]],"")</f>
        <v>12611.78</v>
      </c>
      <c r="L715" t="str">
        <f>IF(tblCalculo[[#This Row],[STATUS]]="ALÇADA",tblCalculo[[#This Row],[VALOR_TOTAL]],"")</f>
        <v/>
      </c>
      <c r="M715" t="str">
        <f>IF(tblCalculo[[#This Row],[STATUS]]="EM ANÁLISE",tblCalculo[[#This Row],[VALOR_TOTAL]],"")</f>
        <v/>
      </c>
      <c r="N715" t="str">
        <f>IF(tblCalculo[[#This Row],[STATUS]]="TRAMITANDO",tblCalculo[[#This Row],[VALOR_TOTAL]],"")</f>
        <v/>
      </c>
      <c r="O715" t="str">
        <f>IF(tblCalculo[[#This Row],[STATUS]]="PERDIDO",tblCalculo[[#This Row],[VALOR_TOTAL]],"")</f>
        <v/>
      </c>
      <c r="P715" t="str">
        <f>IF(tblCalculo[[#This Row],[STATUS]]="CONCLUÍDO",tblCalculo[[#This Row],[VALOR_TOTAL]],"")</f>
        <v/>
      </c>
    </row>
    <row r="716" spans="1:16" x14ac:dyDescent="0.25">
      <c r="A716" t="str">
        <f>tblVendas[[#This Row],[NR_SIMULACAO]]</f>
        <v>SIM1706</v>
      </c>
      <c r="B716" s="34" t="str">
        <f>_xlfn.XLOOKUP(A716,tblVendas[[#This Row],[NR_SIMULACAO]],tblVendas[[#This Row],[NR_CNPJ]],"")</f>
        <v>40.807.238/0001-16</v>
      </c>
      <c r="C716" t="str">
        <f>_xlfn.XLOOKUP(A716,tblVendas[[#This Row],[NR_SIMULACAO]],tblVendas[[#This Row],[STATUS]],"")</f>
        <v>TRAMITANDO</v>
      </c>
      <c r="D716" t="str">
        <f>_xlfn.XLOOKUP(A716,tblVendas[[#This Row],[NR_SIMULACAO]],tblVendas[[#This Row],[MES]],"")</f>
        <v>Janeiro</v>
      </c>
      <c r="E716">
        <f>SUM(_xlfn.XLOOKUP(tblCalculo[[#This Row],[NR_SIMULACAO]],tblVendas[[#This Row],[NR_SIMULACAO]],tblVendas[[#This Row],[VALOR_MOVEL]],""):_xlfn.XLOOKUP(tblCalculo[[#This Row],[NR_SIMULACAO]],tblVendas[[#This Row],[NR_SIMULACAO]],tblVendas[[#This Row],[VALOR_APARELHO]],""))</f>
        <v>16868.8</v>
      </c>
      <c r="F716">
        <f>IF(tblCalculo[[#This Row],[STATUS]]="CONCLUÍDO",_xlfn.XLOOKUP(tblCalculo[[#This Row],[NR_SIMULACAO]],tblVendas[[#This Row],[NR_SIMULACAO]],tblVendas[[#This Row],[VALOR_MOVEL]],""),0)</f>
        <v>0</v>
      </c>
      <c r="G716">
        <f>IF(tblCalculo[[#This Row],[STATUS]]="CONCLUÍDO",_xlfn.XLOOKUP(tblCalculo[[#This Row],[NR_SIMULACAO]],tblVendas[[#This Row],[NR_SIMULACAO]],tblVendas[[#This Row],[VALOR_AVANCADO]],""),0)</f>
        <v>0</v>
      </c>
      <c r="H716">
        <f>IF(tblCalculo[[#This Row],[STATUS]]="CONCLUÍDO",_xlfn.XLOOKUP(tblCalculo[[#This Row],[NR_SIMULACAO]],tblVendas[[#This Row],[NR_SIMULACAO]],tblVendas[[#This Row],[VALOR_FIXABASICA]],""),0)</f>
        <v>0</v>
      </c>
      <c r="I716">
        <f>IF(tblCalculo[[#This Row],[STATUS]]="CONCLUÍDO",_xlfn.XLOOKUP(tblCalculo[[#This Row],[NR_SIMULACAO]],tblVendas[[#This Row],[NR_SIMULACAO]],tblVendas[[#This Row],[VALOR_TI]],""),0)</f>
        <v>0</v>
      </c>
      <c r="J716">
        <f>IF(tblCalculo[[#This Row],[STATUS]]="CONCLUÍDO",_xlfn.XLOOKUP(tblCalculo[[#This Row],[NR_SIMULACAO]],tblVendas[[#This Row],[NR_SIMULACAO]],tblVendas[[#This Row],[VALOR_APARELHO]],""),0)</f>
        <v>0</v>
      </c>
      <c r="K716" t="str">
        <f>IF(tblCalculo[[#This Row],[STATUS]]="NEGOCIANDO",tblCalculo[[#This Row],[VALOR_TOTAL]],"")</f>
        <v/>
      </c>
      <c r="L716" t="str">
        <f>IF(tblCalculo[[#This Row],[STATUS]]="ALÇADA",tblCalculo[[#This Row],[VALOR_TOTAL]],"")</f>
        <v/>
      </c>
      <c r="M716" t="str">
        <f>IF(tblCalculo[[#This Row],[STATUS]]="EM ANÁLISE",tblCalculo[[#This Row],[VALOR_TOTAL]],"")</f>
        <v/>
      </c>
      <c r="N716">
        <f>IF(tblCalculo[[#This Row],[STATUS]]="TRAMITANDO",tblCalculo[[#This Row],[VALOR_TOTAL]],"")</f>
        <v>16868.8</v>
      </c>
      <c r="O716" t="str">
        <f>IF(tblCalculo[[#This Row],[STATUS]]="PERDIDO",tblCalculo[[#This Row],[VALOR_TOTAL]],"")</f>
        <v/>
      </c>
      <c r="P716" t="str">
        <f>IF(tblCalculo[[#This Row],[STATUS]]="CONCLUÍDO",tblCalculo[[#This Row],[VALOR_TOTAL]],"")</f>
        <v/>
      </c>
    </row>
    <row r="717" spans="1:16" x14ac:dyDescent="0.25">
      <c r="A717" t="str">
        <f>tblVendas[[#This Row],[NR_SIMULACAO]]</f>
        <v>SIM1707</v>
      </c>
      <c r="B717" s="34" t="str">
        <f>_xlfn.XLOOKUP(A717,tblVendas[[#This Row],[NR_SIMULACAO]],tblVendas[[#This Row],[NR_CNPJ]],"")</f>
        <v>86.664.464/0001-89</v>
      </c>
      <c r="C717" t="str">
        <f>_xlfn.XLOOKUP(A717,tblVendas[[#This Row],[NR_SIMULACAO]],tblVendas[[#This Row],[STATUS]],"")</f>
        <v>TRAMITANDO</v>
      </c>
      <c r="D717" t="str">
        <f>_xlfn.XLOOKUP(A717,tblVendas[[#This Row],[NR_SIMULACAO]],tblVendas[[#This Row],[MES]],"")</f>
        <v>Abril</v>
      </c>
      <c r="E717">
        <f>SUM(_xlfn.XLOOKUP(tblCalculo[[#This Row],[NR_SIMULACAO]],tblVendas[[#This Row],[NR_SIMULACAO]],tblVendas[[#This Row],[VALOR_MOVEL]],""):_xlfn.XLOOKUP(tblCalculo[[#This Row],[NR_SIMULACAO]],tblVendas[[#This Row],[NR_SIMULACAO]],tblVendas[[#This Row],[VALOR_APARELHO]],""))</f>
        <v>7737.65</v>
      </c>
      <c r="F717">
        <f>IF(tblCalculo[[#This Row],[STATUS]]="CONCLUÍDO",_xlfn.XLOOKUP(tblCalculo[[#This Row],[NR_SIMULACAO]],tblVendas[[#This Row],[NR_SIMULACAO]],tblVendas[[#This Row],[VALOR_MOVEL]],""),0)</f>
        <v>0</v>
      </c>
      <c r="G717">
        <f>IF(tblCalculo[[#This Row],[STATUS]]="CONCLUÍDO",_xlfn.XLOOKUP(tblCalculo[[#This Row],[NR_SIMULACAO]],tblVendas[[#This Row],[NR_SIMULACAO]],tblVendas[[#This Row],[VALOR_AVANCADO]],""),0)</f>
        <v>0</v>
      </c>
      <c r="H717">
        <f>IF(tblCalculo[[#This Row],[STATUS]]="CONCLUÍDO",_xlfn.XLOOKUP(tblCalculo[[#This Row],[NR_SIMULACAO]],tblVendas[[#This Row],[NR_SIMULACAO]],tblVendas[[#This Row],[VALOR_FIXABASICA]],""),0)</f>
        <v>0</v>
      </c>
      <c r="I717">
        <f>IF(tblCalculo[[#This Row],[STATUS]]="CONCLUÍDO",_xlfn.XLOOKUP(tblCalculo[[#This Row],[NR_SIMULACAO]],tblVendas[[#This Row],[NR_SIMULACAO]],tblVendas[[#This Row],[VALOR_TI]],""),0)</f>
        <v>0</v>
      </c>
      <c r="J717">
        <f>IF(tblCalculo[[#This Row],[STATUS]]="CONCLUÍDO",_xlfn.XLOOKUP(tblCalculo[[#This Row],[NR_SIMULACAO]],tblVendas[[#This Row],[NR_SIMULACAO]],tblVendas[[#This Row],[VALOR_APARELHO]],""),0)</f>
        <v>0</v>
      </c>
      <c r="K717" t="str">
        <f>IF(tblCalculo[[#This Row],[STATUS]]="NEGOCIANDO",tblCalculo[[#This Row],[VALOR_TOTAL]],"")</f>
        <v/>
      </c>
      <c r="L717" t="str">
        <f>IF(tblCalculo[[#This Row],[STATUS]]="ALÇADA",tblCalculo[[#This Row],[VALOR_TOTAL]],"")</f>
        <v/>
      </c>
      <c r="M717" t="str">
        <f>IF(tblCalculo[[#This Row],[STATUS]]="EM ANÁLISE",tblCalculo[[#This Row],[VALOR_TOTAL]],"")</f>
        <v/>
      </c>
      <c r="N717">
        <f>IF(tblCalculo[[#This Row],[STATUS]]="TRAMITANDO",tblCalculo[[#This Row],[VALOR_TOTAL]],"")</f>
        <v>7737.65</v>
      </c>
      <c r="O717" t="str">
        <f>IF(tblCalculo[[#This Row],[STATUS]]="PERDIDO",tblCalculo[[#This Row],[VALOR_TOTAL]],"")</f>
        <v/>
      </c>
      <c r="P717" t="str">
        <f>IF(tblCalculo[[#This Row],[STATUS]]="CONCLUÍDO",tblCalculo[[#This Row],[VALOR_TOTAL]],"")</f>
        <v/>
      </c>
    </row>
    <row r="718" spans="1:16" x14ac:dyDescent="0.25">
      <c r="A718" t="str">
        <f>tblVendas[[#This Row],[NR_SIMULACAO]]</f>
        <v>SIM1708</v>
      </c>
      <c r="B718" s="34" t="str">
        <f>_xlfn.XLOOKUP(A718,tblVendas[[#This Row],[NR_SIMULACAO]],tblVendas[[#This Row],[NR_CNPJ]],"")</f>
        <v>49.692.869/0001-69</v>
      </c>
      <c r="C718" t="str">
        <f>_xlfn.XLOOKUP(A718,tblVendas[[#This Row],[NR_SIMULACAO]],tblVendas[[#This Row],[STATUS]],"")</f>
        <v>TRAMITANDO</v>
      </c>
      <c r="D718" t="str">
        <f>_xlfn.XLOOKUP(A718,tblVendas[[#This Row],[NR_SIMULACAO]],tblVendas[[#This Row],[MES]],"")</f>
        <v>Dezembro</v>
      </c>
      <c r="E718">
        <f>SUM(_xlfn.XLOOKUP(tblCalculo[[#This Row],[NR_SIMULACAO]],tblVendas[[#This Row],[NR_SIMULACAO]],tblVendas[[#This Row],[VALOR_MOVEL]],""):_xlfn.XLOOKUP(tblCalculo[[#This Row],[NR_SIMULACAO]],tblVendas[[#This Row],[NR_SIMULACAO]],tblVendas[[#This Row],[VALOR_APARELHO]],""))</f>
        <v>9831.93</v>
      </c>
      <c r="F718">
        <f>IF(tblCalculo[[#This Row],[STATUS]]="CONCLUÍDO",_xlfn.XLOOKUP(tblCalculo[[#This Row],[NR_SIMULACAO]],tblVendas[[#This Row],[NR_SIMULACAO]],tblVendas[[#This Row],[VALOR_MOVEL]],""),0)</f>
        <v>0</v>
      </c>
      <c r="G718">
        <f>IF(tblCalculo[[#This Row],[STATUS]]="CONCLUÍDO",_xlfn.XLOOKUP(tblCalculo[[#This Row],[NR_SIMULACAO]],tblVendas[[#This Row],[NR_SIMULACAO]],tblVendas[[#This Row],[VALOR_AVANCADO]],""),0)</f>
        <v>0</v>
      </c>
      <c r="H718">
        <f>IF(tblCalculo[[#This Row],[STATUS]]="CONCLUÍDO",_xlfn.XLOOKUP(tblCalculo[[#This Row],[NR_SIMULACAO]],tblVendas[[#This Row],[NR_SIMULACAO]],tblVendas[[#This Row],[VALOR_FIXABASICA]],""),0)</f>
        <v>0</v>
      </c>
      <c r="I718">
        <f>IF(tblCalculo[[#This Row],[STATUS]]="CONCLUÍDO",_xlfn.XLOOKUP(tblCalculo[[#This Row],[NR_SIMULACAO]],tblVendas[[#This Row],[NR_SIMULACAO]],tblVendas[[#This Row],[VALOR_TI]],""),0)</f>
        <v>0</v>
      </c>
      <c r="J718">
        <f>IF(tblCalculo[[#This Row],[STATUS]]="CONCLUÍDO",_xlfn.XLOOKUP(tblCalculo[[#This Row],[NR_SIMULACAO]],tblVendas[[#This Row],[NR_SIMULACAO]],tblVendas[[#This Row],[VALOR_APARELHO]],""),0)</f>
        <v>0</v>
      </c>
      <c r="K718" t="str">
        <f>IF(tblCalculo[[#This Row],[STATUS]]="NEGOCIANDO",tblCalculo[[#This Row],[VALOR_TOTAL]],"")</f>
        <v/>
      </c>
      <c r="L718" t="str">
        <f>IF(tblCalculo[[#This Row],[STATUS]]="ALÇADA",tblCalculo[[#This Row],[VALOR_TOTAL]],"")</f>
        <v/>
      </c>
      <c r="M718" t="str">
        <f>IF(tblCalculo[[#This Row],[STATUS]]="EM ANÁLISE",tblCalculo[[#This Row],[VALOR_TOTAL]],"")</f>
        <v/>
      </c>
      <c r="N718">
        <f>IF(tblCalculo[[#This Row],[STATUS]]="TRAMITANDO",tblCalculo[[#This Row],[VALOR_TOTAL]],"")</f>
        <v>9831.93</v>
      </c>
      <c r="O718" t="str">
        <f>IF(tblCalculo[[#This Row],[STATUS]]="PERDIDO",tblCalculo[[#This Row],[VALOR_TOTAL]],"")</f>
        <v/>
      </c>
      <c r="P718" t="str">
        <f>IF(tblCalculo[[#This Row],[STATUS]]="CONCLUÍDO",tblCalculo[[#This Row],[VALOR_TOTAL]],"")</f>
        <v/>
      </c>
    </row>
    <row r="719" spans="1:16" x14ac:dyDescent="0.25">
      <c r="A719" t="str">
        <f>tblVendas[[#This Row],[NR_SIMULACAO]]</f>
        <v>SIM1709</v>
      </c>
      <c r="B719" s="34" t="str">
        <f>_xlfn.XLOOKUP(A719,tblVendas[[#This Row],[NR_SIMULACAO]],tblVendas[[#This Row],[NR_CNPJ]],"")</f>
        <v>78.134.292/0001-98</v>
      </c>
      <c r="C719" t="str">
        <f>_xlfn.XLOOKUP(A719,tblVendas[[#This Row],[NR_SIMULACAO]],tblVendas[[#This Row],[STATUS]],"")</f>
        <v>PERDIDO</v>
      </c>
      <c r="D719" t="str">
        <f>_xlfn.XLOOKUP(A719,tblVendas[[#This Row],[NR_SIMULACAO]],tblVendas[[#This Row],[MES]],"")</f>
        <v>Abril</v>
      </c>
      <c r="E719">
        <f>SUM(_xlfn.XLOOKUP(tblCalculo[[#This Row],[NR_SIMULACAO]],tblVendas[[#This Row],[NR_SIMULACAO]],tblVendas[[#This Row],[VALOR_MOVEL]],""):_xlfn.XLOOKUP(tblCalculo[[#This Row],[NR_SIMULACAO]],tblVendas[[#This Row],[NR_SIMULACAO]],tblVendas[[#This Row],[VALOR_APARELHO]],""))</f>
        <v>7345.9500000000007</v>
      </c>
      <c r="F719">
        <f>IF(tblCalculo[[#This Row],[STATUS]]="CONCLUÍDO",_xlfn.XLOOKUP(tblCalculo[[#This Row],[NR_SIMULACAO]],tblVendas[[#This Row],[NR_SIMULACAO]],tblVendas[[#This Row],[VALOR_MOVEL]],""),0)</f>
        <v>0</v>
      </c>
      <c r="G719">
        <f>IF(tblCalculo[[#This Row],[STATUS]]="CONCLUÍDO",_xlfn.XLOOKUP(tblCalculo[[#This Row],[NR_SIMULACAO]],tblVendas[[#This Row],[NR_SIMULACAO]],tblVendas[[#This Row],[VALOR_AVANCADO]],""),0)</f>
        <v>0</v>
      </c>
      <c r="H719">
        <f>IF(tblCalculo[[#This Row],[STATUS]]="CONCLUÍDO",_xlfn.XLOOKUP(tblCalculo[[#This Row],[NR_SIMULACAO]],tblVendas[[#This Row],[NR_SIMULACAO]],tblVendas[[#This Row],[VALOR_FIXABASICA]],""),0)</f>
        <v>0</v>
      </c>
      <c r="I719">
        <f>IF(tblCalculo[[#This Row],[STATUS]]="CONCLUÍDO",_xlfn.XLOOKUP(tblCalculo[[#This Row],[NR_SIMULACAO]],tblVendas[[#This Row],[NR_SIMULACAO]],tblVendas[[#This Row],[VALOR_TI]],""),0)</f>
        <v>0</v>
      </c>
      <c r="J719">
        <f>IF(tblCalculo[[#This Row],[STATUS]]="CONCLUÍDO",_xlfn.XLOOKUP(tblCalculo[[#This Row],[NR_SIMULACAO]],tblVendas[[#This Row],[NR_SIMULACAO]],tblVendas[[#This Row],[VALOR_APARELHO]],""),0)</f>
        <v>0</v>
      </c>
      <c r="K719" t="str">
        <f>IF(tblCalculo[[#This Row],[STATUS]]="NEGOCIANDO",tblCalculo[[#This Row],[VALOR_TOTAL]],"")</f>
        <v/>
      </c>
      <c r="L719" t="str">
        <f>IF(tblCalculo[[#This Row],[STATUS]]="ALÇADA",tblCalculo[[#This Row],[VALOR_TOTAL]],"")</f>
        <v/>
      </c>
      <c r="M719" t="str">
        <f>IF(tblCalculo[[#This Row],[STATUS]]="EM ANÁLISE",tblCalculo[[#This Row],[VALOR_TOTAL]],"")</f>
        <v/>
      </c>
      <c r="N719" t="str">
        <f>IF(tblCalculo[[#This Row],[STATUS]]="TRAMITANDO",tblCalculo[[#This Row],[VALOR_TOTAL]],"")</f>
        <v/>
      </c>
      <c r="O719">
        <f>IF(tblCalculo[[#This Row],[STATUS]]="PERDIDO",tblCalculo[[#This Row],[VALOR_TOTAL]],"")</f>
        <v>7345.9500000000007</v>
      </c>
      <c r="P719" t="str">
        <f>IF(tblCalculo[[#This Row],[STATUS]]="CONCLUÍDO",tblCalculo[[#This Row],[VALOR_TOTAL]],"")</f>
        <v/>
      </c>
    </row>
    <row r="720" spans="1:16" x14ac:dyDescent="0.25">
      <c r="A720" t="str">
        <f>tblVendas[[#This Row],[NR_SIMULACAO]]</f>
        <v>SIM1710</v>
      </c>
      <c r="B720" s="34" t="str">
        <f>_xlfn.XLOOKUP(A720,tblVendas[[#This Row],[NR_SIMULACAO]],tblVendas[[#This Row],[NR_CNPJ]],"")</f>
        <v>56.810.472/0001-21</v>
      </c>
      <c r="C720" t="str">
        <f>_xlfn.XLOOKUP(A720,tblVendas[[#This Row],[NR_SIMULACAO]],tblVendas[[#This Row],[STATUS]],"")</f>
        <v>EM ANÁLISE</v>
      </c>
      <c r="D720" t="str">
        <f>_xlfn.XLOOKUP(A720,tblVendas[[#This Row],[NR_SIMULACAO]],tblVendas[[#This Row],[MES]],"")</f>
        <v>Outubro</v>
      </c>
      <c r="E720">
        <f>SUM(_xlfn.XLOOKUP(tblCalculo[[#This Row],[NR_SIMULACAO]],tblVendas[[#This Row],[NR_SIMULACAO]],tblVendas[[#This Row],[VALOR_MOVEL]],""):_xlfn.XLOOKUP(tblCalculo[[#This Row],[NR_SIMULACAO]],tblVendas[[#This Row],[NR_SIMULACAO]],tblVendas[[#This Row],[VALOR_APARELHO]],""))</f>
        <v>1221.44</v>
      </c>
      <c r="F720">
        <f>IF(tblCalculo[[#This Row],[STATUS]]="CONCLUÍDO",_xlfn.XLOOKUP(tblCalculo[[#This Row],[NR_SIMULACAO]],tblVendas[[#This Row],[NR_SIMULACAO]],tblVendas[[#This Row],[VALOR_MOVEL]],""),0)</f>
        <v>0</v>
      </c>
      <c r="G720">
        <f>IF(tblCalculo[[#This Row],[STATUS]]="CONCLUÍDO",_xlfn.XLOOKUP(tblCalculo[[#This Row],[NR_SIMULACAO]],tblVendas[[#This Row],[NR_SIMULACAO]],tblVendas[[#This Row],[VALOR_AVANCADO]],""),0)</f>
        <v>0</v>
      </c>
      <c r="H720">
        <f>IF(tblCalculo[[#This Row],[STATUS]]="CONCLUÍDO",_xlfn.XLOOKUP(tblCalculo[[#This Row],[NR_SIMULACAO]],tblVendas[[#This Row],[NR_SIMULACAO]],tblVendas[[#This Row],[VALOR_FIXABASICA]],""),0)</f>
        <v>0</v>
      </c>
      <c r="I720">
        <f>IF(tblCalculo[[#This Row],[STATUS]]="CONCLUÍDO",_xlfn.XLOOKUP(tblCalculo[[#This Row],[NR_SIMULACAO]],tblVendas[[#This Row],[NR_SIMULACAO]],tblVendas[[#This Row],[VALOR_TI]],""),0)</f>
        <v>0</v>
      </c>
      <c r="J720">
        <f>IF(tblCalculo[[#This Row],[STATUS]]="CONCLUÍDO",_xlfn.XLOOKUP(tblCalculo[[#This Row],[NR_SIMULACAO]],tblVendas[[#This Row],[NR_SIMULACAO]],tblVendas[[#This Row],[VALOR_APARELHO]],""),0)</f>
        <v>0</v>
      </c>
      <c r="K720" t="str">
        <f>IF(tblCalculo[[#This Row],[STATUS]]="NEGOCIANDO",tblCalculo[[#This Row],[VALOR_TOTAL]],"")</f>
        <v/>
      </c>
      <c r="L720" t="str">
        <f>IF(tblCalculo[[#This Row],[STATUS]]="ALÇADA",tblCalculo[[#This Row],[VALOR_TOTAL]],"")</f>
        <v/>
      </c>
      <c r="M720">
        <f>IF(tblCalculo[[#This Row],[STATUS]]="EM ANÁLISE",tblCalculo[[#This Row],[VALOR_TOTAL]],"")</f>
        <v>1221.44</v>
      </c>
      <c r="N720" t="str">
        <f>IF(tblCalculo[[#This Row],[STATUS]]="TRAMITANDO",tblCalculo[[#This Row],[VALOR_TOTAL]],"")</f>
        <v/>
      </c>
      <c r="O720" t="str">
        <f>IF(tblCalculo[[#This Row],[STATUS]]="PERDIDO",tblCalculo[[#This Row],[VALOR_TOTAL]],"")</f>
        <v/>
      </c>
      <c r="P720" t="str">
        <f>IF(tblCalculo[[#This Row],[STATUS]]="CONCLUÍDO",tblCalculo[[#This Row],[VALOR_TOTAL]],"")</f>
        <v/>
      </c>
    </row>
    <row r="721" spans="1:16" x14ac:dyDescent="0.25">
      <c r="A721" t="str">
        <f>tblVendas[[#This Row],[NR_SIMULACAO]]</f>
        <v>SIM1711</v>
      </c>
      <c r="B721" s="34" t="str">
        <f>_xlfn.XLOOKUP(A721,tblVendas[[#This Row],[NR_SIMULACAO]],tblVendas[[#This Row],[NR_CNPJ]],"")</f>
        <v>61.134.317/0001-56</v>
      </c>
      <c r="C721" t="str">
        <f>_xlfn.XLOOKUP(A721,tblVendas[[#This Row],[NR_SIMULACAO]],tblVendas[[#This Row],[STATUS]],"")</f>
        <v>NEGOCIANDO</v>
      </c>
      <c r="D721" t="str">
        <f>_xlfn.XLOOKUP(A721,tblVendas[[#This Row],[NR_SIMULACAO]],tblVendas[[#This Row],[MES]],"")</f>
        <v>Janeiro</v>
      </c>
      <c r="E721">
        <f>SUM(_xlfn.XLOOKUP(tblCalculo[[#This Row],[NR_SIMULACAO]],tblVendas[[#This Row],[NR_SIMULACAO]],tblVendas[[#This Row],[VALOR_MOVEL]],""):_xlfn.XLOOKUP(tblCalculo[[#This Row],[NR_SIMULACAO]],tblVendas[[#This Row],[NR_SIMULACAO]],tblVendas[[#This Row],[VALOR_APARELHO]],""))</f>
        <v>4833.12</v>
      </c>
      <c r="F721">
        <f>IF(tblCalculo[[#This Row],[STATUS]]="CONCLUÍDO",_xlfn.XLOOKUP(tblCalculo[[#This Row],[NR_SIMULACAO]],tblVendas[[#This Row],[NR_SIMULACAO]],tblVendas[[#This Row],[VALOR_MOVEL]],""),0)</f>
        <v>0</v>
      </c>
      <c r="G721">
        <f>IF(tblCalculo[[#This Row],[STATUS]]="CONCLUÍDO",_xlfn.XLOOKUP(tblCalculo[[#This Row],[NR_SIMULACAO]],tblVendas[[#This Row],[NR_SIMULACAO]],tblVendas[[#This Row],[VALOR_AVANCADO]],""),0)</f>
        <v>0</v>
      </c>
      <c r="H721">
        <f>IF(tblCalculo[[#This Row],[STATUS]]="CONCLUÍDO",_xlfn.XLOOKUP(tblCalculo[[#This Row],[NR_SIMULACAO]],tblVendas[[#This Row],[NR_SIMULACAO]],tblVendas[[#This Row],[VALOR_FIXABASICA]],""),0)</f>
        <v>0</v>
      </c>
      <c r="I721">
        <f>IF(tblCalculo[[#This Row],[STATUS]]="CONCLUÍDO",_xlfn.XLOOKUP(tblCalculo[[#This Row],[NR_SIMULACAO]],tblVendas[[#This Row],[NR_SIMULACAO]],tblVendas[[#This Row],[VALOR_TI]],""),0)</f>
        <v>0</v>
      </c>
      <c r="J721">
        <f>IF(tblCalculo[[#This Row],[STATUS]]="CONCLUÍDO",_xlfn.XLOOKUP(tblCalculo[[#This Row],[NR_SIMULACAO]],tblVendas[[#This Row],[NR_SIMULACAO]],tblVendas[[#This Row],[VALOR_APARELHO]],""),0)</f>
        <v>0</v>
      </c>
      <c r="K721">
        <f>IF(tblCalculo[[#This Row],[STATUS]]="NEGOCIANDO",tblCalculo[[#This Row],[VALOR_TOTAL]],"")</f>
        <v>4833.12</v>
      </c>
      <c r="L721" t="str">
        <f>IF(tblCalculo[[#This Row],[STATUS]]="ALÇADA",tblCalculo[[#This Row],[VALOR_TOTAL]],"")</f>
        <v/>
      </c>
      <c r="M721" t="str">
        <f>IF(tblCalculo[[#This Row],[STATUS]]="EM ANÁLISE",tblCalculo[[#This Row],[VALOR_TOTAL]],"")</f>
        <v/>
      </c>
      <c r="N721" t="str">
        <f>IF(tblCalculo[[#This Row],[STATUS]]="TRAMITANDO",tblCalculo[[#This Row],[VALOR_TOTAL]],"")</f>
        <v/>
      </c>
      <c r="O721" t="str">
        <f>IF(tblCalculo[[#This Row],[STATUS]]="PERDIDO",tblCalculo[[#This Row],[VALOR_TOTAL]],"")</f>
        <v/>
      </c>
      <c r="P721" t="str">
        <f>IF(tblCalculo[[#This Row],[STATUS]]="CONCLUÍDO",tblCalculo[[#This Row],[VALOR_TOTAL]],"")</f>
        <v/>
      </c>
    </row>
    <row r="722" spans="1:16" x14ac:dyDescent="0.25">
      <c r="A722" t="str">
        <f>tblVendas[[#This Row],[NR_SIMULACAO]]</f>
        <v>SIM1712</v>
      </c>
      <c r="B722" s="34" t="str">
        <f>_xlfn.XLOOKUP(A722,tblVendas[[#This Row],[NR_SIMULACAO]],tblVendas[[#This Row],[NR_CNPJ]],"")</f>
        <v>14.859.700/0001-74</v>
      </c>
      <c r="C722" t="str">
        <f>_xlfn.XLOOKUP(A722,tblVendas[[#This Row],[NR_SIMULACAO]],tblVendas[[#This Row],[STATUS]],"")</f>
        <v>EM ANÁLISE</v>
      </c>
      <c r="D722" t="str">
        <f>_xlfn.XLOOKUP(A722,tblVendas[[#This Row],[NR_SIMULACAO]],tblVendas[[#This Row],[MES]],"")</f>
        <v>Julho</v>
      </c>
      <c r="E722">
        <f>SUM(_xlfn.XLOOKUP(tblCalculo[[#This Row],[NR_SIMULACAO]],tblVendas[[#This Row],[NR_SIMULACAO]],tblVendas[[#This Row],[VALOR_MOVEL]],""):_xlfn.XLOOKUP(tblCalculo[[#This Row],[NR_SIMULACAO]],tblVendas[[#This Row],[NR_SIMULACAO]],tblVendas[[#This Row],[VALOR_APARELHO]],""))</f>
        <v>20476.93</v>
      </c>
      <c r="F722">
        <f>IF(tblCalculo[[#This Row],[STATUS]]="CONCLUÍDO",_xlfn.XLOOKUP(tblCalculo[[#This Row],[NR_SIMULACAO]],tblVendas[[#This Row],[NR_SIMULACAO]],tblVendas[[#This Row],[VALOR_MOVEL]],""),0)</f>
        <v>0</v>
      </c>
      <c r="G722">
        <f>IF(tblCalculo[[#This Row],[STATUS]]="CONCLUÍDO",_xlfn.XLOOKUP(tblCalculo[[#This Row],[NR_SIMULACAO]],tblVendas[[#This Row],[NR_SIMULACAO]],tblVendas[[#This Row],[VALOR_AVANCADO]],""),0)</f>
        <v>0</v>
      </c>
      <c r="H722">
        <f>IF(tblCalculo[[#This Row],[STATUS]]="CONCLUÍDO",_xlfn.XLOOKUP(tblCalculo[[#This Row],[NR_SIMULACAO]],tblVendas[[#This Row],[NR_SIMULACAO]],tblVendas[[#This Row],[VALOR_FIXABASICA]],""),0)</f>
        <v>0</v>
      </c>
      <c r="I722">
        <f>IF(tblCalculo[[#This Row],[STATUS]]="CONCLUÍDO",_xlfn.XLOOKUP(tblCalculo[[#This Row],[NR_SIMULACAO]],tblVendas[[#This Row],[NR_SIMULACAO]],tblVendas[[#This Row],[VALOR_TI]],""),0)</f>
        <v>0</v>
      </c>
      <c r="J722">
        <f>IF(tblCalculo[[#This Row],[STATUS]]="CONCLUÍDO",_xlfn.XLOOKUP(tblCalculo[[#This Row],[NR_SIMULACAO]],tblVendas[[#This Row],[NR_SIMULACAO]],tblVendas[[#This Row],[VALOR_APARELHO]],""),0)</f>
        <v>0</v>
      </c>
      <c r="K722" t="str">
        <f>IF(tblCalculo[[#This Row],[STATUS]]="NEGOCIANDO",tblCalculo[[#This Row],[VALOR_TOTAL]],"")</f>
        <v/>
      </c>
      <c r="L722" t="str">
        <f>IF(tblCalculo[[#This Row],[STATUS]]="ALÇADA",tblCalculo[[#This Row],[VALOR_TOTAL]],"")</f>
        <v/>
      </c>
      <c r="M722">
        <f>IF(tblCalculo[[#This Row],[STATUS]]="EM ANÁLISE",tblCalculo[[#This Row],[VALOR_TOTAL]],"")</f>
        <v>20476.93</v>
      </c>
      <c r="N722" t="str">
        <f>IF(tblCalculo[[#This Row],[STATUS]]="TRAMITANDO",tblCalculo[[#This Row],[VALOR_TOTAL]],"")</f>
        <v/>
      </c>
      <c r="O722" t="str">
        <f>IF(tblCalculo[[#This Row],[STATUS]]="PERDIDO",tblCalculo[[#This Row],[VALOR_TOTAL]],"")</f>
        <v/>
      </c>
      <c r="P722" t="str">
        <f>IF(tblCalculo[[#This Row],[STATUS]]="CONCLUÍDO",tblCalculo[[#This Row],[VALOR_TOTAL]],"")</f>
        <v/>
      </c>
    </row>
    <row r="723" spans="1:16" x14ac:dyDescent="0.25">
      <c r="A723" t="str">
        <f>tblVendas[[#This Row],[NR_SIMULACAO]]</f>
        <v>SIM1713</v>
      </c>
      <c r="B723" s="34" t="str">
        <f>_xlfn.XLOOKUP(A723,tblVendas[[#This Row],[NR_SIMULACAO]],tblVendas[[#This Row],[NR_CNPJ]],"")</f>
        <v>96.258.506/0001-51</v>
      </c>
      <c r="C723" t="str">
        <f>_xlfn.XLOOKUP(A723,tblVendas[[#This Row],[NR_SIMULACAO]],tblVendas[[#This Row],[STATUS]],"")</f>
        <v>NEGOCIANDO</v>
      </c>
      <c r="D723" t="str">
        <f>_xlfn.XLOOKUP(A723,tblVendas[[#This Row],[NR_SIMULACAO]],tblVendas[[#This Row],[MES]],"")</f>
        <v>Dezembro</v>
      </c>
      <c r="E723">
        <f>SUM(_xlfn.XLOOKUP(tblCalculo[[#This Row],[NR_SIMULACAO]],tblVendas[[#This Row],[NR_SIMULACAO]],tblVendas[[#This Row],[VALOR_MOVEL]],""):_xlfn.XLOOKUP(tblCalculo[[#This Row],[NR_SIMULACAO]],tblVendas[[#This Row],[NR_SIMULACAO]],tblVendas[[#This Row],[VALOR_APARELHO]],""))</f>
        <v>11228.98</v>
      </c>
      <c r="F723">
        <f>IF(tblCalculo[[#This Row],[STATUS]]="CONCLUÍDO",_xlfn.XLOOKUP(tblCalculo[[#This Row],[NR_SIMULACAO]],tblVendas[[#This Row],[NR_SIMULACAO]],tblVendas[[#This Row],[VALOR_MOVEL]],""),0)</f>
        <v>0</v>
      </c>
      <c r="G723">
        <f>IF(tblCalculo[[#This Row],[STATUS]]="CONCLUÍDO",_xlfn.XLOOKUP(tblCalculo[[#This Row],[NR_SIMULACAO]],tblVendas[[#This Row],[NR_SIMULACAO]],tblVendas[[#This Row],[VALOR_AVANCADO]],""),0)</f>
        <v>0</v>
      </c>
      <c r="H723">
        <f>IF(tblCalculo[[#This Row],[STATUS]]="CONCLUÍDO",_xlfn.XLOOKUP(tblCalculo[[#This Row],[NR_SIMULACAO]],tblVendas[[#This Row],[NR_SIMULACAO]],tblVendas[[#This Row],[VALOR_FIXABASICA]],""),0)</f>
        <v>0</v>
      </c>
      <c r="I723">
        <f>IF(tblCalculo[[#This Row],[STATUS]]="CONCLUÍDO",_xlfn.XLOOKUP(tblCalculo[[#This Row],[NR_SIMULACAO]],tblVendas[[#This Row],[NR_SIMULACAO]],tblVendas[[#This Row],[VALOR_TI]],""),0)</f>
        <v>0</v>
      </c>
      <c r="J723">
        <f>IF(tblCalculo[[#This Row],[STATUS]]="CONCLUÍDO",_xlfn.XLOOKUP(tblCalculo[[#This Row],[NR_SIMULACAO]],tblVendas[[#This Row],[NR_SIMULACAO]],tblVendas[[#This Row],[VALOR_APARELHO]],""),0)</f>
        <v>0</v>
      </c>
      <c r="K723">
        <f>IF(tblCalculo[[#This Row],[STATUS]]="NEGOCIANDO",tblCalculo[[#This Row],[VALOR_TOTAL]],"")</f>
        <v>11228.98</v>
      </c>
      <c r="L723" t="str">
        <f>IF(tblCalculo[[#This Row],[STATUS]]="ALÇADA",tblCalculo[[#This Row],[VALOR_TOTAL]],"")</f>
        <v/>
      </c>
      <c r="M723" t="str">
        <f>IF(tblCalculo[[#This Row],[STATUS]]="EM ANÁLISE",tblCalculo[[#This Row],[VALOR_TOTAL]],"")</f>
        <v/>
      </c>
      <c r="N723" t="str">
        <f>IF(tblCalculo[[#This Row],[STATUS]]="TRAMITANDO",tblCalculo[[#This Row],[VALOR_TOTAL]],"")</f>
        <v/>
      </c>
      <c r="O723" t="str">
        <f>IF(tblCalculo[[#This Row],[STATUS]]="PERDIDO",tblCalculo[[#This Row],[VALOR_TOTAL]],"")</f>
        <v/>
      </c>
      <c r="P723" t="str">
        <f>IF(tblCalculo[[#This Row],[STATUS]]="CONCLUÍDO",tblCalculo[[#This Row],[VALOR_TOTAL]],"")</f>
        <v/>
      </c>
    </row>
    <row r="724" spans="1:16" x14ac:dyDescent="0.25">
      <c r="A724" t="str">
        <f>tblVendas[[#This Row],[NR_SIMULACAO]]</f>
        <v>SIM1714</v>
      </c>
      <c r="B724" s="34" t="str">
        <f>_xlfn.XLOOKUP(A724,tblVendas[[#This Row],[NR_SIMULACAO]],tblVendas[[#This Row],[NR_CNPJ]],"")</f>
        <v>92.846.699/0001-47</v>
      </c>
      <c r="C724" t="str">
        <f>_xlfn.XLOOKUP(A724,tblVendas[[#This Row],[NR_SIMULACAO]],tblVendas[[#This Row],[STATUS]],"")</f>
        <v>NEGOCIANDO</v>
      </c>
      <c r="D724" t="str">
        <f>_xlfn.XLOOKUP(A724,tblVendas[[#This Row],[NR_SIMULACAO]],tblVendas[[#This Row],[MES]],"")</f>
        <v>Junho</v>
      </c>
      <c r="E724">
        <f>SUM(_xlfn.XLOOKUP(tblCalculo[[#This Row],[NR_SIMULACAO]],tblVendas[[#This Row],[NR_SIMULACAO]],tblVendas[[#This Row],[VALOR_MOVEL]],""):_xlfn.XLOOKUP(tblCalculo[[#This Row],[NR_SIMULACAO]],tblVendas[[#This Row],[NR_SIMULACAO]],tblVendas[[#This Row],[VALOR_APARELHO]],""))</f>
        <v>1871.77</v>
      </c>
      <c r="F724">
        <f>IF(tblCalculo[[#This Row],[STATUS]]="CONCLUÍDO",_xlfn.XLOOKUP(tblCalculo[[#This Row],[NR_SIMULACAO]],tblVendas[[#This Row],[NR_SIMULACAO]],tblVendas[[#This Row],[VALOR_MOVEL]],""),0)</f>
        <v>0</v>
      </c>
      <c r="G724">
        <f>IF(tblCalculo[[#This Row],[STATUS]]="CONCLUÍDO",_xlfn.XLOOKUP(tblCalculo[[#This Row],[NR_SIMULACAO]],tblVendas[[#This Row],[NR_SIMULACAO]],tblVendas[[#This Row],[VALOR_AVANCADO]],""),0)</f>
        <v>0</v>
      </c>
      <c r="H724">
        <f>IF(tblCalculo[[#This Row],[STATUS]]="CONCLUÍDO",_xlfn.XLOOKUP(tblCalculo[[#This Row],[NR_SIMULACAO]],tblVendas[[#This Row],[NR_SIMULACAO]],tblVendas[[#This Row],[VALOR_FIXABASICA]],""),0)</f>
        <v>0</v>
      </c>
      <c r="I724">
        <f>IF(tblCalculo[[#This Row],[STATUS]]="CONCLUÍDO",_xlfn.XLOOKUP(tblCalculo[[#This Row],[NR_SIMULACAO]],tblVendas[[#This Row],[NR_SIMULACAO]],tblVendas[[#This Row],[VALOR_TI]],""),0)</f>
        <v>0</v>
      </c>
      <c r="J724">
        <f>IF(tblCalculo[[#This Row],[STATUS]]="CONCLUÍDO",_xlfn.XLOOKUP(tblCalculo[[#This Row],[NR_SIMULACAO]],tblVendas[[#This Row],[NR_SIMULACAO]],tblVendas[[#This Row],[VALOR_APARELHO]],""),0)</f>
        <v>0</v>
      </c>
      <c r="K724">
        <f>IF(tblCalculo[[#This Row],[STATUS]]="NEGOCIANDO",tblCalculo[[#This Row],[VALOR_TOTAL]],"")</f>
        <v>1871.77</v>
      </c>
      <c r="L724" t="str">
        <f>IF(tblCalculo[[#This Row],[STATUS]]="ALÇADA",tblCalculo[[#This Row],[VALOR_TOTAL]],"")</f>
        <v/>
      </c>
      <c r="M724" t="str">
        <f>IF(tblCalculo[[#This Row],[STATUS]]="EM ANÁLISE",tblCalculo[[#This Row],[VALOR_TOTAL]],"")</f>
        <v/>
      </c>
      <c r="N724" t="str">
        <f>IF(tblCalculo[[#This Row],[STATUS]]="TRAMITANDO",tblCalculo[[#This Row],[VALOR_TOTAL]],"")</f>
        <v/>
      </c>
      <c r="O724" t="str">
        <f>IF(tblCalculo[[#This Row],[STATUS]]="PERDIDO",tblCalculo[[#This Row],[VALOR_TOTAL]],"")</f>
        <v/>
      </c>
      <c r="P724" t="str">
        <f>IF(tblCalculo[[#This Row],[STATUS]]="CONCLUÍDO",tblCalculo[[#This Row],[VALOR_TOTAL]],"")</f>
        <v/>
      </c>
    </row>
    <row r="725" spans="1:16" x14ac:dyDescent="0.25">
      <c r="A725" t="str">
        <f>tblVendas[[#This Row],[NR_SIMULACAO]]</f>
        <v>SIM1715</v>
      </c>
      <c r="B725" s="34" t="str">
        <f>_xlfn.XLOOKUP(A725,tblVendas[[#This Row],[NR_SIMULACAO]],tblVendas[[#This Row],[NR_CNPJ]],"")</f>
        <v>70.479.599/0001-66</v>
      </c>
      <c r="C725" t="str">
        <f>_xlfn.XLOOKUP(A725,tblVendas[[#This Row],[NR_SIMULACAO]],tblVendas[[#This Row],[STATUS]],"")</f>
        <v>CONCLUÍDO</v>
      </c>
      <c r="D725" t="str">
        <f>_xlfn.XLOOKUP(A725,tblVendas[[#This Row],[NR_SIMULACAO]],tblVendas[[#This Row],[MES]],"")</f>
        <v>Junho</v>
      </c>
      <c r="E725">
        <f>SUM(_xlfn.XLOOKUP(tblCalculo[[#This Row],[NR_SIMULACAO]],tblVendas[[#This Row],[NR_SIMULACAO]],tblVendas[[#This Row],[VALOR_MOVEL]],""):_xlfn.XLOOKUP(tblCalculo[[#This Row],[NR_SIMULACAO]],tblVendas[[#This Row],[NR_SIMULACAO]],tblVendas[[#This Row],[VALOR_APARELHO]],""))</f>
        <v>9949.24</v>
      </c>
      <c r="F725">
        <f>IF(tblCalculo[[#This Row],[STATUS]]="CONCLUÍDO",_xlfn.XLOOKUP(tblCalculo[[#This Row],[NR_SIMULACAO]],tblVendas[[#This Row],[NR_SIMULACAO]],tblVendas[[#This Row],[VALOR_MOVEL]],""),0)</f>
        <v>0</v>
      </c>
      <c r="G725">
        <f>IF(tblCalculo[[#This Row],[STATUS]]="CONCLUÍDO",_xlfn.XLOOKUP(tblCalculo[[#This Row],[NR_SIMULACAO]],tblVendas[[#This Row],[NR_SIMULACAO]],tblVendas[[#This Row],[VALOR_AVANCADO]],""),0)</f>
        <v>0</v>
      </c>
      <c r="H725">
        <f>IF(tblCalculo[[#This Row],[STATUS]]="CONCLUÍDO",_xlfn.XLOOKUP(tblCalculo[[#This Row],[NR_SIMULACAO]],tblVendas[[#This Row],[NR_SIMULACAO]],tblVendas[[#This Row],[VALOR_FIXABASICA]],""),0)</f>
        <v>0</v>
      </c>
      <c r="I725">
        <f>IF(tblCalculo[[#This Row],[STATUS]]="CONCLUÍDO",_xlfn.XLOOKUP(tblCalculo[[#This Row],[NR_SIMULACAO]],tblVendas[[#This Row],[NR_SIMULACAO]],tblVendas[[#This Row],[VALOR_TI]],""),0)</f>
        <v>9949.24</v>
      </c>
      <c r="J725">
        <f>IF(tblCalculo[[#This Row],[STATUS]]="CONCLUÍDO",_xlfn.XLOOKUP(tblCalculo[[#This Row],[NR_SIMULACAO]],tblVendas[[#This Row],[NR_SIMULACAO]],tblVendas[[#This Row],[VALOR_APARELHO]],""),0)</f>
        <v>0</v>
      </c>
      <c r="K725" t="str">
        <f>IF(tblCalculo[[#This Row],[STATUS]]="NEGOCIANDO",tblCalculo[[#This Row],[VALOR_TOTAL]],"")</f>
        <v/>
      </c>
      <c r="L725" t="str">
        <f>IF(tblCalculo[[#This Row],[STATUS]]="ALÇADA",tblCalculo[[#This Row],[VALOR_TOTAL]],"")</f>
        <v/>
      </c>
      <c r="M725" t="str">
        <f>IF(tblCalculo[[#This Row],[STATUS]]="EM ANÁLISE",tblCalculo[[#This Row],[VALOR_TOTAL]],"")</f>
        <v/>
      </c>
      <c r="N725" t="str">
        <f>IF(tblCalculo[[#This Row],[STATUS]]="TRAMITANDO",tblCalculo[[#This Row],[VALOR_TOTAL]],"")</f>
        <v/>
      </c>
      <c r="O725" t="str">
        <f>IF(tblCalculo[[#This Row],[STATUS]]="PERDIDO",tblCalculo[[#This Row],[VALOR_TOTAL]],"")</f>
        <v/>
      </c>
      <c r="P725">
        <f>IF(tblCalculo[[#This Row],[STATUS]]="CONCLUÍDO",tblCalculo[[#This Row],[VALOR_TOTAL]],"")</f>
        <v>9949.24</v>
      </c>
    </row>
    <row r="726" spans="1:16" x14ac:dyDescent="0.25">
      <c r="A726" t="str">
        <f>tblVendas[[#This Row],[NR_SIMULACAO]]</f>
        <v>SIM1716</v>
      </c>
      <c r="B726" s="34" t="str">
        <f>_xlfn.XLOOKUP(A726,tblVendas[[#This Row],[NR_SIMULACAO]],tblVendas[[#This Row],[NR_CNPJ]],"")</f>
        <v>76.919.408/0001-36</v>
      </c>
      <c r="C726" t="str">
        <f>_xlfn.XLOOKUP(A726,tblVendas[[#This Row],[NR_SIMULACAO]],tblVendas[[#This Row],[STATUS]],"")</f>
        <v>TRAMITANDO</v>
      </c>
      <c r="D726" t="str">
        <f>_xlfn.XLOOKUP(A726,tblVendas[[#This Row],[NR_SIMULACAO]],tblVendas[[#This Row],[MES]],"")</f>
        <v>Julho</v>
      </c>
      <c r="E726">
        <f>SUM(_xlfn.XLOOKUP(tblCalculo[[#This Row],[NR_SIMULACAO]],tblVendas[[#This Row],[NR_SIMULACAO]],tblVendas[[#This Row],[VALOR_MOVEL]],""):_xlfn.XLOOKUP(tblCalculo[[#This Row],[NR_SIMULACAO]],tblVendas[[#This Row],[NR_SIMULACAO]],tblVendas[[#This Row],[VALOR_APARELHO]],""))</f>
        <v>11970.619999999999</v>
      </c>
      <c r="F726">
        <f>IF(tblCalculo[[#This Row],[STATUS]]="CONCLUÍDO",_xlfn.XLOOKUP(tblCalculo[[#This Row],[NR_SIMULACAO]],tblVendas[[#This Row],[NR_SIMULACAO]],tblVendas[[#This Row],[VALOR_MOVEL]],""),0)</f>
        <v>0</v>
      </c>
      <c r="G726">
        <f>IF(tblCalculo[[#This Row],[STATUS]]="CONCLUÍDO",_xlfn.XLOOKUP(tblCalculo[[#This Row],[NR_SIMULACAO]],tblVendas[[#This Row],[NR_SIMULACAO]],tblVendas[[#This Row],[VALOR_AVANCADO]],""),0)</f>
        <v>0</v>
      </c>
      <c r="H726">
        <f>IF(tblCalculo[[#This Row],[STATUS]]="CONCLUÍDO",_xlfn.XLOOKUP(tblCalculo[[#This Row],[NR_SIMULACAO]],tblVendas[[#This Row],[NR_SIMULACAO]],tblVendas[[#This Row],[VALOR_FIXABASICA]],""),0)</f>
        <v>0</v>
      </c>
      <c r="I726">
        <f>IF(tblCalculo[[#This Row],[STATUS]]="CONCLUÍDO",_xlfn.XLOOKUP(tblCalculo[[#This Row],[NR_SIMULACAO]],tblVendas[[#This Row],[NR_SIMULACAO]],tblVendas[[#This Row],[VALOR_TI]],""),0)</f>
        <v>0</v>
      </c>
      <c r="J726">
        <f>IF(tblCalculo[[#This Row],[STATUS]]="CONCLUÍDO",_xlfn.XLOOKUP(tblCalculo[[#This Row],[NR_SIMULACAO]],tblVendas[[#This Row],[NR_SIMULACAO]],tblVendas[[#This Row],[VALOR_APARELHO]],""),0)</f>
        <v>0</v>
      </c>
      <c r="K726" t="str">
        <f>IF(tblCalculo[[#This Row],[STATUS]]="NEGOCIANDO",tblCalculo[[#This Row],[VALOR_TOTAL]],"")</f>
        <v/>
      </c>
      <c r="L726" t="str">
        <f>IF(tblCalculo[[#This Row],[STATUS]]="ALÇADA",tblCalculo[[#This Row],[VALOR_TOTAL]],"")</f>
        <v/>
      </c>
      <c r="M726" t="str">
        <f>IF(tblCalculo[[#This Row],[STATUS]]="EM ANÁLISE",tblCalculo[[#This Row],[VALOR_TOTAL]],"")</f>
        <v/>
      </c>
      <c r="N726">
        <f>IF(tblCalculo[[#This Row],[STATUS]]="TRAMITANDO",tblCalculo[[#This Row],[VALOR_TOTAL]],"")</f>
        <v>11970.619999999999</v>
      </c>
      <c r="O726" t="str">
        <f>IF(tblCalculo[[#This Row],[STATUS]]="PERDIDO",tblCalculo[[#This Row],[VALOR_TOTAL]],"")</f>
        <v/>
      </c>
      <c r="P726" t="str">
        <f>IF(tblCalculo[[#This Row],[STATUS]]="CONCLUÍDO",tblCalculo[[#This Row],[VALOR_TOTAL]],"")</f>
        <v/>
      </c>
    </row>
    <row r="727" spans="1:16" x14ac:dyDescent="0.25">
      <c r="A727" t="str">
        <f>tblVendas[[#This Row],[NR_SIMULACAO]]</f>
        <v>SIM1717</v>
      </c>
      <c r="B727" s="34" t="str">
        <f>_xlfn.XLOOKUP(A727,tblVendas[[#This Row],[NR_SIMULACAO]],tblVendas[[#This Row],[NR_CNPJ]],"")</f>
        <v>39.630.552/0001-16</v>
      </c>
      <c r="C727" t="str">
        <f>_xlfn.XLOOKUP(A727,tblVendas[[#This Row],[NR_SIMULACAO]],tblVendas[[#This Row],[STATUS]],"")</f>
        <v>TRAMITANDO</v>
      </c>
      <c r="D727" t="str">
        <f>_xlfn.XLOOKUP(A727,tblVendas[[#This Row],[NR_SIMULACAO]],tblVendas[[#This Row],[MES]],"")</f>
        <v>Dezembro</v>
      </c>
      <c r="E727">
        <f>SUM(_xlfn.XLOOKUP(tblCalculo[[#This Row],[NR_SIMULACAO]],tblVendas[[#This Row],[NR_SIMULACAO]],tblVendas[[#This Row],[VALOR_MOVEL]],""):_xlfn.XLOOKUP(tblCalculo[[#This Row],[NR_SIMULACAO]],tblVendas[[#This Row],[NR_SIMULACAO]],tblVendas[[#This Row],[VALOR_APARELHO]],""))</f>
        <v>7136.2199999999993</v>
      </c>
      <c r="F727">
        <f>IF(tblCalculo[[#This Row],[STATUS]]="CONCLUÍDO",_xlfn.XLOOKUP(tblCalculo[[#This Row],[NR_SIMULACAO]],tblVendas[[#This Row],[NR_SIMULACAO]],tblVendas[[#This Row],[VALOR_MOVEL]],""),0)</f>
        <v>0</v>
      </c>
      <c r="G727">
        <f>IF(tblCalculo[[#This Row],[STATUS]]="CONCLUÍDO",_xlfn.XLOOKUP(tblCalculo[[#This Row],[NR_SIMULACAO]],tblVendas[[#This Row],[NR_SIMULACAO]],tblVendas[[#This Row],[VALOR_AVANCADO]],""),0)</f>
        <v>0</v>
      </c>
      <c r="H727">
        <f>IF(tblCalculo[[#This Row],[STATUS]]="CONCLUÍDO",_xlfn.XLOOKUP(tblCalculo[[#This Row],[NR_SIMULACAO]],tblVendas[[#This Row],[NR_SIMULACAO]],tblVendas[[#This Row],[VALOR_FIXABASICA]],""),0)</f>
        <v>0</v>
      </c>
      <c r="I727">
        <f>IF(tblCalculo[[#This Row],[STATUS]]="CONCLUÍDO",_xlfn.XLOOKUP(tblCalculo[[#This Row],[NR_SIMULACAO]],tblVendas[[#This Row],[NR_SIMULACAO]],tblVendas[[#This Row],[VALOR_TI]],""),0)</f>
        <v>0</v>
      </c>
      <c r="J727">
        <f>IF(tblCalculo[[#This Row],[STATUS]]="CONCLUÍDO",_xlfn.XLOOKUP(tblCalculo[[#This Row],[NR_SIMULACAO]],tblVendas[[#This Row],[NR_SIMULACAO]],tblVendas[[#This Row],[VALOR_APARELHO]],""),0)</f>
        <v>0</v>
      </c>
      <c r="K727" t="str">
        <f>IF(tblCalculo[[#This Row],[STATUS]]="NEGOCIANDO",tblCalculo[[#This Row],[VALOR_TOTAL]],"")</f>
        <v/>
      </c>
      <c r="L727" t="str">
        <f>IF(tblCalculo[[#This Row],[STATUS]]="ALÇADA",tblCalculo[[#This Row],[VALOR_TOTAL]],"")</f>
        <v/>
      </c>
      <c r="M727" t="str">
        <f>IF(tblCalculo[[#This Row],[STATUS]]="EM ANÁLISE",tblCalculo[[#This Row],[VALOR_TOTAL]],"")</f>
        <v/>
      </c>
      <c r="N727">
        <f>IF(tblCalculo[[#This Row],[STATUS]]="TRAMITANDO",tblCalculo[[#This Row],[VALOR_TOTAL]],"")</f>
        <v>7136.2199999999993</v>
      </c>
      <c r="O727" t="str">
        <f>IF(tblCalculo[[#This Row],[STATUS]]="PERDIDO",tblCalculo[[#This Row],[VALOR_TOTAL]],"")</f>
        <v/>
      </c>
      <c r="P727" t="str">
        <f>IF(tblCalculo[[#This Row],[STATUS]]="CONCLUÍDO",tblCalculo[[#This Row],[VALOR_TOTAL]],"")</f>
        <v/>
      </c>
    </row>
    <row r="728" spans="1:16" x14ac:dyDescent="0.25">
      <c r="A728" t="str">
        <f>tblVendas[[#This Row],[NR_SIMULACAO]]</f>
        <v>SIM1718</v>
      </c>
      <c r="B728" s="34" t="str">
        <f>_xlfn.XLOOKUP(A728,tblVendas[[#This Row],[NR_SIMULACAO]],tblVendas[[#This Row],[NR_CNPJ]],"")</f>
        <v>77.788.544/0001-41</v>
      </c>
      <c r="C728" t="str">
        <f>_xlfn.XLOOKUP(A728,tblVendas[[#This Row],[NR_SIMULACAO]],tblVendas[[#This Row],[STATUS]],"")</f>
        <v>CONCLUÍDO</v>
      </c>
      <c r="D728" t="str">
        <f>_xlfn.XLOOKUP(A728,tblVendas[[#This Row],[NR_SIMULACAO]],tblVendas[[#This Row],[MES]],"")</f>
        <v>Abril</v>
      </c>
      <c r="E728">
        <f>SUM(_xlfn.XLOOKUP(tblCalculo[[#This Row],[NR_SIMULACAO]],tblVendas[[#This Row],[NR_SIMULACAO]],tblVendas[[#This Row],[VALOR_MOVEL]],""):_xlfn.XLOOKUP(tblCalculo[[#This Row],[NR_SIMULACAO]],tblVendas[[#This Row],[NR_SIMULACAO]],tblVendas[[#This Row],[VALOR_APARELHO]],""))</f>
        <v>4090.68</v>
      </c>
      <c r="F728">
        <f>IF(tblCalculo[[#This Row],[STATUS]]="CONCLUÍDO",_xlfn.XLOOKUP(tblCalculo[[#This Row],[NR_SIMULACAO]],tblVendas[[#This Row],[NR_SIMULACAO]],tblVendas[[#This Row],[VALOR_MOVEL]],""),0)</f>
        <v>0</v>
      </c>
      <c r="G728">
        <f>IF(tblCalculo[[#This Row],[STATUS]]="CONCLUÍDO",_xlfn.XLOOKUP(tblCalculo[[#This Row],[NR_SIMULACAO]],tblVendas[[#This Row],[NR_SIMULACAO]],tblVendas[[#This Row],[VALOR_AVANCADO]],""),0)</f>
        <v>0</v>
      </c>
      <c r="H728">
        <f>IF(tblCalculo[[#This Row],[STATUS]]="CONCLUÍDO",_xlfn.XLOOKUP(tblCalculo[[#This Row],[NR_SIMULACAO]],tblVendas[[#This Row],[NR_SIMULACAO]],tblVendas[[#This Row],[VALOR_FIXABASICA]],""),0)</f>
        <v>4090.68</v>
      </c>
      <c r="I728">
        <f>IF(tblCalculo[[#This Row],[STATUS]]="CONCLUÍDO",_xlfn.XLOOKUP(tblCalculo[[#This Row],[NR_SIMULACAO]],tblVendas[[#This Row],[NR_SIMULACAO]],tblVendas[[#This Row],[VALOR_TI]],""),0)</f>
        <v>0</v>
      </c>
      <c r="J728">
        <f>IF(tblCalculo[[#This Row],[STATUS]]="CONCLUÍDO",_xlfn.XLOOKUP(tblCalculo[[#This Row],[NR_SIMULACAO]],tblVendas[[#This Row],[NR_SIMULACAO]],tblVendas[[#This Row],[VALOR_APARELHO]],""),0)</f>
        <v>0</v>
      </c>
      <c r="K728" t="str">
        <f>IF(tblCalculo[[#This Row],[STATUS]]="NEGOCIANDO",tblCalculo[[#This Row],[VALOR_TOTAL]],"")</f>
        <v/>
      </c>
      <c r="L728" t="str">
        <f>IF(tblCalculo[[#This Row],[STATUS]]="ALÇADA",tblCalculo[[#This Row],[VALOR_TOTAL]],"")</f>
        <v/>
      </c>
      <c r="M728" t="str">
        <f>IF(tblCalculo[[#This Row],[STATUS]]="EM ANÁLISE",tblCalculo[[#This Row],[VALOR_TOTAL]],"")</f>
        <v/>
      </c>
      <c r="N728" t="str">
        <f>IF(tblCalculo[[#This Row],[STATUS]]="TRAMITANDO",tblCalculo[[#This Row],[VALOR_TOTAL]],"")</f>
        <v/>
      </c>
      <c r="O728" t="str">
        <f>IF(tblCalculo[[#This Row],[STATUS]]="PERDIDO",tblCalculo[[#This Row],[VALOR_TOTAL]],"")</f>
        <v/>
      </c>
      <c r="P728">
        <f>IF(tblCalculo[[#This Row],[STATUS]]="CONCLUÍDO",tblCalculo[[#This Row],[VALOR_TOTAL]],"")</f>
        <v>4090.68</v>
      </c>
    </row>
    <row r="729" spans="1:16" x14ac:dyDescent="0.25">
      <c r="A729" t="str">
        <f>tblVendas[[#This Row],[NR_SIMULACAO]]</f>
        <v>SIM1719</v>
      </c>
      <c r="B729" s="34" t="str">
        <f>_xlfn.XLOOKUP(A729,tblVendas[[#This Row],[NR_SIMULACAO]],tblVendas[[#This Row],[NR_CNPJ]],"")</f>
        <v>83.104.890/0001-89</v>
      </c>
      <c r="C729" t="str">
        <f>_xlfn.XLOOKUP(A729,tblVendas[[#This Row],[NR_SIMULACAO]],tblVendas[[#This Row],[STATUS]],"")</f>
        <v>EM ANÁLISE</v>
      </c>
      <c r="D729" t="str">
        <f>_xlfn.XLOOKUP(A729,tblVendas[[#This Row],[NR_SIMULACAO]],tblVendas[[#This Row],[MES]],"")</f>
        <v>Março</v>
      </c>
      <c r="E729">
        <f>SUM(_xlfn.XLOOKUP(tblCalculo[[#This Row],[NR_SIMULACAO]],tblVendas[[#This Row],[NR_SIMULACAO]],tblVendas[[#This Row],[VALOR_MOVEL]],""):_xlfn.XLOOKUP(tblCalculo[[#This Row],[NR_SIMULACAO]],tblVendas[[#This Row],[NR_SIMULACAO]],tblVendas[[#This Row],[VALOR_APARELHO]],""))</f>
        <v>7340.06</v>
      </c>
      <c r="F729">
        <f>IF(tblCalculo[[#This Row],[STATUS]]="CONCLUÍDO",_xlfn.XLOOKUP(tblCalculo[[#This Row],[NR_SIMULACAO]],tblVendas[[#This Row],[NR_SIMULACAO]],tblVendas[[#This Row],[VALOR_MOVEL]],""),0)</f>
        <v>0</v>
      </c>
      <c r="G729">
        <f>IF(tblCalculo[[#This Row],[STATUS]]="CONCLUÍDO",_xlfn.XLOOKUP(tblCalculo[[#This Row],[NR_SIMULACAO]],tblVendas[[#This Row],[NR_SIMULACAO]],tblVendas[[#This Row],[VALOR_AVANCADO]],""),0)</f>
        <v>0</v>
      </c>
      <c r="H729">
        <f>IF(tblCalculo[[#This Row],[STATUS]]="CONCLUÍDO",_xlfn.XLOOKUP(tblCalculo[[#This Row],[NR_SIMULACAO]],tblVendas[[#This Row],[NR_SIMULACAO]],tblVendas[[#This Row],[VALOR_FIXABASICA]],""),0)</f>
        <v>0</v>
      </c>
      <c r="I729">
        <f>IF(tblCalculo[[#This Row],[STATUS]]="CONCLUÍDO",_xlfn.XLOOKUP(tblCalculo[[#This Row],[NR_SIMULACAO]],tblVendas[[#This Row],[NR_SIMULACAO]],tblVendas[[#This Row],[VALOR_TI]],""),0)</f>
        <v>0</v>
      </c>
      <c r="J729">
        <f>IF(tblCalculo[[#This Row],[STATUS]]="CONCLUÍDO",_xlfn.XLOOKUP(tblCalculo[[#This Row],[NR_SIMULACAO]],tblVendas[[#This Row],[NR_SIMULACAO]],tblVendas[[#This Row],[VALOR_APARELHO]],""),0)</f>
        <v>0</v>
      </c>
      <c r="K729" t="str">
        <f>IF(tblCalculo[[#This Row],[STATUS]]="NEGOCIANDO",tblCalculo[[#This Row],[VALOR_TOTAL]],"")</f>
        <v/>
      </c>
      <c r="L729" t="str">
        <f>IF(tblCalculo[[#This Row],[STATUS]]="ALÇADA",tblCalculo[[#This Row],[VALOR_TOTAL]],"")</f>
        <v/>
      </c>
      <c r="M729">
        <f>IF(tblCalculo[[#This Row],[STATUS]]="EM ANÁLISE",tblCalculo[[#This Row],[VALOR_TOTAL]],"")</f>
        <v>7340.06</v>
      </c>
      <c r="N729" t="str">
        <f>IF(tblCalculo[[#This Row],[STATUS]]="TRAMITANDO",tblCalculo[[#This Row],[VALOR_TOTAL]],"")</f>
        <v/>
      </c>
      <c r="O729" t="str">
        <f>IF(tblCalculo[[#This Row],[STATUS]]="PERDIDO",tblCalculo[[#This Row],[VALOR_TOTAL]],"")</f>
        <v/>
      </c>
      <c r="P729" t="str">
        <f>IF(tblCalculo[[#This Row],[STATUS]]="CONCLUÍDO",tblCalculo[[#This Row],[VALOR_TOTAL]],"")</f>
        <v/>
      </c>
    </row>
    <row r="730" spans="1:16" x14ac:dyDescent="0.25">
      <c r="A730" t="str">
        <f>tblVendas[[#This Row],[NR_SIMULACAO]]</f>
        <v>SIM1720</v>
      </c>
      <c r="B730" s="34" t="str">
        <f>_xlfn.XLOOKUP(A730,tblVendas[[#This Row],[NR_SIMULACAO]],tblVendas[[#This Row],[NR_CNPJ]],"")</f>
        <v>25.845.547/0001-12</v>
      </c>
      <c r="C730" t="str">
        <f>_xlfn.XLOOKUP(A730,tblVendas[[#This Row],[NR_SIMULACAO]],tblVendas[[#This Row],[STATUS]],"")</f>
        <v>NEGOCIANDO</v>
      </c>
      <c r="D730" t="str">
        <f>_xlfn.XLOOKUP(A730,tblVendas[[#This Row],[NR_SIMULACAO]],tblVendas[[#This Row],[MES]],"")</f>
        <v>Dezembro</v>
      </c>
      <c r="E730">
        <f>SUM(_xlfn.XLOOKUP(tblCalculo[[#This Row],[NR_SIMULACAO]],tblVendas[[#This Row],[NR_SIMULACAO]],tblVendas[[#This Row],[VALOR_MOVEL]],""):_xlfn.XLOOKUP(tblCalculo[[#This Row],[NR_SIMULACAO]],tblVendas[[#This Row],[NR_SIMULACAO]],tblVendas[[#This Row],[VALOR_APARELHO]],""))</f>
        <v>7726.45</v>
      </c>
      <c r="F730">
        <f>IF(tblCalculo[[#This Row],[STATUS]]="CONCLUÍDO",_xlfn.XLOOKUP(tblCalculo[[#This Row],[NR_SIMULACAO]],tblVendas[[#This Row],[NR_SIMULACAO]],tblVendas[[#This Row],[VALOR_MOVEL]],""),0)</f>
        <v>0</v>
      </c>
      <c r="G730">
        <f>IF(tblCalculo[[#This Row],[STATUS]]="CONCLUÍDO",_xlfn.XLOOKUP(tblCalculo[[#This Row],[NR_SIMULACAO]],tblVendas[[#This Row],[NR_SIMULACAO]],tblVendas[[#This Row],[VALOR_AVANCADO]],""),0)</f>
        <v>0</v>
      </c>
      <c r="H730">
        <f>IF(tblCalculo[[#This Row],[STATUS]]="CONCLUÍDO",_xlfn.XLOOKUP(tblCalculo[[#This Row],[NR_SIMULACAO]],tblVendas[[#This Row],[NR_SIMULACAO]],tblVendas[[#This Row],[VALOR_FIXABASICA]],""),0)</f>
        <v>0</v>
      </c>
      <c r="I730">
        <f>IF(tblCalculo[[#This Row],[STATUS]]="CONCLUÍDO",_xlfn.XLOOKUP(tblCalculo[[#This Row],[NR_SIMULACAO]],tblVendas[[#This Row],[NR_SIMULACAO]],tblVendas[[#This Row],[VALOR_TI]],""),0)</f>
        <v>0</v>
      </c>
      <c r="J730">
        <f>IF(tblCalculo[[#This Row],[STATUS]]="CONCLUÍDO",_xlfn.XLOOKUP(tblCalculo[[#This Row],[NR_SIMULACAO]],tblVendas[[#This Row],[NR_SIMULACAO]],tblVendas[[#This Row],[VALOR_APARELHO]],""),0)</f>
        <v>0</v>
      </c>
      <c r="K730">
        <f>IF(tblCalculo[[#This Row],[STATUS]]="NEGOCIANDO",tblCalculo[[#This Row],[VALOR_TOTAL]],"")</f>
        <v>7726.45</v>
      </c>
      <c r="L730" t="str">
        <f>IF(tblCalculo[[#This Row],[STATUS]]="ALÇADA",tblCalculo[[#This Row],[VALOR_TOTAL]],"")</f>
        <v/>
      </c>
      <c r="M730" t="str">
        <f>IF(tblCalculo[[#This Row],[STATUS]]="EM ANÁLISE",tblCalculo[[#This Row],[VALOR_TOTAL]],"")</f>
        <v/>
      </c>
      <c r="N730" t="str">
        <f>IF(tblCalculo[[#This Row],[STATUS]]="TRAMITANDO",tblCalculo[[#This Row],[VALOR_TOTAL]],"")</f>
        <v/>
      </c>
      <c r="O730" t="str">
        <f>IF(tblCalculo[[#This Row],[STATUS]]="PERDIDO",tblCalculo[[#This Row],[VALOR_TOTAL]],"")</f>
        <v/>
      </c>
      <c r="P730" t="str">
        <f>IF(tblCalculo[[#This Row],[STATUS]]="CONCLUÍDO",tblCalculo[[#This Row],[VALOR_TOTAL]],"")</f>
        <v/>
      </c>
    </row>
    <row r="731" spans="1:16" x14ac:dyDescent="0.25">
      <c r="A731" t="str">
        <f>tblVendas[[#This Row],[NR_SIMULACAO]]</f>
        <v>SIM1721</v>
      </c>
      <c r="B731" s="34" t="str">
        <f>_xlfn.XLOOKUP(A731,tblVendas[[#This Row],[NR_SIMULACAO]],tblVendas[[#This Row],[NR_CNPJ]],"")</f>
        <v>29.120.773/0001-89</v>
      </c>
      <c r="C731" t="str">
        <f>_xlfn.XLOOKUP(A731,tblVendas[[#This Row],[NR_SIMULACAO]],tblVendas[[#This Row],[STATUS]],"")</f>
        <v>TRAMITANDO</v>
      </c>
      <c r="D731" t="str">
        <f>_xlfn.XLOOKUP(A731,tblVendas[[#This Row],[NR_SIMULACAO]],tblVendas[[#This Row],[MES]],"")</f>
        <v>Agosto</v>
      </c>
      <c r="E731">
        <f>SUM(_xlfn.XLOOKUP(tblCalculo[[#This Row],[NR_SIMULACAO]],tblVendas[[#This Row],[NR_SIMULACAO]],tblVendas[[#This Row],[VALOR_MOVEL]],""):_xlfn.XLOOKUP(tblCalculo[[#This Row],[NR_SIMULACAO]],tblVendas[[#This Row],[NR_SIMULACAO]],tblVendas[[#This Row],[VALOR_APARELHO]],""))</f>
        <v>3306.03</v>
      </c>
      <c r="F731">
        <f>IF(tblCalculo[[#This Row],[STATUS]]="CONCLUÍDO",_xlfn.XLOOKUP(tblCalculo[[#This Row],[NR_SIMULACAO]],tblVendas[[#This Row],[NR_SIMULACAO]],tblVendas[[#This Row],[VALOR_MOVEL]],""),0)</f>
        <v>0</v>
      </c>
      <c r="G731">
        <f>IF(tblCalculo[[#This Row],[STATUS]]="CONCLUÍDO",_xlfn.XLOOKUP(tblCalculo[[#This Row],[NR_SIMULACAO]],tblVendas[[#This Row],[NR_SIMULACAO]],tblVendas[[#This Row],[VALOR_AVANCADO]],""),0)</f>
        <v>0</v>
      </c>
      <c r="H731">
        <f>IF(tblCalculo[[#This Row],[STATUS]]="CONCLUÍDO",_xlfn.XLOOKUP(tblCalculo[[#This Row],[NR_SIMULACAO]],tblVendas[[#This Row],[NR_SIMULACAO]],tblVendas[[#This Row],[VALOR_FIXABASICA]],""),0)</f>
        <v>0</v>
      </c>
      <c r="I731">
        <f>IF(tblCalculo[[#This Row],[STATUS]]="CONCLUÍDO",_xlfn.XLOOKUP(tblCalculo[[#This Row],[NR_SIMULACAO]],tblVendas[[#This Row],[NR_SIMULACAO]],tblVendas[[#This Row],[VALOR_TI]],""),0)</f>
        <v>0</v>
      </c>
      <c r="J731">
        <f>IF(tblCalculo[[#This Row],[STATUS]]="CONCLUÍDO",_xlfn.XLOOKUP(tblCalculo[[#This Row],[NR_SIMULACAO]],tblVendas[[#This Row],[NR_SIMULACAO]],tblVendas[[#This Row],[VALOR_APARELHO]],""),0)</f>
        <v>0</v>
      </c>
      <c r="K731" t="str">
        <f>IF(tblCalculo[[#This Row],[STATUS]]="NEGOCIANDO",tblCalculo[[#This Row],[VALOR_TOTAL]],"")</f>
        <v/>
      </c>
      <c r="L731" t="str">
        <f>IF(tblCalculo[[#This Row],[STATUS]]="ALÇADA",tblCalculo[[#This Row],[VALOR_TOTAL]],"")</f>
        <v/>
      </c>
      <c r="M731" t="str">
        <f>IF(tblCalculo[[#This Row],[STATUS]]="EM ANÁLISE",tblCalculo[[#This Row],[VALOR_TOTAL]],"")</f>
        <v/>
      </c>
      <c r="N731">
        <f>IF(tblCalculo[[#This Row],[STATUS]]="TRAMITANDO",tblCalculo[[#This Row],[VALOR_TOTAL]],"")</f>
        <v>3306.03</v>
      </c>
      <c r="O731" t="str">
        <f>IF(tblCalculo[[#This Row],[STATUS]]="PERDIDO",tblCalculo[[#This Row],[VALOR_TOTAL]],"")</f>
        <v/>
      </c>
      <c r="P731" t="str">
        <f>IF(tblCalculo[[#This Row],[STATUS]]="CONCLUÍDO",tblCalculo[[#This Row],[VALOR_TOTAL]],"")</f>
        <v/>
      </c>
    </row>
    <row r="732" spans="1:16" x14ac:dyDescent="0.25">
      <c r="A732" t="str">
        <f>tblVendas[[#This Row],[NR_SIMULACAO]]</f>
        <v>SIM1722</v>
      </c>
      <c r="B732" s="34" t="str">
        <f>_xlfn.XLOOKUP(A732,tblVendas[[#This Row],[NR_SIMULACAO]],tblVendas[[#This Row],[NR_CNPJ]],"")</f>
        <v>99.318.390/0001-15</v>
      </c>
      <c r="C732" t="str">
        <f>_xlfn.XLOOKUP(A732,tblVendas[[#This Row],[NR_SIMULACAO]],tblVendas[[#This Row],[STATUS]],"")</f>
        <v>CONCLUÍDO</v>
      </c>
      <c r="D732" t="str">
        <f>_xlfn.XLOOKUP(A732,tblVendas[[#This Row],[NR_SIMULACAO]],tblVendas[[#This Row],[MES]],"")</f>
        <v>Julho</v>
      </c>
      <c r="E732">
        <f>SUM(_xlfn.XLOOKUP(tblCalculo[[#This Row],[NR_SIMULACAO]],tblVendas[[#This Row],[NR_SIMULACAO]],tblVendas[[#This Row],[VALOR_MOVEL]],""):_xlfn.XLOOKUP(tblCalculo[[#This Row],[NR_SIMULACAO]],tblVendas[[#This Row],[NR_SIMULACAO]],tblVendas[[#This Row],[VALOR_APARELHO]],""))</f>
        <v>4924.82</v>
      </c>
      <c r="F732">
        <f>IF(tblCalculo[[#This Row],[STATUS]]="CONCLUÍDO",_xlfn.XLOOKUP(tblCalculo[[#This Row],[NR_SIMULACAO]],tblVendas[[#This Row],[NR_SIMULACAO]],tblVendas[[#This Row],[VALOR_MOVEL]],""),0)</f>
        <v>0</v>
      </c>
      <c r="G732">
        <f>IF(tblCalculo[[#This Row],[STATUS]]="CONCLUÍDO",_xlfn.XLOOKUP(tblCalculo[[#This Row],[NR_SIMULACAO]],tblVendas[[#This Row],[NR_SIMULACAO]],tblVendas[[#This Row],[VALOR_AVANCADO]],""),0)</f>
        <v>562.19000000000005</v>
      </c>
      <c r="H732">
        <f>IF(tblCalculo[[#This Row],[STATUS]]="CONCLUÍDO",_xlfn.XLOOKUP(tblCalculo[[#This Row],[NR_SIMULACAO]],tblVendas[[#This Row],[NR_SIMULACAO]],tblVendas[[#This Row],[VALOR_FIXABASICA]],""),0)</f>
        <v>0</v>
      </c>
      <c r="I732">
        <f>IF(tblCalculo[[#This Row],[STATUS]]="CONCLUÍDO",_xlfn.XLOOKUP(tblCalculo[[#This Row],[NR_SIMULACAO]],tblVendas[[#This Row],[NR_SIMULACAO]],tblVendas[[#This Row],[VALOR_TI]],""),0)</f>
        <v>0</v>
      </c>
      <c r="J732">
        <f>IF(tblCalculo[[#This Row],[STATUS]]="CONCLUÍDO",_xlfn.XLOOKUP(tblCalculo[[#This Row],[NR_SIMULACAO]],tblVendas[[#This Row],[NR_SIMULACAO]],tblVendas[[#This Row],[VALOR_APARELHO]],""),0)</f>
        <v>4362.63</v>
      </c>
      <c r="K732" t="str">
        <f>IF(tblCalculo[[#This Row],[STATUS]]="NEGOCIANDO",tblCalculo[[#This Row],[VALOR_TOTAL]],"")</f>
        <v/>
      </c>
      <c r="L732" t="str">
        <f>IF(tblCalculo[[#This Row],[STATUS]]="ALÇADA",tblCalculo[[#This Row],[VALOR_TOTAL]],"")</f>
        <v/>
      </c>
      <c r="M732" t="str">
        <f>IF(tblCalculo[[#This Row],[STATUS]]="EM ANÁLISE",tblCalculo[[#This Row],[VALOR_TOTAL]],"")</f>
        <v/>
      </c>
      <c r="N732" t="str">
        <f>IF(tblCalculo[[#This Row],[STATUS]]="TRAMITANDO",tblCalculo[[#This Row],[VALOR_TOTAL]],"")</f>
        <v/>
      </c>
      <c r="O732" t="str">
        <f>IF(tblCalculo[[#This Row],[STATUS]]="PERDIDO",tblCalculo[[#This Row],[VALOR_TOTAL]],"")</f>
        <v/>
      </c>
      <c r="P732">
        <f>IF(tblCalculo[[#This Row],[STATUS]]="CONCLUÍDO",tblCalculo[[#This Row],[VALOR_TOTAL]],"")</f>
        <v>4924.82</v>
      </c>
    </row>
    <row r="733" spans="1:16" x14ac:dyDescent="0.25">
      <c r="A733" t="str">
        <f>tblVendas[[#This Row],[NR_SIMULACAO]]</f>
        <v>SIM1723</v>
      </c>
      <c r="B733" s="34" t="str">
        <f>_xlfn.XLOOKUP(A733,tblVendas[[#This Row],[NR_SIMULACAO]],tblVendas[[#This Row],[NR_CNPJ]],"")</f>
        <v>47.626.382/0001-95</v>
      </c>
      <c r="C733" t="str">
        <f>_xlfn.XLOOKUP(A733,tblVendas[[#This Row],[NR_SIMULACAO]],tblVendas[[#This Row],[STATUS]],"")</f>
        <v>CONCLUÍDO</v>
      </c>
      <c r="D733" t="str">
        <f>_xlfn.XLOOKUP(A733,tblVendas[[#This Row],[NR_SIMULACAO]],tblVendas[[#This Row],[MES]],"")</f>
        <v>Setembro</v>
      </c>
      <c r="E733">
        <f>SUM(_xlfn.XLOOKUP(tblCalculo[[#This Row],[NR_SIMULACAO]],tblVendas[[#This Row],[NR_SIMULACAO]],tblVendas[[#This Row],[VALOR_MOVEL]],""):_xlfn.XLOOKUP(tblCalculo[[#This Row],[NR_SIMULACAO]],tblVendas[[#This Row],[NR_SIMULACAO]],tblVendas[[#This Row],[VALOR_APARELHO]],""))</f>
        <v>13378.079999999998</v>
      </c>
      <c r="F733">
        <f>IF(tblCalculo[[#This Row],[STATUS]]="CONCLUÍDO",_xlfn.XLOOKUP(tblCalculo[[#This Row],[NR_SIMULACAO]],tblVendas[[#This Row],[NR_SIMULACAO]],tblVendas[[#This Row],[VALOR_MOVEL]],""),0)</f>
        <v>2150</v>
      </c>
      <c r="G733">
        <f>IF(tblCalculo[[#This Row],[STATUS]]="CONCLUÍDO",_xlfn.XLOOKUP(tblCalculo[[#This Row],[NR_SIMULACAO]],tblVendas[[#This Row],[NR_SIMULACAO]],tblVendas[[#This Row],[VALOR_AVANCADO]],""),0)</f>
        <v>4028.15</v>
      </c>
      <c r="H733">
        <f>IF(tblCalculo[[#This Row],[STATUS]]="CONCLUÍDO",_xlfn.XLOOKUP(tblCalculo[[#This Row],[NR_SIMULACAO]],tblVendas[[#This Row],[NR_SIMULACAO]],tblVendas[[#This Row],[VALOR_FIXABASICA]],""),0)</f>
        <v>2315.04</v>
      </c>
      <c r="I733">
        <f>IF(tblCalculo[[#This Row],[STATUS]]="CONCLUÍDO",_xlfn.XLOOKUP(tblCalculo[[#This Row],[NR_SIMULACAO]],tblVendas[[#This Row],[NR_SIMULACAO]],tblVendas[[#This Row],[VALOR_TI]],""),0)</f>
        <v>0</v>
      </c>
      <c r="J733">
        <f>IF(tblCalculo[[#This Row],[STATUS]]="CONCLUÍDO",_xlfn.XLOOKUP(tblCalculo[[#This Row],[NR_SIMULACAO]],tblVendas[[#This Row],[NR_SIMULACAO]],tblVendas[[#This Row],[VALOR_APARELHO]],""),0)</f>
        <v>4884.8900000000003</v>
      </c>
      <c r="K733" t="str">
        <f>IF(tblCalculo[[#This Row],[STATUS]]="NEGOCIANDO",tblCalculo[[#This Row],[VALOR_TOTAL]],"")</f>
        <v/>
      </c>
      <c r="L733" t="str">
        <f>IF(tblCalculo[[#This Row],[STATUS]]="ALÇADA",tblCalculo[[#This Row],[VALOR_TOTAL]],"")</f>
        <v/>
      </c>
      <c r="M733" t="str">
        <f>IF(tblCalculo[[#This Row],[STATUS]]="EM ANÁLISE",tblCalculo[[#This Row],[VALOR_TOTAL]],"")</f>
        <v/>
      </c>
      <c r="N733" t="str">
        <f>IF(tblCalculo[[#This Row],[STATUS]]="TRAMITANDO",tblCalculo[[#This Row],[VALOR_TOTAL]],"")</f>
        <v/>
      </c>
      <c r="O733" t="str">
        <f>IF(tblCalculo[[#This Row],[STATUS]]="PERDIDO",tblCalculo[[#This Row],[VALOR_TOTAL]],"")</f>
        <v/>
      </c>
      <c r="P733">
        <f>IF(tblCalculo[[#This Row],[STATUS]]="CONCLUÍDO",tblCalculo[[#This Row],[VALOR_TOTAL]],"")</f>
        <v>13378.079999999998</v>
      </c>
    </row>
    <row r="734" spans="1:16" x14ac:dyDescent="0.25">
      <c r="A734" t="str">
        <f>tblVendas[[#This Row],[NR_SIMULACAO]]</f>
        <v>SIM1724</v>
      </c>
      <c r="B734" s="34" t="str">
        <f>_xlfn.XLOOKUP(A734,tblVendas[[#This Row],[NR_SIMULACAO]],tblVendas[[#This Row],[NR_CNPJ]],"")</f>
        <v>94.180.923/0001-99</v>
      </c>
      <c r="C734" t="str">
        <f>_xlfn.XLOOKUP(A734,tblVendas[[#This Row],[NR_SIMULACAO]],tblVendas[[#This Row],[STATUS]],"")</f>
        <v>PERDIDO</v>
      </c>
      <c r="D734" t="str">
        <f>_xlfn.XLOOKUP(A734,tblVendas[[#This Row],[NR_SIMULACAO]],tblVendas[[#This Row],[MES]],"")</f>
        <v>Setembro</v>
      </c>
      <c r="E734">
        <f>SUM(_xlfn.XLOOKUP(tblCalculo[[#This Row],[NR_SIMULACAO]],tblVendas[[#This Row],[NR_SIMULACAO]],tblVendas[[#This Row],[VALOR_MOVEL]],""):_xlfn.XLOOKUP(tblCalculo[[#This Row],[NR_SIMULACAO]],tblVendas[[#This Row],[NR_SIMULACAO]],tblVendas[[#This Row],[VALOR_APARELHO]],""))</f>
        <v>13778.150000000001</v>
      </c>
      <c r="F734">
        <f>IF(tblCalculo[[#This Row],[STATUS]]="CONCLUÍDO",_xlfn.XLOOKUP(tblCalculo[[#This Row],[NR_SIMULACAO]],tblVendas[[#This Row],[NR_SIMULACAO]],tblVendas[[#This Row],[VALOR_MOVEL]],""),0)</f>
        <v>0</v>
      </c>
      <c r="G734">
        <f>IF(tblCalculo[[#This Row],[STATUS]]="CONCLUÍDO",_xlfn.XLOOKUP(tblCalculo[[#This Row],[NR_SIMULACAO]],tblVendas[[#This Row],[NR_SIMULACAO]],tblVendas[[#This Row],[VALOR_AVANCADO]],""),0)</f>
        <v>0</v>
      </c>
      <c r="H734">
        <f>IF(tblCalculo[[#This Row],[STATUS]]="CONCLUÍDO",_xlfn.XLOOKUP(tblCalculo[[#This Row],[NR_SIMULACAO]],tblVendas[[#This Row],[NR_SIMULACAO]],tblVendas[[#This Row],[VALOR_FIXABASICA]],""),0)</f>
        <v>0</v>
      </c>
      <c r="I734">
        <f>IF(tblCalculo[[#This Row],[STATUS]]="CONCLUÍDO",_xlfn.XLOOKUP(tblCalculo[[#This Row],[NR_SIMULACAO]],tblVendas[[#This Row],[NR_SIMULACAO]],tblVendas[[#This Row],[VALOR_TI]],""),0)</f>
        <v>0</v>
      </c>
      <c r="J734">
        <f>IF(tblCalculo[[#This Row],[STATUS]]="CONCLUÍDO",_xlfn.XLOOKUP(tblCalculo[[#This Row],[NR_SIMULACAO]],tblVendas[[#This Row],[NR_SIMULACAO]],tblVendas[[#This Row],[VALOR_APARELHO]],""),0)</f>
        <v>0</v>
      </c>
      <c r="K734" t="str">
        <f>IF(tblCalculo[[#This Row],[STATUS]]="NEGOCIANDO",tblCalculo[[#This Row],[VALOR_TOTAL]],"")</f>
        <v/>
      </c>
      <c r="L734" t="str">
        <f>IF(tblCalculo[[#This Row],[STATUS]]="ALÇADA",tblCalculo[[#This Row],[VALOR_TOTAL]],"")</f>
        <v/>
      </c>
      <c r="M734" t="str">
        <f>IF(tblCalculo[[#This Row],[STATUS]]="EM ANÁLISE",tblCalculo[[#This Row],[VALOR_TOTAL]],"")</f>
        <v/>
      </c>
      <c r="N734" t="str">
        <f>IF(tblCalculo[[#This Row],[STATUS]]="TRAMITANDO",tblCalculo[[#This Row],[VALOR_TOTAL]],"")</f>
        <v/>
      </c>
      <c r="O734">
        <f>IF(tblCalculo[[#This Row],[STATUS]]="PERDIDO",tblCalculo[[#This Row],[VALOR_TOTAL]],"")</f>
        <v>13778.150000000001</v>
      </c>
      <c r="P734" t="str">
        <f>IF(tblCalculo[[#This Row],[STATUS]]="CONCLUÍDO",tblCalculo[[#This Row],[VALOR_TOTAL]],"")</f>
        <v/>
      </c>
    </row>
    <row r="735" spans="1:16" x14ac:dyDescent="0.25">
      <c r="A735" t="str">
        <f>tblVendas[[#This Row],[NR_SIMULACAO]]</f>
        <v>SIM1725</v>
      </c>
      <c r="B735" s="34" t="str">
        <f>_xlfn.XLOOKUP(A735,tblVendas[[#This Row],[NR_SIMULACAO]],tblVendas[[#This Row],[NR_CNPJ]],"")</f>
        <v>46.614.784/0001-30</v>
      </c>
      <c r="C735" t="str">
        <f>_xlfn.XLOOKUP(A735,tblVendas[[#This Row],[NR_SIMULACAO]],tblVendas[[#This Row],[STATUS]],"")</f>
        <v>ALÇADA</v>
      </c>
      <c r="D735" t="str">
        <f>_xlfn.XLOOKUP(A735,tblVendas[[#This Row],[NR_SIMULACAO]],tblVendas[[#This Row],[MES]],"")</f>
        <v>Dezembro</v>
      </c>
      <c r="E735">
        <f>SUM(_xlfn.XLOOKUP(tblCalculo[[#This Row],[NR_SIMULACAO]],tblVendas[[#This Row],[NR_SIMULACAO]],tblVendas[[#This Row],[VALOR_MOVEL]],""):_xlfn.XLOOKUP(tblCalculo[[#This Row],[NR_SIMULACAO]],tblVendas[[#This Row],[NR_SIMULACAO]],tblVendas[[#This Row],[VALOR_APARELHO]],""))</f>
        <v>6789.380000000001</v>
      </c>
      <c r="F735">
        <f>IF(tblCalculo[[#This Row],[STATUS]]="CONCLUÍDO",_xlfn.XLOOKUP(tblCalculo[[#This Row],[NR_SIMULACAO]],tblVendas[[#This Row],[NR_SIMULACAO]],tblVendas[[#This Row],[VALOR_MOVEL]],""),0)</f>
        <v>0</v>
      </c>
      <c r="G735">
        <f>IF(tblCalculo[[#This Row],[STATUS]]="CONCLUÍDO",_xlfn.XLOOKUP(tblCalculo[[#This Row],[NR_SIMULACAO]],tblVendas[[#This Row],[NR_SIMULACAO]],tblVendas[[#This Row],[VALOR_AVANCADO]],""),0)</f>
        <v>0</v>
      </c>
      <c r="H735">
        <f>IF(tblCalculo[[#This Row],[STATUS]]="CONCLUÍDO",_xlfn.XLOOKUP(tblCalculo[[#This Row],[NR_SIMULACAO]],tblVendas[[#This Row],[NR_SIMULACAO]],tblVendas[[#This Row],[VALOR_FIXABASICA]],""),0)</f>
        <v>0</v>
      </c>
      <c r="I735">
        <f>IF(tblCalculo[[#This Row],[STATUS]]="CONCLUÍDO",_xlfn.XLOOKUP(tblCalculo[[#This Row],[NR_SIMULACAO]],tblVendas[[#This Row],[NR_SIMULACAO]],tblVendas[[#This Row],[VALOR_TI]],""),0)</f>
        <v>0</v>
      </c>
      <c r="J735">
        <f>IF(tblCalculo[[#This Row],[STATUS]]="CONCLUÍDO",_xlfn.XLOOKUP(tblCalculo[[#This Row],[NR_SIMULACAO]],tblVendas[[#This Row],[NR_SIMULACAO]],tblVendas[[#This Row],[VALOR_APARELHO]],""),0)</f>
        <v>0</v>
      </c>
      <c r="K735" t="str">
        <f>IF(tblCalculo[[#This Row],[STATUS]]="NEGOCIANDO",tblCalculo[[#This Row],[VALOR_TOTAL]],"")</f>
        <v/>
      </c>
      <c r="L735">
        <f>IF(tblCalculo[[#This Row],[STATUS]]="ALÇADA",tblCalculo[[#This Row],[VALOR_TOTAL]],"")</f>
        <v>6789.380000000001</v>
      </c>
      <c r="M735" t="str">
        <f>IF(tblCalculo[[#This Row],[STATUS]]="EM ANÁLISE",tblCalculo[[#This Row],[VALOR_TOTAL]],"")</f>
        <v/>
      </c>
      <c r="N735" t="str">
        <f>IF(tblCalculo[[#This Row],[STATUS]]="TRAMITANDO",tblCalculo[[#This Row],[VALOR_TOTAL]],"")</f>
        <v/>
      </c>
      <c r="O735" t="str">
        <f>IF(tblCalculo[[#This Row],[STATUS]]="PERDIDO",tblCalculo[[#This Row],[VALOR_TOTAL]],"")</f>
        <v/>
      </c>
      <c r="P735" t="str">
        <f>IF(tblCalculo[[#This Row],[STATUS]]="CONCLUÍDO",tblCalculo[[#This Row],[VALOR_TOTAL]],"")</f>
        <v/>
      </c>
    </row>
    <row r="736" spans="1:16" x14ac:dyDescent="0.25">
      <c r="A736" t="str">
        <f>tblVendas[[#This Row],[NR_SIMULACAO]]</f>
        <v>SIM1726</v>
      </c>
      <c r="B736" s="34" t="str">
        <f>_xlfn.XLOOKUP(A736,tblVendas[[#This Row],[NR_SIMULACAO]],tblVendas[[#This Row],[NR_CNPJ]],"")</f>
        <v>65.825.508/0001-48</v>
      </c>
      <c r="C736" t="str">
        <f>_xlfn.XLOOKUP(A736,tblVendas[[#This Row],[NR_SIMULACAO]],tblVendas[[#This Row],[STATUS]],"")</f>
        <v>PERDIDO</v>
      </c>
      <c r="D736" t="str">
        <f>_xlfn.XLOOKUP(A736,tblVendas[[#This Row],[NR_SIMULACAO]],tblVendas[[#This Row],[MES]],"")</f>
        <v>Dezembro</v>
      </c>
      <c r="E736">
        <f>SUM(_xlfn.XLOOKUP(tblCalculo[[#This Row],[NR_SIMULACAO]],tblVendas[[#This Row],[NR_SIMULACAO]],tblVendas[[#This Row],[VALOR_MOVEL]],""):_xlfn.XLOOKUP(tblCalculo[[#This Row],[NR_SIMULACAO]],tblVendas[[#This Row],[NR_SIMULACAO]],tblVendas[[#This Row],[VALOR_APARELHO]],""))</f>
        <v>4553</v>
      </c>
      <c r="F736">
        <f>IF(tblCalculo[[#This Row],[STATUS]]="CONCLUÍDO",_xlfn.XLOOKUP(tblCalculo[[#This Row],[NR_SIMULACAO]],tblVendas[[#This Row],[NR_SIMULACAO]],tblVendas[[#This Row],[VALOR_MOVEL]],""),0)</f>
        <v>0</v>
      </c>
      <c r="G736">
        <f>IF(tblCalculo[[#This Row],[STATUS]]="CONCLUÍDO",_xlfn.XLOOKUP(tblCalculo[[#This Row],[NR_SIMULACAO]],tblVendas[[#This Row],[NR_SIMULACAO]],tblVendas[[#This Row],[VALOR_AVANCADO]],""),0)</f>
        <v>0</v>
      </c>
      <c r="H736">
        <f>IF(tblCalculo[[#This Row],[STATUS]]="CONCLUÍDO",_xlfn.XLOOKUP(tblCalculo[[#This Row],[NR_SIMULACAO]],tblVendas[[#This Row],[NR_SIMULACAO]],tblVendas[[#This Row],[VALOR_FIXABASICA]],""),0)</f>
        <v>0</v>
      </c>
      <c r="I736">
        <f>IF(tblCalculo[[#This Row],[STATUS]]="CONCLUÍDO",_xlfn.XLOOKUP(tblCalculo[[#This Row],[NR_SIMULACAO]],tblVendas[[#This Row],[NR_SIMULACAO]],tblVendas[[#This Row],[VALOR_TI]],""),0)</f>
        <v>0</v>
      </c>
      <c r="J736">
        <f>IF(tblCalculo[[#This Row],[STATUS]]="CONCLUÍDO",_xlfn.XLOOKUP(tblCalculo[[#This Row],[NR_SIMULACAO]],tblVendas[[#This Row],[NR_SIMULACAO]],tblVendas[[#This Row],[VALOR_APARELHO]],""),0)</f>
        <v>0</v>
      </c>
      <c r="K736" t="str">
        <f>IF(tblCalculo[[#This Row],[STATUS]]="NEGOCIANDO",tblCalculo[[#This Row],[VALOR_TOTAL]],"")</f>
        <v/>
      </c>
      <c r="L736" t="str">
        <f>IF(tblCalculo[[#This Row],[STATUS]]="ALÇADA",tblCalculo[[#This Row],[VALOR_TOTAL]],"")</f>
        <v/>
      </c>
      <c r="M736" t="str">
        <f>IF(tblCalculo[[#This Row],[STATUS]]="EM ANÁLISE",tblCalculo[[#This Row],[VALOR_TOTAL]],"")</f>
        <v/>
      </c>
      <c r="N736" t="str">
        <f>IF(tblCalculo[[#This Row],[STATUS]]="TRAMITANDO",tblCalculo[[#This Row],[VALOR_TOTAL]],"")</f>
        <v/>
      </c>
      <c r="O736">
        <f>IF(tblCalculo[[#This Row],[STATUS]]="PERDIDO",tblCalculo[[#This Row],[VALOR_TOTAL]],"")</f>
        <v>4553</v>
      </c>
      <c r="P736" t="str">
        <f>IF(tblCalculo[[#This Row],[STATUS]]="CONCLUÍDO",tblCalculo[[#This Row],[VALOR_TOTAL]],"")</f>
        <v/>
      </c>
    </row>
    <row r="737" spans="1:16" x14ac:dyDescent="0.25">
      <c r="A737" t="str">
        <f>tblVendas[[#This Row],[NR_SIMULACAO]]</f>
        <v>SIM1727</v>
      </c>
      <c r="B737" s="34" t="str">
        <f>_xlfn.XLOOKUP(A737,tblVendas[[#This Row],[NR_SIMULACAO]],tblVendas[[#This Row],[NR_CNPJ]],"")</f>
        <v>57.842.730/0001-43</v>
      </c>
      <c r="C737" t="str">
        <f>_xlfn.XLOOKUP(A737,tblVendas[[#This Row],[NR_SIMULACAO]],tblVendas[[#This Row],[STATUS]],"")</f>
        <v>ALÇADA</v>
      </c>
      <c r="D737" t="str">
        <f>_xlfn.XLOOKUP(A737,tblVendas[[#This Row],[NR_SIMULACAO]],tblVendas[[#This Row],[MES]],"")</f>
        <v>Junho</v>
      </c>
      <c r="E737">
        <f>SUM(_xlfn.XLOOKUP(tblCalculo[[#This Row],[NR_SIMULACAO]],tblVendas[[#This Row],[NR_SIMULACAO]],tblVendas[[#This Row],[VALOR_MOVEL]],""):_xlfn.XLOOKUP(tblCalculo[[#This Row],[NR_SIMULACAO]],tblVendas[[#This Row],[NR_SIMULACAO]],tblVendas[[#This Row],[VALOR_APARELHO]],""))</f>
        <v>18909.96</v>
      </c>
      <c r="F737">
        <f>IF(tblCalculo[[#This Row],[STATUS]]="CONCLUÍDO",_xlfn.XLOOKUP(tblCalculo[[#This Row],[NR_SIMULACAO]],tblVendas[[#This Row],[NR_SIMULACAO]],tblVendas[[#This Row],[VALOR_MOVEL]],""),0)</f>
        <v>0</v>
      </c>
      <c r="G737">
        <f>IF(tblCalculo[[#This Row],[STATUS]]="CONCLUÍDO",_xlfn.XLOOKUP(tblCalculo[[#This Row],[NR_SIMULACAO]],tblVendas[[#This Row],[NR_SIMULACAO]],tblVendas[[#This Row],[VALOR_AVANCADO]],""),0)</f>
        <v>0</v>
      </c>
      <c r="H737">
        <f>IF(tblCalculo[[#This Row],[STATUS]]="CONCLUÍDO",_xlfn.XLOOKUP(tblCalculo[[#This Row],[NR_SIMULACAO]],tblVendas[[#This Row],[NR_SIMULACAO]],tblVendas[[#This Row],[VALOR_FIXABASICA]],""),0)</f>
        <v>0</v>
      </c>
      <c r="I737">
        <f>IF(tblCalculo[[#This Row],[STATUS]]="CONCLUÍDO",_xlfn.XLOOKUP(tblCalculo[[#This Row],[NR_SIMULACAO]],tblVendas[[#This Row],[NR_SIMULACAO]],tblVendas[[#This Row],[VALOR_TI]],""),0)</f>
        <v>0</v>
      </c>
      <c r="J737">
        <f>IF(tblCalculo[[#This Row],[STATUS]]="CONCLUÍDO",_xlfn.XLOOKUP(tblCalculo[[#This Row],[NR_SIMULACAO]],tblVendas[[#This Row],[NR_SIMULACAO]],tblVendas[[#This Row],[VALOR_APARELHO]],""),0)</f>
        <v>0</v>
      </c>
      <c r="K737" t="str">
        <f>IF(tblCalculo[[#This Row],[STATUS]]="NEGOCIANDO",tblCalculo[[#This Row],[VALOR_TOTAL]],"")</f>
        <v/>
      </c>
      <c r="L737">
        <f>IF(tblCalculo[[#This Row],[STATUS]]="ALÇADA",tblCalculo[[#This Row],[VALOR_TOTAL]],"")</f>
        <v>18909.96</v>
      </c>
      <c r="M737" t="str">
        <f>IF(tblCalculo[[#This Row],[STATUS]]="EM ANÁLISE",tblCalculo[[#This Row],[VALOR_TOTAL]],"")</f>
        <v/>
      </c>
      <c r="N737" t="str">
        <f>IF(tblCalculo[[#This Row],[STATUS]]="TRAMITANDO",tblCalculo[[#This Row],[VALOR_TOTAL]],"")</f>
        <v/>
      </c>
      <c r="O737" t="str">
        <f>IF(tblCalculo[[#This Row],[STATUS]]="PERDIDO",tblCalculo[[#This Row],[VALOR_TOTAL]],"")</f>
        <v/>
      </c>
      <c r="P737" t="str">
        <f>IF(tblCalculo[[#This Row],[STATUS]]="CONCLUÍDO",tblCalculo[[#This Row],[VALOR_TOTAL]],"")</f>
        <v/>
      </c>
    </row>
    <row r="738" spans="1:16" x14ac:dyDescent="0.25">
      <c r="A738" t="str">
        <f>tblVendas[[#This Row],[NR_SIMULACAO]]</f>
        <v>SIM1728</v>
      </c>
      <c r="B738" s="34" t="str">
        <f>_xlfn.XLOOKUP(A738,tblVendas[[#This Row],[NR_SIMULACAO]],tblVendas[[#This Row],[NR_CNPJ]],"")</f>
        <v>90.445.258/0001-59</v>
      </c>
      <c r="C738" t="str">
        <f>_xlfn.XLOOKUP(A738,tblVendas[[#This Row],[NR_SIMULACAO]],tblVendas[[#This Row],[STATUS]],"")</f>
        <v>NEGOCIANDO</v>
      </c>
      <c r="D738" t="str">
        <f>_xlfn.XLOOKUP(A738,tblVendas[[#This Row],[NR_SIMULACAO]],tblVendas[[#This Row],[MES]],"")</f>
        <v>Agosto</v>
      </c>
      <c r="E738">
        <f>SUM(_xlfn.XLOOKUP(tblCalculo[[#This Row],[NR_SIMULACAO]],tblVendas[[#This Row],[NR_SIMULACAO]],tblVendas[[#This Row],[VALOR_MOVEL]],""):_xlfn.XLOOKUP(tblCalculo[[#This Row],[NR_SIMULACAO]],tblVendas[[#This Row],[NR_SIMULACAO]],tblVendas[[#This Row],[VALOR_APARELHO]],""))</f>
        <v>5414.31</v>
      </c>
      <c r="F738">
        <f>IF(tblCalculo[[#This Row],[STATUS]]="CONCLUÍDO",_xlfn.XLOOKUP(tblCalculo[[#This Row],[NR_SIMULACAO]],tblVendas[[#This Row],[NR_SIMULACAO]],tblVendas[[#This Row],[VALOR_MOVEL]],""),0)</f>
        <v>0</v>
      </c>
      <c r="G738">
        <f>IF(tblCalculo[[#This Row],[STATUS]]="CONCLUÍDO",_xlfn.XLOOKUP(tblCalculo[[#This Row],[NR_SIMULACAO]],tblVendas[[#This Row],[NR_SIMULACAO]],tblVendas[[#This Row],[VALOR_AVANCADO]],""),0)</f>
        <v>0</v>
      </c>
      <c r="H738">
        <f>IF(tblCalculo[[#This Row],[STATUS]]="CONCLUÍDO",_xlfn.XLOOKUP(tblCalculo[[#This Row],[NR_SIMULACAO]],tblVendas[[#This Row],[NR_SIMULACAO]],tblVendas[[#This Row],[VALOR_FIXABASICA]],""),0)</f>
        <v>0</v>
      </c>
      <c r="I738">
        <f>IF(tblCalculo[[#This Row],[STATUS]]="CONCLUÍDO",_xlfn.XLOOKUP(tblCalculo[[#This Row],[NR_SIMULACAO]],tblVendas[[#This Row],[NR_SIMULACAO]],tblVendas[[#This Row],[VALOR_TI]],""),0)</f>
        <v>0</v>
      </c>
      <c r="J738">
        <f>IF(tblCalculo[[#This Row],[STATUS]]="CONCLUÍDO",_xlfn.XLOOKUP(tblCalculo[[#This Row],[NR_SIMULACAO]],tblVendas[[#This Row],[NR_SIMULACAO]],tblVendas[[#This Row],[VALOR_APARELHO]],""),0)</f>
        <v>0</v>
      </c>
      <c r="K738">
        <f>IF(tblCalculo[[#This Row],[STATUS]]="NEGOCIANDO",tblCalculo[[#This Row],[VALOR_TOTAL]],"")</f>
        <v>5414.31</v>
      </c>
      <c r="L738" t="str">
        <f>IF(tblCalculo[[#This Row],[STATUS]]="ALÇADA",tblCalculo[[#This Row],[VALOR_TOTAL]],"")</f>
        <v/>
      </c>
      <c r="M738" t="str">
        <f>IF(tblCalculo[[#This Row],[STATUS]]="EM ANÁLISE",tblCalculo[[#This Row],[VALOR_TOTAL]],"")</f>
        <v/>
      </c>
      <c r="N738" t="str">
        <f>IF(tblCalculo[[#This Row],[STATUS]]="TRAMITANDO",tblCalculo[[#This Row],[VALOR_TOTAL]],"")</f>
        <v/>
      </c>
      <c r="O738" t="str">
        <f>IF(tblCalculo[[#This Row],[STATUS]]="PERDIDO",tblCalculo[[#This Row],[VALOR_TOTAL]],"")</f>
        <v/>
      </c>
      <c r="P738" t="str">
        <f>IF(tblCalculo[[#This Row],[STATUS]]="CONCLUÍDO",tblCalculo[[#This Row],[VALOR_TOTAL]],"")</f>
        <v/>
      </c>
    </row>
    <row r="739" spans="1:16" x14ac:dyDescent="0.25">
      <c r="A739" t="str">
        <f>tblVendas[[#This Row],[NR_SIMULACAO]]</f>
        <v>SIM1729</v>
      </c>
      <c r="B739" s="34" t="str">
        <f>_xlfn.XLOOKUP(A739,tblVendas[[#This Row],[NR_SIMULACAO]],tblVendas[[#This Row],[NR_CNPJ]],"")</f>
        <v>66.303.632/0001-15</v>
      </c>
      <c r="C739" t="str">
        <f>_xlfn.XLOOKUP(A739,tblVendas[[#This Row],[NR_SIMULACAO]],tblVendas[[#This Row],[STATUS]],"")</f>
        <v>PERDIDO</v>
      </c>
      <c r="D739" t="str">
        <f>_xlfn.XLOOKUP(A739,tblVendas[[#This Row],[NR_SIMULACAO]],tblVendas[[#This Row],[MES]],"")</f>
        <v>Janeiro</v>
      </c>
      <c r="E739">
        <f>SUM(_xlfn.XLOOKUP(tblCalculo[[#This Row],[NR_SIMULACAO]],tblVendas[[#This Row],[NR_SIMULACAO]],tblVendas[[#This Row],[VALOR_MOVEL]],""):_xlfn.XLOOKUP(tblCalculo[[#This Row],[NR_SIMULACAO]],tblVendas[[#This Row],[NR_SIMULACAO]],tblVendas[[#This Row],[VALOR_APARELHO]],""))</f>
        <v>3851.76</v>
      </c>
      <c r="F739">
        <f>IF(tblCalculo[[#This Row],[STATUS]]="CONCLUÍDO",_xlfn.XLOOKUP(tblCalculo[[#This Row],[NR_SIMULACAO]],tblVendas[[#This Row],[NR_SIMULACAO]],tblVendas[[#This Row],[VALOR_MOVEL]],""),0)</f>
        <v>0</v>
      </c>
      <c r="G739">
        <f>IF(tblCalculo[[#This Row],[STATUS]]="CONCLUÍDO",_xlfn.XLOOKUP(tblCalculo[[#This Row],[NR_SIMULACAO]],tblVendas[[#This Row],[NR_SIMULACAO]],tblVendas[[#This Row],[VALOR_AVANCADO]],""),0)</f>
        <v>0</v>
      </c>
      <c r="H739">
        <f>IF(tblCalculo[[#This Row],[STATUS]]="CONCLUÍDO",_xlfn.XLOOKUP(tblCalculo[[#This Row],[NR_SIMULACAO]],tblVendas[[#This Row],[NR_SIMULACAO]],tblVendas[[#This Row],[VALOR_FIXABASICA]],""),0)</f>
        <v>0</v>
      </c>
      <c r="I739">
        <f>IF(tblCalculo[[#This Row],[STATUS]]="CONCLUÍDO",_xlfn.XLOOKUP(tblCalculo[[#This Row],[NR_SIMULACAO]],tblVendas[[#This Row],[NR_SIMULACAO]],tblVendas[[#This Row],[VALOR_TI]],""),0)</f>
        <v>0</v>
      </c>
      <c r="J739">
        <f>IF(tblCalculo[[#This Row],[STATUS]]="CONCLUÍDO",_xlfn.XLOOKUP(tblCalculo[[#This Row],[NR_SIMULACAO]],tblVendas[[#This Row],[NR_SIMULACAO]],tblVendas[[#This Row],[VALOR_APARELHO]],""),0)</f>
        <v>0</v>
      </c>
      <c r="K739" t="str">
        <f>IF(tblCalculo[[#This Row],[STATUS]]="NEGOCIANDO",tblCalculo[[#This Row],[VALOR_TOTAL]],"")</f>
        <v/>
      </c>
      <c r="L739" t="str">
        <f>IF(tblCalculo[[#This Row],[STATUS]]="ALÇADA",tblCalculo[[#This Row],[VALOR_TOTAL]],"")</f>
        <v/>
      </c>
      <c r="M739" t="str">
        <f>IF(tblCalculo[[#This Row],[STATUS]]="EM ANÁLISE",tblCalculo[[#This Row],[VALOR_TOTAL]],"")</f>
        <v/>
      </c>
      <c r="N739" t="str">
        <f>IF(tblCalculo[[#This Row],[STATUS]]="TRAMITANDO",tblCalculo[[#This Row],[VALOR_TOTAL]],"")</f>
        <v/>
      </c>
      <c r="O739">
        <f>IF(tblCalculo[[#This Row],[STATUS]]="PERDIDO",tblCalculo[[#This Row],[VALOR_TOTAL]],"")</f>
        <v>3851.76</v>
      </c>
      <c r="P739" t="str">
        <f>IF(tblCalculo[[#This Row],[STATUS]]="CONCLUÍDO",tblCalculo[[#This Row],[VALOR_TOTAL]],"")</f>
        <v/>
      </c>
    </row>
    <row r="740" spans="1:16" x14ac:dyDescent="0.25">
      <c r="A740" t="str">
        <f>tblVendas[[#This Row],[NR_SIMULACAO]]</f>
        <v>SIM1730</v>
      </c>
      <c r="B740" s="34" t="str">
        <f>_xlfn.XLOOKUP(A740,tblVendas[[#This Row],[NR_SIMULACAO]],tblVendas[[#This Row],[NR_CNPJ]],"")</f>
        <v>96.193.784/0001-42</v>
      </c>
      <c r="C740" t="str">
        <f>_xlfn.XLOOKUP(A740,tblVendas[[#This Row],[NR_SIMULACAO]],tblVendas[[#This Row],[STATUS]],"")</f>
        <v>PERDIDO</v>
      </c>
      <c r="D740" t="str">
        <f>_xlfn.XLOOKUP(A740,tblVendas[[#This Row],[NR_SIMULACAO]],tblVendas[[#This Row],[MES]],"")</f>
        <v>Abril</v>
      </c>
      <c r="E740">
        <f>SUM(_xlfn.XLOOKUP(tblCalculo[[#This Row],[NR_SIMULACAO]],tblVendas[[#This Row],[NR_SIMULACAO]],tblVendas[[#This Row],[VALOR_MOVEL]],""):_xlfn.XLOOKUP(tblCalculo[[#This Row],[NR_SIMULACAO]],tblVendas[[#This Row],[NR_SIMULACAO]],tblVendas[[#This Row],[VALOR_APARELHO]],""))</f>
        <v>8762.6299999999992</v>
      </c>
      <c r="F740">
        <f>IF(tblCalculo[[#This Row],[STATUS]]="CONCLUÍDO",_xlfn.XLOOKUP(tblCalculo[[#This Row],[NR_SIMULACAO]],tblVendas[[#This Row],[NR_SIMULACAO]],tblVendas[[#This Row],[VALOR_MOVEL]],""),0)</f>
        <v>0</v>
      </c>
      <c r="G740">
        <f>IF(tblCalculo[[#This Row],[STATUS]]="CONCLUÍDO",_xlfn.XLOOKUP(tblCalculo[[#This Row],[NR_SIMULACAO]],tblVendas[[#This Row],[NR_SIMULACAO]],tblVendas[[#This Row],[VALOR_AVANCADO]],""),0)</f>
        <v>0</v>
      </c>
      <c r="H740">
        <f>IF(tblCalculo[[#This Row],[STATUS]]="CONCLUÍDO",_xlfn.XLOOKUP(tblCalculo[[#This Row],[NR_SIMULACAO]],tblVendas[[#This Row],[NR_SIMULACAO]],tblVendas[[#This Row],[VALOR_FIXABASICA]],""),0)</f>
        <v>0</v>
      </c>
      <c r="I740">
        <f>IF(tblCalculo[[#This Row],[STATUS]]="CONCLUÍDO",_xlfn.XLOOKUP(tblCalculo[[#This Row],[NR_SIMULACAO]],tblVendas[[#This Row],[NR_SIMULACAO]],tblVendas[[#This Row],[VALOR_TI]],""),0)</f>
        <v>0</v>
      </c>
      <c r="J740">
        <f>IF(tblCalculo[[#This Row],[STATUS]]="CONCLUÍDO",_xlfn.XLOOKUP(tblCalculo[[#This Row],[NR_SIMULACAO]],tblVendas[[#This Row],[NR_SIMULACAO]],tblVendas[[#This Row],[VALOR_APARELHO]],""),0)</f>
        <v>0</v>
      </c>
      <c r="K740" t="str">
        <f>IF(tblCalculo[[#This Row],[STATUS]]="NEGOCIANDO",tblCalculo[[#This Row],[VALOR_TOTAL]],"")</f>
        <v/>
      </c>
      <c r="L740" t="str">
        <f>IF(tblCalculo[[#This Row],[STATUS]]="ALÇADA",tblCalculo[[#This Row],[VALOR_TOTAL]],"")</f>
        <v/>
      </c>
      <c r="M740" t="str">
        <f>IF(tblCalculo[[#This Row],[STATUS]]="EM ANÁLISE",tblCalculo[[#This Row],[VALOR_TOTAL]],"")</f>
        <v/>
      </c>
      <c r="N740" t="str">
        <f>IF(tblCalculo[[#This Row],[STATUS]]="TRAMITANDO",tblCalculo[[#This Row],[VALOR_TOTAL]],"")</f>
        <v/>
      </c>
      <c r="O740">
        <f>IF(tblCalculo[[#This Row],[STATUS]]="PERDIDO",tblCalculo[[#This Row],[VALOR_TOTAL]],"")</f>
        <v>8762.6299999999992</v>
      </c>
      <c r="P740" t="str">
        <f>IF(tblCalculo[[#This Row],[STATUS]]="CONCLUÍDO",tblCalculo[[#This Row],[VALOR_TOTAL]],"")</f>
        <v/>
      </c>
    </row>
    <row r="741" spans="1:16" x14ac:dyDescent="0.25">
      <c r="A741" t="str">
        <f>tblVendas[[#This Row],[NR_SIMULACAO]]</f>
        <v>SIM1731</v>
      </c>
      <c r="B741" s="34" t="str">
        <f>_xlfn.XLOOKUP(A741,tblVendas[[#This Row],[NR_SIMULACAO]],tblVendas[[#This Row],[NR_CNPJ]],"")</f>
        <v>93.493.709/0001-94</v>
      </c>
      <c r="C741" t="str">
        <f>_xlfn.XLOOKUP(A741,tblVendas[[#This Row],[NR_SIMULACAO]],tblVendas[[#This Row],[STATUS]],"")</f>
        <v>CONCLUÍDO</v>
      </c>
      <c r="D741" t="str">
        <f>_xlfn.XLOOKUP(A741,tblVendas[[#This Row],[NR_SIMULACAO]],tblVendas[[#This Row],[MES]],"")</f>
        <v>Junho</v>
      </c>
      <c r="E741">
        <f>SUM(_xlfn.XLOOKUP(tblCalculo[[#This Row],[NR_SIMULACAO]],tblVendas[[#This Row],[NR_SIMULACAO]],tblVendas[[#This Row],[VALOR_MOVEL]],""):_xlfn.XLOOKUP(tblCalculo[[#This Row],[NR_SIMULACAO]],tblVendas[[#This Row],[NR_SIMULACAO]],tblVendas[[#This Row],[VALOR_APARELHO]],""))</f>
        <v>3392.02</v>
      </c>
      <c r="F741">
        <f>IF(tblCalculo[[#This Row],[STATUS]]="CONCLUÍDO",_xlfn.XLOOKUP(tblCalculo[[#This Row],[NR_SIMULACAO]],tblVendas[[#This Row],[NR_SIMULACAO]],tblVendas[[#This Row],[VALOR_MOVEL]],""),0)</f>
        <v>3392.02</v>
      </c>
      <c r="G741">
        <f>IF(tblCalculo[[#This Row],[STATUS]]="CONCLUÍDO",_xlfn.XLOOKUP(tblCalculo[[#This Row],[NR_SIMULACAO]],tblVendas[[#This Row],[NR_SIMULACAO]],tblVendas[[#This Row],[VALOR_AVANCADO]],""),0)</f>
        <v>0</v>
      </c>
      <c r="H741">
        <f>IF(tblCalculo[[#This Row],[STATUS]]="CONCLUÍDO",_xlfn.XLOOKUP(tblCalculo[[#This Row],[NR_SIMULACAO]],tblVendas[[#This Row],[NR_SIMULACAO]],tblVendas[[#This Row],[VALOR_FIXABASICA]],""),0)</f>
        <v>0</v>
      </c>
      <c r="I741">
        <f>IF(tblCalculo[[#This Row],[STATUS]]="CONCLUÍDO",_xlfn.XLOOKUP(tblCalculo[[#This Row],[NR_SIMULACAO]],tblVendas[[#This Row],[NR_SIMULACAO]],tblVendas[[#This Row],[VALOR_TI]],""),0)</f>
        <v>0</v>
      </c>
      <c r="J741">
        <f>IF(tblCalculo[[#This Row],[STATUS]]="CONCLUÍDO",_xlfn.XLOOKUP(tblCalculo[[#This Row],[NR_SIMULACAO]],tblVendas[[#This Row],[NR_SIMULACAO]],tblVendas[[#This Row],[VALOR_APARELHO]],""),0)</f>
        <v>0</v>
      </c>
      <c r="K741" t="str">
        <f>IF(tblCalculo[[#This Row],[STATUS]]="NEGOCIANDO",tblCalculo[[#This Row],[VALOR_TOTAL]],"")</f>
        <v/>
      </c>
      <c r="L741" t="str">
        <f>IF(tblCalculo[[#This Row],[STATUS]]="ALÇADA",tblCalculo[[#This Row],[VALOR_TOTAL]],"")</f>
        <v/>
      </c>
      <c r="M741" t="str">
        <f>IF(tblCalculo[[#This Row],[STATUS]]="EM ANÁLISE",tblCalculo[[#This Row],[VALOR_TOTAL]],"")</f>
        <v/>
      </c>
      <c r="N741" t="str">
        <f>IF(tblCalculo[[#This Row],[STATUS]]="TRAMITANDO",tblCalculo[[#This Row],[VALOR_TOTAL]],"")</f>
        <v/>
      </c>
      <c r="O741" t="str">
        <f>IF(tblCalculo[[#This Row],[STATUS]]="PERDIDO",tblCalculo[[#This Row],[VALOR_TOTAL]],"")</f>
        <v/>
      </c>
      <c r="P741">
        <f>IF(tblCalculo[[#This Row],[STATUS]]="CONCLUÍDO",tblCalculo[[#This Row],[VALOR_TOTAL]],"")</f>
        <v>3392.02</v>
      </c>
    </row>
    <row r="742" spans="1:16" x14ac:dyDescent="0.25">
      <c r="A742" t="str">
        <f>tblVendas[[#This Row],[NR_SIMULACAO]]</f>
        <v>SIM1732</v>
      </c>
      <c r="B742" s="34" t="str">
        <f>_xlfn.XLOOKUP(A742,tblVendas[[#This Row],[NR_SIMULACAO]],tblVendas[[#This Row],[NR_CNPJ]],"")</f>
        <v>49.440.484/0001-97</v>
      </c>
      <c r="C742" t="str">
        <f>_xlfn.XLOOKUP(A742,tblVendas[[#This Row],[NR_SIMULACAO]],tblVendas[[#This Row],[STATUS]],"")</f>
        <v>ALÇADA</v>
      </c>
      <c r="D742" t="str">
        <f>_xlfn.XLOOKUP(A742,tblVendas[[#This Row],[NR_SIMULACAO]],tblVendas[[#This Row],[MES]],"")</f>
        <v>Agosto</v>
      </c>
      <c r="E742">
        <f>SUM(_xlfn.XLOOKUP(tblCalculo[[#This Row],[NR_SIMULACAO]],tblVendas[[#This Row],[NR_SIMULACAO]],tblVendas[[#This Row],[VALOR_MOVEL]],""):_xlfn.XLOOKUP(tblCalculo[[#This Row],[NR_SIMULACAO]],tblVendas[[#This Row],[NR_SIMULACAO]],tblVendas[[#This Row],[VALOR_APARELHO]],""))</f>
        <v>4320.92</v>
      </c>
      <c r="F742">
        <f>IF(tblCalculo[[#This Row],[STATUS]]="CONCLUÍDO",_xlfn.XLOOKUP(tblCalculo[[#This Row],[NR_SIMULACAO]],tblVendas[[#This Row],[NR_SIMULACAO]],tblVendas[[#This Row],[VALOR_MOVEL]],""),0)</f>
        <v>0</v>
      </c>
      <c r="G742">
        <f>IF(tblCalculo[[#This Row],[STATUS]]="CONCLUÍDO",_xlfn.XLOOKUP(tblCalculo[[#This Row],[NR_SIMULACAO]],tblVendas[[#This Row],[NR_SIMULACAO]],tblVendas[[#This Row],[VALOR_AVANCADO]],""),0)</f>
        <v>0</v>
      </c>
      <c r="H742">
        <f>IF(tblCalculo[[#This Row],[STATUS]]="CONCLUÍDO",_xlfn.XLOOKUP(tblCalculo[[#This Row],[NR_SIMULACAO]],tblVendas[[#This Row],[NR_SIMULACAO]],tblVendas[[#This Row],[VALOR_FIXABASICA]],""),0)</f>
        <v>0</v>
      </c>
      <c r="I742">
        <f>IF(tblCalculo[[#This Row],[STATUS]]="CONCLUÍDO",_xlfn.XLOOKUP(tblCalculo[[#This Row],[NR_SIMULACAO]],tblVendas[[#This Row],[NR_SIMULACAO]],tblVendas[[#This Row],[VALOR_TI]],""),0)</f>
        <v>0</v>
      </c>
      <c r="J742">
        <f>IF(tblCalculo[[#This Row],[STATUS]]="CONCLUÍDO",_xlfn.XLOOKUP(tblCalculo[[#This Row],[NR_SIMULACAO]],tblVendas[[#This Row],[NR_SIMULACAO]],tblVendas[[#This Row],[VALOR_APARELHO]],""),0)</f>
        <v>0</v>
      </c>
      <c r="K742" t="str">
        <f>IF(tblCalculo[[#This Row],[STATUS]]="NEGOCIANDO",tblCalculo[[#This Row],[VALOR_TOTAL]],"")</f>
        <v/>
      </c>
      <c r="L742">
        <f>IF(tblCalculo[[#This Row],[STATUS]]="ALÇADA",tblCalculo[[#This Row],[VALOR_TOTAL]],"")</f>
        <v>4320.92</v>
      </c>
      <c r="M742" t="str">
        <f>IF(tblCalculo[[#This Row],[STATUS]]="EM ANÁLISE",tblCalculo[[#This Row],[VALOR_TOTAL]],"")</f>
        <v/>
      </c>
      <c r="N742" t="str">
        <f>IF(tblCalculo[[#This Row],[STATUS]]="TRAMITANDO",tblCalculo[[#This Row],[VALOR_TOTAL]],"")</f>
        <v/>
      </c>
      <c r="O742" t="str">
        <f>IF(tblCalculo[[#This Row],[STATUS]]="PERDIDO",tblCalculo[[#This Row],[VALOR_TOTAL]],"")</f>
        <v/>
      </c>
      <c r="P742" t="str">
        <f>IF(tblCalculo[[#This Row],[STATUS]]="CONCLUÍDO",tblCalculo[[#This Row],[VALOR_TOTAL]],"")</f>
        <v/>
      </c>
    </row>
    <row r="743" spans="1:16" x14ac:dyDescent="0.25">
      <c r="A743" t="str">
        <f>tblVendas[[#This Row],[NR_SIMULACAO]]</f>
        <v>SIM1733</v>
      </c>
      <c r="B743" s="34" t="str">
        <f>_xlfn.XLOOKUP(A743,tblVendas[[#This Row],[NR_SIMULACAO]],tblVendas[[#This Row],[NR_CNPJ]],"")</f>
        <v>24.939.208/0001-59</v>
      </c>
      <c r="C743" t="str">
        <f>_xlfn.XLOOKUP(A743,tblVendas[[#This Row],[NR_SIMULACAO]],tblVendas[[#This Row],[STATUS]],"")</f>
        <v>ALÇADA</v>
      </c>
      <c r="D743" t="str">
        <f>_xlfn.XLOOKUP(A743,tblVendas[[#This Row],[NR_SIMULACAO]],tblVendas[[#This Row],[MES]],"")</f>
        <v>Janeiro</v>
      </c>
      <c r="E743">
        <f>SUM(_xlfn.XLOOKUP(tblCalculo[[#This Row],[NR_SIMULACAO]],tblVendas[[#This Row],[NR_SIMULACAO]],tblVendas[[#This Row],[VALOR_MOVEL]],""):_xlfn.XLOOKUP(tblCalculo[[#This Row],[NR_SIMULACAO]],tblVendas[[#This Row],[NR_SIMULACAO]],tblVendas[[#This Row],[VALOR_APARELHO]],""))</f>
        <v>6724.0099999999993</v>
      </c>
      <c r="F743">
        <f>IF(tblCalculo[[#This Row],[STATUS]]="CONCLUÍDO",_xlfn.XLOOKUP(tblCalculo[[#This Row],[NR_SIMULACAO]],tblVendas[[#This Row],[NR_SIMULACAO]],tblVendas[[#This Row],[VALOR_MOVEL]],""),0)</f>
        <v>0</v>
      </c>
      <c r="G743">
        <f>IF(tblCalculo[[#This Row],[STATUS]]="CONCLUÍDO",_xlfn.XLOOKUP(tblCalculo[[#This Row],[NR_SIMULACAO]],tblVendas[[#This Row],[NR_SIMULACAO]],tblVendas[[#This Row],[VALOR_AVANCADO]],""),0)</f>
        <v>0</v>
      </c>
      <c r="H743">
        <f>IF(tblCalculo[[#This Row],[STATUS]]="CONCLUÍDO",_xlfn.XLOOKUP(tblCalculo[[#This Row],[NR_SIMULACAO]],tblVendas[[#This Row],[NR_SIMULACAO]],tblVendas[[#This Row],[VALOR_FIXABASICA]],""),0)</f>
        <v>0</v>
      </c>
      <c r="I743">
        <f>IF(tblCalculo[[#This Row],[STATUS]]="CONCLUÍDO",_xlfn.XLOOKUP(tblCalculo[[#This Row],[NR_SIMULACAO]],tblVendas[[#This Row],[NR_SIMULACAO]],tblVendas[[#This Row],[VALOR_TI]],""),0)</f>
        <v>0</v>
      </c>
      <c r="J743">
        <f>IF(tblCalculo[[#This Row],[STATUS]]="CONCLUÍDO",_xlfn.XLOOKUP(tblCalculo[[#This Row],[NR_SIMULACAO]],tblVendas[[#This Row],[NR_SIMULACAO]],tblVendas[[#This Row],[VALOR_APARELHO]],""),0)</f>
        <v>0</v>
      </c>
      <c r="K743" t="str">
        <f>IF(tblCalculo[[#This Row],[STATUS]]="NEGOCIANDO",tblCalculo[[#This Row],[VALOR_TOTAL]],"")</f>
        <v/>
      </c>
      <c r="L743">
        <f>IF(tblCalculo[[#This Row],[STATUS]]="ALÇADA",tblCalculo[[#This Row],[VALOR_TOTAL]],"")</f>
        <v>6724.0099999999993</v>
      </c>
      <c r="M743" t="str">
        <f>IF(tblCalculo[[#This Row],[STATUS]]="EM ANÁLISE",tblCalculo[[#This Row],[VALOR_TOTAL]],"")</f>
        <v/>
      </c>
      <c r="N743" t="str">
        <f>IF(tblCalculo[[#This Row],[STATUS]]="TRAMITANDO",tblCalculo[[#This Row],[VALOR_TOTAL]],"")</f>
        <v/>
      </c>
      <c r="O743" t="str">
        <f>IF(tblCalculo[[#This Row],[STATUS]]="PERDIDO",tblCalculo[[#This Row],[VALOR_TOTAL]],"")</f>
        <v/>
      </c>
      <c r="P743" t="str">
        <f>IF(tblCalculo[[#This Row],[STATUS]]="CONCLUÍDO",tblCalculo[[#This Row],[VALOR_TOTAL]],"")</f>
        <v/>
      </c>
    </row>
    <row r="744" spans="1:16" x14ac:dyDescent="0.25">
      <c r="A744" t="str">
        <f>tblVendas[[#This Row],[NR_SIMULACAO]]</f>
        <v>SIM1734</v>
      </c>
      <c r="B744" s="34" t="str">
        <f>_xlfn.XLOOKUP(A744,tblVendas[[#This Row],[NR_SIMULACAO]],tblVendas[[#This Row],[NR_CNPJ]],"")</f>
        <v>91.959.215/0001-50</v>
      </c>
      <c r="C744" t="str">
        <f>_xlfn.XLOOKUP(A744,tblVendas[[#This Row],[NR_SIMULACAO]],tblVendas[[#This Row],[STATUS]],"")</f>
        <v>NEGOCIANDO</v>
      </c>
      <c r="D744" t="str">
        <f>_xlfn.XLOOKUP(A744,tblVendas[[#This Row],[NR_SIMULACAO]],tblVendas[[#This Row],[MES]],"")</f>
        <v>Setembro</v>
      </c>
      <c r="E744">
        <f>SUM(_xlfn.XLOOKUP(tblCalculo[[#This Row],[NR_SIMULACAO]],tblVendas[[#This Row],[NR_SIMULACAO]],tblVendas[[#This Row],[VALOR_MOVEL]],""):_xlfn.XLOOKUP(tblCalculo[[#This Row],[NR_SIMULACAO]],tblVendas[[#This Row],[NR_SIMULACAO]],tblVendas[[#This Row],[VALOR_APARELHO]],""))</f>
        <v>1694.18</v>
      </c>
      <c r="F744">
        <f>IF(tblCalculo[[#This Row],[STATUS]]="CONCLUÍDO",_xlfn.XLOOKUP(tblCalculo[[#This Row],[NR_SIMULACAO]],tblVendas[[#This Row],[NR_SIMULACAO]],tblVendas[[#This Row],[VALOR_MOVEL]],""),0)</f>
        <v>0</v>
      </c>
      <c r="G744">
        <f>IF(tblCalculo[[#This Row],[STATUS]]="CONCLUÍDO",_xlfn.XLOOKUP(tblCalculo[[#This Row],[NR_SIMULACAO]],tblVendas[[#This Row],[NR_SIMULACAO]],tblVendas[[#This Row],[VALOR_AVANCADO]],""),0)</f>
        <v>0</v>
      </c>
      <c r="H744">
        <f>IF(tblCalculo[[#This Row],[STATUS]]="CONCLUÍDO",_xlfn.XLOOKUP(tblCalculo[[#This Row],[NR_SIMULACAO]],tblVendas[[#This Row],[NR_SIMULACAO]],tblVendas[[#This Row],[VALOR_FIXABASICA]],""),0)</f>
        <v>0</v>
      </c>
      <c r="I744">
        <f>IF(tblCalculo[[#This Row],[STATUS]]="CONCLUÍDO",_xlfn.XLOOKUP(tblCalculo[[#This Row],[NR_SIMULACAO]],tblVendas[[#This Row],[NR_SIMULACAO]],tblVendas[[#This Row],[VALOR_TI]],""),0)</f>
        <v>0</v>
      </c>
      <c r="J744">
        <f>IF(tblCalculo[[#This Row],[STATUS]]="CONCLUÍDO",_xlfn.XLOOKUP(tblCalculo[[#This Row],[NR_SIMULACAO]],tblVendas[[#This Row],[NR_SIMULACAO]],tblVendas[[#This Row],[VALOR_APARELHO]],""),0)</f>
        <v>0</v>
      </c>
      <c r="K744">
        <f>IF(tblCalculo[[#This Row],[STATUS]]="NEGOCIANDO",tblCalculo[[#This Row],[VALOR_TOTAL]],"")</f>
        <v>1694.18</v>
      </c>
      <c r="L744" t="str">
        <f>IF(tblCalculo[[#This Row],[STATUS]]="ALÇADA",tblCalculo[[#This Row],[VALOR_TOTAL]],"")</f>
        <v/>
      </c>
      <c r="M744" t="str">
        <f>IF(tblCalculo[[#This Row],[STATUS]]="EM ANÁLISE",tblCalculo[[#This Row],[VALOR_TOTAL]],"")</f>
        <v/>
      </c>
      <c r="N744" t="str">
        <f>IF(tblCalculo[[#This Row],[STATUS]]="TRAMITANDO",tblCalculo[[#This Row],[VALOR_TOTAL]],"")</f>
        <v/>
      </c>
      <c r="O744" t="str">
        <f>IF(tblCalculo[[#This Row],[STATUS]]="PERDIDO",tblCalculo[[#This Row],[VALOR_TOTAL]],"")</f>
        <v/>
      </c>
      <c r="P744" t="str">
        <f>IF(tblCalculo[[#This Row],[STATUS]]="CONCLUÍDO",tblCalculo[[#This Row],[VALOR_TOTAL]],"")</f>
        <v/>
      </c>
    </row>
    <row r="745" spans="1:16" x14ac:dyDescent="0.25">
      <c r="A745" t="str">
        <f>tblVendas[[#This Row],[NR_SIMULACAO]]</f>
        <v>SIM1735</v>
      </c>
      <c r="B745" s="34" t="str">
        <f>_xlfn.XLOOKUP(A745,tblVendas[[#This Row],[NR_SIMULACAO]],tblVendas[[#This Row],[NR_CNPJ]],"")</f>
        <v>21.296.675/0001-16</v>
      </c>
      <c r="C745" t="str">
        <f>_xlfn.XLOOKUP(A745,tblVendas[[#This Row],[NR_SIMULACAO]],tblVendas[[#This Row],[STATUS]],"")</f>
        <v>NEGOCIANDO</v>
      </c>
      <c r="D745" t="str">
        <f>_xlfn.XLOOKUP(A745,tblVendas[[#This Row],[NR_SIMULACAO]],tblVendas[[#This Row],[MES]],"")</f>
        <v>Outubro</v>
      </c>
      <c r="E745">
        <f>SUM(_xlfn.XLOOKUP(tblCalculo[[#This Row],[NR_SIMULACAO]],tblVendas[[#This Row],[NR_SIMULACAO]],tblVendas[[#This Row],[VALOR_MOVEL]],""):_xlfn.XLOOKUP(tblCalculo[[#This Row],[NR_SIMULACAO]],tblVendas[[#This Row],[NR_SIMULACAO]],tblVendas[[#This Row],[VALOR_APARELHO]],""))</f>
        <v>13906.39</v>
      </c>
      <c r="F745">
        <f>IF(tblCalculo[[#This Row],[STATUS]]="CONCLUÍDO",_xlfn.XLOOKUP(tblCalculo[[#This Row],[NR_SIMULACAO]],tblVendas[[#This Row],[NR_SIMULACAO]],tblVendas[[#This Row],[VALOR_MOVEL]],""),0)</f>
        <v>0</v>
      </c>
      <c r="G745">
        <f>IF(tblCalculo[[#This Row],[STATUS]]="CONCLUÍDO",_xlfn.XLOOKUP(tblCalculo[[#This Row],[NR_SIMULACAO]],tblVendas[[#This Row],[NR_SIMULACAO]],tblVendas[[#This Row],[VALOR_AVANCADO]],""),0)</f>
        <v>0</v>
      </c>
      <c r="H745">
        <f>IF(tblCalculo[[#This Row],[STATUS]]="CONCLUÍDO",_xlfn.XLOOKUP(tblCalculo[[#This Row],[NR_SIMULACAO]],tblVendas[[#This Row],[NR_SIMULACAO]],tblVendas[[#This Row],[VALOR_FIXABASICA]],""),0)</f>
        <v>0</v>
      </c>
      <c r="I745">
        <f>IF(tblCalculo[[#This Row],[STATUS]]="CONCLUÍDO",_xlfn.XLOOKUP(tblCalculo[[#This Row],[NR_SIMULACAO]],tblVendas[[#This Row],[NR_SIMULACAO]],tblVendas[[#This Row],[VALOR_TI]],""),0)</f>
        <v>0</v>
      </c>
      <c r="J745">
        <f>IF(tblCalculo[[#This Row],[STATUS]]="CONCLUÍDO",_xlfn.XLOOKUP(tblCalculo[[#This Row],[NR_SIMULACAO]],tblVendas[[#This Row],[NR_SIMULACAO]],tblVendas[[#This Row],[VALOR_APARELHO]],""),0)</f>
        <v>0</v>
      </c>
      <c r="K745">
        <f>IF(tblCalculo[[#This Row],[STATUS]]="NEGOCIANDO",tblCalculo[[#This Row],[VALOR_TOTAL]],"")</f>
        <v>13906.39</v>
      </c>
      <c r="L745" t="str">
        <f>IF(tblCalculo[[#This Row],[STATUS]]="ALÇADA",tblCalculo[[#This Row],[VALOR_TOTAL]],"")</f>
        <v/>
      </c>
      <c r="M745" t="str">
        <f>IF(tblCalculo[[#This Row],[STATUS]]="EM ANÁLISE",tblCalculo[[#This Row],[VALOR_TOTAL]],"")</f>
        <v/>
      </c>
      <c r="N745" t="str">
        <f>IF(tblCalculo[[#This Row],[STATUS]]="TRAMITANDO",tblCalculo[[#This Row],[VALOR_TOTAL]],"")</f>
        <v/>
      </c>
      <c r="O745" t="str">
        <f>IF(tblCalculo[[#This Row],[STATUS]]="PERDIDO",tblCalculo[[#This Row],[VALOR_TOTAL]],"")</f>
        <v/>
      </c>
      <c r="P745" t="str">
        <f>IF(tblCalculo[[#This Row],[STATUS]]="CONCLUÍDO",tblCalculo[[#This Row],[VALOR_TOTAL]],"")</f>
        <v/>
      </c>
    </row>
    <row r="746" spans="1:16" x14ac:dyDescent="0.25">
      <c r="A746" t="str">
        <f>tblVendas[[#This Row],[NR_SIMULACAO]]</f>
        <v>SIM1736</v>
      </c>
      <c r="B746" s="34" t="str">
        <f>_xlfn.XLOOKUP(A746,tblVendas[[#This Row],[NR_SIMULACAO]],tblVendas[[#This Row],[NR_CNPJ]],"")</f>
        <v>78.743.128/0001-45</v>
      </c>
      <c r="C746" t="str">
        <f>_xlfn.XLOOKUP(A746,tblVendas[[#This Row],[NR_SIMULACAO]],tblVendas[[#This Row],[STATUS]],"")</f>
        <v>ALÇADA</v>
      </c>
      <c r="D746" t="str">
        <f>_xlfn.XLOOKUP(A746,tblVendas[[#This Row],[NR_SIMULACAO]],tblVendas[[#This Row],[MES]],"")</f>
        <v>Fevereiro</v>
      </c>
      <c r="E746">
        <f>SUM(_xlfn.XLOOKUP(tblCalculo[[#This Row],[NR_SIMULACAO]],tblVendas[[#This Row],[NR_SIMULACAO]],tblVendas[[#This Row],[VALOR_MOVEL]],""):_xlfn.XLOOKUP(tblCalculo[[#This Row],[NR_SIMULACAO]],tblVendas[[#This Row],[NR_SIMULACAO]],tblVendas[[#This Row],[VALOR_APARELHO]],""))</f>
        <v>11556.14</v>
      </c>
      <c r="F746">
        <f>IF(tblCalculo[[#This Row],[STATUS]]="CONCLUÍDO",_xlfn.XLOOKUP(tblCalculo[[#This Row],[NR_SIMULACAO]],tblVendas[[#This Row],[NR_SIMULACAO]],tblVendas[[#This Row],[VALOR_MOVEL]],""),0)</f>
        <v>0</v>
      </c>
      <c r="G746">
        <f>IF(tblCalculo[[#This Row],[STATUS]]="CONCLUÍDO",_xlfn.XLOOKUP(tblCalculo[[#This Row],[NR_SIMULACAO]],tblVendas[[#This Row],[NR_SIMULACAO]],tblVendas[[#This Row],[VALOR_AVANCADO]],""),0)</f>
        <v>0</v>
      </c>
      <c r="H746">
        <f>IF(tblCalculo[[#This Row],[STATUS]]="CONCLUÍDO",_xlfn.XLOOKUP(tblCalculo[[#This Row],[NR_SIMULACAO]],tblVendas[[#This Row],[NR_SIMULACAO]],tblVendas[[#This Row],[VALOR_FIXABASICA]],""),0)</f>
        <v>0</v>
      </c>
      <c r="I746">
        <f>IF(tblCalculo[[#This Row],[STATUS]]="CONCLUÍDO",_xlfn.XLOOKUP(tblCalculo[[#This Row],[NR_SIMULACAO]],tblVendas[[#This Row],[NR_SIMULACAO]],tblVendas[[#This Row],[VALOR_TI]],""),0)</f>
        <v>0</v>
      </c>
      <c r="J746">
        <f>IF(tblCalculo[[#This Row],[STATUS]]="CONCLUÍDO",_xlfn.XLOOKUP(tblCalculo[[#This Row],[NR_SIMULACAO]],tblVendas[[#This Row],[NR_SIMULACAO]],tblVendas[[#This Row],[VALOR_APARELHO]],""),0)</f>
        <v>0</v>
      </c>
      <c r="K746" t="str">
        <f>IF(tblCalculo[[#This Row],[STATUS]]="NEGOCIANDO",tblCalculo[[#This Row],[VALOR_TOTAL]],"")</f>
        <v/>
      </c>
      <c r="L746">
        <f>IF(tblCalculo[[#This Row],[STATUS]]="ALÇADA",tblCalculo[[#This Row],[VALOR_TOTAL]],"")</f>
        <v>11556.14</v>
      </c>
      <c r="M746" t="str">
        <f>IF(tblCalculo[[#This Row],[STATUS]]="EM ANÁLISE",tblCalculo[[#This Row],[VALOR_TOTAL]],"")</f>
        <v/>
      </c>
      <c r="N746" t="str">
        <f>IF(tblCalculo[[#This Row],[STATUS]]="TRAMITANDO",tblCalculo[[#This Row],[VALOR_TOTAL]],"")</f>
        <v/>
      </c>
      <c r="O746" t="str">
        <f>IF(tblCalculo[[#This Row],[STATUS]]="PERDIDO",tblCalculo[[#This Row],[VALOR_TOTAL]],"")</f>
        <v/>
      </c>
      <c r="P746" t="str">
        <f>IF(tblCalculo[[#This Row],[STATUS]]="CONCLUÍDO",tblCalculo[[#This Row],[VALOR_TOTAL]],"")</f>
        <v/>
      </c>
    </row>
    <row r="747" spans="1:16" x14ac:dyDescent="0.25">
      <c r="A747" t="str">
        <f>tblVendas[[#This Row],[NR_SIMULACAO]]</f>
        <v>SIM1737</v>
      </c>
      <c r="B747" s="34" t="str">
        <f>_xlfn.XLOOKUP(A747,tblVendas[[#This Row],[NR_SIMULACAO]],tblVendas[[#This Row],[NR_CNPJ]],"")</f>
        <v>75.936.252/0001-96</v>
      </c>
      <c r="C747" t="str">
        <f>_xlfn.XLOOKUP(A747,tblVendas[[#This Row],[NR_SIMULACAO]],tblVendas[[#This Row],[STATUS]],"")</f>
        <v>TRAMITANDO</v>
      </c>
      <c r="D747" t="str">
        <f>_xlfn.XLOOKUP(A747,tblVendas[[#This Row],[NR_SIMULACAO]],tblVendas[[#This Row],[MES]],"")</f>
        <v>Dezembro</v>
      </c>
      <c r="E747">
        <f>SUM(_xlfn.XLOOKUP(tblCalculo[[#This Row],[NR_SIMULACAO]],tblVendas[[#This Row],[NR_SIMULACAO]],tblVendas[[#This Row],[VALOR_MOVEL]],""):_xlfn.XLOOKUP(tblCalculo[[#This Row],[NR_SIMULACAO]],tblVendas[[#This Row],[NR_SIMULACAO]],tblVendas[[#This Row],[VALOR_APARELHO]],""))</f>
        <v>14061.58</v>
      </c>
      <c r="F747">
        <f>IF(tblCalculo[[#This Row],[STATUS]]="CONCLUÍDO",_xlfn.XLOOKUP(tblCalculo[[#This Row],[NR_SIMULACAO]],tblVendas[[#This Row],[NR_SIMULACAO]],tblVendas[[#This Row],[VALOR_MOVEL]],""),0)</f>
        <v>0</v>
      </c>
      <c r="G747">
        <f>IF(tblCalculo[[#This Row],[STATUS]]="CONCLUÍDO",_xlfn.XLOOKUP(tblCalculo[[#This Row],[NR_SIMULACAO]],tblVendas[[#This Row],[NR_SIMULACAO]],tblVendas[[#This Row],[VALOR_AVANCADO]],""),0)</f>
        <v>0</v>
      </c>
      <c r="H747">
        <f>IF(tblCalculo[[#This Row],[STATUS]]="CONCLUÍDO",_xlfn.XLOOKUP(tblCalculo[[#This Row],[NR_SIMULACAO]],tblVendas[[#This Row],[NR_SIMULACAO]],tblVendas[[#This Row],[VALOR_FIXABASICA]],""),0)</f>
        <v>0</v>
      </c>
      <c r="I747">
        <f>IF(tblCalculo[[#This Row],[STATUS]]="CONCLUÍDO",_xlfn.XLOOKUP(tblCalculo[[#This Row],[NR_SIMULACAO]],tblVendas[[#This Row],[NR_SIMULACAO]],tblVendas[[#This Row],[VALOR_TI]],""),0)</f>
        <v>0</v>
      </c>
      <c r="J747">
        <f>IF(tblCalculo[[#This Row],[STATUS]]="CONCLUÍDO",_xlfn.XLOOKUP(tblCalculo[[#This Row],[NR_SIMULACAO]],tblVendas[[#This Row],[NR_SIMULACAO]],tblVendas[[#This Row],[VALOR_APARELHO]],""),0)</f>
        <v>0</v>
      </c>
      <c r="K747" t="str">
        <f>IF(tblCalculo[[#This Row],[STATUS]]="NEGOCIANDO",tblCalculo[[#This Row],[VALOR_TOTAL]],"")</f>
        <v/>
      </c>
      <c r="L747" t="str">
        <f>IF(tblCalculo[[#This Row],[STATUS]]="ALÇADA",tblCalculo[[#This Row],[VALOR_TOTAL]],"")</f>
        <v/>
      </c>
      <c r="M747" t="str">
        <f>IF(tblCalculo[[#This Row],[STATUS]]="EM ANÁLISE",tblCalculo[[#This Row],[VALOR_TOTAL]],"")</f>
        <v/>
      </c>
      <c r="N747">
        <f>IF(tblCalculo[[#This Row],[STATUS]]="TRAMITANDO",tblCalculo[[#This Row],[VALOR_TOTAL]],"")</f>
        <v>14061.58</v>
      </c>
      <c r="O747" t="str">
        <f>IF(tblCalculo[[#This Row],[STATUS]]="PERDIDO",tblCalculo[[#This Row],[VALOR_TOTAL]],"")</f>
        <v/>
      </c>
      <c r="P747" t="str">
        <f>IF(tblCalculo[[#This Row],[STATUS]]="CONCLUÍDO",tblCalculo[[#This Row],[VALOR_TOTAL]],"")</f>
        <v/>
      </c>
    </row>
    <row r="748" spans="1:16" x14ac:dyDescent="0.25">
      <c r="A748" t="str">
        <f>tblVendas[[#This Row],[NR_SIMULACAO]]</f>
        <v>SIM1738</v>
      </c>
      <c r="B748" s="34" t="str">
        <f>_xlfn.XLOOKUP(A748,tblVendas[[#This Row],[NR_SIMULACAO]],tblVendas[[#This Row],[NR_CNPJ]],"")</f>
        <v>35.770.842/0001-50</v>
      </c>
      <c r="C748" t="str">
        <f>_xlfn.XLOOKUP(A748,tblVendas[[#This Row],[NR_SIMULACAO]],tblVendas[[#This Row],[STATUS]],"")</f>
        <v>PERDIDO</v>
      </c>
      <c r="D748" t="str">
        <f>_xlfn.XLOOKUP(A748,tblVendas[[#This Row],[NR_SIMULACAO]],tblVendas[[#This Row],[MES]],"")</f>
        <v>Junho</v>
      </c>
      <c r="E748">
        <f>SUM(_xlfn.XLOOKUP(tblCalculo[[#This Row],[NR_SIMULACAO]],tblVendas[[#This Row],[NR_SIMULACAO]],tblVendas[[#This Row],[VALOR_MOVEL]],""):_xlfn.XLOOKUP(tblCalculo[[#This Row],[NR_SIMULACAO]],tblVendas[[#This Row],[NR_SIMULACAO]],tblVendas[[#This Row],[VALOR_APARELHO]],""))</f>
        <v>13459.78</v>
      </c>
      <c r="F748">
        <f>IF(tblCalculo[[#This Row],[STATUS]]="CONCLUÍDO",_xlfn.XLOOKUP(tblCalculo[[#This Row],[NR_SIMULACAO]],tblVendas[[#This Row],[NR_SIMULACAO]],tblVendas[[#This Row],[VALOR_MOVEL]],""),0)</f>
        <v>0</v>
      </c>
      <c r="G748">
        <f>IF(tblCalculo[[#This Row],[STATUS]]="CONCLUÍDO",_xlfn.XLOOKUP(tblCalculo[[#This Row],[NR_SIMULACAO]],tblVendas[[#This Row],[NR_SIMULACAO]],tblVendas[[#This Row],[VALOR_AVANCADO]],""),0)</f>
        <v>0</v>
      </c>
      <c r="H748">
        <f>IF(tblCalculo[[#This Row],[STATUS]]="CONCLUÍDO",_xlfn.XLOOKUP(tblCalculo[[#This Row],[NR_SIMULACAO]],tblVendas[[#This Row],[NR_SIMULACAO]],tblVendas[[#This Row],[VALOR_FIXABASICA]],""),0)</f>
        <v>0</v>
      </c>
      <c r="I748">
        <f>IF(tblCalculo[[#This Row],[STATUS]]="CONCLUÍDO",_xlfn.XLOOKUP(tblCalculo[[#This Row],[NR_SIMULACAO]],tblVendas[[#This Row],[NR_SIMULACAO]],tblVendas[[#This Row],[VALOR_TI]],""),0)</f>
        <v>0</v>
      </c>
      <c r="J748">
        <f>IF(tblCalculo[[#This Row],[STATUS]]="CONCLUÍDO",_xlfn.XLOOKUP(tblCalculo[[#This Row],[NR_SIMULACAO]],tblVendas[[#This Row],[NR_SIMULACAO]],tblVendas[[#This Row],[VALOR_APARELHO]],""),0)</f>
        <v>0</v>
      </c>
      <c r="K748" t="str">
        <f>IF(tblCalculo[[#This Row],[STATUS]]="NEGOCIANDO",tblCalculo[[#This Row],[VALOR_TOTAL]],"")</f>
        <v/>
      </c>
      <c r="L748" t="str">
        <f>IF(tblCalculo[[#This Row],[STATUS]]="ALÇADA",tblCalculo[[#This Row],[VALOR_TOTAL]],"")</f>
        <v/>
      </c>
      <c r="M748" t="str">
        <f>IF(tblCalculo[[#This Row],[STATUS]]="EM ANÁLISE",tblCalculo[[#This Row],[VALOR_TOTAL]],"")</f>
        <v/>
      </c>
      <c r="N748" t="str">
        <f>IF(tblCalculo[[#This Row],[STATUS]]="TRAMITANDO",tblCalculo[[#This Row],[VALOR_TOTAL]],"")</f>
        <v/>
      </c>
      <c r="O748">
        <f>IF(tblCalculo[[#This Row],[STATUS]]="PERDIDO",tblCalculo[[#This Row],[VALOR_TOTAL]],"")</f>
        <v>13459.78</v>
      </c>
      <c r="P748" t="str">
        <f>IF(tblCalculo[[#This Row],[STATUS]]="CONCLUÍDO",tblCalculo[[#This Row],[VALOR_TOTAL]],"")</f>
        <v/>
      </c>
    </row>
    <row r="749" spans="1:16" x14ac:dyDescent="0.25">
      <c r="A749" t="str">
        <f>tblVendas[[#This Row],[NR_SIMULACAO]]</f>
        <v>SIM1739</v>
      </c>
      <c r="B749" s="34" t="str">
        <f>_xlfn.XLOOKUP(A749,tblVendas[[#This Row],[NR_SIMULACAO]],tblVendas[[#This Row],[NR_CNPJ]],"")</f>
        <v>48.401.285/0001-94</v>
      </c>
      <c r="C749" t="str">
        <f>_xlfn.XLOOKUP(A749,tblVendas[[#This Row],[NR_SIMULACAO]],tblVendas[[#This Row],[STATUS]],"")</f>
        <v>TRAMITANDO</v>
      </c>
      <c r="D749" t="str">
        <f>_xlfn.XLOOKUP(A749,tblVendas[[#This Row],[NR_SIMULACAO]],tblVendas[[#This Row],[MES]],"")</f>
        <v>Fevereiro</v>
      </c>
      <c r="E749">
        <f>SUM(_xlfn.XLOOKUP(tblCalculo[[#This Row],[NR_SIMULACAO]],tblVendas[[#This Row],[NR_SIMULACAO]],tblVendas[[#This Row],[VALOR_MOVEL]],""):_xlfn.XLOOKUP(tblCalculo[[#This Row],[NR_SIMULACAO]],tblVendas[[#This Row],[NR_SIMULACAO]],tblVendas[[#This Row],[VALOR_APARELHO]],""))</f>
        <v>481.97</v>
      </c>
      <c r="F749">
        <f>IF(tblCalculo[[#This Row],[STATUS]]="CONCLUÍDO",_xlfn.XLOOKUP(tblCalculo[[#This Row],[NR_SIMULACAO]],tblVendas[[#This Row],[NR_SIMULACAO]],tblVendas[[#This Row],[VALOR_MOVEL]],""),0)</f>
        <v>0</v>
      </c>
      <c r="G749">
        <f>IF(tblCalculo[[#This Row],[STATUS]]="CONCLUÍDO",_xlfn.XLOOKUP(tblCalculo[[#This Row],[NR_SIMULACAO]],tblVendas[[#This Row],[NR_SIMULACAO]],tblVendas[[#This Row],[VALOR_AVANCADO]],""),0)</f>
        <v>0</v>
      </c>
      <c r="H749">
        <f>IF(tblCalculo[[#This Row],[STATUS]]="CONCLUÍDO",_xlfn.XLOOKUP(tblCalculo[[#This Row],[NR_SIMULACAO]],tblVendas[[#This Row],[NR_SIMULACAO]],tblVendas[[#This Row],[VALOR_FIXABASICA]],""),0)</f>
        <v>0</v>
      </c>
      <c r="I749">
        <f>IF(tblCalculo[[#This Row],[STATUS]]="CONCLUÍDO",_xlfn.XLOOKUP(tblCalculo[[#This Row],[NR_SIMULACAO]],tblVendas[[#This Row],[NR_SIMULACAO]],tblVendas[[#This Row],[VALOR_TI]],""),0)</f>
        <v>0</v>
      </c>
      <c r="J749">
        <f>IF(tblCalculo[[#This Row],[STATUS]]="CONCLUÍDO",_xlfn.XLOOKUP(tblCalculo[[#This Row],[NR_SIMULACAO]],tblVendas[[#This Row],[NR_SIMULACAO]],tblVendas[[#This Row],[VALOR_APARELHO]],""),0)</f>
        <v>0</v>
      </c>
      <c r="K749" t="str">
        <f>IF(tblCalculo[[#This Row],[STATUS]]="NEGOCIANDO",tblCalculo[[#This Row],[VALOR_TOTAL]],"")</f>
        <v/>
      </c>
      <c r="L749" t="str">
        <f>IF(tblCalculo[[#This Row],[STATUS]]="ALÇADA",tblCalculo[[#This Row],[VALOR_TOTAL]],"")</f>
        <v/>
      </c>
      <c r="M749" t="str">
        <f>IF(tblCalculo[[#This Row],[STATUS]]="EM ANÁLISE",tblCalculo[[#This Row],[VALOR_TOTAL]],"")</f>
        <v/>
      </c>
      <c r="N749">
        <f>IF(tblCalculo[[#This Row],[STATUS]]="TRAMITANDO",tblCalculo[[#This Row],[VALOR_TOTAL]],"")</f>
        <v>481.97</v>
      </c>
      <c r="O749" t="str">
        <f>IF(tblCalculo[[#This Row],[STATUS]]="PERDIDO",tblCalculo[[#This Row],[VALOR_TOTAL]],"")</f>
        <v/>
      </c>
      <c r="P749" t="str">
        <f>IF(tblCalculo[[#This Row],[STATUS]]="CONCLUÍDO",tblCalculo[[#This Row],[VALOR_TOTAL]],"")</f>
        <v/>
      </c>
    </row>
    <row r="750" spans="1:16" x14ac:dyDescent="0.25">
      <c r="A750" t="str">
        <f>tblVendas[[#This Row],[NR_SIMULACAO]]</f>
        <v>SIM1740</v>
      </c>
      <c r="B750" s="34" t="str">
        <f>_xlfn.XLOOKUP(A750,tblVendas[[#This Row],[NR_SIMULACAO]],tblVendas[[#This Row],[NR_CNPJ]],"")</f>
        <v>10.385.568/0001-86</v>
      </c>
      <c r="C750" t="str">
        <f>_xlfn.XLOOKUP(A750,tblVendas[[#This Row],[NR_SIMULACAO]],tblVendas[[#This Row],[STATUS]],"")</f>
        <v>EM ANÁLISE</v>
      </c>
      <c r="D750" t="str">
        <f>_xlfn.XLOOKUP(A750,tblVendas[[#This Row],[NR_SIMULACAO]],tblVendas[[#This Row],[MES]],"")</f>
        <v>Agosto</v>
      </c>
      <c r="E750">
        <f>SUM(_xlfn.XLOOKUP(tblCalculo[[#This Row],[NR_SIMULACAO]],tblVendas[[#This Row],[NR_SIMULACAO]],tblVendas[[#This Row],[VALOR_MOVEL]],""):_xlfn.XLOOKUP(tblCalculo[[#This Row],[NR_SIMULACAO]],tblVendas[[#This Row],[NR_SIMULACAO]],tblVendas[[#This Row],[VALOR_APARELHO]],""))</f>
        <v>4126.22</v>
      </c>
      <c r="F750">
        <f>IF(tblCalculo[[#This Row],[STATUS]]="CONCLUÍDO",_xlfn.XLOOKUP(tblCalculo[[#This Row],[NR_SIMULACAO]],tblVendas[[#This Row],[NR_SIMULACAO]],tblVendas[[#This Row],[VALOR_MOVEL]],""),0)</f>
        <v>0</v>
      </c>
      <c r="G750">
        <f>IF(tblCalculo[[#This Row],[STATUS]]="CONCLUÍDO",_xlfn.XLOOKUP(tblCalculo[[#This Row],[NR_SIMULACAO]],tblVendas[[#This Row],[NR_SIMULACAO]],tblVendas[[#This Row],[VALOR_AVANCADO]],""),0)</f>
        <v>0</v>
      </c>
      <c r="H750">
        <f>IF(tblCalculo[[#This Row],[STATUS]]="CONCLUÍDO",_xlfn.XLOOKUP(tblCalculo[[#This Row],[NR_SIMULACAO]],tblVendas[[#This Row],[NR_SIMULACAO]],tblVendas[[#This Row],[VALOR_FIXABASICA]],""),0)</f>
        <v>0</v>
      </c>
      <c r="I750">
        <f>IF(tblCalculo[[#This Row],[STATUS]]="CONCLUÍDO",_xlfn.XLOOKUP(tblCalculo[[#This Row],[NR_SIMULACAO]],tblVendas[[#This Row],[NR_SIMULACAO]],tblVendas[[#This Row],[VALOR_TI]],""),0)</f>
        <v>0</v>
      </c>
      <c r="J750">
        <f>IF(tblCalculo[[#This Row],[STATUS]]="CONCLUÍDO",_xlfn.XLOOKUP(tblCalculo[[#This Row],[NR_SIMULACAO]],tblVendas[[#This Row],[NR_SIMULACAO]],tblVendas[[#This Row],[VALOR_APARELHO]],""),0)</f>
        <v>0</v>
      </c>
      <c r="K750" t="str">
        <f>IF(tblCalculo[[#This Row],[STATUS]]="NEGOCIANDO",tblCalculo[[#This Row],[VALOR_TOTAL]],"")</f>
        <v/>
      </c>
      <c r="L750" t="str">
        <f>IF(tblCalculo[[#This Row],[STATUS]]="ALÇADA",tblCalculo[[#This Row],[VALOR_TOTAL]],"")</f>
        <v/>
      </c>
      <c r="M750">
        <f>IF(tblCalculo[[#This Row],[STATUS]]="EM ANÁLISE",tblCalculo[[#This Row],[VALOR_TOTAL]],"")</f>
        <v>4126.22</v>
      </c>
      <c r="N750" t="str">
        <f>IF(tblCalculo[[#This Row],[STATUS]]="TRAMITANDO",tblCalculo[[#This Row],[VALOR_TOTAL]],"")</f>
        <v/>
      </c>
      <c r="O750" t="str">
        <f>IF(tblCalculo[[#This Row],[STATUS]]="PERDIDO",tblCalculo[[#This Row],[VALOR_TOTAL]],"")</f>
        <v/>
      </c>
      <c r="P750" t="str">
        <f>IF(tblCalculo[[#This Row],[STATUS]]="CONCLUÍDO",tblCalculo[[#This Row],[VALOR_TOTAL]],"")</f>
        <v/>
      </c>
    </row>
    <row r="751" spans="1:16" x14ac:dyDescent="0.25">
      <c r="A751" t="str">
        <f>tblVendas[[#This Row],[NR_SIMULACAO]]</f>
        <v>SIM1741</v>
      </c>
      <c r="B751" s="34" t="str">
        <f>_xlfn.XLOOKUP(A751,tblVendas[[#This Row],[NR_SIMULACAO]],tblVendas[[#This Row],[NR_CNPJ]],"")</f>
        <v>21.908.458/0001-95</v>
      </c>
      <c r="C751" t="str">
        <f>_xlfn.XLOOKUP(A751,tblVendas[[#This Row],[NR_SIMULACAO]],tblVendas[[#This Row],[STATUS]],"")</f>
        <v>CONCLUÍDO</v>
      </c>
      <c r="D751" t="str">
        <f>_xlfn.XLOOKUP(A751,tblVendas[[#This Row],[NR_SIMULACAO]],tblVendas[[#This Row],[MES]],"")</f>
        <v>Dezembro</v>
      </c>
      <c r="E751">
        <f>SUM(_xlfn.XLOOKUP(tblCalculo[[#This Row],[NR_SIMULACAO]],tblVendas[[#This Row],[NR_SIMULACAO]],tblVendas[[#This Row],[VALOR_MOVEL]],""):_xlfn.XLOOKUP(tblCalculo[[#This Row],[NR_SIMULACAO]],tblVendas[[#This Row],[NR_SIMULACAO]],tblVendas[[#This Row],[VALOR_APARELHO]],""))</f>
        <v>23779.559999999998</v>
      </c>
      <c r="F751">
        <f>IF(tblCalculo[[#This Row],[STATUS]]="CONCLUÍDO",_xlfn.XLOOKUP(tblCalculo[[#This Row],[NR_SIMULACAO]],tblVendas[[#This Row],[NR_SIMULACAO]],tblVendas[[#This Row],[VALOR_MOVEL]],""),0)</f>
        <v>5489.89</v>
      </c>
      <c r="G751">
        <f>IF(tblCalculo[[#This Row],[STATUS]]="CONCLUÍDO",_xlfn.XLOOKUP(tblCalculo[[#This Row],[NR_SIMULACAO]],tblVendas[[#This Row],[NR_SIMULACAO]],tblVendas[[#This Row],[VALOR_AVANCADO]],""),0)</f>
        <v>0</v>
      </c>
      <c r="H751">
        <f>IF(tblCalculo[[#This Row],[STATUS]]="CONCLUÍDO",_xlfn.XLOOKUP(tblCalculo[[#This Row],[NR_SIMULACAO]],tblVendas[[#This Row],[NR_SIMULACAO]],tblVendas[[#This Row],[VALOR_FIXABASICA]],""),0)</f>
        <v>0</v>
      </c>
      <c r="I751">
        <f>IF(tblCalculo[[#This Row],[STATUS]]="CONCLUÍDO",_xlfn.XLOOKUP(tblCalculo[[#This Row],[NR_SIMULACAO]],tblVendas[[#This Row],[NR_SIMULACAO]],tblVendas[[#This Row],[VALOR_TI]],""),0)</f>
        <v>10874.57</v>
      </c>
      <c r="J751">
        <f>IF(tblCalculo[[#This Row],[STATUS]]="CONCLUÍDO",_xlfn.XLOOKUP(tblCalculo[[#This Row],[NR_SIMULACAO]],tblVendas[[#This Row],[NR_SIMULACAO]],tblVendas[[#This Row],[VALOR_APARELHO]],""),0)</f>
        <v>7415.1</v>
      </c>
      <c r="K751" t="str">
        <f>IF(tblCalculo[[#This Row],[STATUS]]="NEGOCIANDO",tblCalculo[[#This Row],[VALOR_TOTAL]],"")</f>
        <v/>
      </c>
      <c r="L751" t="str">
        <f>IF(tblCalculo[[#This Row],[STATUS]]="ALÇADA",tblCalculo[[#This Row],[VALOR_TOTAL]],"")</f>
        <v/>
      </c>
      <c r="M751" t="str">
        <f>IF(tblCalculo[[#This Row],[STATUS]]="EM ANÁLISE",tblCalculo[[#This Row],[VALOR_TOTAL]],"")</f>
        <v/>
      </c>
      <c r="N751" t="str">
        <f>IF(tblCalculo[[#This Row],[STATUS]]="TRAMITANDO",tblCalculo[[#This Row],[VALOR_TOTAL]],"")</f>
        <v/>
      </c>
      <c r="O751" t="str">
        <f>IF(tblCalculo[[#This Row],[STATUS]]="PERDIDO",tblCalculo[[#This Row],[VALOR_TOTAL]],"")</f>
        <v/>
      </c>
      <c r="P751">
        <f>IF(tblCalculo[[#This Row],[STATUS]]="CONCLUÍDO",tblCalculo[[#This Row],[VALOR_TOTAL]],"")</f>
        <v>23779.559999999998</v>
      </c>
    </row>
    <row r="752" spans="1:16" x14ac:dyDescent="0.25">
      <c r="A752" t="str">
        <f>tblVendas[[#This Row],[NR_SIMULACAO]]</f>
        <v>SIM1742</v>
      </c>
      <c r="B752" s="34" t="str">
        <f>_xlfn.XLOOKUP(A752,tblVendas[[#This Row],[NR_SIMULACAO]],tblVendas[[#This Row],[NR_CNPJ]],"")</f>
        <v>53.268.146/0001-69</v>
      </c>
      <c r="C752" t="str">
        <f>_xlfn.XLOOKUP(A752,tblVendas[[#This Row],[NR_SIMULACAO]],tblVendas[[#This Row],[STATUS]],"")</f>
        <v>ALÇADA</v>
      </c>
      <c r="D752" t="str">
        <f>_xlfn.XLOOKUP(A752,tblVendas[[#This Row],[NR_SIMULACAO]],tblVendas[[#This Row],[MES]],"")</f>
        <v>Setembro</v>
      </c>
      <c r="E752">
        <f>SUM(_xlfn.XLOOKUP(tblCalculo[[#This Row],[NR_SIMULACAO]],tblVendas[[#This Row],[NR_SIMULACAO]],tblVendas[[#This Row],[VALOR_MOVEL]],""):_xlfn.XLOOKUP(tblCalculo[[#This Row],[NR_SIMULACAO]],tblVendas[[#This Row],[NR_SIMULACAO]],tblVendas[[#This Row],[VALOR_APARELHO]],""))</f>
        <v>11111.810000000001</v>
      </c>
      <c r="F752">
        <f>IF(tblCalculo[[#This Row],[STATUS]]="CONCLUÍDO",_xlfn.XLOOKUP(tblCalculo[[#This Row],[NR_SIMULACAO]],tblVendas[[#This Row],[NR_SIMULACAO]],tblVendas[[#This Row],[VALOR_MOVEL]],""),0)</f>
        <v>0</v>
      </c>
      <c r="G752">
        <f>IF(tblCalculo[[#This Row],[STATUS]]="CONCLUÍDO",_xlfn.XLOOKUP(tblCalculo[[#This Row],[NR_SIMULACAO]],tblVendas[[#This Row],[NR_SIMULACAO]],tblVendas[[#This Row],[VALOR_AVANCADO]],""),0)</f>
        <v>0</v>
      </c>
      <c r="H752">
        <f>IF(tblCalculo[[#This Row],[STATUS]]="CONCLUÍDO",_xlfn.XLOOKUP(tblCalculo[[#This Row],[NR_SIMULACAO]],tblVendas[[#This Row],[NR_SIMULACAO]],tblVendas[[#This Row],[VALOR_FIXABASICA]],""),0)</f>
        <v>0</v>
      </c>
      <c r="I752">
        <f>IF(tblCalculo[[#This Row],[STATUS]]="CONCLUÍDO",_xlfn.XLOOKUP(tblCalculo[[#This Row],[NR_SIMULACAO]],tblVendas[[#This Row],[NR_SIMULACAO]],tblVendas[[#This Row],[VALOR_TI]],""),0)</f>
        <v>0</v>
      </c>
      <c r="J752">
        <f>IF(tblCalculo[[#This Row],[STATUS]]="CONCLUÍDO",_xlfn.XLOOKUP(tblCalculo[[#This Row],[NR_SIMULACAO]],tblVendas[[#This Row],[NR_SIMULACAO]],tblVendas[[#This Row],[VALOR_APARELHO]],""),0)</f>
        <v>0</v>
      </c>
      <c r="K752" t="str">
        <f>IF(tblCalculo[[#This Row],[STATUS]]="NEGOCIANDO",tblCalculo[[#This Row],[VALOR_TOTAL]],"")</f>
        <v/>
      </c>
      <c r="L752">
        <f>IF(tblCalculo[[#This Row],[STATUS]]="ALÇADA",tblCalculo[[#This Row],[VALOR_TOTAL]],"")</f>
        <v>11111.810000000001</v>
      </c>
      <c r="M752" t="str">
        <f>IF(tblCalculo[[#This Row],[STATUS]]="EM ANÁLISE",tblCalculo[[#This Row],[VALOR_TOTAL]],"")</f>
        <v/>
      </c>
      <c r="N752" t="str">
        <f>IF(tblCalculo[[#This Row],[STATUS]]="TRAMITANDO",tblCalculo[[#This Row],[VALOR_TOTAL]],"")</f>
        <v/>
      </c>
      <c r="O752" t="str">
        <f>IF(tblCalculo[[#This Row],[STATUS]]="PERDIDO",tblCalculo[[#This Row],[VALOR_TOTAL]],"")</f>
        <v/>
      </c>
      <c r="P752" t="str">
        <f>IF(tblCalculo[[#This Row],[STATUS]]="CONCLUÍDO",tblCalculo[[#This Row],[VALOR_TOTAL]],"")</f>
        <v/>
      </c>
    </row>
    <row r="753" spans="1:16" x14ac:dyDescent="0.25">
      <c r="A753" t="str">
        <f>tblVendas[[#This Row],[NR_SIMULACAO]]</f>
        <v>SIM1743</v>
      </c>
      <c r="B753" s="34" t="str">
        <f>_xlfn.XLOOKUP(A753,tblVendas[[#This Row],[NR_SIMULACAO]],tblVendas[[#This Row],[NR_CNPJ]],"")</f>
        <v>97.385.212/0001-56</v>
      </c>
      <c r="C753" t="str">
        <f>_xlfn.XLOOKUP(A753,tblVendas[[#This Row],[NR_SIMULACAO]],tblVendas[[#This Row],[STATUS]],"")</f>
        <v>CONCLUÍDO</v>
      </c>
      <c r="D753" t="str">
        <f>_xlfn.XLOOKUP(A753,tblVendas[[#This Row],[NR_SIMULACAO]],tblVendas[[#This Row],[MES]],"")</f>
        <v>Novembro</v>
      </c>
      <c r="E753">
        <f>SUM(_xlfn.XLOOKUP(tblCalculo[[#This Row],[NR_SIMULACAO]],tblVendas[[#This Row],[NR_SIMULACAO]],tblVendas[[#This Row],[VALOR_MOVEL]],""):_xlfn.XLOOKUP(tblCalculo[[#This Row],[NR_SIMULACAO]],tblVendas[[#This Row],[NR_SIMULACAO]],tblVendas[[#This Row],[VALOR_APARELHO]],""))</f>
        <v>13353.169999999998</v>
      </c>
      <c r="F753">
        <f>IF(tblCalculo[[#This Row],[STATUS]]="CONCLUÍDO",_xlfn.XLOOKUP(tblCalculo[[#This Row],[NR_SIMULACAO]],tblVendas[[#This Row],[NR_SIMULACAO]],tblVendas[[#This Row],[VALOR_MOVEL]],""),0)</f>
        <v>3732.33</v>
      </c>
      <c r="G753">
        <f>IF(tblCalculo[[#This Row],[STATUS]]="CONCLUÍDO",_xlfn.XLOOKUP(tblCalculo[[#This Row],[NR_SIMULACAO]],tblVendas[[#This Row],[NR_SIMULACAO]],tblVendas[[#This Row],[VALOR_AVANCADO]],""),0)</f>
        <v>2380.2399999999998</v>
      </c>
      <c r="H753">
        <f>IF(tblCalculo[[#This Row],[STATUS]]="CONCLUÍDO",_xlfn.XLOOKUP(tblCalculo[[#This Row],[NR_SIMULACAO]],tblVendas[[#This Row],[NR_SIMULACAO]],tblVendas[[#This Row],[VALOR_FIXABASICA]],""),0)</f>
        <v>0</v>
      </c>
      <c r="I753">
        <f>IF(tblCalculo[[#This Row],[STATUS]]="CONCLUÍDO",_xlfn.XLOOKUP(tblCalculo[[#This Row],[NR_SIMULACAO]],tblVendas[[#This Row],[NR_SIMULACAO]],tblVendas[[#This Row],[VALOR_TI]],""),0)</f>
        <v>1923.57</v>
      </c>
      <c r="J753">
        <f>IF(tblCalculo[[#This Row],[STATUS]]="CONCLUÍDO",_xlfn.XLOOKUP(tblCalculo[[#This Row],[NR_SIMULACAO]],tblVendas[[#This Row],[NR_SIMULACAO]],tblVendas[[#This Row],[VALOR_APARELHO]],""),0)</f>
        <v>5317.03</v>
      </c>
      <c r="K753" t="str">
        <f>IF(tblCalculo[[#This Row],[STATUS]]="NEGOCIANDO",tblCalculo[[#This Row],[VALOR_TOTAL]],"")</f>
        <v/>
      </c>
      <c r="L753" t="str">
        <f>IF(tblCalculo[[#This Row],[STATUS]]="ALÇADA",tblCalculo[[#This Row],[VALOR_TOTAL]],"")</f>
        <v/>
      </c>
      <c r="M753" t="str">
        <f>IF(tblCalculo[[#This Row],[STATUS]]="EM ANÁLISE",tblCalculo[[#This Row],[VALOR_TOTAL]],"")</f>
        <v/>
      </c>
      <c r="N753" t="str">
        <f>IF(tblCalculo[[#This Row],[STATUS]]="TRAMITANDO",tblCalculo[[#This Row],[VALOR_TOTAL]],"")</f>
        <v/>
      </c>
      <c r="O753" t="str">
        <f>IF(tblCalculo[[#This Row],[STATUS]]="PERDIDO",tblCalculo[[#This Row],[VALOR_TOTAL]],"")</f>
        <v/>
      </c>
      <c r="P753">
        <f>IF(tblCalculo[[#This Row],[STATUS]]="CONCLUÍDO",tblCalculo[[#This Row],[VALOR_TOTAL]],"")</f>
        <v>13353.169999999998</v>
      </c>
    </row>
    <row r="754" spans="1:16" x14ac:dyDescent="0.25">
      <c r="A754" t="str">
        <f>tblVendas[[#This Row],[NR_SIMULACAO]]</f>
        <v>SIM1744</v>
      </c>
      <c r="B754" s="34" t="str">
        <f>_xlfn.XLOOKUP(A754,tblVendas[[#This Row],[NR_SIMULACAO]],tblVendas[[#This Row],[NR_CNPJ]],"")</f>
        <v>41.280.756/0001-18</v>
      </c>
      <c r="C754" t="str">
        <f>_xlfn.XLOOKUP(A754,tblVendas[[#This Row],[NR_SIMULACAO]],tblVendas[[#This Row],[STATUS]],"")</f>
        <v>CONCLUÍDO</v>
      </c>
      <c r="D754" t="str">
        <f>_xlfn.XLOOKUP(A754,tblVendas[[#This Row],[NR_SIMULACAO]],tblVendas[[#This Row],[MES]],"")</f>
        <v>Outubro</v>
      </c>
      <c r="E754">
        <f>SUM(_xlfn.XLOOKUP(tblCalculo[[#This Row],[NR_SIMULACAO]],tblVendas[[#This Row],[NR_SIMULACAO]],tblVendas[[#This Row],[VALOR_MOVEL]],""):_xlfn.XLOOKUP(tblCalculo[[#This Row],[NR_SIMULACAO]],tblVendas[[#This Row],[NR_SIMULACAO]],tblVendas[[#This Row],[VALOR_APARELHO]],""))</f>
        <v>4581.24</v>
      </c>
      <c r="F754">
        <f>IF(tblCalculo[[#This Row],[STATUS]]="CONCLUÍDO",_xlfn.XLOOKUP(tblCalculo[[#This Row],[NR_SIMULACAO]],tblVendas[[#This Row],[NR_SIMULACAO]],tblVendas[[#This Row],[VALOR_MOVEL]],""),0)</f>
        <v>0</v>
      </c>
      <c r="G754">
        <f>IF(tblCalculo[[#This Row],[STATUS]]="CONCLUÍDO",_xlfn.XLOOKUP(tblCalculo[[#This Row],[NR_SIMULACAO]],tblVendas[[#This Row],[NR_SIMULACAO]],tblVendas[[#This Row],[VALOR_AVANCADO]],""),0)</f>
        <v>3600.84</v>
      </c>
      <c r="H754">
        <f>IF(tblCalculo[[#This Row],[STATUS]]="CONCLUÍDO",_xlfn.XLOOKUP(tblCalculo[[#This Row],[NR_SIMULACAO]],tblVendas[[#This Row],[NR_SIMULACAO]],tblVendas[[#This Row],[VALOR_FIXABASICA]],""),0)</f>
        <v>980.4</v>
      </c>
      <c r="I754">
        <f>IF(tblCalculo[[#This Row],[STATUS]]="CONCLUÍDO",_xlfn.XLOOKUP(tblCalculo[[#This Row],[NR_SIMULACAO]],tblVendas[[#This Row],[NR_SIMULACAO]],tblVendas[[#This Row],[VALOR_TI]],""),0)</f>
        <v>0</v>
      </c>
      <c r="J754">
        <f>IF(tblCalculo[[#This Row],[STATUS]]="CONCLUÍDO",_xlfn.XLOOKUP(tblCalculo[[#This Row],[NR_SIMULACAO]],tblVendas[[#This Row],[NR_SIMULACAO]],tblVendas[[#This Row],[VALOR_APARELHO]],""),0)</f>
        <v>0</v>
      </c>
      <c r="K754" t="str">
        <f>IF(tblCalculo[[#This Row],[STATUS]]="NEGOCIANDO",tblCalculo[[#This Row],[VALOR_TOTAL]],"")</f>
        <v/>
      </c>
      <c r="L754" t="str">
        <f>IF(tblCalculo[[#This Row],[STATUS]]="ALÇADA",tblCalculo[[#This Row],[VALOR_TOTAL]],"")</f>
        <v/>
      </c>
      <c r="M754" t="str">
        <f>IF(tblCalculo[[#This Row],[STATUS]]="EM ANÁLISE",tblCalculo[[#This Row],[VALOR_TOTAL]],"")</f>
        <v/>
      </c>
      <c r="N754" t="str">
        <f>IF(tblCalculo[[#This Row],[STATUS]]="TRAMITANDO",tblCalculo[[#This Row],[VALOR_TOTAL]],"")</f>
        <v/>
      </c>
      <c r="O754" t="str">
        <f>IF(tblCalculo[[#This Row],[STATUS]]="PERDIDO",tblCalculo[[#This Row],[VALOR_TOTAL]],"")</f>
        <v/>
      </c>
      <c r="P754">
        <f>IF(tblCalculo[[#This Row],[STATUS]]="CONCLUÍDO",tblCalculo[[#This Row],[VALOR_TOTAL]],"")</f>
        <v>4581.24</v>
      </c>
    </row>
    <row r="755" spans="1:16" x14ac:dyDescent="0.25">
      <c r="A755" t="str">
        <f>tblVendas[[#This Row],[NR_SIMULACAO]]</f>
        <v>SIM1745</v>
      </c>
      <c r="B755" s="34" t="str">
        <f>_xlfn.XLOOKUP(A755,tblVendas[[#This Row],[NR_SIMULACAO]],tblVendas[[#This Row],[NR_CNPJ]],"")</f>
        <v>76.649.190/0001-73</v>
      </c>
      <c r="C755" t="str">
        <f>_xlfn.XLOOKUP(A755,tblVendas[[#This Row],[NR_SIMULACAO]],tblVendas[[#This Row],[STATUS]],"")</f>
        <v>EM ANÁLISE</v>
      </c>
      <c r="D755" t="str">
        <f>_xlfn.XLOOKUP(A755,tblVendas[[#This Row],[NR_SIMULACAO]],tblVendas[[#This Row],[MES]],"")</f>
        <v>Dezembro</v>
      </c>
      <c r="E755">
        <f>SUM(_xlfn.XLOOKUP(tblCalculo[[#This Row],[NR_SIMULACAO]],tblVendas[[#This Row],[NR_SIMULACAO]],tblVendas[[#This Row],[VALOR_MOVEL]],""):_xlfn.XLOOKUP(tblCalculo[[#This Row],[NR_SIMULACAO]],tblVendas[[#This Row],[NR_SIMULACAO]],tblVendas[[#This Row],[VALOR_APARELHO]],""))</f>
        <v>18958.93</v>
      </c>
      <c r="F755">
        <f>IF(tblCalculo[[#This Row],[STATUS]]="CONCLUÍDO",_xlfn.XLOOKUP(tblCalculo[[#This Row],[NR_SIMULACAO]],tblVendas[[#This Row],[NR_SIMULACAO]],tblVendas[[#This Row],[VALOR_MOVEL]],""),0)</f>
        <v>0</v>
      </c>
      <c r="G755">
        <f>IF(tblCalculo[[#This Row],[STATUS]]="CONCLUÍDO",_xlfn.XLOOKUP(tblCalculo[[#This Row],[NR_SIMULACAO]],tblVendas[[#This Row],[NR_SIMULACAO]],tblVendas[[#This Row],[VALOR_AVANCADO]],""),0)</f>
        <v>0</v>
      </c>
      <c r="H755">
        <f>IF(tblCalculo[[#This Row],[STATUS]]="CONCLUÍDO",_xlfn.XLOOKUP(tblCalculo[[#This Row],[NR_SIMULACAO]],tblVendas[[#This Row],[NR_SIMULACAO]],tblVendas[[#This Row],[VALOR_FIXABASICA]],""),0)</f>
        <v>0</v>
      </c>
      <c r="I755">
        <f>IF(tblCalculo[[#This Row],[STATUS]]="CONCLUÍDO",_xlfn.XLOOKUP(tblCalculo[[#This Row],[NR_SIMULACAO]],tblVendas[[#This Row],[NR_SIMULACAO]],tblVendas[[#This Row],[VALOR_TI]],""),0)</f>
        <v>0</v>
      </c>
      <c r="J755">
        <f>IF(tblCalculo[[#This Row],[STATUS]]="CONCLUÍDO",_xlfn.XLOOKUP(tblCalculo[[#This Row],[NR_SIMULACAO]],tblVendas[[#This Row],[NR_SIMULACAO]],tblVendas[[#This Row],[VALOR_APARELHO]],""),0)</f>
        <v>0</v>
      </c>
      <c r="K755" t="str">
        <f>IF(tblCalculo[[#This Row],[STATUS]]="NEGOCIANDO",tblCalculo[[#This Row],[VALOR_TOTAL]],"")</f>
        <v/>
      </c>
      <c r="L755" t="str">
        <f>IF(tblCalculo[[#This Row],[STATUS]]="ALÇADA",tblCalculo[[#This Row],[VALOR_TOTAL]],"")</f>
        <v/>
      </c>
      <c r="M755">
        <f>IF(tblCalculo[[#This Row],[STATUS]]="EM ANÁLISE",tblCalculo[[#This Row],[VALOR_TOTAL]],"")</f>
        <v>18958.93</v>
      </c>
      <c r="N755" t="str">
        <f>IF(tblCalculo[[#This Row],[STATUS]]="TRAMITANDO",tblCalculo[[#This Row],[VALOR_TOTAL]],"")</f>
        <v/>
      </c>
      <c r="O755" t="str">
        <f>IF(tblCalculo[[#This Row],[STATUS]]="PERDIDO",tblCalculo[[#This Row],[VALOR_TOTAL]],"")</f>
        <v/>
      </c>
      <c r="P755" t="str">
        <f>IF(tblCalculo[[#This Row],[STATUS]]="CONCLUÍDO",tblCalculo[[#This Row],[VALOR_TOTAL]],"")</f>
        <v/>
      </c>
    </row>
    <row r="756" spans="1:16" x14ac:dyDescent="0.25">
      <c r="A756" t="str">
        <f>tblVendas[[#This Row],[NR_SIMULACAO]]</f>
        <v>SIM1746</v>
      </c>
      <c r="B756" s="34" t="str">
        <f>_xlfn.XLOOKUP(A756,tblVendas[[#This Row],[NR_SIMULACAO]],tblVendas[[#This Row],[NR_CNPJ]],"")</f>
        <v>25.135.535/0001-64</v>
      </c>
      <c r="C756" t="str">
        <f>_xlfn.XLOOKUP(A756,tblVendas[[#This Row],[NR_SIMULACAO]],tblVendas[[#This Row],[STATUS]],"")</f>
        <v>CONCLUÍDO</v>
      </c>
      <c r="D756" t="str">
        <f>_xlfn.XLOOKUP(A756,tblVendas[[#This Row],[NR_SIMULACAO]],tblVendas[[#This Row],[MES]],"")</f>
        <v>Agosto</v>
      </c>
      <c r="E756">
        <f>SUM(_xlfn.XLOOKUP(tblCalculo[[#This Row],[NR_SIMULACAO]],tblVendas[[#This Row],[NR_SIMULACAO]],tblVendas[[#This Row],[VALOR_MOVEL]],""):_xlfn.XLOOKUP(tblCalculo[[#This Row],[NR_SIMULACAO]],tblVendas[[#This Row],[NR_SIMULACAO]],tblVendas[[#This Row],[VALOR_APARELHO]],""))</f>
        <v>7380.77</v>
      </c>
      <c r="F756">
        <f>IF(tblCalculo[[#This Row],[STATUS]]="CONCLUÍDO",_xlfn.XLOOKUP(tblCalculo[[#This Row],[NR_SIMULACAO]],tblVendas[[#This Row],[NR_SIMULACAO]],tblVendas[[#This Row],[VALOR_MOVEL]],""),0)</f>
        <v>7380.77</v>
      </c>
      <c r="G756">
        <f>IF(tblCalculo[[#This Row],[STATUS]]="CONCLUÍDO",_xlfn.XLOOKUP(tblCalculo[[#This Row],[NR_SIMULACAO]],tblVendas[[#This Row],[NR_SIMULACAO]],tblVendas[[#This Row],[VALOR_AVANCADO]],""),0)</f>
        <v>0</v>
      </c>
      <c r="H756">
        <f>IF(tblCalculo[[#This Row],[STATUS]]="CONCLUÍDO",_xlfn.XLOOKUP(tblCalculo[[#This Row],[NR_SIMULACAO]],tblVendas[[#This Row],[NR_SIMULACAO]],tblVendas[[#This Row],[VALOR_FIXABASICA]],""),0)</f>
        <v>0</v>
      </c>
      <c r="I756">
        <f>IF(tblCalculo[[#This Row],[STATUS]]="CONCLUÍDO",_xlfn.XLOOKUP(tblCalculo[[#This Row],[NR_SIMULACAO]],tblVendas[[#This Row],[NR_SIMULACAO]],tblVendas[[#This Row],[VALOR_TI]],""),0)</f>
        <v>0</v>
      </c>
      <c r="J756">
        <f>IF(tblCalculo[[#This Row],[STATUS]]="CONCLUÍDO",_xlfn.XLOOKUP(tblCalculo[[#This Row],[NR_SIMULACAO]],tblVendas[[#This Row],[NR_SIMULACAO]],tblVendas[[#This Row],[VALOR_APARELHO]],""),0)</f>
        <v>0</v>
      </c>
      <c r="K756" t="str">
        <f>IF(tblCalculo[[#This Row],[STATUS]]="NEGOCIANDO",tblCalculo[[#This Row],[VALOR_TOTAL]],"")</f>
        <v/>
      </c>
      <c r="L756" t="str">
        <f>IF(tblCalculo[[#This Row],[STATUS]]="ALÇADA",tblCalculo[[#This Row],[VALOR_TOTAL]],"")</f>
        <v/>
      </c>
      <c r="M756" t="str">
        <f>IF(tblCalculo[[#This Row],[STATUS]]="EM ANÁLISE",tblCalculo[[#This Row],[VALOR_TOTAL]],"")</f>
        <v/>
      </c>
      <c r="N756" t="str">
        <f>IF(tblCalculo[[#This Row],[STATUS]]="TRAMITANDO",tblCalculo[[#This Row],[VALOR_TOTAL]],"")</f>
        <v/>
      </c>
      <c r="O756" t="str">
        <f>IF(tblCalculo[[#This Row],[STATUS]]="PERDIDO",tblCalculo[[#This Row],[VALOR_TOTAL]],"")</f>
        <v/>
      </c>
      <c r="P756">
        <f>IF(tblCalculo[[#This Row],[STATUS]]="CONCLUÍDO",tblCalculo[[#This Row],[VALOR_TOTAL]],"")</f>
        <v>7380.77</v>
      </c>
    </row>
    <row r="757" spans="1:16" x14ac:dyDescent="0.25">
      <c r="A757" t="str">
        <f>tblVendas[[#This Row],[NR_SIMULACAO]]</f>
        <v>SIM1747</v>
      </c>
      <c r="B757" s="34" t="str">
        <f>_xlfn.XLOOKUP(A757,tblVendas[[#This Row],[NR_SIMULACAO]],tblVendas[[#This Row],[NR_CNPJ]],"")</f>
        <v>53.615.495/0001-46</v>
      </c>
      <c r="C757" t="str">
        <f>_xlfn.XLOOKUP(A757,tblVendas[[#This Row],[NR_SIMULACAO]],tblVendas[[#This Row],[STATUS]],"")</f>
        <v>PERDIDO</v>
      </c>
      <c r="D757" t="str">
        <f>_xlfn.XLOOKUP(A757,tblVendas[[#This Row],[NR_SIMULACAO]],tblVendas[[#This Row],[MES]],"")</f>
        <v>Agosto</v>
      </c>
      <c r="E757">
        <f>SUM(_xlfn.XLOOKUP(tblCalculo[[#This Row],[NR_SIMULACAO]],tblVendas[[#This Row],[NR_SIMULACAO]],tblVendas[[#This Row],[VALOR_MOVEL]],""):_xlfn.XLOOKUP(tblCalculo[[#This Row],[NR_SIMULACAO]],tblVendas[[#This Row],[NR_SIMULACAO]],tblVendas[[#This Row],[VALOR_APARELHO]],""))</f>
        <v>3554.94</v>
      </c>
      <c r="F757">
        <f>IF(tblCalculo[[#This Row],[STATUS]]="CONCLUÍDO",_xlfn.XLOOKUP(tblCalculo[[#This Row],[NR_SIMULACAO]],tblVendas[[#This Row],[NR_SIMULACAO]],tblVendas[[#This Row],[VALOR_MOVEL]],""),0)</f>
        <v>0</v>
      </c>
      <c r="G757">
        <f>IF(tblCalculo[[#This Row],[STATUS]]="CONCLUÍDO",_xlfn.XLOOKUP(tblCalculo[[#This Row],[NR_SIMULACAO]],tblVendas[[#This Row],[NR_SIMULACAO]],tblVendas[[#This Row],[VALOR_AVANCADO]],""),0)</f>
        <v>0</v>
      </c>
      <c r="H757">
        <f>IF(tblCalculo[[#This Row],[STATUS]]="CONCLUÍDO",_xlfn.XLOOKUP(tblCalculo[[#This Row],[NR_SIMULACAO]],tblVendas[[#This Row],[NR_SIMULACAO]],tblVendas[[#This Row],[VALOR_FIXABASICA]],""),0)</f>
        <v>0</v>
      </c>
      <c r="I757">
        <f>IF(tblCalculo[[#This Row],[STATUS]]="CONCLUÍDO",_xlfn.XLOOKUP(tblCalculo[[#This Row],[NR_SIMULACAO]],tblVendas[[#This Row],[NR_SIMULACAO]],tblVendas[[#This Row],[VALOR_TI]],""),0)</f>
        <v>0</v>
      </c>
      <c r="J757">
        <f>IF(tblCalculo[[#This Row],[STATUS]]="CONCLUÍDO",_xlfn.XLOOKUP(tblCalculo[[#This Row],[NR_SIMULACAO]],tblVendas[[#This Row],[NR_SIMULACAO]],tblVendas[[#This Row],[VALOR_APARELHO]],""),0)</f>
        <v>0</v>
      </c>
      <c r="K757" t="str">
        <f>IF(tblCalculo[[#This Row],[STATUS]]="NEGOCIANDO",tblCalculo[[#This Row],[VALOR_TOTAL]],"")</f>
        <v/>
      </c>
      <c r="L757" t="str">
        <f>IF(tblCalculo[[#This Row],[STATUS]]="ALÇADA",tblCalculo[[#This Row],[VALOR_TOTAL]],"")</f>
        <v/>
      </c>
      <c r="M757" t="str">
        <f>IF(tblCalculo[[#This Row],[STATUS]]="EM ANÁLISE",tblCalculo[[#This Row],[VALOR_TOTAL]],"")</f>
        <v/>
      </c>
      <c r="N757" t="str">
        <f>IF(tblCalculo[[#This Row],[STATUS]]="TRAMITANDO",tblCalculo[[#This Row],[VALOR_TOTAL]],"")</f>
        <v/>
      </c>
      <c r="O757">
        <f>IF(tblCalculo[[#This Row],[STATUS]]="PERDIDO",tblCalculo[[#This Row],[VALOR_TOTAL]],"")</f>
        <v>3554.94</v>
      </c>
      <c r="P757" t="str">
        <f>IF(tblCalculo[[#This Row],[STATUS]]="CONCLUÍDO",tblCalculo[[#This Row],[VALOR_TOTAL]],"")</f>
        <v/>
      </c>
    </row>
    <row r="758" spans="1:16" x14ac:dyDescent="0.25">
      <c r="A758" t="str">
        <f>tblVendas[[#This Row],[NR_SIMULACAO]]</f>
        <v>SIM1748</v>
      </c>
      <c r="B758" s="34" t="str">
        <f>_xlfn.XLOOKUP(A758,tblVendas[[#This Row],[NR_SIMULACAO]],tblVendas[[#This Row],[NR_CNPJ]],"")</f>
        <v>99.996.435/0001-92</v>
      </c>
      <c r="C758" t="str">
        <f>_xlfn.XLOOKUP(A758,tblVendas[[#This Row],[NR_SIMULACAO]],tblVendas[[#This Row],[STATUS]],"")</f>
        <v>EM ANÁLISE</v>
      </c>
      <c r="D758" t="str">
        <f>_xlfn.XLOOKUP(A758,tblVendas[[#This Row],[NR_SIMULACAO]],tblVendas[[#This Row],[MES]],"")</f>
        <v>Março</v>
      </c>
      <c r="E758">
        <f>SUM(_xlfn.XLOOKUP(tblCalculo[[#This Row],[NR_SIMULACAO]],tblVendas[[#This Row],[NR_SIMULACAO]],tblVendas[[#This Row],[VALOR_MOVEL]],""):_xlfn.XLOOKUP(tblCalculo[[#This Row],[NR_SIMULACAO]],tblVendas[[#This Row],[NR_SIMULACAO]],tblVendas[[#This Row],[VALOR_APARELHO]],""))</f>
        <v>7028.49</v>
      </c>
      <c r="F758">
        <f>IF(tblCalculo[[#This Row],[STATUS]]="CONCLUÍDO",_xlfn.XLOOKUP(tblCalculo[[#This Row],[NR_SIMULACAO]],tblVendas[[#This Row],[NR_SIMULACAO]],tblVendas[[#This Row],[VALOR_MOVEL]],""),0)</f>
        <v>0</v>
      </c>
      <c r="G758">
        <f>IF(tblCalculo[[#This Row],[STATUS]]="CONCLUÍDO",_xlfn.XLOOKUP(tblCalculo[[#This Row],[NR_SIMULACAO]],tblVendas[[#This Row],[NR_SIMULACAO]],tblVendas[[#This Row],[VALOR_AVANCADO]],""),0)</f>
        <v>0</v>
      </c>
      <c r="H758">
        <f>IF(tblCalculo[[#This Row],[STATUS]]="CONCLUÍDO",_xlfn.XLOOKUP(tblCalculo[[#This Row],[NR_SIMULACAO]],tblVendas[[#This Row],[NR_SIMULACAO]],tblVendas[[#This Row],[VALOR_FIXABASICA]],""),0)</f>
        <v>0</v>
      </c>
      <c r="I758">
        <f>IF(tblCalculo[[#This Row],[STATUS]]="CONCLUÍDO",_xlfn.XLOOKUP(tblCalculo[[#This Row],[NR_SIMULACAO]],tblVendas[[#This Row],[NR_SIMULACAO]],tblVendas[[#This Row],[VALOR_TI]],""),0)</f>
        <v>0</v>
      </c>
      <c r="J758">
        <f>IF(tblCalculo[[#This Row],[STATUS]]="CONCLUÍDO",_xlfn.XLOOKUP(tblCalculo[[#This Row],[NR_SIMULACAO]],tblVendas[[#This Row],[NR_SIMULACAO]],tblVendas[[#This Row],[VALOR_APARELHO]],""),0)</f>
        <v>0</v>
      </c>
      <c r="K758" t="str">
        <f>IF(tblCalculo[[#This Row],[STATUS]]="NEGOCIANDO",tblCalculo[[#This Row],[VALOR_TOTAL]],"")</f>
        <v/>
      </c>
      <c r="L758" t="str">
        <f>IF(tblCalculo[[#This Row],[STATUS]]="ALÇADA",tblCalculo[[#This Row],[VALOR_TOTAL]],"")</f>
        <v/>
      </c>
      <c r="M758">
        <f>IF(tblCalculo[[#This Row],[STATUS]]="EM ANÁLISE",tblCalculo[[#This Row],[VALOR_TOTAL]],"")</f>
        <v>7028.49</v>
      </c>
      <c r="N758" t="str">
        <f>IF(tblCalculo[[#This Row],[STATUS]]="TRAMITANDO",tblCalculo[[#This Row],[VALOR_TOTAL]],"")</f>
        <v/>
      </c>
      <c r="O758" t="str">
        <f>IF(tblCalculo[[#This Row],[STATUS]]="PERDIDO",tblCalculo[[#This Row],[VALOR_TOTAL]],"")</f>
        <v/>
      </c>
      <c r="P758" t="str">
        <f>IF(tblCalculo[[#This Row],[STATUS]]="CONCLUÍDO",tblCalculo[[#This Row],[VALOR_TOTAL]],"")</f>
        <v/>
      </c>
    </row>
    <row r="759" spans="1:16" x14ac:dyDescent="0.25">
      <c r="A759" t="str">
        <f>tblVendas[[#This Row],[NR_SIMULACAO]]</f>
        <v>SIM1749</v>
      </c>
      <c r="B759" s="34" t="str">
        <f>_xlfn.XLOOKUP(A759,tblVendas[[#This Row],[NR_SIMULACAO]],tblVendas[[#This Row],[NR_CNPJ]],"")</f>
        <v>65.910.480/0001-90</v>
      </c>
      <c r="C759" t="str">
        <f>_xlfn.XLOOKUP(A759,tblVendas[[#This Row],[NR_SIMULACAO]],tblVendas[[#This Row],[STATUS]],"")</f>
        <v>PERDIDO</v>
      </c>
      <c r="D759" t="str">
        <f>_xlfn.XLOOKUP(A759,tblVendas[[#This Row],[NR_SIMULACAO]],tblVendas[[#This Row],[MES]],"")</f>
        <v>Agosto</v>
      </c>
      <c r="E759">
        <f>SUM(_xlfn.XLOOKUP(tblCalculo[[#This Row],[NR_SIMULACAO]],tblVendas[[#This Row],[NR_SIMULACAO]],tblVendas[[#This Row],[VALOR_MOVEL]],""):_xlfn.XLOOKUP(tblCalculo[[#This Row],[NR_SIMULACAO]],tblVendas[[#This Row],[NR_SIMULACAO]],tblVendas[[#This Row],[VALOR_APARELHO]],""))</f>
        <v>12533.65</v>
      </c>
      <c r="F759">
        <f>IF(tblCalculo[[#This Row],[STATUS]]="CONCLUÍDO",_xlfn.XLOOKUP(tblCalculo[[#This Row],[NR_SIMULACAO]],tblVendas[[#This Row],[NR_SIMULACAO]],tblVendas[[#This Row],[VALOR_MOVEL]],""),0)</f>
        <v>0</v>
      </c>
      <c r="G759">
        <f>IF(tblCalculo[[#This Row],[STATUS]]="CONCLUÍDO",_xlfn.XLOOKUP(tblCalculo[[#This Row],[NR_SIMULACAO]],tblVendas[[#This Row],[NR_SIMULACAO]],tblVendas[[#This Row],[VALOR_AVANCADO]],""),0)</f>
        <v>0</v>
      </c>
      <c r="H759">
        <f>IF(tblCalculo[[#This Row],[STATUS]]="CONCLUÍDO",_xlfn.XLOOKUP(tblCalculo[[#This Row],[NR_SIMULACAO]],tblVendas[[#This Row],[NR_SIMULACAO]],tblVendas[[#This Row],[VALOR_FIXABASICA]],""),0)</f>
        <v>0</v>
      </c>
      <c r="I759">
        <f>IF(tblCalculo[[#This Row],[STATUS]]="CONCLUÍDO",_xlfn.XLOOKUP(tblCalculo[[#This Row],[NR_SIMULACAO]],tblVendas[[#This Row],[NR_SIMULACAO]],tblVendas[[#This Row],[VALOR_TI]],""),0)</f>
        <v>0</v>
      </c>
      <c r="J759">
        <f>IF(tblCalculo[[#This Row],[STATUS]]="CONCLUÍDO",_xlfn.XLOOKUP(tblCalculo[[#This Row],[NR_SIMULACAO]],tblVendas[[#This Row],[NR_SIMULACAO]],tblVendas[[#This Row],[VALOR_APARELHO]],""),0)</f>
        <v>0</v>
      </c>
      <c r="K759" t="str">
        <f>IF(tblCalculo[[#This Row],[STATUS]]="NEGOCIANDO",tblCalculo[[#This Row],[VALOR_TOTAL]],"")</f>
        <v/>
      </c>
      <c r="L759" t="str">
        <f>IF(tblCalculo[[#This Row],[STATUS]]="ALÇADA",tblCalculo[[#This Row],[VALOR_TOTAL]],"")</f>
        <v/>
      </c>
      <c r="M759" t="str">
        <f>IF(tblCalculo[[#This Row],[STATUS]]="EM ANÁLISE",tblCalculo[[#This Row],[VALOR_TOTAL]],"")</f>
        <v/>
      </c>
      <c r="N759" t="str">
        <f>IF(tblCalculo[[#This Row],[STATUS]]="TRAMITANDO",tblCalculo[[#This Row],[VALOR_TOTAL]],"")</f>
        <v/>
      </c>
      <c r="O759">
        <f>IF(tblCalculo[[#This Row],[STATUS]]="PERDIDO",tblCalculo[[#This Row],[VALOR_TOTAL]],"")</f>
        <v>12533.65</v>
      </c>
      <c r="P759" t="str">
        <f>IF(tblCalculo[[#This Row],[STATUS]]="CONCLUÍDO",tblCalculo[[#This Row],[VALOR_TOTAL]],"")</f>
        <v/>
      </c>
    </row>
    <row r="760" spans="1:16" x14ac:dyDescent="0.25">
      <c r="A760" t="str">
        <f>tblVendas[[#This Row],[NR_SIMULACAO]]</f>
        <v>SIM1750</v>
      </c>
      <c r="B760" s="34" t="str">
        <f>_xlfn.XLOOKUP(A760,tblVendas[[#This Row],[NR_SIMULACAO]],tblVendas[[#This Row],[NR_CNPJ]],"")</f>
        <v>62.517.992/0001-92</v>
      </c>
      <c r="C760" t="str">
        <f>_xlfn.XLOOKUP(A760,tblVendas[[#This Row],[NR_SIMULACAO]],tblVendas[[#This Row],[STATUS]],"")</f>
        <v>NEGOCIANDO</v>
      </c>
      <c r="D760" t="str">
        <f>_xlfn.XLOOKUP(A760,tblVendas[[#This Row],[NR_SIMULACAO]],tblVendas[[#This Row],[MES]],"")</f>
        <v>Maio</v>
      </c>
      <c r="E760">
        <f>SUM(_xlfn.XLOOKUP(tblCalculo[[#This Row],[NR_SIMULACAO]],tblVendas[[#This Row],[NR_SIMULACAO]],tblVendas[[#This Row],[VALOR_MOVEL]],""):_xlfn.XLOOKUP(tblCalculo[[#This Row],[NR_SIMULACAO]],tblVendas[[#This Row],[NR_SIMULACAO]],tblVendas[[#This Row],[VALOR_APARELHO]],""))</f>
        <v>500.84</v>
      </c>
      <c r="F760">
        <f>IF(tblCalculo[[#This Row],[STATUS]]="CONCLUÍDO",_xlfn.XLOOKUP(tblCalculo[[#This Row],[NR_SIMULACAO]],tblVendas[[#This Row],[NR_SIMULACAO]],tblVendas[[#This Row],[VALOR_MOVEL]],""),0)</f>
        <v>0</v>
      </c>
      <c r="G760">
        <f>IF(tblCalculo[[#This Row],[STATUS]]="CONCLUÍDO",_xlfn.XLOOKUP(tblCalculo[[#This Row],[NR_SIMULACAO]],tblVendas[[#This Row],[NR_SIMULACAO]],tblVendas[[#This Row],[VALOR_AVANCADO]],""),0)</f>
        <v>0</v>
      </c>
      <c r="H760">
        <f>IF(tblCalculo[[#This Row],[STATUS]]="CONCLUÍDO",_xlfn.XLOOKUP(tblCalculo[[#This Row],[NR_SIMULACAO]],tblVendas[[#This Row],[NR_SIMULACAO]],tblVendas[[#This Row],[VALOR_FIXABASICA]],""),0)</f>
        <v>0</v>
      </c>
      <c r="I760">
        <f>IF(tblCalculo[[#This Row],[STATUS]]="CONCLUÍDO",_xlfn.XLOOKUP(tblCalculo[[#This Row],[NR_SIMULACAO]],tblVendas[[#This Row],[NR_SIMULACAO]],tblVendas[[#This Row],[VALOR_TI]],""),0)</f>
        <v>0</v>
      </c>
      <c r="J760">
        <f>IF(tblCalculo[[#This Row],[STATUS]]="CONCLUÍDO",_xlfn.XLOOKUP(tblCalculo[[#This Row],[NR_SIMULACAO]],tblVendas[[#This Row],[NR_SIMULACAO]],tblVendas[[#This Row],[VALOR_APARELHO]],""),0)</f>
        <v>0</v>
      </c>
      <c r="K760">
        <f>IF(tblCalculo[[#This Row],[STATUS]]="NEGOCIANDO",tblCalculo[[#This Row],[VALOR_TOTAL]],"")</f>
        <v>500.84</v>
      </c>
      <c r="L760" t="str">
        <f>IF(tblCalculo[[#This Row],[STATUS]]="ALÇADA",tblCalculo[[#This Row],[VALOR_TOTAL]],"")</f>
        <v/>
      </c>
      <c r="M760" t="str">
        <f>IF(tblCalculo[[#This Row],[STATUS]]="EM ANÁLISE",tblCalculo[[#This Row],[VALOR_TOTAL]],"")</f>
        <v/>
      </c>
      <c r="N760" t="str">
        <f>IF(tblCalculo[[#This Row],[STATUS]]="TRAMITANDO",tblCalculo[[#This Row],[VALOR_TOTAL]],"")</f>
        <v/>
      </c>
      <c r="O760" t="str">
        <f>IF(tblCalculo[[#This Row],[STATUS]]="PERDIDO",tblCalculo[[#This Row],[VALOR_TOTAL]],"")</f>
        <v/>
      </c>
      <c r="P760" t="str">
        <f>IF(tblCalculo[[#This Row],[STATUS]]="CONCLUÍDO",tblCalculo[[#This Row],[VALOR_TOTAL]],"")</f>
        <v/>
      </c>
    </row>
    <row r="761" spans="1:16" x14ac:dyDescent="0.25">
      <c r="A761" t="str">
        <f>tblVendas[[#This Row],[NR_SIMULACAO]]</f>
        <v>SIM1751</v>
      </c>
      <c r="B761" s="34" t="str">
        <f>_xlfn.XLOOKUP(A761,tblVendas[[#This Row],[NR_SIMULACAO]],tblVendas[[#This Row],[NR_CNPJ]],"")</f>
        <v>32.104.619/0001-36</v>
      </c>
      <c r="C761" t="str">
        <f>_xlfn.XLOOKUP(A761,tblVendas[[#This Row],[NR_SIMULACAO]],tblVendas[[#This Row],[STATUS]],"")</f>
        <v>TRAMITANDO</v>
      </c>
      <c r="D761" t="str">
        <f>_xlfn.XLOOKUP(A761,tblVendas[[#This Row],[NR_SIMULACAO]],tblVendas[[#This Row],[MES]],"")</f>
        <v>Dezembro</v>
      </c>
      <c r="E761">
        <f>SUM(_xlfn.XLOOKUP(tblCalculo[[#This Row],[NR_SIMULACAO]],tblVendas[[#This Row],[NR_SIMULACAO]],tblVendas[[#This Row],[VALOR_MOVEL]],""):_xlfn.XLOOKUP(tblCalculo[[#This Row],[NR_SIMULACAO]],tblVendas[[#This Row],[NR_SIMULACAO]],tblVendas[[#This Row],[VALOR_APARELHO]],""))</f>
        <v>18761.23</v>
      </c>
      <c r="F761">
        <f>IF(tblCalculo[[#This Row],[STATUS]]="CONCLUÍDO",_xlfn.XLOOKUP(tblCalculo[[#This Row],[NR_SIMULACAO]],tblVendas[[#This Row],[NR_SIMULACAO]],tblVendas[[#This Row],[VALOR_MOVEL]],""),0)</f>
        <v>0</v>
      </c>
      <c r="G761">
        <f>IF(tblCalculo[[#This Row],[STATUS]]="CONCLUÍDO",_xlfn.XLOOKUP(tblCalculo[[#This Row],[NR_SIMULACAO]],tblVendas[[#This Row],[NR_SIMULACAO]],tblVendas[[#This Row],[VALOR_AVANCADO]],""),0)</f>
        <v>0</v>
      </c>
      <c r="H761">
        <f>IF(tblCalculo[[#This Row],[STATUS]]="CONCLUÍDO",_xlfn.XLOOKUP(tblCalculo[[#This Row],[NR_SIMULACAO]],tblVendas[[#This Row],[NR_SIMULACAO]],tblVendas[[#This Row],[VALOR_FIXABASICA]],""),0)</f>
        <v>0</v>
      </c>
      <c r="I761">
        <f>IF(tblCalculo[[#This Row],[STATUS]]="CONCLUÍDO",_xlfn.XLOOKUP(tblCalculo[[#This Row],[NR_SIMULACAO]],tblVendas[[#This Row],[NR_SIMULACAO]],tblVendas[[#This Row],[VALOR_TI]],""),0)</f>
        <v>0</v>
      </c>
      <c r="J761">
        <f>IF(tblCalculo[[#This Row],[STATUS]]="CONCLUÍDO",_xlfn.XLOOKUP(tblCalculo[[#This Row],[NR_SIMULACAO]],tblVendas[[#This Row],[NR_SIMULACAO]],tblVendas[[#This Row],[VALOR_APARELHO]],""),0)</f>
        <v>0</v>
      </c>
      <c r="K761" t="str">
        <f>IF(tblCalculo[[#This Row],[STATUS]]="NEGOCIANDO",tblCalculo[[#This Row],[VALOR_TOTAL]],"")</f>
        <v/>
      </c>
      <c r="L761" t="str">
        <f>IF(tblCalculo[[#This Row],[STATUS]]="ALÇADA",tblCalculo[[#This Row],[VALOR_TOTAL]],"")</f>
        <v/>
      </c>
      <c r="M761" t="str">
        <f>IF(tblCalculo[[#This Row],[STATUS]]="EM ANÁLISE",tblCalculo[[#This Row],[VALOR_TOTAL]],"")</f>
        <v/>
      </c>
      <c r="N761">
        <f>IF(tblCalculo[[#This Row],[STATUS]]="TRAMITANDO",tblCalculo[[#This Row],[VALOR_TOTAL]],"")</f>
        <v>18761.23</v>
      </c>
      <c r="O761" t="str">
        <f>IF(tblCalculo[[#This Row],[STATUS]]="PERDIDO",tblCalculo[[#This Row],[VALOR_TOTAL]],"")</f>
        <v/>
      </c>
      <c r="P761" t="str">
        <f>IF(tblCalculo[[#This Row],[STATUS]]="CONCLUÍDO",tblCalculo[[#This Row],[VALOR_TOTAL]],"")</f>
        <v/>
      </c>
    </row>
    <row r="762" spans="1:16" x14ac:dyDescent="0.25">
      <c r="A762" t="str">
        <f>tblVendas[[#This Row],[NR_SIMULACAO]]</f>
        <v>SIM1752</v>
      </c>
      <c r="B762" s="34" t="str">
        <f>_xlfn.XLOOKUP(A762,tblVendas[[#This Row],[NR_SIMULACAO]],tblVendas[[#This Row],[NR_CNPJ]],"")</f>
        <v>52.855.417/0001-27</v>
      </c>
      <c r="C762" t="str">
        <f>_xlfn.XLOOKUP(A762,tblVendas[[#This Row],[NR_SIMULACAO]],tblVendas[[#This Row],[STATUS]],"")</f>
        <v>PERDIDO</v>
      </c>
      <c r="D762" t="str">
        <f>_xlfn.XLOOKUP(A762,tblVendas[[#This Row],[NR_SIMULACAO]],tblVendas[[#This Row],[MES]],"")</f>
        <v>Setembro</v>
      </c>
      <c r="E762">
        <f>SUM(_xlfn.XLOOKUP(tblCalculo[[#This Row],[NR_SIMULACAO]],tblVendas[[#This Row],[NR_SIMULACAO]],tblVendas[[#This Row],[VALOR_MOVEL]],""):_xlfn.XLOOKUP(tblCalculo[[#This Row],[NR_SIMULACAO]],tblVendas[[#This Row],[NR_SIMULACAO]],tblVendas[[#This Row],[VALOR_APARELHO]],""))</f>
        <v>30060.21</v>
      </c>
      <c r="F762">
        <f>IF(tblCalculo[[#This Row],[STATUS]]="CONCLUÍDO",_xlfn.XLOOKUP(tblCalculo[[#This Row],[NR_SIMULACAO]],tblVendas[[#This Row],[NR_SIMULACAO]],tblVendas[[#This Row],[VALOR_MOVEL]],""),0)</f>
        <v>0</v>
      </c>
      <c r="G762">
        <f>IF(tblCalculo[[#This Row],[STATUS]]="CONCLUÍDO",_xlfn.XLOOKUP(tblCalculo[[#This Row],[NR_SIMULACAO]],tblVendas[[#This Row],[NR_SIMULACAO]],tblVendas[[#This Row],[VALOR_AVANCADO]],""),0)</f>
        <v>0</v>
      </c>
      <c r="H762">
        <f>IF(tblCalculo[[#This Row],[STATUS]]="CONCLUÍDO",_xlfn.XLOOKUP(tblCalculo[[#This Row],[NR_SIMULACAO]],tblVendas[[#This Row],[NR_SIMULACAO]],tblVendas[[#This Row],[VALOR_FIXABASICA]],""),0)</f>
        <v>0</v>
      </c>
      <c r="I762">
        <f>IF(tblCalculo[[#This Row],[STATUS]]="CONCLUÍDO",_xlfn.XLOOKUP(tblCalculo[[#This Row],[NR_SIMULACAO]],tblVendas[[#This Row],[NR_SIMULACAO]],tblVendas[[#This Row],[VALOR_TI]],""),0)</f>
        <v>0</v>
      </c>
      <c r="J762">
        <f>IF(tblCalculo[[#This Row],[STATUS]]="CONCLUÍDO",_xlfn.XLOOKUP(tblCalculo[[#This Row],[NR_SIMULACAO]],tblVendas[[#This Row],[NR_SIMULACAO]],tblVendas[[#This Row],[VALOR_APARELHO]],""),0)</f>
        <v>0</v>
      </c>
      <c r="K762" t="str">
        <f>IF(tblCalculo[[#This Row],[STATUS]]="NEGOCIANDO",tblCalculo[[#This Row],[VALOR_TOTAL]],"")</f>
        <v/>
      </c>
      <c r="L762" t="str">
        <f>IF(tblCalculo[[#This Row],[STATUS]]="ALÇADA",tblCalculo[[#This Row],[VALOR_TOTAL]],"")</f>
        <v/>
      </c>
      <c r="M762" t="str">
        <f>IF(tblCalculo[[#This Row],[STATUS]]="EM ANÁLISE",tblCalculo[[#This Row],[VALOR_TOTAL]],"")</f>
        <v/>
      </c>
      <c r="N762" t="str">
        <f>IF(tblCalculo[[#This Row],[STATUS]]="TRAMITANDO",tblCalculo[[#This Row],[VALOR_TOTAL]],"")</f>
        <v/>
      </c>
      <c r="O762">
        <f>IF(tblCalculo[[#This Row],[STATUS]]="PERDIDO",tblCalculo[[#This Row],[VALOR_TOTAL]],"")</f>
        <v>30060.21</v>
      </c>
      <c r="P762" t="str">
        <f>IF(tblCalculo[[#This Row],[STATUS]]="CONCLUÍDO",tblCalculo[[#This Row],[VALOR_TOTAL]],"")</f>
        <v/>
      </c>
    </row>
    <row r="763" spans="1:16" x14ac:dyDescent="0.25">
      <c r="A763" t="str">
        <f>tblVendas[[#This Row],[NR_SIMULACAO]]</f>
        <v>SIM1753</v>
      </c>
      <c r="B763" s="34" t="str">
        <f>_xlfn.XLOOKUP(A763,tblVendas[[#This Row],[NR_SIMULACAO]],tblVendas[[#This Row],[NR_CNPJ]],"")</f>
        <v>58.465.864/0001-57</v>
      </c>
      <c r="C763" t="str">
        <f>_xlfn.XLOOKUP(A763,tblVendas[[#This Row],[NR_SIMULACAO]],tblVendas[[#This Row],[STATUS]],"")</f>
        <v>NEGOCIANDO</v>
      </c>
      <c r="D763" t="str">
        <f>_xlfn.XLOOKUP(A763,tblVendas[[#This Row],[NR_SIMULACAO]],tblVendas[[#This Row],[MES]],"")</f>
        <v>Agosto</v>
      </c>
      <c r="E763">
        <f>SUM(_xlfn.XLOOKUP(tblCalculo[[#This Row],[NR_SIMULACAO]],tblVendas[[#This Row],[NR_SIMULACAO]],tblVendas[[#This Row],[VALOR_MOVEL]],""):_xlfn.XLOOKUP(tblCalculo[[#This Row],[NR_SIMULACAO]],tblVendas[[#This Row],[NR_SIMULACAO]],tblVendas[[#This Row],[VALOR_APARELHO]],""))</f>
        <v>21644.500000000004</v>
      </c>
      <c r="F763">
        <f>IF(tblCalculo[[#This Row],[STATUS]]="CONCLUÍDO",_xlfn.XLOOKUP(tblCalculo[[#This Row],[NR_SIMULACAO]],tblVendas[[#This Row],[NR_SIMULACAO]],tblVendas[[#This Row],[VALOR_MOVEL]],""),0)</f>
        <v>0</v>
      </c>
      <c r="G763">
        <f>IF(tblCalculo[[#This Row],[STATUS]]="CONCLUÍDO",_xlfn.XLOOKUP(tblCalculo[[#This Row],[NR_SIMULACAO]],tblVendas[[#This Row],[NR_SIMULACAO]],tblVendas[[#This Row],[VALOR_AVANCADO]],""),0)</f>
        <v>0</v>
      </c>
      <c r="H763">
        <f>IF(tblCalculo[[#This Row],[STATUS]]="CONCLUÍDO",_xlfn.XLOOKUP(tblCalculo[[#This Row],[NR_SIMULACAO]],tblVendas[[#This Row],[NR_SIMULACAO]],tblVendas[[#This Row],[VALOR_FIXABASICA]],""),0)</f>
        <v>0</v>
      </c>
      <c r="I763">
        <f>IF(tblCalculo[[#This Row],[STATUS]]="CONCLUÍDO",_xlfn.XLOOKUP(tblCalculo[[#This Row],[NR_SIMULACAO]],tblVendas[[#This Row],[NR_SIMULACAO]],tblVendas[[#This Row],[VALOR_TI]],""),0)</f>
        <v>0</v>
      </c>
      <c r="J763">
        <f>IF(tblCalculo[[#This Row],[STATUS]]="CONCLUÍDO",_xlfn.XLOOKUP(tblCalculo[[#This Row],[NR_SIMULACAO]],tblVendas[[#This Row],[NR_SIMULACAO]],tblVendas[[#This Row],[VALOR_APARELHO]],""),0)</f>
        <v>0</v>
      </c>
      <c r="K763">
        <f>IF(tblCalculo[[#This Row],[STATUS]]="NEGOCIANDO",tblCalculo[[#This Row],[VALOR_TOTAL]],"")</f>
        <v>21644.500000000004</v>
      </c>
      <c r="L763" t="str">
        <f>IF(tblCalculo[[#This Row],[STATUS]]="ALÇADA",tblCalculo[[#This Row],[VALOR_TOTAL]],"")</f>
        <v/>
      </c>
      <c r="M763" t="str">
        <f>IF(tblCalculo[[#This Row],[STATUS]]="EM ANÁLISE",tblCalculo[[#This Row],[VALOR_TOTAL]],"")</f>
        <v/>
      </c>
      <c r="N763" t="str">
        <f>IF(tblCalculo[[#This Row],[STATUS]]="TRAMITANDO",tblCalculo[[#This Row],[VALOR_TOTAL]],"")</f>
        <v/>
      </c>
      <c r="O763" t="str">
        <f>IF(tblCalculo[[#This Row],[STATUS]]="PERDIDO",tblCalculo[[#This Row],[VALOR_TOTAL]],"")</f>
        <v/>
      </c>
      <c r="P763" t="str">
        <f>IF(tblCalculo[[#This Row],[STATUS]]="CONCLUÍDO",tblCalculo[[#This Row],[VALOR_TOTAL]],"")</f>
        <v/>
      </c>
    </row>
    <row r="764" spans="1:16" x14ac:dyDescent="0.25">
      <c r="A764" t="str">
        <f>tblVendas[[#This Row],[NR_SIMULACAO]]</f>
        <v>SIM1754</v>
      </c>
      <c r="B764" s="34" t="str">
        <f>_xlfn.XLOOKUP(A764,tblVendas[[#This Row],[NR_SIMULACAO]],tblVendas[[#This Row],[NR_CNPJ]],"")</f>
        <v>55.640.136/0001-28</v>
      </c>
      <c r="C764" t="str">
        <f>_xlfn.XLOOKUP(A764,tblVendas[[#This Row],[NR_SIMULACAO]],tblVendas[[#This Row],[STATUS]],"")</f>
        <v>CONCLUÍDO</v>
      </c>
      <c r="D764" t="str">
        <f>_xlfn.XLOOKUP(A764,tblVendas[[#This Row],[NR_SIMULACAO]],tblVendas[[#This Row],[MES]],"")</f>
        <v>Janeiro</v>
      </c>
      <c r="E764">
        <f>SUM(_xlfn.XLOOKUP(tblCalculo[[#This Row],[NR_SIMULACAO]],tblVendas[[#This Row],[NR_SIMULACAO]],tblVendas[[#This Row],[VALOR_MOVEL]],""):_xlfn.XLOOKUP(tblCalculo[[#This Row],[NR_SIMULACAO]],tblVendas[[#This Row],[NR_SIMULACAO]],tblVendas[[#This Row],[VALOR_APARELHO]],""))</f>
        <v>12231.349999999999</v>
      </c>
      <c r="F764">
        <f>IF(tblCalculo[[#This Row],[STATUS]]="CONCLUÍDO",_xlfn.XLOOKUP(tblCalculo[[#This Row],[NR_SIMULACAO]],tblVendas[[#This Row],[NR_SIMULACAO]],tblVendas[[#This Row],[VALOR_MOVEL]],""),0)</f>
        <v>3016.74</v>
      </c>
      <c r="G764">
        <f>IF(tblCalculo[[#This Row],[STATUS]]="CONCLUÍDO",_xlfn.XLOOKUP(tblCalculo[[#This Row],[NR_SIMULACAO]],tblVendas[[#This Row],[NR_SIMULACAO]],tblVendas[[#This Row],[VALOR_AVANCADO]],""),0)</f>
        <v>1254.58</v>
      </c>
      <c r="H764">
        <f>IF(tblCalculo[[#This Row],[STATUS]]="CONCLUÍDO",_xlfn.XLOOKUP(tblCalculo[[#This Row],[NR_SIMULACAO]],tblVendas[[#This Row],[NR_SIMULACAO]],tblVendas[[#This Row],[VALOR_FIXABASICA]],""),0)</f>
        <v>822.55</v>
      </c>
      <c r="I764">
        <f>IF(tblCalculo[[#This Row],[STATUS]]="CONCLUÍDO",_xlfn.XLOOKUP(tblCalculo[[#This Row],[NR_SIMULACAO]],tblVendas[[#This Row],[NR_SIMULACAO]],tblVendas[[#This Row],[VALOR_TI]],""),0)</f>
        <v>0</v>
      </c>
      <c r="J764">
        <f>IF(tblCalculo[[#This Row],[STATUS]]="CONCLUÍDO",_xlfn.XLOOKUP(tblCalculo[[#This Row],[NR_SIMULACAO]],tblVendas[[#This Row],[NR_SIMULACAO]],tblVendas[[#This Row],[VALOR_APARELHO]],""),0)</f>
        <v>7137.48</v>
      </c>
      <c r="K764" t="str">
        <f>IF(tblCalculo[[#This Row],[STATUS]]="NEGOCIANDO",tblCalculo[[#This Row],[VALOR_TOTAL]],"")</f>
        <v/>
      </c>
      <c r="L764" t="str">
        <f>IF(tblCalculo[[#This Row],[STATUS]]="ALÇADA",tblCalculo[[#This Row],[VALOR_TOTAL]],"")</f>
        <v/>
      </c>
      <c r="M764" t="str">
        <f>IF(tblCalculo[[#This Row],[STATUS]]="EM ANÁLISE",tblCalculo[[#This Row],[VALOR_TOTAL]],"")</f>
        <v/>
      </c>
      <c r="N764" t="str">
        <f>IF(tblCalculo[[#This Row],[STATUS]]="TRAMITANDO",tblCalculo[[#This Row],[VALOR_TOTAL]],"")</f>
        <v/>
      </c>
      <c r="O764" t="str">
        <f>IF(tblCalculo[[#This Row],[STATUS]]="PERDIDO",tblCalculo[[#This Row],[VALOR_TOTAL]],"")</f>
        <v/>
      </c>
      <c r="P764">
        <f>IF(tblCalculo[[#This Row],[STATUS]]="CONCLUÍDO",tblCalculo[[#This Row],[VALOR_TOTAL]],"")</f>
        <v>12231.349999999999</v>
      </c>
    </row>
    <row r="765" spans="1:16" x14ac:dyDescent="0.25">
      <c r="A765" t="str">
        <f>tblVendas[[#This Row],[NR_SIMULACAO]]</f>
        <v>SIM1755</v>
      </c>
      <c r="B765" s="34" t="str">
        <f>_xlfn.XLOOKUP(A765,tblVendas[[#This Row],[NR_SIMULACAO]],tblVendas[[#This Row],[NR_CNPJ]],"")</f>
        <v>53.924.630/0001-12</v>
      </c>
      <c r="C765" t="str">
        <f>_xlfn.XLOOKUP(A765,tblVendas[[#This Row],[NR_SIMULACAO]],tblVendas[[#This Row],[STATUS]],"")</f>
        <v>NEGOCIANDO</v>
      </c>
      <c r="D765" t="str">
        <f>_xlfn.XLOOKUP(A765,tblVendas[[#This Row],[NR_SIMULACAO]],tblVendas[[#This Row],[MES]],"")</f>
        <v>Março</v>
      </c>
      <c r="E765">
        <f>SUM(_xlfn.XLOOKUP(tblCalculo[[#This Row],[NR_SIMULACAO]],tblVendas[[#This Row],[NR_SIMULACAO]],tblVendas[[#This Row],[VALOR_MOVEL]],""):_xlfn.XLOOKUP(tblCalculo[[#This Row],[NR_SIMULACAO]],tblVendas[[#This Row],[NR_SIMULACAO]],tblVendas[[#This Row],[VALOR_APARELHO]],""))</f>
        <v>18735.759999999998</v>
      </c>
      <c r="F765">
        <f>IF(tblCalculo[[#This Row],[STATUS]]="CONCLUÍDO",_xlfn.XLOOKUP(tblCalculo[[#This Row],[NR_SIMULACAO]],tblVendas[[#This Row],[NR_SIMULACAO]],tblVendas[[#This Row],[VALOR_MOVEL]],""),0)</f>
        <v>0</v>
      </c>
      <c r="G765">
        <f>IF(tblCalculo[[#This Row],[STATUS]]="CONCLUÍDO",_xlfn.XLOOKUP(tblCalculo[[#This Row],[NR_SIMULACAO]],tblVendas[[#This Row],[NR_SIMULACAO]],tblVendas[[#This Row],[VALOR_AVANCADO]],""),0)</f>
        <v>0</v>
      </c>
      <c r="H765">
        <f>IF(tblCalculo[[#This Row],[STATUS]]="CONCLUÍDO",_xlfn.XLOOKUP(tblCalculo[[#This Row],[NR_SIMULACAO]],tblVendas[[#This Row],[NR_SIMULACAO]],tblVendas[[#This Row],[VALOR_FIXABASICA]],""),0)</f>
        <v>0</v>
      </c>
      <c r="I765">
        <f>IF(tblCalculo[[#This Row],[STATUS]]="CONCLUÍDO",_xlfn.XLOOKUP(tblCalculo[[#This Row],[NR_SIMULACAO]],tblVendas[[#This Row],[NR_SIMULACAO]],tblVendas[[#This Row],[VALOR_TI]],""),0)</f>
        <v>0</v>
      </c>
      <c r="J765">
        <f>IF(tblCalculo[[#This Row],[STATUS]]="CONCLUÍDO",_xlfn.XLOOKUP(tblCalculo[[#This Row],[NR_SIMULACAO]],tblVendas[[#This Row],[NR_SIMULACAO]],tblVendas[[#This Row],[VALOR_APARELHO]],""),0)</f>
        <v>0</v>
      </c>
      <c r="K765">
        <f>IF(tblCalculo[[#This Row],[STATUS]]="NEGOCIANDO",tblCalculo[[#This Row],[VALOR_TOTAL]],"")</f>
        <v>18735.759999999998</v>
      </c>
      <c r="L765" t="str">
        <f>IF(tblCalculo[[#This Row],[STATUS]]="ALÇADA",tblCalculo[[#This Row],[VALOR_TOTAL]],"")</f>
        <v/>
      </c>
      <c r="M765" t="str">
        <f>IF(tblCalculo[[#This Row],[STATUS]]="EM ANÁLISE",tblCalculo[[#This Row],[VALOR_TOTAL]],"")</f>
        <v/>
      </c>
      <c r="N765" t="str">
        <f>IF(tblCalculo[[#This Row],[STATUS]]="TRAMITANDO",tblCalculo[[#This Row],[VALOR_TOTAL]],"")</f>
        <v/>
      </c>
      <c r="O765" t="str">
        <f>IF(tblCalculo[[#This Row],[STATUS]]="PERDIDO",tblCalculo[[#This Row],[VALOR_TOTAL]],"")</f>
        <v/>
      </c>
      <c r="P765" t="str">
        <f>IF(tblCalculo[[#This Row],[STATUS]]="CONCLUÍDO",tblCalculo[[#This Row],[VALOR_TOTAL]],"")</f>
        <v/>
      </c>
    </row>
    <row r="766" spans="1:16" x14ac:dyDescent="0.25">
      <c r="A766" t="str">
        <f>tblVendas[[#This Row],[NR_SIMULACAO]]</f>
        <v>SIM1756</v>
      </c>
      <c r="B766" s="34" t="str">
        <f>_xlfn.XLOOKUP(A766,tblVendas[[#This Row],[NR_SIMULACAO]],tblVendas[[#This Row],[NR_CNPJ]],"")</f>
        <v>40.257.147/0001-63</v>
      </c>
      <c r="C766" t="str">
        <f>_xlfn.XLOOKUP(A766,tblVendas[[#This Row],[NR_SIMULACAO]],tblVendas[[#This Row],[STATUS]],"")</f>
        <v>PERDIDO</v>
      </c>
      <c r="D766" t="str">
        <f>_xlfn.XLOOKUP(A766,tblVendas[[#This Row],[NR_SIMULACAO]],tblVendas[[#This Row],[MES]],"")</f>
        <v>Setembro</v>
      </c>
      <c r="E766">
        <f>SUM(_xlfn.XLOOKUP(tblCalculo[[#This Row],[NR_SIMULACAO]],tblVendas[[#This Row],[NR_SIMULACAO]],tblVendas[[#This Row],[VALOR_MOVEL]],""):_xlfn.XLOOKUP(tblCalculo[[#This Row],[NR_SIMULACAO]],tblVendas[[#This Row],[NR_SIMULACAO]],tblVendas[[#This Row],[VALOR_APARELHO]],""))</f>
        <v>13957.92</v>
      </c>
      <c r="F766">
        <f>IF(tblCalculo[[#This Row],[STATUS]]="CONCLUÍDO",_xlfn.XLOOKUP(tblCalculo[[#This Row],[NR_SIMULACAO]],tblVendas[[#This Row],[NR_SIMULACAO]],tblVendas[[#This Row],[VALOR_MOVEL]],""),0)</f>
        <v>0</v>
      </c>
      <c r="G766">
        <f>IF(tblCalculo[[#This Row],[STATUS]]="CONCLUÍDO",_xlfn.XLOOKUP(tblCalculo[[#This Row],[NR_SIMULACAO]],tblVendas[[#This Row],[NR_SIMULACAO]],tblVendas[[#This Row],[VALOR_AVANCADO]],""),0)</f>
        <v>0</v>
      </c>
      <c r="H766">
        <f>IF(tblCalculo[[#This Row],[STATUS]]="CONCLUÍDO",_xlfn.XLOOKUP(tblCalculo[[#This Row],[NR_SIMULACAO]],tblVendas[[#This Row],[NR_SIMULACAO]],tblVendas[[#This Row],[VALOR_FIXABASICA]],""),0)</f>
        <v>0</v>
      </c>
      <c r="I766">
        <f>IF(tblCalculo[[#This Row],[STATUS]]="CONCLUÍDO",_xlfn.XLOOKUP(tblCalculo[[#This Row],[NR_SIMULACAO]],tblVendas[[#This Row],[NR_SIMULACAO]],tblVendas[[#This Row],[VALOR_TI]],""),0)</f>
        <v>0</v>
      </c>
      <c r="J766">
        <f>IF(tblCalculo[[#This Row],[STATUS]]="CONCLUÍDO",_xlfn.XLOOKUP(tblCalculo[[#This Row],[NR_SIMULACAO]],tblVendas[[#This Row],[NR_SIMULACAO]],tblVendas[[#This Row],[VALOR_APARELHO]],""),0)</f>
        <v>0</v>
      </c>
      <c r="K766" t="str">
        <f>IF(tblCalculo[[#This Row],[STATUS]]="NEGOCIANDO",tblCalculo[[#This Row],[VALOR_TOTAL]],"")</f>
        <v/>
      </c>
      <c r="L766" t="str">
        <f>IF(tblCalculo[[#This Row],[STATUS]]="ALÇADA",tblCalculo[[#This Row],[VALOR_TOTAL]],"")</f>
        <v/>
      </c>
      <c r="M766" t="str">
        <f>IF(tblCalculo[[#This Row],[STATUS]]="EM ANÁLISE",tblCalculo[[#This Row],[VALOR_TOTAL]],"")</f>
        <v/>
      </c>
      <c r="N766" t="str">
        <f>IF(tblCalculo[[#This Row],[STATUS]]="TRAMITANDO",tblCalculo[[#This Row],[VALOR_TOTAL]],"")</f>
        <v/>
      </c>
      <c r="O766">
        <f>IF(tblCalculo[[#This Row],[STATUS]]="PERDIDO",tblCalculo[[#This Row],[VALOR_TOTAL]],"")</f>
        <v>13957.92</v>
      </c>
      <c r="P766" t="str">
        <f>IF(tblCalculo[[#This Row],[STATUS]]="CONCLUÍDO",tblCalculo[[#This Row],[VALOR_TOTAL]],"")</f>
        <v/>
      </c>
    </row>
    <row r="767" spans="1:16" x14ac:dyDescent="0.25">
      <c r="A767" t="str">
        <f>tblVendas[[#This Row],[NR_SIMULACAO]]</f>
        <v>SIM1757</v>
      </c>
      <c r="B767" s="34" t="str">
        <f>_xlfn.XLOOKUP(A767,tblVendas[[#This Row],[NR_SIMULACAO]],tblVendas[[#This Row],[NR_CNPJ]],"")</f>
        <v>83.213.797/0001-11</v>
      </c>
      <c r="C767" t="str">
        <f>_xlfn.XLOOKUP(A767,tblVendas[[#This Row],[NR_SIMULACAO]],tblVendas[[#This Row],[STATUS]],"")</f>
        <v>PERDIDO</v>
      </c>
      <c r="D767" t="str">
        <f>_xlfn.XLOOKUP(A767,tblVendas[[#This Row],[NR_SIMULACAO]],tblVendas[[#This Row],[MES]],"")</f>
        <v>Janeiro</v>
      </c>
      <c r="E767">
        <f>SUM(_xlfn.XLOOKUP(tblCalculo[[#This Row],[NR_SIMULACAO]],tblVendas[[#This Row],[NR_SIMULACAO]],tblVendas[[#This Row],[VALOR_MOVEL]],""):_xlfn.XLOOKUP(tblCalculo[[#This Row],[NR_SIMULACAO]],tblVendas[[#This Row],[NR_SIMULACAO]],tblVendas[[#This Row],[VALOR_APARELHO]],""))</f>
        <v>14895.49</v>
      </c>
      <c r="F767">
        <f>IF(tblCalculo[[#This Row],[STATUS]]="CONCLUÍDO",_xlfn.XLOOKUP(tblCalculo[[#This Row],[NR_SIMULACAO]],tblVendas[[#This Row],[NR_SIMULACAO]],tblVendas[[#This Row],[VALOR_MOVEL]],""),0)</f>
        <v>0</v>
      </c>
      <c r="G767">
        <f>IF(tblCalculo[[#This Row],[STATUS]]="CONCLUÍDO",_xlfn.XLOOKUP(tblCalculo[[#This Row],[NR_SIMULACAO]],tblVendas[[#This Row],[NR_SIMULACAO]],tblVendas[[#This Row],[VALOR_AVANCADO]],""),0)</f>
        <v>0</v>
      </c>
      <c r="H767">
        <f>IF(tblCalculo[[#This Row],[STATUS]]="CONCLUÍDO",_xlfn.XLOOKUP(tblCalculo[[#This Row],[NR_SIMULACAO]],tblVendas[[#This Row],[NR_SIMULACAO]],tblVendas[[#This Row],[VALOR_FIXABASICA]],""),0)</f>
        <v>0</v>
      </c>
      <c r="I767">
        <f>IF(tblCalculo[[#This Row],[STATUS]]="CONCLUÍDO",_xlfn.XLOOKUP(tblCalculo[[#This Row],[NR_SIMULACAO]],tblVendas[[#This Row],[NR_SIMULACAO]],tblVendas[[#This Row],[VALOR_TI]],""),0)</f>
        <v>0</v>
      </c>
      <c r="J767">
        <f>IF(tblCalculo[[#This Row],[STATUS]]="CONCLUÍDO",_xlfn.XLOOKUP(tblCalculo[[#This Row],[NR_SIMULACAO]],tblVendas[[#This Row],[NR_SIMULACAO]],tblVendas[[#This Row],[VALOR_APARELHO]],""),0)</f>
        <v>0</v>
      </c>
      <c r="K767" t="str">
        <f>IF(tblCalculo[[#This Row],[STATUS]]="NEGOCIANDO",tblCalculo[[#This Row],[VALOR_TOTAL]],"")</f>
        <v/>
      </c>
      <c r="L767" t="str">
        <f>IF(tblCalculo[[#This Row],[STATUS]]="ALÇADA",tblCalculo[[#This Row],[VALOR_TOTAL]],"")</f>
        <v/>
      </c>
      <c r="M767" t="str">
        <f>IF(tblCalculo[[#This Row],[STATUS]]="EM ANÁLISE",tblCalculo[[#This Row],[VALOR_TOTAL]],"")</f>
        <v/>
      </c>
      <c r="N767" t="str">
        <f>IF(tblCalculo[[#This Row],[STATUS]]="TRAMITANDO",tblCalculo[[#This Row],[VALOR_TOTAL]],"")</f>
        <v/>
      </c>
      <c r="O767">
        <f>IF(tblCalculo[[#This Row],[STATUS]]="PERDIDO",tblCalculo[[#This Row],[VALOR_TOTAL]],"")</f>
        <v>14895.49</v>
      </c>
      <c r="P767" t="str">
        <f>IF(tblCalculo[[#This Row],[STATUS]]="CONCLUÍDO",tblCalculo[[#This Row],[VALOR_TOTAL]],"")</f>
        <v/>
      </c>
    </row>
    <row r="768" spans="1:16" x14ac:dyDescent="0.25">
      <c r="A768" t="str">
        <f>tblVendas[[#This Row],[NR_SIMULACAO]]</f>
        <v>SIM1758</v>
      </c>
      <c r="B768" s="34" t="str">
        <f>_xlfn.XLOOKUP(A768,tblVendas[[#This Row],[NR_SIMULACAO]],tblVendas[[#This Row],[NR_CNPJ]],"")</f>
        <v>84.578.131/0001-93</v>
      </c>
      <c r="C768" t="str">
        <f>_xlfn.XLOOKUP(A768,tblVendas[[#This Row],[NR_SIMULACAO]],tblVendas[[#This Row],[STATUS]],"")</f>
        <v>CONCLUÍDO</v>
      </c>
      <c r="D768" t="str">
        <f>_xlfn.XLOOKUP(A768,tblVendas[[#This Row],[NR_SIMULACAO]],tblVendas[[#This Row],[MES]],"")</f>
        <v>Setembro</v>
      </c>
      <c r="E768">
        <f>SUM(_xlfn.XLOOKUP(tblCalculo[[#This Row],[NR_SIMULACAO]],tblVendas[[#This Row],[NR_SIMULACAO]],tblVendas[[#This Row],[VALOR_MOVEL]],""):_xlfn.XLOOKUP(tblCalculo[[#This Row],[NR_SIMULACAO]],tblVendas[[#This Row],[NR_SIMULACAO]],tblVendas[[#This Row],[VALOR_APARELHO]],""))</f>
        <v>9602.2999999999993</v>
      </c>
      <c r="F768">
        <f>IF(tblCalculo[[#This Row],[STATUS]]="CONCLUÍDO",_xlfn.XLOOKUP(tblCalculo[[#This Row],[NR_SIMULACAO]],tblVendas[[#This Row],[NR_SIMULACAO]],tblVendas[[#This Row],[VALOR_MOVEL]],""),0)</f>
        <v>7475.65</v>
      </c>
      <c r="G768">
        <f>IF(tblCalculo[[#This Row],[STATUS]]="CONCLUÍDO",_xlfn.XLOOKUP(tblCalculo[[#This Row],[NR_SIMULACAO]],tblVendas[[#This Row],[NR_SIMULACAO]],tblVendas[[#This Row],[VALOR_AVANCADO]],""),0)</f>
        <v>0</v>
      </c>
      <c r="H768">
        <f>IF(tblCalculo[[#This Row],[STATUS]]="CONCLUÍDO",_xlfn.XLOOKUP(tblCalculo[[#This Row],[NR_SIMULACAO]],tblVendas[[#This Row],[NR_SIMULACAO]],tblVendas[[#This Row],[VALOR_FIXABASICA]],""),0)</f>
        <v>1359.77</v>
      </c>
      <c r="I768">
        <f>IF(tblCalculo[[#This Row],[STATUS]]="CONCLUÍDO",_xlfn.XLOOKUP(tblCalculo[[#This Row],[NR_SIMULACAO]],tblVendas[[#This Row],[NR_SIMULACAO]],tblVendas[[#This Row],[VALOR_TI]],""),0)</f>
        <v>766.88</v>
      </c>
      <c r="J768">
        <f>IF(tblCalculo[[#This Row],[STATUS]]="CONCLUÍDO",_xlfn.XLOOKUP(tblCalculo[[#This Row],[NR_SIMULACAO]],tblVendas[[#This Row],[NR_SIMULACAO]],tblVendas[[#This Row],[VALOR_APARELHO]],""),0)</f>
        <v>0</v>
      </c>
      <c r="K768" t="str">
        <f>IF(tblCalculo[[#This Row],[STATUS]]="NEGOCIANDO",tblCalculo[[#This Row],[VALOR_TOTAL]],"")</f>
        <v/>
      </c>
      <c r="L768" t="str">
        <f>IF(tblCalculo[[#This Row],[STATUS]]="ALÇADA",tblCalculo[[#This Row],[VALOR_TOTAL]],"")</f>
        <v/>
      </c>
      <c r="M768" t="str">
        <f>IF(tblCalculo[[#This Row],[STATUS]]="EM ANÁLISE",tblCalculo[[#This Row],[VALOR_TOTAL]],"")</f>
        <v/>
      </c>
      <c r="N768" t="str">
        <f>IF(tblCalculo[[#This Row],[STATUS]]="TRAMITANDO",tblCalculo[[#This Row],[VALOR_TOTAL]],"")</f>
        <v/>
      </c>
      <c r="O768" t="str">
        <f>IF(tblCalculo[[#This Row],[STATUS]]="PERDIDO",tblCalculo[[#This Row],[VALOR_TOTAL]],"")</f>
        <v/>
      </c>
      <c r="P768">
        <f>IF(tblCalculo[[#This Row],[STATUS]]="CONCLUÍDO",tblCalculo[[#This Row],[VALOR_TOTAL]],"")</f>
        <v>9602.2999999999993</v>
      </c>
    </row>
    <row r="769" spans="1:16" x14ac:dyDescent="0.25">
      <c r="A769" t="str">
        <f>tblVendas[[#This Row],[NR_SIMULACAO]]</f>
        <v>SIM1759</v>
      </c>
      <c r="B769" s="34" t="str">
        <f>_xlfn.XLOOKUP(A769,tblVendas[[#This Row],[NR_SIMULACAO]],tblVendas[[#This Row],[NR_CNPJ]],"")</f>
        <v>16.775.401/0001-84</v>
      </c>
      <c r="C769" t="str">
        <f>_xlfn.XLOOKUP(A769,tblVendas[[#This Row],[NR_SIMULACAO]],tblVendas[[#This Row],[STATUS]],"")</f>
        <v>NEGOCIANDO</v>
      </c>
      <c r="D769" t="str">
        <f>_xlfn.XLOOKUP(A769,tblVendas[[#This Row],[NR_SIMULACAO]],tblVendas[[#This Row],[MES]],"")</f>
        <v>Fevereiro</v>
      </c>
      <c r="E769">
        <f>SUM(_xlfn.XLOOKUP(tblCalculo[[#This Row],[NR_SIMULACAO]],tblVendas[[#This Row],[NR_SIMULACAO]],tblVendas[[#This Row],[VALOR_MOVEL]],""):_xlfn.XLOOKUP(tblCalculo[[#This Row],[NR_SIMULACAO]],tblVendas[[#This Row],[NR_SIMULACAO]],tblVendas[[#This Row],[VALOR_APARELHO]],""))</f>
        <v>10437.460000000001</v>
      </c>
      <c r="F769">
        <f>IF(tblCalculo[[#This Row],[STATUS]]="CONCLUÍDO",_xlfn.XLOOKUP(tblCalculo[[#This Row],[NR_SIMULACAO]],tblVendas[[#This Row],[NR_SIMULACAO]],tblVendas[[#This Row],[VALOR_MOVEL]],""),0)</f>
        <v>0</v>
      </c>
      <c r="G769">
        <f>IF(tblCalculo[[#This Row],[STATUS]]="CONCLUÍDO",_xlfn.XLOOKUP(tblCalculo[[#This Row],[NR_SIMULACAO]],tblVendas[[#This Row],[NR_SIMULACAO]],tblVendas[[#This Row],[VALOR_AVANCADO]],""),0)</f>
        <v>0</v>
      </c>
      <c r="H769">
        <f>IF(tblCalculo[[#This Row],[STATUS]]="CONCLUÍDO",_xlfn.XLOOKUP(tblCalculo[[#This Row],[NR_SIMULACAO]],tblVendas[[#This Row],[NR_SIMULACAO]],tblVendas[[#This Row],[VALOR_FIXABASICA]],""),0)</f>
        <v>0</v>
      </c>
      <c r="I769">
        <f>IF(tblCalculo[[#This Row],[STATUS]]="CONCLUÍDO",_xlfn.XLOOKUP(tblCalculo[[#This Row],[NR_SIMULACAO]],tblVendas[[#This Row],[NR_SIMULACAO]],tblVendas[[#This Row],[VALOR_TI]],""),0)</f>
        <v>0</v>
      </c>
      <c r="J769">
        <f>IF(tblCalculo[[#This Row],[STATUS]]="CONCLUÍDO",_xlfn.XLOOKUP(tblCalculo[[#This Row],[NR_SIMULACAO]],tblVendas[[#This Row],[NR_SIMULACAO]],tblVendas[[#This Row],[VALOR_APARELHO]],""),0)</f>
        <v>0</v>
      </c>
      <c r="K769">
        <f>IF(tblCalculo[[#This Row],[STATUS]]="NEGOCIANDO",tblCalculo[[#This Row],[VALOR_TOTAL]],"")</f>
        <v>10437.460000000001</v>
      </c>
      <c r="L769" t="str">
        <f>IF(tblCalculo[[#This Row],[STATUS]]="ALÇADA",tblCalculo[[#This Row],[VALOR_TOTAL]],"")</f>
        <v/>
      </c>
      <c r="M769" t="str">
        <f>IF(tblCalculo[[#This Row],[STATUS]]="EM ANÁLISE",tblCalculo[[#This Row],[VALOR_TOTAL]],"")</f>
        <v/>
      </c>
      <c r="N769" t="str">
        <f>IF(tblCalculo[[#This Row],[STATUS]]="TRAMITANDO",tblCalculo[[#This Row],[VALOR_TOTAL]],"")</f>
        <v/>
      </c>
      <c r="O769" t="str">
        <f>IF(tblCalculo[[#This Row],[STATUS]]="PERDIDO",tblCalculo[[#This Row],[VALOR_TOTAL]],"")</f>
        <v/>
      </c>
      <c r="P769" t="str">
        <f>IF(tblCalculo[[#This Row],[STATUS]]="CONCLUÍDO",tblCalculo[[#This Row],[VALOR_TOTAL]],"")</f>
        <v/>
      </c>
    </row>
    <row r="770" spans="1:16" x14ac:dyDescent="0.25">
      <c r="A770" t="str">
        <f>tblVendas[[#This Row],[NR_SIMULACAO]]</f>
        <v>SIM1760</v>
      </c>
      <c r="B770" s="34" t="str">
        <f>_xlfn.XLOOKUP(A770,tblVendas[[#This Row],[NR_SIMULACAO]],tblVendas[[#This Row],[NR_CNPJ]],"")</f>
        <v>45.634.606/0001-38</v>
      </c>
      <c r="C770" t="str">
        <f>_xlfn.XLOOKUP(A770,tblVendas[[#This Row],[NR_SIMULACAO]],tblVendas[[#This Row],[STATUS]],"")</f>
        <v>PERDIDO</v>
      </c>
      <c r="D770" t="str">
        <f>_xlfn.XLOOKUP(A770,tblVendas[[#This Row],[NR_SIMULACAO]],tblVendas[[#This Row],[MES]],"")</f>
        <v>Maio</v>
      </c>
      <c r="E770">
        <f>SUM(_xlfn.XLOOKUP(tblCalculo[[#This Row],[NR_SIMULACAO]],tblVendas[[#This Row],[NR_SIMULACAO]],tblVendas[[#This Row],[VALOR_MOVEL]],""):_xlfn.XLOOKUP(tblCalculo[[#This Row],[NR_SIMULACAO]],tblVendas[[#This Row],[NR_SIMULACAO]],tblVendas[[#This Row],[VALOR_APARELHO]],""))</f>
        <v>4630.1000000000004</v>
      </c>
      <c r="F770">
        <f>IF(tblCalculo[[#This Row],[STATUS]]="CONCLUÍDO",_xlfn.XLOOKUP(tblCalculo[[#This Row],[NR_SIMULACAO]],tblVendas[[#This Row],[NR_SIMULACAO]],tblVendas[[#This Row],[VALOR_MOVEL]],""),0)</f>
        <v>0</v>
      </c>
      <c r="G770">
        <f>IF(tblCalculo[[#This Row],[STATUS]]="CONCLUÍDO",_xlfn.XLOOKUP(tblCalculo[[#This Row],[NR_SIMULACAO]],tblVendas[[#This Row],[NR_SIMULACAO]],tblVendas[[#This Row],[VALOR_AVANCADO]],""),0)</f>
        <v>0</v>
      </c>
      <c r="H770">
        <f>IF(tblCalculo[[#This Row],[STATUS]]="CONCLUÍDO",_xlfn.XLOOKUP(tblCalculo[[#This Row],[NR_SIMULACAO]],tblVendas[[#This Row],[NR_SIMULACAO]],tblVendas[[#This Row],[VALOR_FIXABASICA]],""),0)</f>
        <v>0</v>
      </c>
      <c r="I770">
        <f>IF(tblCalculo[[#This Row],[STATUS]]="CONCLUÍDO",_xlfn.XLOOKUP(tblCalculo[[#This Row],[NR_SIMULACAO]],tblVendas[[#This Row],[NR_SIMULACAO]],tblVendas[[#This Row],[VALOR_TI]],""),0)</f>
        <v>0</v>
      </c>
      <c r="J770">
        <f>IF(tblCalculo[[#This Row],[STATUS]]="CONCLUÍDO",_xlfn.XLOOKUP(tblCalculo[[#This Row],[NR_SIMULACAO]],tblVendas[[#This Row],[NR_SIMULACAO]],tblVendas[[#This Row],[VALOR_APARELHO]],""),0)</f>
        <v>0</v>
      </c>
      <c r="K770" t="str">
        <f>IF(tblCalculo[[#This Row],[STATUS]]="NEGOCIANDO",tblCalculo[[#This Row],[VALOR_TOTAL]],"")</f>
        <v/>
      </c>
      <c r="L770" t="str">
        <f>IF(tblCalculo[[#This Row],[STATUS]]="ALÇADA",tblCalculo[[#This Row],[VALOR_TOTAL]],"")</f>
        <v/>
      </c>
      <c r="M770" t="str">
        <f>IF(tblCalculo[[#This Row],[STATUS]]="EM ANÁLISE",tblCalculo[[#This Row],[VALOR_TOTAL]],"")</f>
        <v/>
      </c>
      <c r="N770" t="str">
        <f>IF(tblCalculo[[#This Row],[STATUS]]="TRAMITANDO",tblCalculo[[#This Row],[VALOR_TOTAL]],"")</f>
        <v/>
      </c>
      <c r="O770">
        <f>IF(tblCalculo[[#This Row],[STATUS]]="PERDIDO",tblCalculo[[#This Row],[VALOR_TOTAL]],"")</f>
        <v>4630.1000000000004</v>
      </c>
      <c r="P770" t="str">
        <f>IF(tblCalculo[[#This Row],[STATUS]]="CONCLUÍDO",tblCalculo[[#This Row],[VALOR_TOTAL]],"")</f>
        <v/>
      </c>
    </row>
    <row r="771" spans="1:16" x14ac:dyDescent="0.25">
      <c r="A771" t="str">
        <f>tblVendas[[#This Row],[NR_SIMULACAO]]</f>
        <v>SIM1761</v>
      </c>
      <c r="B771" s="34" t="str">
        <f>_xlfn.XLOOKUP(A771,tblVendas[[#This Row],[NR_SIMULACAO]],tblVendas[[#This Row],[NR_CNPJ]],"")</f>
        <v>67.817.206/0001-98</v>
      </c>
      <c r="C771" t="str">
        <f>_xlfn.XLOOKUP(A771,tblVendas[[#This Row],[NR_SIMULACAO]],tblVendas[[#This Row],[STATUS]],"")</f>
        <v>NEGOCIANDO</v>
      </c>
      <c r="D771" t="str">
        <f>_xlfn.XLOOKUP(A771,tblVendas[[#This Row],[NR_SIMULACAO]],tblVendas[[#This Row],[MES]],"")</f>
        <v>Dezembro</v>
      </c>
      <c r="E771">
        <f>SUM(_xlfn.XLOOKUP(tblCalculo[[#This Row],[NR_SIMULACAO]],tblVendas[[#This Row],[NR_SIMULACAO]],tblVendas[[#This Row],[VALOR_MOVEL]],""):_xlfn.XLOOKUP(tblCalculo[[#This Row],[NR_SIMULACAO]],tblVendas[[#This Row],[NR_SIMULACAO]],tblVendas[[#This Row],[VALOR_APARELHO]],""))</f>
        <v>14112.640000000001</v>
      </c>
      <c r="F771">
        <f>IF(tblCalculo[[#This Row],[STATUS]]="CONCLUÍDO",_xlfn.XLOOKUP(tblCalculo[[#This Row],[NR_SIMULACAO]],tblVendas[[#This Row],[NR_SIMULACAO]],tblVendas[[#This Row],[VALOR_MOVEL]],""),0)</f>
        <v>0</v>
      </c>
      <c r="G771">
        <f>IF(tblCalculo[[#This Row],[STATUS]]="CONCLUÍDO",_xlfn.XLOOKUP(tblCalculo[[#This Row],[NR_SIMULACAO]],tblVendas[[#This Row],[NR_SIMULACAO]],tblVendas[[#This Row],[VALOR_AVANCADO]],""),0)</f>
        <v>0</v>
      </c>
      <c r="H771">
        <f>IF(tblCalculo[[#This Row],[STATUS]]="CONCLUÍDO",_xlfn.XLOOKUP(tblCalculo[[#This Row],[NR_SIMULACAO]],tblVendas[[#This Row],[NR_SIMULACAO]],tblVendas[[#This Row],[VALOR_FIXABASICA]],""),0)</f>
        <v>0</v>
      </c>
      <c r="I771">
        <f>IF(tblCalculo[[#This Row],[STATUS]]="CONCLUÍDO",_xlfn.XLOOKUP(tblCalculo[[#This Row],[NR_SIMULACAO]],tblVendas[[#This Row],[NR_SIMULACAO]],tblVendas[[#This Row],[VALOR_TI]],""),0)</f>
        <v>0</v>
      </c>
      <c r="J771">
        <f>IF(tblCalculo[[#This Row],[STATUS]]="CONCLUÍDO",_xlfn.XLOOKUP(tblCalculo[[#This Row],[NR_SIMULACAO]],tblVendas[[#This Row],[NR_SIMULACAO]],tblVendas[[#This Row],[VALOR_APARELHO]],""),0)</f>
        <v>0</v>
      </c>
      <c r="K771">
        <f>IF(tblCalculo[[#This Row],[STATUS]]="NEGOCIANDO",tblCalculo[[#This Row],[VALOR_TOTAL]],"")</f>
        <v>14112.640000000001</v>
      </c>
      <c r="L771" t="str">
        <f>IF(tblCalculo[[#This Row],[STATUS]]="ALÇADA",tblCalculo[[#This Row],[VALOR_TOTAL]],"")</f>
        <v/>
      </c>
      <c r="M771" t="str">
        <f>IF(tblCalculo[[#This Row],[STATUS]]="EM ANÁLISE",tblCalculo[[#This Row],[VALOR_TOTAL]],"")</f>
        <v/>
      </c>
      <c r="N771" t="str">
        <f>IF(tblCalculo[[#This Row],[STATUS]]="TRAMITANDO",tblCalculo[[#This Row],[VALOR_TOTAL]],"")</f>
        <v/>
      </c>
      <c r="O771" t="str">
        <f>IF(tblCalculo[[#This Row],[STATUS]]="PERDIDO",tblCalculo[[#This Row],[VALOR_TOTAL]],"")</f>
        <v/>
      </c>
      <c r="P771" t="str">
        <f>IF(tblCalculo[[#This Row],[STATUS]]="CONCLUÍDO",tblCalculo[[#This Row],[VALOR_TOTAL]],"")</f>
        <v/>
      </c>
    </row>
    <row r="772" spans="1:16" x14ac:dyDescent="0.25">
      <c r="A772" t="str">
        <f>tblVendas[[#This Row],[NR_SIMULACAO]]</f>
        <v>SIM1762</v>
      </c>
      <c r="B772" s="34" t="str">
        <f>_xlfn.XLOOKUP(A772,tblVendas[[#This Row],[NR_SIMULACAO]],tblVendas[[#This Row],[NR_CNPJ]],"")</f>
        <v>49.351.632/0001-48</v>
      </c>
      <c r="C772" t="str">
        <f>_xlfn.XLOOKUP(A772,tblVendas[[#This Row],[NR_SIMULACAO]],tblVendas[[#This Row],[STATUS]],"")</f>
        <v>PERDIDO</v>
      </c>
      <c r="D772" t="str">
        <f>_xlfn.XLOOKUP(A772,tblVendas[[#This Row],[NR_SIMULACAO]],tblVendas[[#This Row],[MES]],"")</f>
        <v>Novembro</v>
      </c>
      <c r="E772">
        <f>SUM(_xlfn.XLOOKUP(tblCalculo[[#This Row],[NR_SIMULACAO]],tblVendas[[#This Row],[NR_SIMULACAO]],tblVendas[[#This Row],[VALOR_MOVEL]],""):_xlfn.XLOOKUP(tblCalculo[[#This Row],[NR_SIMULACAO]],tblVendas[[#This Row],[NR_SIMULACAO]],tblVendas[[#This Row],[VALOR_APARELHO]],""))</f>
        <v>12071.99</v>
      </c>
      <c r="F772">
        <f>IF(tblCalculo[[#This Row],[STATUS]]="CONCLUÍDO",_xlfn.XLOOKUP(tblCalculo[[#This Row],[NR_SIMULACAO]],tblVendas[[#This Row],[NR_SIMULACAO]],tblVendas[[#This Row],[VALOR_MOVEL]],""),0)</f>
        <v>0</v>
      </c>
      <c r="G772">
        <f>IF(tblCalculo[[#This Row],[STATUS]]="CONCLUÍDO",_xlfn.XLOOKUP(tblCalculo[[#This Row],[NR_SIMULACAO]],tblVendas[[#This Row],[NR_SIMULACAO]],tblVendas[[#This Row],[VALOR_AVANCADO]],""),0)</f>
        <v>0</v>
      </c>
      <c r="H772">
        <f>IF(tblCalculo[[#This Row],[STATUS]]="CONCLUÍDO",_xlfn.XLOOKUP(tblCalculo[[#This Row],[NR_SIMULACAO]],tblVendas[[#This Row],[NR_SIMULACAO]],tblVendas[[#This Row],[VALOR_FIXABASICA]],""),0)</f>
        <v>0</v>
      </c>
      <c r="I772">
        <f>IF(tblCalculo[[#This Row],[STATUS]]="CONCLUÍDO",_xlfn.XLOOKUP(tblCalculo[[#This Row],[NR_SIMULACAO]],tblVendas[[#This Row],[NR_SIMULACAO]],tblVendas[[#This Row],[VALOR_TI]],""),0)</f>
        <v>0</v>
      </c>
      <c r="J772">
        <f>IF(tblCalculo[[#This Row],[STATUS]]="CONCLUÍDO",_xlfn.XLOOKUP(tblCalculo[[#This Row],[NR_SIMULACAO]],tblVendas[[#This Row],[NR_SIMULACAO]],tblVendas[[#This Row],[VALOR_APARELHO]],""),0)</f>
        <v>0</v>
      </c>
      <c r="K772" t="str">
        <f>IF(tblCalculo[[#This Row],[STATUS]]="NEGOCIANDO",tblCalculo[[#This Row],[VALOR_TOTAL]],"")</f>
        <v/>
      </c>
      <c r="L772" t="str">
        <f>IF(tblCalculo[[#This Row],[STATUS]]="ALÇADA",tblCalculo[[#This Row],[VALOR_TOTAL]],"")</f>
        <v/>
      </c>
      <c r="M772" t="str">
        <f>IF(tblCalculo[[#This Row],[STATUS]]="EM ANÁLISE",tblCalculo[[#This Row],[VALOR_TOTAL]],"")</f>
        <v/>
      </c>
      <c r="N772" t="str">
        <f>IF(tblCalculo[[#This Row],[STATUS]]="TRAMITANDO",tblCalculo[[#This Row],[VALOR_TOTAL]],"")</f>
        <v/>
      </c>
      <c r="O772">
        <f>IF(tblCalculo[[#This Row],[STATUS]]="PERDIDO",tblCalculo[[#This Row],[VALOR_TOTAL]],"")</f>
        <v>12071.99</v>
      </c>
      <c r="P772" t="str">
        <f>IF(tblCalculo[[#This Row],[STATUS]]="CONCLUÍDO",tblCalculo[[#This Row],[VALOR_TOTAL]],"")</f>
        <v/>
      </c>
    </row>
    <row r="773" spans="1:16" x14ac:dyDescent="0.25">
      <c r="A773" t="str">
        <f>tblVendas[[#This Row],[NR_SIMULACAO]]</f>
        <v>SIM1763</v>
      </c>
      <c r="B773" s="34" t="str">
        <f>_xlfn.XLOOKUP(A773,tblVendas[[#This Row],[NR_SIMULACAO]],tblVendas[[#This Row],[NR_CNPJ]],"")</f>
        <v>60.919.164/0001-38</v>
      </c>
      <c r="C773" t="str">
        <f>_xlfn.XLOOKUP(A773,tblVendas[[#This Row],[NR_SIMULACAO]],tblVendas[[#This Row],[STATUS]],"")</f>
        <v>PERDIDO</v>
      </c>
      <c r="D773" t="str">
        <f>_xlfn.XLOOKUP(A773,tblVendas[[#This Row],[NR_SIMULACAO]],tblVendas[[#This Row],[MES]],"")</f>
        <v>Novembro</v>
      </c>
      <c r="E773">
        <f>SUM(_xlfn.XLOOKUP(tblCalculo[[#This Row],[NR_SIMULACAO]],tblVendas[[#This Row],[NR_SIMULACAO]],tblVendas[[#This Row],[VALOR_MOVEL]],""):_xlfn.XLOOKUP(tblCalculo[[#This Row],[NR_SIMULACAO]],tblVendas[[#This Row],[NR_SIMULACAO]],tblVendas[[#This Row],[VALOR_APARELHO]],""))</f>
        <v>2915.04</v>
      </c>
      <c r="F773">
        <f>IF(tblCalculo[[#This Row],[STATUS]]="CONCLUÍDO",_xlfn.XLOOKUP(tblCalculo[[#This Row],[NR_SIMULACAO]],tblVendas[[#This Row],[NR_SIMULACAO]],tblVendas[[#This Row],[VALOR_MOVEL]],""),0)</f>
        <v>0</v>
      </c>
      <c r="G773">
        <f>IF(tblCalculo[[#This Row],[STATUS]]="CONCLUÍDO",_xlfn.XLOOKUP(tblCalculo[[#This Row],[NR_SIMULACAO]],tblVendas[[#This Row],[NR_SIMULACAO]],tblVendas[[#This Row],[VALOR_AVANCADO]],""),0)</f>
        <v>0</v>
      </c>
      <c r="H773">
        <f>IF(tblCalculo[[#This Row],[STATUS]]="CONCLUÍDO",_xlfn.XLOOKUP(tblCalculo[[#This Row],[NR_SIMULACAO]],tblVendas[[#This Row],[NR_SIMULACAO]],tblVendas[[#This Row],[VALOR_FIXABASICA]],""),0)</f>
        <v>0</v>
      </c>
      <c r="I773">
        <f>IF(tblCalculo[[#This Row],[STATUS]]="CONCLUÍDO",_xlfn.XLOOKUP(tblCalculo[[#This Row],[NR_SIMULACAO]],tblVendas[[#This Row],[NR_SIMULACAO]],tblVendas[[#This Row],[VALOR_TI]],""),0)</f>
        <v>0</v>
      </c>
      <c r="J773">
        <f>IF(tblCalculo[[#This Row],[STATUS]]="CONCLUÍDO",_xlfn.XLOOKUP(tblCalculo[[#This Row],[NR_SIMULACAO]],tblVendas[[#This Row],[NR_SIMULACAO]],tblVendas[[#This Row],[VALOR_APARELHO]],""),0)</f>
        <v>0</v>
      </c>
      <c r="K773" t="str">
        <f>IF(tblCalculo[[#This Row],[STATUS]]="NEGOCIANDO",tblCalculo[[#This Row],[VALOR_TOTAL]],"")</f>
        <v/>
      </c>
      <c r="L773" t="str">
        <f>IF(tblCalculo[[#This Row],[STATUS]]="ALÇADA",tblCalculo[[#This Row],[VALOR_TOTAL]],"")</f>
        <v/>
      </c>
      <c r="M773" t="str">
        <f>IF(tblCalculo[[#This Row],[STATUS]]="EM ANÁLISE",tblCalculo[[#This Row],[VALOR_TOTAL]],"")</f>
        <v/>
      </c>
      <c r="N773" t="str">
        <f>IF(tblCalculo[[#This Row],[STATUS]]="TRAMITANDO",tblCalculo[[#This Row],[VALOR_TOTAL]],"")</f>
        <v/>
      </c>
      <c r="O773">
        <f>IF(tblCalculo[[#This Row],[STATUS]]="PERDIDO",tblCalculo[[#This Row],[VALOR_TOTAL]],"")</f>
        <v>2915.04</v>
      </c>
      <c r="P773" t="str">
        <f>IF(tblCalculo[[#This Row],[STATUS]]="CONCLUÍDO",tblCalculo[[#This Row],[VALOR_TOTAL]],"")</f>
        <v/>
      </c>
    </row>
    <row r="774" spans="1:16" x14ac:dyDescent="0.25">
      <c r="A774" t="str">
        <f>tblVendas[[#This Row],[NR_SIMULACAO]]</f>
        <v>SIM1764</v>
      </c>
      <c r="B774" s="34" t="str">
        <f>_xlfn.XLOOKUP(A774,tblVendas[[#This Row],[NR_SIMULACAO]],tblVendas[[#This Row],[NR_CNPJ]],"")</f>
        <v>66.767.176/0001-81</v>
      </c>
      <c r="C774" t="str">
        <f>_xlfn.XLOOKUP(A774,tblVendas[[#This Row],[NR_SIMULACAO]],tblVendas[[#This Row],[STATUS]],"")</f>
        <v>PERDIDO</v>
      </c>
      <c r="D774" t="str">
        <f>_xlfn.XLOOKUP(A774,tblVendas[[#This Row],[NR_SIMULACAO]],tblVendas[[#This Row],[MES]],"")</f>
        <v>Outubro</v>
      </c>
      <c r="E774">
        <f>SUM(_xlfn.XLOOKUP(tblCalculo[[#This Row],[NR_SIMULACAO]],tblVendas[[#This Row],[NR_SIMULACAO]],tblVendas[[#This Row],[VALOR_MOVEL]],""):_xlfn.XLOOKUP(tblCalculo[[#This Row],[NR_SIMULACAO]],tblVendas[[#This Row],[NR_SIMULACAO]],tblVendas[[#This Row],[VALOR_APARELHO]],""))</f>
        <v>11385.41</v>
      </c>
      <c r="F774">
        <f>IF(tblCalculo[[#This Row],[STATUS]]="CONCLUÍDO",_xlfn.XLOOKUP(tblCalculo[[#This Row],[NR_SIMULACAO]],tblVendas[[#This Row],[NR_SIMULACAO]],tblVendas[[#This Row],[VALOR_MOVEL]],""),0)</f>
        <v>0</v>
      </c>
      <c r="G774">
        <f>IF(tblCalculo[[#This Row],[STATUS]]="CONCLUÍDO",_xlfn.XLOOKUP(tblCalculo[[#This Row],[NR_SIMULACAO]],tblVendas[[#This Row],[NR_SIMULACAO]],tblVendas[[#This Row],[VALOR_AVANCADO]],""),0)</f>
        <v>0</v>
      </c>
      <c r="H774">
        <f>IF(tblCalculo[[#This Row],[STATUS]]="CONCLUÍDO",_xlfn.XLOOKUP(tblCalculo[[#This Row],[NR_SIMULACAO]],tblVendas[[#This Row],[NR_SIMULACAO]],tblVendas[[#This Row],[VALOR_FIXABASICA]],""),0)</f>
        <v>0</v>
      </c>
      <c r="I774">
        <f>IF(tblCalculo[[#This Row],[STATUS]]="CONCLUÍDO",_xlfn.XLOOKUP(tblCalculo[[#This Row],[NR_SIMULACAO]],tblVendas[[#This Row],[NR_SIMULACAO]],tblVendas[[#This Row],[VALOR_TI]],""),0)</f>
        <v>0</v>
      </c>
      <c r="J774">
        <f>IF(tblCalculo[[#This Row],[STATUS]]="CONCLUÍDO",_xlfn.XLOOKUP(tblCalculo[[#This Row],[NR_SIMULACAO]],tblVendas[[#This Row],[NR_SIMULACAO]],tblVendas[[#This Row],[VALOR_APARELHO]],""),0)</f>
        <v>0</v>
      </c>
      <c r="K774" t="str">
        <f>IF(tblCalculo[[#This Row],[STATUS]]="NEGOCIANDO",tblCalculo[[#This Row],[VALOR_TOTAL]],"")</f>
        <v/>
      </c>
      <c r="L774" t="str">
        <f>IF(tblCalculo[[#This Row],[STATUS]]="ALÇADA",tblCalculo[[#This Row],[VALOR_TOTAL]],"")</f>
        <v/>
      </c>
      <c r="M774" t="str">
        <f>IF(tblCalculo[[#This Row],[STATUS]]="EM ANÁLISE",tblCalculo[[#This Row],[VALOR_TOTAL]],"")</f>
        <v/>
      </c>
      <c r="N774" t="str">
        <f>IF(tblCalculo[[#This Row],[STATUS]]="TRAMITANDO",tblCalculo[[#This Row],[VALOR_TOTAL]],"")</f>
        <v/>
      </c>
      <c r="O774">
        <f>IF(tblCalculo[[#This Row],[STATUS]]="PERDIDO",tblCalculo[[#This Row],[VALOR_TOTAL]],"")</f>
        <v>11385.41</v>
      </c>
      <c r="P774" t="str">
        <f>IF(tblCalculo[[#This Row],[STATUS]]="CONCLUÍDO",tblCalculo[[#This Row],[VALOR_TOTAL]],"")</f>
        <v/>
      </c>
    </row>
    <row r="775" spans="1:16" x14ac:dyDescent="0.25">
      <c r="A775" t="str">
        <f>tblVendas[[#This Row],[NR_SIMULACAO]]</f>
        <v>SIM1765</v>
      </c>
      <c r="B775" s="34" t="str">
        <f>_xlfn.XLOOKUP(A775,tblVendas[[#This Row],[NR_SIMULACAO]],tblVendas[[#This Row],[NR_CNPJ]],"")</f>
        <v>59.770.607/0001-75</v>
      </c>
      <c r="C775" t="str">
        <f>_xlfn.XLOOKUP(A775,tblVendas[[#This Row],[NR_SIMULACAO]],tblVendas[[#This Row],[STATUS]],"")</f>
        <v>TRAMITANDO</v>
      </c>
      <c r="D775" t="str">
        <f>_xlfn.XLOOKUP(A775,tblVendas[[#This Row],[NR_SIMULACAO]],tblVendas[[#This Row],[MES]],"")</f>
        <v>Março</v>
      </c>
      <c r="E775">
        <f>SUM(_xlfn.XLOOKUP(tblCalculo[[#This Row],[NR_SIMULACAO]],tblVendas[[#This Row],[NR_SIMULACAO]],tblVendas[[#This Row],[VALOR_MOVEL]],""):_xlfn.XLOOKUP(tblCalculo[[#This Row],[NR_SIMULACAO]],tblVendas[[#This Row],[NR_SIMULACAO]],tblVendas[[#This Row],[VALOR_APARELHO]],""))</f>
        <v>4533.79</v>
      </c>
      <c r="F775">
        <f>IF(tblCalculo[[#This Row],[STATUS]]="CONCLUÍDO",_xlfn.XLOOKUP(tblCalculo[[#This Row],[NR_SIMULACAO]],tblVendas[[#This Row],[NR_SIMULACAO]],tblVendas[[#This Row],[VALOR_MOVEL]],""),0)</f>
        <v>0</v>
      </c>
      <c r="G775">
        <f>IF(tblCalculo[[#This Row],[STATUS]]="CONCLUÍDO",_xlfn.XLOOKUP(tblCalculo[[#This Row],[NR_SIMULACAO]],tblVendas[[#This Row],[NR_SIMULACAO]],tblVendas[[#This Row],[VALOR_AVANCADO]],""),0)</f>
        <v>0</v>
      </c>
      <c r="H775">
        <f>IF(tblCalculo[[#This Row],[STATUS]]="CONCLUÍDO",_xlfn.XLOOKUP(tblCalculo[[#This Row],[NR_SIMULACAO]],tblVendas[[#This Row],[NR_SIMULACAO]],tblVendas[[#This Row],[VALOR_FIXABASICA]],""),0)</f>
        <v>0</v>
      </c>
      <c r="I775">
        <f>IF(tblCalculo[[#This Row],[STATUS]]="CONCLUÍDO",_xlfn.XLOOKUP(tblCalculo[[#This Row],[NR_SIMULACAO]],tblVendas[[#This Row],[NR_SIMULACAO]],tblVendas[[#This Row],[VALOR_TI]],""),0)</f>
        <v>0</v>
      </c>
      <c r="J775">
        <f>IF(tblCalculo[[#This Row],[STATUS]]="CONCLUÍDO",_xlfn.XLOOKUP(tblCalculo[[#This Row],[NR_SIMULACAO]],tblVendas[[#This Row],[NR_SIMULACAO]],tblVendas[[#This Row],[VALOR_APARELHO]],""),0)</f>
        <v>0</v>
      </c>
      <c r="K775" t="str">
        <f>IF(tblCalculo[[#This Row],[STATUS]]="NEGOCIANDO",tblCalculo[[#This Row],[VALOR_TOTAL]],"")</f>
        <v/>
      </c>
      <c r="L775" t="str">
        <f>IF(tblCalculo[[#This Row],[STATUS]]="ALÇADA",tblCalculo[[#This Row],[VALOR_TOTAL]],"")</f>
        <v/>
      </c>
      <c r="M775" t="str">
        <f>IF(tblCalculo[[#This Row],[STATUS]]="EM ANÁLISE",tblCalculo[[#This Row],[VALOR_TOTAL]],"")</f>
        <v/>
      </c>
      <c r="N775">
        <f>IF(tblCalculo[[#This Row],[STATUS]]="TRAMITANDO",tblCalculo[[#This Row],[VALOR_TOTAL]],"")</f>
        <v>4533.79</v>
      </c>
      <c r="O775" t="str">
        <f>IF(tblCalculo[[#This Row],[STATUS]]="PERDIDO",tblCalculo[[#This Row],[VALOR_TOTAL]],"")</f>
        <v/>
      </c>
      <c r="P775" t="str">
        <f>IF(tblCalculo[[#This Row],[STATUS]]="CONCLUÍDO",tblCalculo[[#This Row],[VALOR_TOTAL]],"")</f>
        <v/>
      </c>
    </row>
    <row r="776" spans="1:16" x14ac:dyDescent="0.25">
      <c r="A776" t="str">
        <f>tblVendas[[#This Row],[NR_SIMULACAO]]</f>
        <v>SIM1766</v>
      </c>
      <c r="B776" s="34" t="str">
        <f>_xlfn.XLOOKUP(A776,tblVendas[[#This Row],[NR_SIMULACAO]],tblVendas[[#This Row],[NR_CNPJ]],"")</f>
        <v>49.420.249/0001-33</v>
      </c>
      <c r="C776" t="str">
        <f>_xlfn.XLOOKUP(A776,tblVendas[[#This Row],[NR_SIMULACAO]],tblVendas[[#This Row],[STATUS]],"")</f>
        <v>TRAMITANDO</v>
      </c>
      <c r="D776" t="str">
        <f>_xlfn.XLOOKUP(A776,tblVendas[[#This Row],[NR_SIMULACAO]],tblVendas[[#This Row],[MES]],"")</f>
        <v>Junho</v>
      </c>
      <c r="E776">
        <f>SUM(_xlfn.XLOOKUP(tblCalculo[[#This Row],[NR_SIMULACAO]],tblVendas[[#This Row],[NR_SIMULACAO]],tblVendas[[#This Row],[VALOR_MOVEL]],""):_xlfn.XLOOKUP(tblCalculo[[#This Row],[NR_SIMULACAO]],tblVendas[[#This Row],[NR_SIMULACAO]],tblVendas[[#This Row],[VALOR_APARELHO]],""))</f>
        <v>13306.57</v>
      </c>
      <c r="F776">
        <f>IF(tblCalculo[[#This Row],[STATUS]]="CONCLUÍDO",_xlfn.XLOOKUP(tblCalculo[[#This Row],[NR_SIMULACAO]],tblVendas[[#This Row],[NR_SIMULACAO]],tblVendas[[#This Row],[VALOR_MOVEL]],""),0)</f>
        <v>0</v>
      </c>
      <c r="G776">
        <f>IF(tblCalculo[[#This Row],[STATUS]]="CONCLUÍDO",_xlfn.XLOOKUP(tblCalculo[[#This Row],[NR_SIMULACAO]],tblVendas[[#This Row],[NR_SIMULACAO]],tblVendas[[#This Row],[VALOR_AVANCADO]],""),0)</f>
        <v>0</v>
      </c>
      <c r="H776">
        <f>IF(tblCalculo[[#This Row],[STATUS]]="CONCLUÍDO",_xlfn.XLOOKUP(tblCalculo[[#This Row],[NR_SIMULACAO]],tblVendas[[#This Row],[NR_SIMULACAO]],tblVendas[[#This Row],[VALOR_FIXABASICA]],""),0)</f>
        <v>0</v>
      </c>
      <c r="I776">
        <f>IF(tblCalculo[[#This Row],[STATUS]]="CONCLUÍDO",_xlfn.XLOOKUP(tblCalculo[[#This Row],[NR_SIMULACAO]],tblVendas[[#This Row],[NR_SIMULACAO]],tblVendas[[#This Row],[VALOR_TI]],""),0)</f>
        <v>0</v>
      </c>
      <c r="J776">
        <f>IF(tblCalculo[[#This Row],[STATUS]]="CONCLUÍDO",_xlfn.XLOOKUP(tblCalculo[[#This Row],[NR_SIMULACAO]],tblVendas[[#This Row],[NR_SIMULACAO]],tblVendas[[#This Row],[VALOR_APARELHO]],""),0)</f>
        <v>0</v>
      </c>
      <c r="K776" t="str">
        <f>IF(tblCalculo[[#This Row],[STATUS]]="NEGOCIANDO",tblCalculo[[#This Row],[VALOR_TOTAL]],"")</f>
        <v/>
      </c>
      <c r="L776" t="str">
        <f>IF(tblCalculo[[#This Row],[STATUS]]="ALÇADA",tblCalculo[[#This Row],[VALOR_TOTAL]],"")</f>
        <v/>
      </c>
      <c r="M776" t="str">
        <f>IF(tblCalculo[[#This Row],[STATUS]]="EM ANÁLISE",tblCalculo[[#This Row],[VALOR_TOTAL]],"")</f>
        <v/>
      </c>
      <c r="N776">
        <f>IF(tblCalculo[[#This Row],[STATUS]]="TRAMITANDO",tblCalculo[[#This Row],[VALOR_TOTAL]],"")</f>
        <v>13306.57</v>
      </c>
      <c r="O776" t="str">
        <f>IF(tblCalculo[[#This Row],[STATUS]]="PERDIDO",tblCalculo[[#This Row],[VALOR_TOTAL]],"")</f>
        <v/>
      </c>
      <c r="P776" t="str">
        <f>IF(tblCalculo[[#This Row],[STATUS]]="CONCLUÍDO",tblCalculo[[#This Row],[VALOR_TOTAL]],"")</f>
        <v/>
      </c>
    </row>
    <row r="777" spans="1:16" x14ac:dyDescent="0.25">
      <c r="A777" t="str">
        <f>tblVendas[[#This Row],[NR_SIMULACAO]]</f>
        <v>SIM1767</v>
      </c>
      <c r="B777" s="34" t="str">
        <f>_xlfn.XLOOKUP(A777,tblVendas[[#This Row],[NR_SIMULACAO]],tblVendas[[#This Row],[NR_CNPJ]],"")</f>
        <v>99.946.415/0001-18</v>
      </c>
      <c r="C777" t="str">
        <f>_xlfn.XLOOKUP(A777,tblVendas[[#This Row],[NR_SIMULACAO]],tblVendas[[#This Row],[STATUS]],"")</f>
        <v>NEGOCIANDO</v>
      </c>
      <c r="D777" t="str">
        <f>_xlfn.XLOOKUP(A777,tblVendas[[#This Row],[NR_SIMULACAO]],tblVendas[[#This Row],[MES]],"")</f>
        <v>Maio</v>
      </c>
      <c r="E777">
        <f>SUM(_xlfn.XLOOKUP(tblCalculo[[#This Row],[NR_SIMULACAO]],tblVendas[[#This Row],[NR_SIMULACAO]],tblVendas[[#This Row],[VALOR_MOVEL]],""):_xlfn.XLOOKUP(tblCalculo[[#This Row],[NR_SIMULACAO]],tblVendas[[#This Row],[NR_SIMULACAO]],tblVendas[[#This Row],[VALOR_APARELHO]],""))</f>
        <v>18153.89</v>
      </c>
      <c r="F777">
        <f>IF(tblCalculo[[#This Row],[STATUS]]="CONCLUÍDO",_xlfn.XLOOKUP(tblCalculo[[#This Row],[NR_SIMULACAO]],tblVendas[[#This Row],[NR_SIMULACAO]],tblVendas[[#This Row],[VALOR_MOVEL]],""),0)</f>
        <v>0</v>
      </c>
      <c r="G777">
        <f>IF(tblCalculo[[#This Row],[STATUS]]="CONCLUÍDO",_xlfn.XLOOKUP(tblCalculo[[#This Row],[NR_SIMULACAO]],tblVendas[[#This Row],[NR_SIMULACAO]],tblVendas[[#This Row],[VALOR_AVANCADO]],""),0)</f>
        <v>0</v>
      </c>
      <c r="H777">
        <f>IF(tblCalculo[[#This Row],[STATUS]]="CONCLUÍDO",_xlfn.XLOOKUP(tblCalculo[[#This Row],[NR_SIMULACAO]],tblVendas[[#This Row],[NR_SIMULACAO]],tblVendas[[#This Row],[VALOR_FIXABASICA]],""),0)</f>
        <v>0</v>
      </c>
      <c r="I777">
        <f>IF(tblCalculo[[#This Row],[STATUS]]="CONCLUÍDO",_xlfn.XLOOKUP(tblCalculo[[#This Row],[NR_SIMULACAO]],tblVendas[[#This Row],[NR_SIMULACAO]],tblVendas[[#This Row],[VALOR_TI]],""),0)</f>
        <v>0</v>
      </c>
      <c r="J777">
        <f>IF(tblCalculo[[#This Row],[STATUS]]="CONCLUÍDO",_xlfn.XLOOKUP(tblCalculo[[#This Row],[NR_SIMULACAO]],tblVendas[[#This Row],[NR_SIMULACAO]],tblVendas[[#This Row],[VALOR_APARELHO]],""),0)</f>
        <v>0</v>
      </c>
      <c r="K777">
        <f>IF(tblCalculo[[#This Row],[STATUS]]="NEGOCIANDO",tblCalculo[[#This Row],[VALOR_TOTAL]],"")</f>
        <v>18153.89</v>
      </c>
      <c r="L777" t="str">
        <f>IF(tblCalculo[[#This Row],[STATUS]]="ALÇADA",tblCalculo[[#This Row],[VALOR_TOTAL]],"")</f>
        <v/>
      </c>
      <c r="M777" t="str">
        <f>IF(tblCalculo[[#This Row],[STATUS]]="EM ANÁLISE",tblCalculo[[#This Row],[VALOR_TOTAL]],"")</f>
        <v/>
      </c>
      <c r="N777" t="str">
        <f>IF(tblCalculo[[#This Row],[STATUS]]="TRAMITANDO",tblCalculo[[#This Row],[VALOR_TOTAL]],"")</f>
        <v/>
      </c>
      <c r="O777" t="str">
        <f>IF(tblCalculo[[#This Row],[STATUS]]="PERDIDO",tblCalculo[[#This Row],[VALOR_TOTAL]],"")</f>
        <v/>
      </c>
      <c r="P777" t="str">
        <f>IF(tblCalculo[[#This Row],[STATUS]]="CONCLUÍDO",tblCalculo[[#This Row],[VALOR_TOTAL]],"")</f>
        <v/>
      </c>
    </row>
    <row r="778" spans="1:16" x14ac:dyDescent="0.25">
      <c r="A778" t="str">
        <f>tblVendas[[#This Row],[NR_SIMULACAO]]</f>
        <v>SIM1768</v>
      </c>
      <c r="B778" s="34" t="str">
        <f>_xlfn.XLOOKUP(A778,tblVendas[[#This Row],[NR_SIMULACAO]],tblVendas[[#This Row],[NR_CNPJ]],"")</f>
        <v>34.726.281/0001-84</v>
      </c>
      <c r="C778" t="str">
        <f>_xlfn.XLOOKUP(A778,tblVendas[[#This Row],[NR_SIMULACAO]],tblVendas[[#This Row],[STATUS]],"")</f>
        <v>ALÇADA</v>
      </c>
      <c r="D778" t="str">
        <f>_xlfn.XLOOKUP(A778,tblVendas[[#This Row],[NR_SIMULACAO]],tblVendas[[#This Row],[MES]],"")</f>
        <v>Junho</v>
      </c>
      <c r="E778">
        <f>SUM(_xlfn.XLOOKUP(tblCalculo[[#This Row],[NR_SIMULACAO]],tblVendas[[#This Row],[NR_SIMULACAO]],tblVendas[[#This Row],[VALOR_MOVEL]],""):_xlfn.XLOOKUP(tblCalculo[[#This Row],[NR_SIMULACAO]],tblVendas[[#This Row],[NR_SIMULACAO]],tblVendas[[#This Row],[VALOR_APARELHO]],""))</f>
        <v>14394.95</v>
      </c>
      <c r="F778">
        <f>IF(tblCalculo[[#This Row],[STATUS]]="CONCLUÍDO",_xlfn.XLOOKUP(tblCalculo[[#This Row],[NR_SIMULACAO]],tblVendas[[#This Row],[NR_SIMULACAO]],tblVendas[[#This Row],[VALOR_MOVEL]],""),0)</f>
        <v>0</v>
      </c>
      <c r="G778">
        <f>IF(tblCalculo[[#This Row],[STATUS]]="CONCLUÍDO",_xlfn.XLOOKUP(tblCalculo[[#This Row],[NR_SIMULACAO]],tblVendas[[#This Row],[NR_SIMULACAO]],tblVendas[[#This Row],[VALOR_AVANCADO]],""),0)</f>
        <v>0</v>
      </c>
      <c r="H778">
        <f>IF(tblCalculo[[#This Row],[STATUS]]="CONCLUÍDO",_xlfn.XLOOKUP(tblCalculo[[#This Row],[NR_SIMULACAO]],tblVendas[[#This Row],[NR_SIMULACAO]],tblVendas[[#This Row],[VALOR_FIXABASICA]],""),0)</f>
        <v>0</v>
      </c>
      <c r="I778">
        <f>IF(tblCalculo[[#This Row],[STATUS]]="CONCLUÍDO",_xlfn.XLOOKUP(tblCalculo[[#This Row],[NR_SIMULACAO]],tblVendas[[#This Row],[NR_SIMULACAO]],tblVendas[[#This Row],[VALOR_TI]],""),0)</f>
        <v>0</v>
      </c>
      <c r="J778">
        <f>IF(tblCalculo[[#This Row],[STATUS]]="CONCLUÍDO",_xlfn.XLOOKUP(tblCalculo[[#This Row],[NR_SIMULACAO]],tblVendas[[#This Row],[NR_SIMULACAO]],tblVendas[[#This Row],[VALOR_APARELHO]],""),0)</f>
        <v>0</v>
      </c>
      <c r="K778" t="str">
        <f>IF(tblCalculo[[#This Row],[STATUS]]="NEGOCIANDO",tblCalculo[[#This Row],[VALOR_TOTAL]],"")</f>
        <v/>
      </c>
      <c r="L778">
        <f>IF(tblCalculo[[#This Row],[STATUS]]="ALÇADA",tblCalculo[[#This Row],[VALOR_TOTAL]],"")</f>
        <v>14394.95</v>
      </c>
      <c r="M778" t="str">
        <f>IF(tblCalculo[[#This Row],[STATUS]]="EM ANÁLISE",tblCalculo[[#This Row],[VALOR_TOTAL]],"")</f>
        <v/>
      </c>
      <c r="N778" t="str">
        <f>IF(tblCalculo[[#This Row],[STATUS]]="TRAMITANDO",tblCalculo[[#This Row],[VALOR_TOTAL]],"")</f>
        <v/>
      </c>
      <c r="O778" t="str">
        <f>IF(tblCalculo[[#This Row],[STATUS]]="PERDIDO",tblCalculo[[#This Row],[VALOR_TOTAL]],"")</f>
        <v/>
      </c>
      <c r="P778" t="str">
        <f>IF(tblCalculo[[#This Row],[STATUS]]="CONCLUÍDO",tblCalculo[[#This Row],[VALOR_TOTAL]],"")</f>
        <v/>
      </c>
    </row>
    <row r="779" spans="1:16" x14ac:dyDescent="0.25">
      <c r="A779" t="str">
        <f>tblVendas[[#This Row],[NR_SIMULACAO]]</f>
        <v>SIM1769</v>
      </c>
      <c r="B779" s="34" t="str">
        <f>_xlfn.XLOOKUP(A779,tblVendas[[#This Row],[NR_SIMULACAO]],tblVendas[[#This Row],[NR_CNPJ]],"")</f>
        <v>68.133.777/0001-31</v>
      </c>
      <c r="C779" t="str">
        <f>_xlfn.XLOOKUP(A779,tblVendas[[#This Row],[NR_SIMULACAO]],tblVendas[[#This Row],[STATUS]],"")</f>
        <v>PERDIDO</v>
      </c>
      <c r="D779" t="str">
        <f>_xlfn.XLOOKUP(A779,tblVendas[[#This Row],[NR_SIMULACAO]],tblVendas[[#This Row],[MES]],"")</f>
        <v>Fevereiro</v>
      </c>
      <c r="E779">
        <f>SUM(_xlfn.XLOOKUP(tblCalculo[[#This Row],[NR_SIMULACAO]],tblVendas[[#This Row],[NR_SIMULACAO]],tblVendas[[#This Row],[VALOR_MOVEL]],""):_xlfn.XLOOKUP(tblCalculo[[#This Row],[NR_SIMULACAO]],tblVendas[[#This Row],[NR_SIMULACAO]],tblVendas[[#This Row],[VALOR_APARELHO]],""))</f>
        <v>17033.849999999999</v>
      </c>
      <c r="F779">
        <f>IF(tblCalculo[[#This Row],[STATUS]]="CONCLUÍDO",_xlfn.XLOOKUP(tblCalculo[[#This Row],[NR_SIMULACAO]],tblVendas[[#This Row],[NR_SIMULACAO]],tblVendas[[#This Row],[VALOR_MOVEL]],""),0)</f>
        <v>0</v>
      </c>
      <c r="G779">
        <f>IF(tblCalculo[[#This Row],[STATUS]]="CONCLUÍDO",_xlfn.XLOOKUP(tblCalculo[[#This Row],[NR_SIMULACAO]],tblVendas[[#This Row],[NR_SIMULACAO]],tblVendas[[#This Row],[VALOR_AVANCADO]],""),0)</f>
        <v>0</v>
      </c>
      <c r="H779">
        <f>IF(tblCalculo[[#This Row],[STATUS]]="CONCLUÍDO",_xlfn.XLOOKUP(tblCalculo[[#This Row],[NR_SIMULACAO]],tblVendas[[#This Row],[NR_SIMULACAO]],tblVendas[[#This Row],[VALOR_FIXABASICA]],""),0)</f>
        <v>0</v>
      </c>
      <c r="I779">
        <f>IF(tblCalculo[[#This Row],[STATUS]]="CONCLUÍDO",_xlfn.XLOOKUP(tblCalculo[[#This Row],[NR_SIMULACAO]],tblVendas[[#This Row],[NR_SIMULACAO]],tblVendas[[#This Row],[VALOR_TI]],""),0)</f>
        <v>0</v>
      </c>
      <c r="J779">
        <f>IF(tblCalculo[[#This Row],[STATUS]]="CONCLUÍDO",_xlfn.XLOOKUP(tblCalculo[[#This Row],[NR_SIMULACAO]],tblVendas[[#This Row],[NR_SIMULACAO]],tblVendas[[#This Row],[VALOR_APARELHO]],""),0)</f>
        <v>0</v>
      </c>
      <c r="K779" t="str">
        <f>IF(tblCalculo[[#This Row],[STATUS]]="NEGOCIANDO",tblCalculo[[#This Row],[VALOR_TOTAL]],"")</f>
        <v/>
      </c>
      <c r="L779" t="str">
        <f>IF(tblCalculo[[#This Row],[STATUS]]="ALÇADA",tblCalculo[[#This Row],[VALOR_TOTAL]],"")</f>
        <v/>
      </c>
      <c r="M779" t="str">
        <f>IF(tblCalculo[[#This Row],[STATUS]]="EM ANÁLISE",tblCalculo[[#This Row],[VALOR_TOTAL]],"")</f>
        <v/>
      </c>
      <c r="N779" t="str">
        <f>IF(tblCalculo[[#This Row],[STATUS]]="TRAMITANDO",tblCalculo[[#This Row],[VALOR_TOTAL]],"")</f>
        <v/>
      </c>
      <c r="O779">
        <f>IF(tblCalculo[[#This Row],[STATUS]]="PERDIDO",tblCalculo[[#This Row],[VALOR_TOTAL]],"")</f>
        <v>17033.849999999999</v>
      </c>
      <c r="P779" t="str">
        <f>IF(tblCalculo[[#This Row],[STATUS]]="CONCLUÍDO",tblCalculo[[#This Row],[VALOR_TOTAL]],"")</f>
        <v/>
      </c>
    </row>
    <row r="780" spans="1:16" x14ac:dyDescent="0.25">
      <c r="A780" t="str">
        <f>tblVendas[[#This Row],[NR_SIMULACAO]]</f>
        <v>SIM1770</v>
      </c>
      <c r="B780" s="34" t="str">
        <f>_xlfn.XLOOKUP(A780,tblVendas[[#This Row],[NR_SIMULACAO]],tblVendas[[#This Row],[NR_CNPJ]],"")</f>
        <v>47.427.816/0001-56</v>
      </c>
      <c r="C780" t="str">
        <f>_xlfn.XLOOKUP(A780,tblVendas[[#This Row],[NR_SIMULACAO]],tblVendas[[#This Row],[STATUS]],"")</f>
        <v>PERDIDO</v>
      </c>
      <c r="D780" t="str">
        <f>_xlfn.XLOOKUP(A780,tblVendas[[#This Row],[NR_SIMULACAO]],tblVendas[[#This Row],[MES]],"")</f>
        <v>Outubro</v>
      </c>
      <c r="E780">
        <f>SUM(_xlfn.XLOOKUP(tblCalculo[[#This Row],[NR_SIMULACAO]],tblVendas[[#This Row],[NR_SIMULACAO]],tblVendas[[#This Row],[VALOR_MOVEL]],""):_xlfn.XLOOKUP(tblCalculo[[#This Row],[NR_SIMULACAO]],tblVendas[[#This Row],[NR_SIMULACAO]],tblVendas[[#This Row],[VALOR_APARELHO]],""))</f>
        <v>16087.05</v>
      </c>
      <c r="F780">
        <f>IF(tblCalculo[[#This Row],[STATUS]]="CONCLUÍDO",_xlfn.XLOOKUP(tblCalculo[[#This Row],[NR_SIMULACAO]],tblVendas[[#This Row],[NR_SIMULACAO]],tblVendas[[#This Row],[VALOR_MOVEL]],""),0)</f>
        <v>0</v>
      </c>
      <c r="G780">
        <f>IF(tblCalculo[[#This Row],[STATUS]]="CONCLUÍDO",_xlfn.XLOOKUP(tblCalculo[[#This Row],[NR_SIMULACAO]],tblVendas[[#This Row],[NR_SIMULACAO]],tblVendas[[#This Row],[VALOR_AVANCADO]],""),0)</f>
        <v>0</v>
      </c>
      <c r="H780">
        <f>IF(tblCalculo[[#This Row],[STATUS]]="CONCLUÍDO",_xlfn.XLOOKUP(tblCalculo[[#This Row],[NR_SIMULACAO]],tblVendas[[#This Row],[NR_SIMULACAO]],tblVendas[[#This Row],[VALOR_FIXABASICA]],""),0)</f>
        <v>0</v>
      </c>
      <c r="I780">
        <f>IF(tblCalculo[[#This Row],[STATUS]]="CONCLUÍDO",_xlfn.XLOOKUP(tblCalculo[[#This Row],[NR_SIMULACAO]],tblVendas[[#This Row],[NR_SIMULACAO]],tblVendas[[#This Row],[VALOR_TI]],""),0)</f>
        <v>0</v>
      </c>
      <c r="J780">
        <f>IF(tblCalculo[[#This Row],[STATUS]]="CONCLUÍDO",_xlfn.XLOOKUP(tblCalculo[[#This Row],[NR_SIMULACAO]],tblVendas[[#This Row],[NR_SIMULACAO]],tblVendas[[#This Row],[VALOR_APARELHO]],""),0)</f>
        <v>0</v>
      </c>
      <c r="K780" t="str">
        <f>IF(tblCalculo[[#This Row],[STATUS]]="NEGOCIANDO",tblCalculo[[#This Row],[VALOR_TOTAL]],"")</f>
        <v/>
      </c>
      <c r="L780" t="str">
        <f>IF(tblCalculo[[#This Row],[STATUS]]="ALÇADA",tblCalculo[[#This Row],[VALOR_TOTAL]],"")</f>
        <v/>
      </c>
      <c r="M780" t="str">
        <f>IF(tblCalculo[[#This Row],[STATUS]]="EM ANÁLISE",tblCalculo[[#This Row],[VALOR_TOTAL]],"")</f>
        <v/>
      </c>
      <c r="N780" t="str">
        <f>IF(tblCalculo[[#This Row],[STATUS]]="TRAMITANDO",tblCalculo[[#This Row],[VALOR_TOTAL]],"")</f>
        <v/>
      </c>
      <c r="O780">
        <f>IF(tblCalculo[[#This Row],[STATUS]]="PERDIDO",tblCalculo[[#This Row],[VALOR_TOTAL]],"")</f>
        <v>16087.05</v>
      </c>
      <c r="P780" t="str">
        <f>IF(tblCalculo[[#This Row],[STATUS]]="CONCLUÍDO",tblCalculo[[#This Row],[VALOR_TOTAL]],"")</f>
        <v/>
      </c>
    </row>
    <row r="781" spans="1:16" x14ac:dyDescent="0.25">
      <c r="A781" t="str">
        <f>tblVendas[[#This Row],[NR_SIMULACAO]]</f>
        <v>SIM1771</v>
      </c>
      <c r="B781" s="34" t="str">
        <f>_xlfn.XLOOKUP(A781,tblVendas[[#This Row],[NR_SIMULACAO]],tblVendas[[#This Row],[NR_CNPJ]],"")</f>
        <v>86.878.628/0001-21</v>
      </c>
      <c r="C781" t="str">
        <f>_xlfn.XLOOKUP(A781,tblVendas[[#This Row],[NR_SIMULACAO]],tblVendas[[#This Row],[STATUS]],"")</f>
        <v>ALÇADA</v>
      </c>
      <c r="D781" t="str">
        <f>_xlfn.XLOOKUP(A781,tblVendas[[#This Row],[NR_SIMULACAO]],tblVendas[[#This Row],[MES]],"")</f>
        <v>Junho</v>
      </c>
      <c r="E781">
        <f>SUM(_xlfn.XLOOKUP(tblCalculo[[#This Row],[NR_SIMULACAO]],tblVendas[[#This Row],[NR_SIMULACAO]],tblVendas[[#This Row],[VALOR_MOVEL]],""):_xlfn.XLOOKUP(tblCalculo[[#This Row],[NR_SIMULACAO]],tblVendas[[#This Row],[NR_SIMULACAO]],tblVendas[[#This Row],[VALOR_APARELHO]],""))</f>
        <v>7574.13</v>
      </c>
      <c r="F781">
        <f>IF(tblCalculo[[#This Row],[STATUS]]="CONCLUÍDO",_xlfn.XLOOKUP(tblCalculo[[#This Row],[NR_SIMULACAO]],tblVendas[[#This Row],[NR_SIMULACAO]],tblVendas[[#This Row],[VALOR_MOVEL]],""),0)</f>
        <v>0</v>
      </c>
      <c r="G781">
        <f>IF(tblCalculo[[#This Row],[STATUS]]="CONCLUÍDO",_xlfn.XLOOKUP(tblCalculo[[#This Row],[NR_SIMULACAO]],tblVendas[[#This Row],[NR_SIMULACAO]],tblVendas[[#This Row],[VALOR_AVANCADO]],""),0)</f>
        <v>0</v>
      </c>
      <c r="H781">
        <f>IF(tblCalculo[[#This Row],[STATUS]]="CONCLUÍDO",_xlfn.XLOOKUP(tblCalculo[[#This Row],[NR_SIMULACAO]],tblVendas[[#This Row],[NR_SIMULACAO]],tblVendas[[#This Row],[VALOR_FIXABASICA]],""),0)</f>
        <v>0</v>
      </c>
      <c r="I781">
        <f>IF(tblCalculo[[#This Row],[STATUS]]="CONCLUÍDO",_xlfn.XLOOKUP(tblCalculo[[#This Row],[NR_SIMULACAO]],tblVendas[[#This Row],[NR_SIMULACAO]],tblVendas[[#This Row],[VALOR_TI]],""),0)</f>
        <v>0</v>
      </c>
      <c r="J781">
        <f>IF(tblCalculo[[#This Row],[STATUS]]="CONCLUÍDO",_xlfn.XLOOKUP(tblCalculo[[#This Row],[NR_SIMULACAO]],tblVendas[[#This Row],[NR_SIMULACAO]],tblVendas[[#This Row],[VALOR_APARELHO]],""),0)</f>
        <v>0</v>
      </c>
      <c r="K781" t="str">
        <f>IF(tblCalculo[[#This Row],[STATUS]]="NEGOCIANDO",tblCalculo[[#This Row],[VALOR_TOTAL]],"")</f>
        <v/>
      </c>
      <c r="L781">
        <f>IF(tblCalculo[[#This Row],[STATUS]]="ALÇADA",tblCalculo[[#This Row],[VALOR_TOTAL]],"")</f>
        <v>7574.13</v>
      </c>
      <c r="M781" t="str">
        <f>IF(tblCalculo[[#This Row],[STATUS]]="EM ANÁLISE",tblCalculo[[#This Row],[VALOR_TOTAL]],"")</f>
        <v/>
      </c>
      <c r="N781" t="str">
        <f>IF(tblCalculo[[#This Row],[STATUS]]="TRAMITANDO",tblCalculo[[#This Row],[VALOR_TOTAL]],"")</f>
        <v/>
      </c>
      <c r="O781" t="str">
        <f>IF(tblCalculo[[#This Row],[STATUS]]="PERDIDO",tblCalculo[[#This Row],[VALOR_TOTAL]],"")</f>
        <v/>
      </c>
      <c r="P781" t="str">
        <f>IF(tblCalculo[[#This Row],[STATUS]]="CONCLUÍDO",tblCalculo[[#This Row],[VALOR_TOTAL]],"")</f>
        <v/>
      </c>
    </row>
    <row r="782" spans="1:16" x14ac:dyDescent="0.25">
      <c r="A782" t="str">
        <f>tblVendas[[#This Row],[NR_SIMULACAO]]</f>
        <v>SIM1772</v>
      </c>
      <c r="B782" s="34" t="str">
        <f>_xlfn.XLOOKUP(A782,tblVendas[[#This Row],[NR_SIMULACAO]],tblVendas[[#This Row],[NR_CNPJ]],"")</f>
        <v>52.849.470/0001-45</v>
      </c>
      <c r="C782" t="str">
        <f>_xlfn.XLOOKUP(A782,tblVendas[[#This Row],[NR_SIMULACAO]],tblVendas[[#This Row],[STATUS]],"")</f>
        <v>TRAMITANDO</v>
      </c>
      <c r="D782" t="str">
        <f>_xlfn.XLOOKUP(A782,tblVendas[[#This Row],[NR_SIMULACAO]],tblVendas[[#This Row],[MES]],"")</f>
        <v>Setembro</v>
      </c>
      <c r="E782">
        <f>SUM(_xlfn.XLOOKUP(tblCalculo[[#This Row],[NR_SIMULACAO]],tblVendas[[#This Row],[NR_SIMULACAO]],tblVendas[[#This Row],[VALOR_MOVEL]],""):_xlfn.XLOOKUP(tblCalculo[[#This Row],[NR_SIMULACAO]],tblVendas[[#This Row],[NR_SIMULACAO]],tblVendas[[#This Row],[VALOR_APARELHO]],""))</f>
        <v>9561.9699999999993</v>
      </c>
      <c r="F782">
        <f>IF(tblCalculo[[#This Row],[STATUS]]="CONCLUÍDO",_xlfn.XLOOKUP(tblCalculo[[#This Row],[NR_SIMULACAO]],tblVendas[[#This Row],[NR_SIMULACAO]],tblVendas[[#This Row],[VALOR_MOVEL]],""),0)</f>
        <v>0</v>
      </c>
      <c r="G782">
        <f>IF(tblCalculo[[#This Row],[STATUS]]="CONCLUÍDO",_xlfn.XLOOKUP(tblCalculo[[#This Row],[NR_SIMULACAO]],tblVendas[[#This Row],[NR_SIMULACAO]],tblVendas[[#This Row],[VALOR_AVANCADO]],""),0)</f>
        <v>0</v>
      </c>
      <c r="H782">
        <f>IF(tblCalculo[[#This Row],[STATUS]]="CONCLUÍDO",_xlfn.XLOOKUP(tblCalculo[[#This Row],[NR_SIMULACAO]],tblVendas[[#This Row],[NR_SIMULACAO]],tblVendas[[#This Row],[VALOR_FIXABASICA]],""),0)</f>
        <v>0</v>
      </c>
      <c r="I782">
        <f>IF(tblCalculo[[#This Row],[STATUS]]="CONCLUÍDO",_xlfn.XLOOKUP(tblCalculo[[#This Row],[NR_SIMULACAO]],tblVendas[[#This Row],[NR_SIMULACAO]],tblVendas[[#This Row],[VALOR_TI]],""),0)</f>
        <v>0</v>
      </c>
      <c r="J782">
        <f>IF(tblCalculo[[#This Row],[STATUS]]="CONCLUÍDO",_xlfn.XLOOKUP(tblCalculo[[#This Row],[NR_SIMULACAO]],tblVendas[[#This Row],[NR_SIMULACAO]],tblVendas[[#This Row],[VALOR_APARELHO]],""),0)</f>
        <v>0</v>
      </c>
      <c r="K782" t="str">
        <f>IF(tblCalculo[[#This Row],[STATUS]]="NEGOCIANDO",tblCalculo[[#This Row],[VALOR_TOTAL]],"")</f>
        <v/>
      </c>
      <c r="L782" t="str">
        <f>IF(tblCalculo[[#This Row],[STATUS]]="ALÇADA",tblCalculo[[#This Row],[VALOR_TOTAL]],"")</f>
        <v/>
      </c>
      <c r="M782" t="str">
        <f>IF(tblCalculo[[#This Row],[STATUS]]="EM ANÁLISE",tblCalculo[[#This Row],[VALOR_TOTAL]],"")</f>
        <v/>
      </c>
      <c r="N782">
        <f>IF(tblCalculo[[#This Row],[STATUS]]="TRAMITANDO",tblCalculo[[#This Row],[VALOR_TOTAL]],"")</f>
        <v>9561.9699999999993</v>
      </c>
      <c r="O782" t="str">
        <f>IF(tblCalculo[[#This Row],[STATUS]]="PERDIDO",tblCalculo[[#This Row],[VALOR_TOTAL]],"")</f>
        <v/>
      </c>
      <c r="P782" t="str">
        <f>IF(tblCalculo[[#This Row],[STATUS]]="CONCLUÍDO",tblCalculo[[#This Row],[VALOR_TOTAL]],"")</f>
        <v/>
      </c>
    </row>
    <row r="783" spans="1:16" x14ac:dyDescent="0.25">
      <c r="A783" t="str">
        <f>tblVendas[[#This Row],[NR_SIMULACAO]]</f>
        <v>SIM1773</v>
      </c>
      <c r="B783" s="34" t="str">
        <f>_xlfn.XLOOKUP(A783,tblVendas[[#This Row],[NR_SIMULACAO]],tblVendas[[#This Row],[NR_CNPJ]],"")</f>
        <v>70.208.774/0001-50</v>
      </c>
      <c r="C783" t="str">
        <f>_xlfn.XLOOKUP(A783,tblVendas[[#This Row],[NR_SIMULACAO]],tblVendas[[#This Row],[STATUS]],"")</f>
        <v>PERDIDO</v>
      </c>
      <c r="D783" t="str">
        <f>_xlfn.XLOOKUP(A783,tblVendas[[#This Row],[NR_SIMULACAO]],tblVendas[[#This Row],[MES]],"")</f>
        <v>Outubro</v>
      </c>
      <c r="E783">
        <f>SUM(_xlfn.XLOOKUP(tblCalculo[[#This Row],[NR_SIMULACAO]],tblVendas[[#This Row],[NR_SIMULACAO]],tblVendas[[#This Row],[VALOR_MOVEL]],""):_xlfn.XLOOKUP(tblCalculo[[#This Row],[NR_SIMULACAO]],tblVendas[[#This Row],[NR_SIMULACAO]],tblVendas[[#This Row],[VALOR_APARELHO]],""))</f>
        <v>15070.939999999999</v>
      </c>
      <c r="F783">
        <f>IF(tblCalculo[[#This Row],[STATUS]]="CONCLUÍDO",_xlfn.XLOOKUP(tblCalculo[[#This Row],[NR_SIMULACAO]],tblVendas[[#This Row],[NR_SIMULACAO]],tblVendas[[#This Row],[VALOR_MOVEL]],""),0)</f>
        <v>0</v>
      </c>
      <c r="G783">
        <f>IF(tblCalculo[[#This Row],[STATUS]]="CONCLUÍDO",_xlfn.XLOOKUP(tblCalculo[[#This Row],[NR_SIMULACAO]],tblVendas[[#This Row],[NR_SIMULACAO]],tblVendas[[#This Row],[VALOR_AVANCADO]],""),0)</f>
        <v>0</v>
      </c>
      <c r="H783">
        <f>IF(tblCalculo[[#This Row],[STATUS]]="CONCLUÍDO",_xlfn.XLOOKUP(tblCalculo[[#This Row],[NR_SIMULACAO]],tblVendas[[#This Row],[NR_SIMULACAO]],tblVendas[[#This Row],[VALOR_FIXABASICA]],""),0)</f>
        <v>0</v>
      </c>
      <c r="I783">
        <f>IF(tblCalculo[[#This Row],[STATUS]]="CONCLUÍDO",_xlfn.XLOOKUP(tblCalculo[[#This Row],[NR_SIMULACAO]],tblVendas[[#This Row],[NR_SIMULACAO]],tblVendas[[#This Row],[VALOR_TI]],""),0)</f>
        <v>0</v>
      </c>
      <c r="J783">
        <f>IF(tblCalculo[[#This Row],[STATUS]]="CONCLUÍDO",_xlfn.XLOOKUP(tblCalculo[[#This Row],[NR_SIMULACAO]],tblVendas[[#This Row],[NR_SIMULACAO]],tblVendas[[#This Row],[VALOR_APARELHO]],""),0)</f>
        <v>0</v>
      </c>
      <c r="K783" t="str">
        <f>IF(tblCalculo[[#This Row],[STATUS]]="NEGOCIANDO",tblCalculo[[#This Row],[VALOR_TOTAL]],"")</f>
        <v/>
      </c>
      <c r="L783" t="str">
        <f>IF(tblCalculo[[#This Row],[STATUS]]="ALÇADA",tblCalculo[[#This Row],[VALOR_TOTAL]],"")</f>
        <v/>
      </c>
      <c r="M783" t="str">
        <f>IF(tblCalculo[[#This Row],[STATUS]]="EM ANÁLISE",tblCalculo[[#This Row],[VALOR_TOTAL]],"")</f>
        <v/>
      </c>
      <c r="N783" t="str">
        <f>IF(tblCalculo[[#This Row],[STATUS]]="TRAMITANDO",tblCalculo[[#This Row],[VALOR_TOTAL]],"")</f>
        <v/>
      </c>
      <c r="O783">
        <f>IF(tblCalculo[[#This Row],[STATUS]]="PERDIDO",tblCalculo[[#This Row],[VALOR_TOTAL]],"")</f>
        <v>15070.939999999999</v>
      </c>
      <c r="P783" t="str">
        <f>IF(tblCalculo[[#This Row],[STATUS]]="CONCLUÍDO",tblCalculo[[#This Row],[VALOR_TOTAL]],"")</f>
        <v/>
      </c>
    </row>
    <row r="784" spans="1:16" x14ac:dyDescent="0.25">
      <c r="A784" t="str">
        <f>tblVendas[[#This Row],[NR_SIMULACAO]]</f>
        <v>SIM1774</v>
      </c>
      <c r="B784" s="34" t="str">
        <f>_xlfn.XLOOKUP(A784,tblVendas[[#This Row],[NR_SIMULACAO]],tblVendas[[#This Row],[NR_CNPJ]],"")</f>
        <v>52.691.416/0001-87</v>
      </c>
      <c r="C784" t="str">
        <f>_xlfn.XLOOKUP(A784,tblVendas[[#This Row],[NR_SIMULACAO]],tblVendas[[#This Row],[STATUS]],"")</f>
        <v>CONCLUÍDO</v>
      </c>
      <c r="D784" t="str">
        <f>_xlfn.XLOOKUP(A784,tblVendas[[#This Row],[NR_SIMULACAO]],tblVendas[[#This Row],[MES]],"")</f>
        <v>Março</v>
      </c>
      <c r="E784">
        <f>SUM(_xlfn.XLOOKUP(tblCalculo[[#This Row],[NR_SIMULACAO]],tblVendas[[#This Row],[NR_SIMULACAO]],tblVendas[[#This Row],[VALOR_MOVEL]],""):_xlfn.XLOOKUP(tblCalculo[[#This Row],[NR_SIMULACAO]],tblVendas[[#This Row],[NR_SIMULACAO]],tblVendas[[#This Row],[VALOR_APARELHO]],""))</f>
        <v>8893.7000000000007</v>
      </c>
      <c r="F784">
        <f>IF(tblCalculo[[#This Row],[STATUS]]="CONCLUÍDO",_xlfn.XLOOKUP(tblCalculo[[#This Row],[NR_SIMULACAO]],tblVendas[[#This Row],[NR_SIMULACAO]],tblVendas[[#This Row],[VALOR_MOVEL]],""),0)</f>
        <v>3729.19</v>
      </c>
      <c r="G784">
        <f>IF(tblCalculo[[#This Row],[STATUS]]="CONCLUÍDO",_xlfn.XLOOKUP(tblCalculo[[#This Row],[NR_SIMULACAO]],tblVendas[[#This Row],[NR_SIMULACAO]],tblVendas[[#This Row],[VALOR_AVANCADO]],""),0)</f>
        <v>193.77</v>
      </c>
      <c r="H784">
        <f>IF(tblCalculo[[#This Row],[STATUS]]="CONCLUÍDO",_xlfn.XLOOKUP(tblCalculo[[#This Row],[NR_SIMULACAO]],tblVendas[[#This Row],[NR_SIMULACAO]],tblVendas[[#This Row],[VALOR_FIXABASICA]],""),0)</f>
        <v>0</v>
      </c>
      <c r="I784">
        <f>IF(tblCalculo[[#This Row],[STATUS]]="CONCLUÍDO",_xlfn.XLOOKUP(tblCalculo[[#This Row],[NR_SIMULACAO]],tblVendas[[#This Row],[NR_SIMULACAO]],tblVendas[[#This Row],[VALOR_TI]],""),0)</f>
        <v>0</v>
      </c>
      <c r="J784">
        <f>IF(tblCalculo[[#This Row],[STATUS]]="CONCLUÍDO",_xlfn.XLOOKUP(tblCalculo[[#This Row],[NR_SIMULACAO]],tblVendas[[#This Row],[NR_SIMULACAO]],tblVendas[[#This Row],[VALOR_APARELHO]],""),0)</f>
        <v>4970.74</v>
      </c>
      <c r="K784" t="str">
        <f>IF(tblCalculo[[#This Row],[STATUS]]="NEGOCIANDO",tblCalculo[[#This Row],[VALOR_TOTAL]],"")</f>
        <v/>
      </c>
      <c r="L784" t="str">
        <f>IF(tblCalculo[[#This Row],[STATUS]]="ALÇADA",tblCalculo[[#This Row],[VALOR_TOTAL]],"")</f>
        <v/>
      </c>
      <c r="M784" t="str">
        <f>IF(tblCalculo[[#This Row],[STATUS]]="EM ANÁLISE",tblCalculo[[#This Row],[VALOR_TOTAL]],"")</f>
        <v/>
      </c>
      <c r="N784" t="str">
        <f>IF(tblCalculo[[#This Row],[STATUS]]="TRAMITANDO",tblCalculo[[#This Row],[VALOR_TOTAL]],"")</f>
        <v/>
      </c>
      <c r="O784" t="str">
        <f>IF(tblCalculo[[#This Row],[STATUS]]="PERDIDO",tblCalculo[[#This Row],[VALOR_TOTAL]],"")</f>
        <v/>
      </c>
      <c r="P784">
        <f>IF(tblCalculo[[#This Row],[STATUS]]="CONCLUÍDO",tblCalculo[[#This Row],[VALOR_TOTAL]],"")</f>
        <v>8893.7000000000007</v>
      </c>
    </row>
    <row r="785" spans="1:16" x14ac:dyDescent="0.25">
      <c r="A785" t="str">
        <f>tblVendas[[#This Row],[NR_SIMULACAO]]</f>
        <v>SIM1775</v>
      </c>
      <c r="B785" s="34" t="str">
        <f>_xlfn.XLOOKUP(A785,tblVendas[[#This Row],[NR_SIMULACAO]],tblVendas[[#This Row],[NR_CNPJ]],"")</f>
        <v>37.736.234/0001-94</v>
      </c>
      <c r="C785" t="str">
        <f>_xlfn.XLOOKUP(A785,tblVendas[[#This Row],[NR_SIMULACAO]],tblVendas[[#This Row],[STATUS]],"")</f>
        <v>ALÇADA</v>
      </c>
      <c r="D785" t="str">
        <f>_xlfn.XLOOKUP(A785,tblVendas[[#This Row],[NR_SIMULACAO]],tblVendas[[#This Row],[MES]],"")</f>
        <v>Abril</v>
      </c>
      <c r="E785">
        <f>SUM(_xlfn.XLOOKUP(tblCalculo[[#This Row],[NR_SIMULACAO]],tblVendas[[#This Row],[NR_SIMULACAO]],tblVendas[[#This Row],[VALOR_MOVEL]],""):_xlfn.XLOOKUP(tblCalculo[[#This Row],[NR_SIMULACAO]],tblVendas[[#This Row],[NR_SIMULACAO]],tblVendas[[#This Row],[VALOR_APARELHO]],""))</f>
        <v>10469.81</v>
      </c>
      <c r="F785">
        <f>IF(tblCalculo[[#This Row],[STATUS]]="CONCLUÍDO",_xlfn.XLOOKUP(tblCalculo[[#This Row],[NR_SIMULACAO]],tblVendas[[#This Row],[NR_SIMULACAO]],tblVendas[[#This Row],[VALOR_MOVEL]],""),0)</f>
        <v>0</v>
      </c>
      <c r="G785">
        <f>IF(tblCalculo[[#This Row],[STATUS]]="CONCLUÍDO",_xlfn.XLOOKUP(tblCalculo[[#This Row],[NR_SIMULACAO]],tblVendas[[#This Row],[NR_SIMULACAO]],tblVendas[[#This Row],[VALOR_AVANCADO]],""),0)</f>
        <v>0</v>
      </c>
      <c r="H785">
        <f>IF(tblCalculo[[#This Row],[STATUS]]="CONCLUÍDO",_xlfn.XLOOKUP(tblCalculo[[#This Row],[NR_SIMULACAO]],tblVendas[[#This Row],[NR_SIMULACAO]],tblVendas[[#This Row],[VALOR_FIXABASICA]],""),0)</f>
        <v>0</v>
      </c>
      <c r="I785">
        <f>IF(tblCalculo[[#This Row],[STATUS]]="CONCLUÍDO",_xlfn.XLOOKUP(tblCalculo[[#This Row],[NR_SIMULACAO]],tblVendas[[#This Row],[NR_SIMULACAO]],tblVendas[[#This Row],[VALOR_TI]],""),0)</f>
        <v>0</v>
      </c>
      <c r="J785">
        <f>IF(tblCalculo[[#This Row],[STATUS]]="CONCLUÍDO",_xlfn.XLOOKUP(tblCalculo[[#This Row],[NR_SIMULACAO]],tblVendas[[#This Row],[NR_SIMULACAO]],tblVendas[[#This Row],[VALOR_APARELHO]],""),0)</f>
        <v>0</v>
      </c>
      <c r="K785" t="str">
        <f>IF(tblCalculo[[#This Row],[STATUS]]="NEGOCIANDO",tblCalculo[[#This Row],[VALOR_TOTAL]],"")</f>
        <v/>
      </c>
      <c r="L785">
        <f>IF(tblCalculo[[#This Row],[STATUS]]="ALÇADA",tblCalculo[[#This Row],[VALOR_TOTAL]],"")</f>
        <v>10469.81</v>
      </c>
      <c r="M785" t="str">
        <f>IF(tblCalculo[[#This Row],[STATUS]]="EM ANÁLISE",tblCalculo[[#This Row],[VALOR_TOTAL]],"")</f>
        <v/>
      </c>
      <c r="N785" t="str">
        <f>IF(tblCalculo[[#This Row],[STATUS]]="TRAMITANDO",tblCalculo[[#This Row],[VALOR_TOTAL]],"")</f>
        <v/>
      </c>
      <c r="O785" t="str">
        <f>IF(tblCalculo[[#This Row],[STATUS]]="PERDIDO",tblCalculo[[#This Row],[VALOR_TOTAL]],"")</f>
        <v/>
      </c>
      <c r="P785" t="str">
        <f>IF(tblCalculo[[#This Row],[STATUS]]="CONCLUÍDO",tblCalculo[[#This Row],[VALOR_TOTAL]],"")</f>
        <v/>
      </c>
    </row>
    <row r="786" spans="1:16" x14ac:dyDescent="0.25">
      <c r="A786" t="str">
        <f>tblVendas[[#This Row],[NR_SIMULACAO]]</f>
        <v>SIM1776</v>
      </c>
      <c r="B786" s="34" t="str">
        <f>_xlfn.XLOOKUP(A786,tblVendas[[#This Row],[NR_SIMULACAO]],tblVendas[[#This Row],[NR_CNPJ]],"")</f>
        <v>48.233.203/0001-56</v>
      </c>
      <c r="C786" t="str">
        <f>_xlfn.XLOOKUP(A786,tblVendas[[#This Row],[NR_SIMULACAO]],tblVendas[[#This Row],[STATUS]],"")</f>
        <v>EM ANÁLISE</v>
      </c>
      <c r="D786" t="str">
        <f>_xlfn.XLOOKUP(A786,tblVendas[[#This Row],[NR_SIMULACAO]],tblVendas[[#This Row],[MES]],"")</f>
        <v>Julho</v>
      </c>
      <c r="E786">
        <f>SUM(_xlfn.XLOOKUP(tblCalculo[[#This Row],[NR_SIMULACAO]],tblVendas[[#This Row],[NR_SIMULACAO]],tblVendas[[#This Row],[VALOR_MOVEL]],""):_xlfn.XLOOKUP(tblCalculo[[#This Row],[NR_SIMULACAO]],tblVendas[[#This Row],[NR_SIMULACAO]],tblVendas[[#This Row],[VALOR_APARELHO]],""))</f>
        <v>9443.08</v>
      </c>
      <c r="F786">
        <f>IF(tblCalculo[[#This Row],[STATUS]]="CONCLUÍDO",_xlfn.XLOOKUP(tblCalculo[[#This Row],[NR_SIMULACAO]],tblVendas[[#This Row],[NR_SIMULACAO]],tblVendas[[#This Row],[VALOR_MOVEL]],""),0)</f>
        <v>0</v>
      </c>
      <c r="G786">
        <f>IF(tblCalculo[[#This Row],[STATUS]]="CONCLUÍDO",_xlfn.XLOOKUP(tblCalculo[[#This Row],[NR_SIMULACAO]],tblVendas[[#This Row],[NR_SIMULACAO]],tblVendas[[#This Row],[VALOR_AVANCADO]],""),0)</f>
        <v>0</v>
      </c>
      <c r="H786">
        <f>IF(tblCalculo[[#This Row],[STATUS]]="CONCLUÍDO",_xlfn.XLOOKUP(tblCalculo[[#This Row],[NR_SIMULACAO]],tblVendas[[#This Row],[NR_SIMULACAO]],tblVendas[[#This Row],[VALOR_FIXABASICA]],""),0)</f>
        <v>0</v>
      </c>
      <c r="I786">
        <f>IF(tblCalculo[[#This Row],[STATUS]]="CONCLUÍDO",_xlfn.XLOOKUP(tblCalculo[[#This Row],[NR_SIMULACAO]],tblVendas[[#This Row],[NR_SIMULACAO]],tblVendas[[#This Row],[VALOR_TI]],""),0)</f>
        <v>0</v>
      </c>
      <c r="J786">
        <f>IF(tblCalculo[[#This Row],[STATUS]]="CONCLUÍDO",_xlfn.XLOOKUP(tblCalculo[[#This Row],[NR_SIMULACAO]],tblVendas[[#This Row],[NR_SIMULACAO]],tblVendas[[#This Row],[VALOR_APARELHO]],""),0)</f>
        <v>0</v>
      </c>
      <c r="K786" t="str">
        <f>IF(tblCalculo[[#This Row],[STATUS]]="NEGOCIANDO",tblCalculo[[#This Row],[VALOR_TOTAL]],"")</f>
        <v/>
      </c>
      <c r="L786" t="str">
        <f>IF(tblCalculo[[#This Row],[STATUS]]="ALÇADA",tblCalculo[[#This Row],[VALOR_TOTAL]],"")</f>
        <v/>
      </c>
      <c r="M786">
        <f>IF(tblCalculo[[#This Row],[STATUS]]="EM ANÁLISE",tblCalculo[[#This Row],[VALOR_TOTAL]],"")</f>
        <v>9443.08</v>
      </c>
      <c r="N786" t="str">
        <f>IF(tblCalculo[[#This Row],[STATUS]]="TRAMITANDO",tblCalculo[[#This Row],[VALOR_TOTAL]],"")</f>
        <v/>
      </c>
      <c r="O786" t="str">
        <f>IF(tblCalculo[[#This Row],[STATUS]]="PERDIDO",tblCalculo[[#This Row],[VALOR_TOTAL]],"")</f>
        <v/>
      </c>
      <c r="P786" t="str">
        <f>IF(tblCalculo[[#This Row],[STATUS]]="CONCLUÍDO",tblCalculo[[#This Row],[VALOR_TOTAL]],"")</f>
        <v/>
      </c>
    </row>
    <row r="787" spans="1:16" x14ac:dyDescent="0.25">
      <c r="A787" t="str">
        <f>tblVendas[[#This Row],[NR_SIMULACAO]]</f>
        <v>SIM1777</v>
      </c>
      <c r="B787" s="34" t="str">
        <f>_xlfn.XLOOKUP(A787,tblVendas[[#This Row],[NR_SIMULACAO]],tblVendas[[#This Row],[NR_CNPJ]],"")</f>
        <v>51.320.615/0001-95</v>
      </c>
      <c r="C787" t="str">
        <f>_xlfn.XLOOKUP(A787,tblVendas[[#This Row],[NR_SIMULACAO]],tblVendas[[#This Row],[STATUS]],"")</f>
        <v>CONCLUÍDO</v>
      </c>
      <c r="D787" t="str">
        <f>_xlfn.XLOOKUP(A787,tblVendas[[#This Row],[NR_SIMULACAO]],tblVendas[[#This Row],[MES]],"")</f>
        <v>Agosto</v>
      </c>
      <c r="E787">
        <f>SUM(_xlfn.XLOOKUP(tblCalculo[[#This Row],[NR_SIMULACAO]],tblVendas[[#This Row],[NR_SIMULACAO]],tblVendas[[#This Row],[VALOR_MOVEL]],""):_xlfn.XLOOKUP(tblCalculo[[#This Row],[NR_SIMULACAO]],tblVendas[[#This Row],[NR_SIMULACAO]],tblVendas[[#This Row],[VALOR_APARELHO]],""))</f>
        <v>15558.31</v>
      </c>
      <c r="F787">
        <f>IF(tblCalculo[[#This Row],[STATUS]]="CONCLUÍDO",_xlfn.XLOOKUP(tblCalculo[[#This Row],[NR_SIMULACAO]],tblVendas[[#This Row],[NR_SIMULACAO]],tblVendas[[#This Row],[VALOR_MOVEL]],""),0)</f>
        <v>7533.66</v>
      </c>
      <c r="G787">
        <f>IF(tblCalculo[[#This Row],[STATUS]]="CONCLUÍDO",_xlfn.XLOOKUP(tblCalculo[[#This Row],[NR_SIMULACAO]],tblVendas[[#This Row],[NR_SIMULACAO]],tblVendas[[#This Row],[VALOR_AVANCADO]],""),0)</f>
        <v>1581.42</v>
      </c>
      <c r="H787">
        <f>IF(tblCalculo[[#This Row],[STATUS]]="CONCLUÍDO",_xlfn.XLOOKUP(tblCalculo[[#This Row],[NR_SIMULACAO]],tblVendas[[#This Row],[NR_SIMULACAO]],tblVendas[[#This Row],[VALOR_FIXABASICA]],""),0)</f>
        <v>1622.98</v>
      </c>
      <c r="I787">
        <f>IF(tblCalculo[[#This Row],[STATUS]]="CONCLUÍDO",_xlfn.XLOOKUP(tblCalculo[[#This Row],[NR_SIMULACAO]],tblVendas[[#This Row],[NR_SIMULACAO]],tblVendas[[#This Row],[VALOR_TI]],""),0)</f>
        <v>4820.25</v>
      </c>
      <c r="J787">
        <f>IF(tblCalculo[[#This Row],[STATUS]]="CONCLUÍDO",_xlfn.XLOOKUP(tblCalculo[[#This Row],[NR_SIMULACAO]],tblVendas[[#This Row],[NR_SIMULACAO]],tblVendas[[#This Row],[VALOR_APARELHO]],""),0)</f>
        <v>0</v>
      </c>
      <c r="K787" t="str">
        <f>IF(tblCalculo[[#This Row],[STATUS]]="NEGOCIANDO",tblCalculo[[#This Row],[VALOR_TOTAL]],"")</f>
        <v/>
      </c>
      <c r="L787" t="str">
        <f>IF(tblCalculo[[#This Row],[STATUS]]="ALÇADA",tblCalculo[[#This Row],[VALOR_TOTAL]],"")</f>
        <v/>
      </c>
      <c r="M787" t="str">
        <f>IF(tblCalculo[[#This Row],[STATUS]]="EM ANÁLISE",tblCalculo[[#This Row],[VALOR_TOTAL]],"")</f>
        <v/>
      </c>
      <c r="N787" t="str">
        <f>IF(tblCalculo[[#This Row],[STATUS]]="TRAMITANDO",tblCalculo[[#This Row],[VALOR_TOTAL]],"")</f>
        <v/>
      </c>
      <c r="O787" t="str">
        <f>IF(tblCalculo[[#This Row],[STATUS]]="PERDIDO",tblCalculo[[#This Row],[VALOR_TOTAL]],"")</f>
        <v/>
      </c>
      <c r="P787">
        <f>IF(tblCalculo[[#This Row],[STATUS]]="CONCLUÍDO",tblCalculo[[#This Row],[VALOR_TOTAL]],"")</f>
        <v>15558.31</v>
      </c>
    </row>
    <row r="788" spans="1:16" x14ac:dyDescent="0.25">
      <c r="A788" t="str">
        <f>tblVendas[[#This Row],[NR_SIMULACAO]]</f>
        <v>SIM1778</v>
      </c>
      <c r="B788" s="34" t="str">
        <f>_xlfn.XLOOKUP(A788,tblVendas[[#This Row],[NR_SIMULACAO]],tblVendas[[#This Row],[NR_CNPJ]],"")</f>
        <v>57.986.755/0001-99</v>
      </c>
      <c r="C788" t="str">
        <f>_xlfn.XLOOKUP(A788,tblVendas[[#This Row],[NR_SIMULACAO]],tblVendas[[#This Row],[STATUS]],"")</f>
        <v>EM ANÁLISE</v>
      </c>
      <c r="D788" t="str">
        <f>_xlfn.XLOOKUP(A788,tblVendas[[#This Row],[NR_SIMULACAO]],tblVendas[[#This Row],[MES]],"")</f>
        <v>Junho</v>
      </c>
      <c r="E788">
        <f>SUM(_xlfn.XLOOKUP(tblCalculo[[#This Row],[NR_SIMULACAO]],tblVendas[[#This Row],[NR_SIMULACAO]],tblVendas[[#This Row],[VALOR_MOVEL]],""):_xlfn.XLOOKUP(tblCalculo[[#This Row],[NR_SIMULACAO]],tblVendas[[#This Row],[NR_SIMULACAO]],tblVendas[[#This Row],[VALOR_APARELHO]],""))</f>
        <v>7667.52</v>
      </c>
      <c r="F788">
        <f>IF(tblCalculo[[#This Row],[STATUS]]="CONCLUÍDO",_xlfn.XLOOKUP(tblCalculo[[#This Row],[NR_SIMULACAO]],tblVendas[[#This Row],[NR_SIMULACAO]],tblVendas[[#This Row],[VALOR_MOVEL]],""),0)</f>
        <v>0</v>
      </c>
      <c r="G788">
        <f>IF(tblCalculo[[#This Row],[STATUS]]="CONCLUÍDO",_xlfn.XLOOKUP(tblCalculo[[#This Row],[NR_SIMULACAO]],tblVendas[[#This Row],[NR_SIMULACAO]],tblVendas[[#This Row],[VALOR_AVANCADO]],""),0)</f>
        <v>0</v>
      </c>
      <c r="H788">
        <f>IF(tblCalculo[[#This Row],[STATUS]]="CONCLUÍDO",_xlfn.XLOOKUP(tblCalculo[[#This Row],[NR_SIMULACAO]],tblVendas[[#This Row],[NR_SIMULACAO]],tblVendas[[#This Row],[VALOR_FIXABASICA]],""),0)</f>
        <v>0</v>
      </c>
      <c r="I788">
        <f>IF(tblCalculo[[#This Row],[STATUS]]="CONCLUÍDO",_xlfn.XLOOKUP(tblCalculo[[#This Row],[NR_SIMULACAO]],tblVendas[[#This Row],[NR_SIMULACAO]],tblVendas[[#This Row],[VALOR_TI]],""),0)</f>
        <v>0</v>
      </c>
      <c r="J788">
        <f>IF(tblCalculo[[#This Row],[STATUS]]="CONCLUÍDO",_xlfn.XLOOKUP(tblCalculo[[#This Row],[NR_SIMULACAO]],tblVendas[[#This Row],[NR_SIMULACAO]],tblVendas[[#This Row],[VALOR_APARELHO]],""),0)</f>
        <v>0</v>
      </c>
      <c r="K788" t="str">
        <f>IF(tblCalculo[[#This Row],[STATUS]]="NEGOCIANDO",tblCalculo[[#This Row],[VALOR_TOTAL]],"")</f>
        <v/>
      </c>
      <c r="L788" t="str">
        <f>IF(tblCalculo[[#This Row],[STATUS]]="ALÇADA",tblCalculo[[#This Row],[VALOR_TOTAL]],"")</f>
        <v/>
      </c>
      <c r="M788">
        <f>IF(tblCalculo[[#This Row],[STATUS]]="EM ANÁLISE",tblCalculo[[#This Row],[VALOR_TOTAL]],"")</f>
        <v>7667.52</v>
      </c>
      <c r="N788" t="str">
        <f>IF(tblCalculo[[#This Row],[STATUS]]="TRAMITANDO",tblCalculo[[#This Row],[VALOR_TOTAL]],"")</f>
        <v/>
      </c>
      <c r="O788" t="str">
        <f>IF(tblCalculo[[#This Row],[STATUS]]="PERDIDO",tblCalculo[[#This Row],[VALOR_TOTAL]],"")</f>
        <v/>
      </c>
      <c r="P788" t="str">
        <f>IF(tblCalculo[[#This Row],[STATUS]]="CONCLUÍDO",tblCalculo[[#This Row],[VALOR_TOTAL]],"")</f>
        <v/>
      </c>
    </row>
    <row r="789" spans="1:16" x14ac:dyDescent="0.25">
      <c r="A789" t="str">
        <f>tblVendas[[#This Row],[NR_SIMULACAO]]</f>
        <v>SIM1779</v>
      </c>
      <c r="B789" s="34" t="str">
        <f>_xlfn.XLOOKUP(A789,tblVendas[[#This Row],[NR_SIMULACAO]],tblVendas[[#This Row],[NR_CNPJ]],"")</f>
        <v>36.227.335/0001-19</v>
      </c>
      <c r="C789" t="str">
        <f>_xlfn.XLOOKUP(A789,tblVendas[[#This Row],[NR_SIMULACAO]],tblVendas[[#This Row],[STATUS]],"")</f>
        <v>PERDIDO</v>
      </c>
      <c r="D789" t="str">
        <f>_xlfn.XLOOKUP(A789,tblVendas[[#This Row],[NR_SIMULACAO]],tblVendas[[#This Row],[MES]],"")</f>
        <v>Junho</v>
      </c>
      <c r="E789">
        <f>SUM(_xlfn.XLOOKUP(tblCalculo[[#This Row],[NR_SIMULACAO]],tblVendas[[#This Row],[NR_SIMULACAO]],tblVendas[[#This Row],[VALOR_MOVEL]],""):_xlfn.XLOOKUP(tblCalculo[[#This Row],[NR_SIMULACAO]],tblVendas[[#This Row],[NR_SIMULACAO]],tblVendas[[#This Row],[VALOR_APARELHO]],""))</f>
        <v>11910.509999999998</v>
      </c>
      <c r="F789">
        <f>IF(tblCalculo[[#This Row],[STATUS]]="CONCLUÍDO",_xlfn.XLOOKUP(tblCalculo[[#This Row],[NR_SIMULACAO]],tblVendas[[#This Row],[NR_SIMULACAO]],tblVendas[[#This Row],[VALOR_MOVEL]],""),0)</f>
        <v>0</v>
      </c>
      <c r="G789">
        <f>IF(tblCalculo[[#This Row],[STATUS]]="CONCLUÍDO",_xlfn.XLOOKUP(tblCalculo[[#This Row],[NR_SIMULACAO]],tblVendas[[#This Row],[NR_SIMULACAO]],tblVendas[[#This Row],[VALOR_AVANCADO]],""),0)</f>
        <v>0</v>
      </c>
      <c r="H789">
        <f>IF(tblCalculo[[#This Row],[STATUS]]="CONCLUÍDO",_xlfn.XLOOKUP(tblCalculo[[#This Row],[NR_SIMULACAO]],tblVendas[[#This Row],[NR_SIMULACAO]],tblVendas[[#This Row],[VALOR_FIXABASICA]],""),0)</f>
        <v>0</v>
      </c>
      <c r="I789">
        <f>IF(tblCalculo[[#This Row],[STATUS]]="CONCLUÍDO",_xlfn.XLOOKUP(tblCalculo[[#This Row],[NR_SIMULACAO]],tblVendas[[#This Row],[NR_SIMULACAO]],tblVendas[[#This Row],[VALOR_TI]],""),0)</f>
        <v>0</v>
      </c>
      <c r="J789">
        <f>IF(tblCalculo[[#This Row],[STATUS]]="CONCLUÍDO",_xlfn.XLOOKUP(tblCalculo[[#This Row],[NR_SIMULACAO]],tblVendas[[#This Row],[NR_SIMULACAO]],tblVendas[[#This Row],[VALOR_APARELHO]],""),0)</f>
        <v>0</v>
      </c>
      <c r="K789" t="str">
        <f>IF(tblCalculo[[#This Row],[STATUS]]="NEGOCIANDO",tblCalculo[[#This Row],[VALOR_TOTAL]],"")</f>
        <v/>
      </c>
      <c r="L789" t="str">
        <f>IF(tblCalculo[[#This Row],[STATUS]]="ALÇADA",tblCalculo[[#This Row],[VALOR_TOTAL]],"")</f>
        <v/>
      </c>
      <c r="M789" t="str">
        <f>IF(tblCalculo[[#This Row],[STATUS]]="EM ANÁLISE",tblCalculo[[#This Row],[VALOR_TOTAL]],"")</f>
        <v/>
      </c>
      <c r="N789" t="str">
        <f>IF(tblCalculo[[#This Row],[STATUS]]="TRAMITANDO",tblCalculo[[#This Row],[VALOR_TOTAL]],"")</f>
        <v/>
      </c>
      <c r="O789">
        <f>IF(tblCalculo[[#This Row],[STATUS]]="PERDIDO",tblCalculo[[#This Row],[VALOR_TOTAL]],"")</f>
        <v>11910.509999999998</v>
      </c>
      <c r="P789" t="str">
        <f>IF(tblCalculo[[#This Row],[STATUS]]="CONCLUÍDO",tblCalculo[[#This Row],[VALOR_TOTAL]],"")</f>
        <v/>
      </c>
    </row>
    <row r="790" spans="1:16" x14ac:dyDescent="0.25">
      <c r="A790" t="str">
        <f>tblVendas[[#This Row],[NR_SIMULACAO]]</f>
        <v>SIM1780</v>
      </c>
      <c r="B790" s="34" t="str">
        <f>_xlfn.XLOOKUP(A790,tblVendas[[#This Row],[NR_SIMULACAO]],tblVendas[[#This Row],[NR_CNPJ]],"")</f>
        <v>18.895.522/0001-82</v>
      </c>
      <c r="C790" t="str">
        <f>_xlfn.XLOOKUP(A790,tblVendas[[#This Row],[NR_SIMULACAO]],tblVendas[[#This Row],[STATUS]],"")</f>
        <v>PERDIDO</v>
      </c>
      <c r="D790" t="str">
        <f>_xlfn.XLOOKUP(A790,tblVendas[[#This Row],[NR_SIMULACAO]],tblVendas[[#This Row],[MES]],"")</f>
        <v>Outubro</v>
      </c>
      <c r="E790">
        <f>SUM(_xlfn.XLOOKUP(tblCalculo[[#This Row],[NR_SIMULACAO]],tblVendas[[#This Row],[NR_SIMULACAO]],tblVendas[[#This Row],[VALOR_MOVEL]],""):_xlfn.XLOOKUP(tblCalculo[[#This Row],[NR_SIMULACAO]],tblVendas[[#This Row],[NR_SIMULACAO]],tblVendas[[#This Row],[VALOR_APARELHO]],""))</f>
        <v>8916.32</v>
      </c>
      <c r="F790">
        <f>IF(tblCalculo[[#This Row],[STATUS]]="CONCLUÍDO",_xlfn.XLOOKUP(tblCalculo[[#This Row],[NR_SIMULACAO]],tblVendas[[#This Row],[NR_SIMULACAO]],tblVendas[[#This Row],[VALOR_MOVEL]],""),0)</f>
        <v>0</v>
      </c>
      <c r="G790">
        <f>IF(tblCalculo[[#This Row],[STATUS]]="CONCLUÍDO",_xlfn.XLOOKUP(tblCalculo[[#This Row],[NR_SIMULACAO]],tblVendas[[#This Row],[NR_SIMULACAO]],tblVendas[[#This Row],[VALOR_AVANCADO]],""),0)</f>
        <v>0</v>
      </c>
      <c r="H790">
        <f>IF(tblCalculo[[#This Row],[STATUS]]="CONCLUÍDO",_xlfn.XLOOKUP(tblCalculo[[#This Row],[NR_SIMULACAO]],tblVendas[[#This Row],[NR_SIMULACAO]],tblVendas[[#This Row],[VALOR_FIXABASICA]],""),0)</f>
        <v>0</v>
      </c>
      <c r="I790">
        <f>IF(tblCalculo[[#This Row],[STATUS]]="CONCLUÍDO",_xlfn.XLOOKUP(tblCalculo[[#This Row],[NR_SIMULACAO]],tblVendas[[#This Row],[NR_SIMULACAO]],tblVendas[[#This Row],[VALOR_TI]],""),0)</f>
        <v>0</v>
      </c>
      <c r="J790">
        <f>IF(tblCalculo[[#This Row],[STATUS]]="CONCLUÍDO",_xlfn.XLOOKUP(tblCalculo[[#This Row],[NR_SIMULACAO]],tblVendas[[#This Row],[NR_SIMULACAO]],tblVendas[[#This Row],[VALOR_APARELHO]],""),0)</f>
        <v>0</v>
      </c>
      <c r="K790" t="str">
        <f>IF(tblCalculo[[#This Row],[STATUS]]="NEGOCIANDO",tblCalculo[[#This Row],[VALOR_TOTAL]],"")</f>
        <v/>
      </c>
      <c r="L790" t="str">
        <f>IF(tblCalculo[[#This Row],[STATUS]]="ALÇADA",tblCalculo[[#This Row],[VALOR_TOTAL]],"")</f>
        <v/>
      </c>
      <c r="M790" t="str">
        <f>IF(tblCalculo[[#This Row],[STATUS]]="EM ANÁLISE",tblCalculo[[#This Row],[VALOR_TOTAL]],"")</f>
        <v/>
      </c>
      <c r="N790" t="str">
        <f>IF(tblCalculo[[#This Row],[STATUS]]="TRAMITANDO",tblCalculo[[#This Row],[VALOR_TOTAL]],"")</f>
        <v/>
      </c>
      <c r="O790">
        <f>IF(tblCalculo[[#This Row],[STATUS]]="PERDIDO",tblCalculo[[#This Row],[VALOR_TOTAL]],"")</f>
        <v>8916.32</v>
      </c>
      <c r="P790" t="str">
        <f>IF(tblCalculo[[#This Row],[STATUS]]="CONCLUÍDO",tblCalculo[[#This Row],[VALOR_TOTAL]],"")</f>
        <v/>
      </c>
    </row>
    <row r="791" spans="1:16" x14ac:dyDescent="0.25">
      <c r="A791" t="str">
        <f>tblVendas[[#This Row],[NR_SIMULACAO]]</f>
        <v>SIM1781</v>
      </c>
      <c r="B791" s="34" t="str">
        <f>_xlfn.XLOOKUP(A791,tblVendas[[#This Row],[NR_SIMULACAO]],tblVendas[[#This Row],[NR_CNPJ]],"")</f>
        <v>12.727.498/0001-64</v>
      </c>
      <c r="C791" t="str">
        <f>_xlfn.XLOOKUP(A791,tblVendas[[#This Row],[NR_SIMULACAO]],tblVendas[[#This Row],[STATUS]],"")</f>
        <v>CONCLUÍDO</v>
      </c>
      <c r="D791" t="str">
        <f>_xlfn.XLOOKUP(A791,tblVendas[[#This Row],[NR_SIMULACAO]],tblVendas[[#This Row],[MES]],"")</f>
        <v>Outubro</v>
      </c>
      <c r="E791">
        <f>SUM(_xlfn.XLOOKUP(tblCalculo[[#This Row],[NR_SIMULACAO]],tblVendas[[#This Row],[NR_SIMULACAO]],tblVendas[[#This Row],[VALOR_MOVEL]],""):_xlfn.XLOOKUP(tblCalculo[[#This Row],[NR_SIMULACAO]],tblVendas[[#This Row],[NR_SIMULACAO]],tblVendas[[#This Row],[VALOR_APARELHO]],""))</f>
        <v>12917.04</v>
      </c>
      <c r="F791">
        <f>IF(tblCalculo[[#This Row],[STATUS]]="CONCLUÍDO",_xlfn.XLOOKUP(tblCalculo[[#This Row],[NR_SIMULACAO]],tblVendas[[#This Row],[NR_SIMULACAO]],tblVendas[[#This Row],[VALOR_MOVEL]],""),0)</f>
        <v>0</v>
      </c>
      <c r="G791">
        <f>IF(tblCalculo[[#This Row],[STATUS]]="CONCLUÍDO",_xlfn.XLOOKUP(tblCalculo[[#This Row],[NR_SIMULACAO]],tblVendas[[#This Row],[NR_SIMULACAO]],tblVendas[[#This Row],[VALOR_AVANCADO]],""),0)</f>
        <v>2664.67</v>
      </c>
      <c r="H791">
        <f>IF(tblCalculo[[#This Row],[STATUS]]="CONCLUÍDO",_xlfn.XLOOKUP(tblCalculo[[#This Row],[NR_SIMULACAO]],tblVendas[[#This Row],[NR_SIMULACAO]],tblVendas[[#This Row],[VALOR_FIXABASICA]],""),0)</f>
        <v>0</v>
      </c>
      <c r="I791">
        <f>IF(tblCalculo[[#This Row],[STATUS]]="CONCLUÍDO",_xlfn.XLOOKUP(tblCalculo[[#This Row],[NR_SIMULACAO]],tblVendas[[#This Row],[NR_SIMULACAO]],tblVendas[[#This Row],[VALOR_TI]],""),0)</f>
        <v>10252.370000000001</v>
      </c>
      <c r="J791">
        <f>IF(tblCalculo[[#This Row],[STATUS]]="CONCLUÍDO",_xlfn.XLOOKUP(tblCalculo[[#This Row],[NR_SIMULACAO]],tblVendas[[#This Row],[NR_SIMULACAO]],tblVendas[[#This Row],[VALOR_APARELHO]],""),0)</f>
        <v>0</v>
      </c>
      <c r="K791" t="str">
        <f>IF(tblCalculo[[#This Row],[STATUS]]="NEGOCIANDO",tblCalculo[[#This Row],[VALOR_TOTAL]],"")</f>
        <v/>
      </c>
      <c r="L791" t="str">
        <f>IF(tblCalculo[[#This Row],[STATUS]]="ALÇADA",tblCalculo[[#This Row],[VALOR_TOTAL]],"")</f>
        <v/>
      </c>
      <c r="M791" t="str">
        <f>IF(tblCalculo[[#This Row],[STATUS]]="EM ANÁLISE",tblCalculo[[#This Row],[VALOR_TOTAL]],"")</f>
        <v/>
      </c>
      <c r="N791" t="str">
        <f>IF(tblCalculo[[#This Row],[STATUS]]="TRAMITANDO",tblCalculo[[#This Row],[VALOR_TOTAL]],"")</f>
        <v/>
      </c>
      <c r="O791" t="str">
        <f>IF(tblCalculo[[#This Row],[STATUS]]="PERDIDO",tblCalculo[[#This Row],[VALOR_TOTAL]],"")</f>
        <v/>
      </c>
      <c r="P791">
        <f>IF(tblCalculo[[#This Row],[STATUS]]="CONCLUÍDO",tblCalculo[[#This Row],[VALOR_TOTAL]],"")</f>
        <v>12917.04</v>
      </c>
    </row>
    <row r="792" spans="1:16" x14ac:dyDescent="0.25">
      <c r="A792" t="str">
        <f>tblVendas[[#This Row],[NR_SIMULACAO]]</f>
        <v>SIM1782</v>
      </c>
      <c r="B792" s="34" t="str">
        <f>_xlfn.XLOOKUP(A792,tblVendas[[#This Row],[NR_SIMULACAO]],tblVendas[[#This Row],[NR_CNPJ]],"")</f>
        <v>91.336.304/0001-61</v>
      </c>
      <c r="C792" t="str">
        <f>_xlfn.XLOOKUP(A792,tblVendas[[#This Row],[NR_SIMULACAO]],tblVendas[[#This Row],[STATUS]],"")</f>
        <v>EM ANÁLISE</v>
      </c>
      <c r="D792" t="str">
        <f>_xlfn.XLOOKUP(A792,tblVendas[[#This Row],[NR_SIMULACAO]],tblVendas[[#This Row],[MES]],"")</f>
        <v>Dezembro</v>
      </c>
      <c r="E792">
        <f>SUM(_xlfn.XLOOKUP(tblCalculo[[#This Row],[NR_SIMULACAO]],tblVendas[[#This Row],[NR_SIMULACAO]],tblVendas[[#This Row],[VALOR_MOVEL]],""):_xlfn.XLOOKUP(tblCalculo[[#This Row],[NR_SIMULACAO]],tblVendas[[#This Row],[NR_SIMULACAO]],tblVendas[[#This Row],[VALOR_APARELHO]],""))</f>
        <v>17253.91</v>
      </c>
      <c r="F792">
        <f>IF(tblCalculo[[#This Row],[STATUS]]="CONCLUÍDO",_xlfn.XLOOKUP(tblCalculo[[#This Row],[NR_SIMULACAO]],tblVendas[[#This Row],[NR_SIMULACAO]],tblVendas[[#This Row],[VALOR_MOVEL]],""),0)</f>
        <v>0</v>
      </c>
      <c r="G792">
        <f>IF(tblCalculo[[#This Row],[STATUS]]="CONCLUÍDO",_xlfn.XLOOKUP(tblCalculo[[#This Row],[NR_SIMULACAO]],tblVendas[[#This Row],[NR_SIMULACAO]],tblVendas[[#This Row],[VALOR_AVANCADO]],""),0)</f>
        <v>0</v>
      </c>
      <c r="H792">
        <f>IF(tblCalculo[[#This Row],[STATUS]]="CONCLUÍDO",_xlfn.XLOOKUP(tblCalculo[[#This Row],[NR_SIMULACAO]],tblVendas[[#This Row],[NR_SIMULACAO]],tblVendas[[#This Row],[VALOR_FIXABASICA]],""),0)</f>
        <v>0</v>
      </c>
      <c r="I792">
        <f>IF(tblCalculo[[#This Row],[STATUS]]="CONCLUÍDO",_xlfn.XLOOKUP(tblCalculo[[#This Row],[NR_SIMULACAO]],tblVendas[[#This Row],[NR_SIMULACAO]],tblVendas[[#This Row],[VALOR_TI]],""),0)</f>
        <v>0</v>
      </c>
      <c r="J792">
        <f>IF(tblCalculo[[#This Row],[STATUS]]="CONCLUÍDO",_xlfn.XLOOKUP(tblCalculo[[#This Row],[NR_SIMULACAO]],tblVendas[[#This Row],[NR_SIMULACAO]],tblVendas[[#This Row],[VALOR_APARELHO]],""),0)</f>
        <v>0</v>
      </c>
      <c r="K792" t="str">
        <f>IF(tblCalculo[[#This Row],[STATUS]]="NEGOCIANDO",tblCalculo[[#This Row],[VALOR_TOTAL]],"")</f>
        <v/>
      </c>
      <c r="L792" t="str">
        <f>IF(tblCalculo[[#This Row],[STATUS]]="ALÇADA",tblCalculo[[#This Row],[VALOR_TOTAL]],"")</f>
        <v/>
      </c>
      <c r="M792">
        <f>IF(tblCalculo[[#This Row],[STATUS]]="EM ANÁLISE",tblCalculo[[#This Row],[VALOR_TOTAL]],"")</f>
        <v>17253.91</v>
      </c>
      <c r="N792" t="str">
        <f>IF(tblCalculo[[#This Row],[STATUS]]="TRAMITANDO",tblCalculo[[#This Row],[VALOR_TOTAL]],"")</f>
        <v/>
      </c>
      <c r="O792" t="str">
        <f>IF(tblCalculo[[#This Row],[STATUS]]="PERDIDO",tblCalculo[[#This Row],[VALOR_TOTAL]],"")</f>
        <v/>
      </c>
      <c r="P792" t="str">
        <f>IF(tblCalculo[[#This Row],[STATUS]]="CONCLUÍDO",tblCalculo[[#This Row],[VALOR_TOTAL]],"")</f>
        <v/>
      </c>
    </row>
    <row r="793" spans="1:16" x14ac:dyDescent="0.25">
      <c r="A793" t="str">
        <f>tblVendas[[#This Row],[NR_SIMULACAO]]</f>
        <v>SIM1783</v>
      </c>
      <c r="B793" s="34" t="str">
        <f>_xlfn.XLOOKUP(A793,tblVendas[[#This Row],[NR_SIMULACAO]],tblVendas[[#This Row],[NR_CNPJ]],"")</f>
        <v>57.145.735/0001-96</v>
      </c>
      <c r="C793" t="str">
        <f>_xlfn.XLOOKUP(A793,tblVendas[[#This Row],[NR_SIMULACAO]],tblVendas[[#This Row],[STATUS]],"")</f>
        <v>EM ANÁLISE</v>
      </c>
      <c r="D793" t="str">
        <f>_xlfn.XLOOKUP(A793,tblVendas[[#This Row],[NR_SIMULACAO]],tblVendas[[#This Row],[MES]],"")</f>
        <v>Abril</v>
      </c>
      <c r="E793">
        <f>SUM(_xlfn.XLOOKUP(tblCalculo[[#This Row],[NR_SIMULACAO]],tblVendas[[#This Row],[NR_SIMULACAO]],tblVendas[[#This Row],[VALOR_MOVEL]],""):_xlfn.XLOOKUP(tblCalculo[[#This Row],[NR_SIMULACAO]],tblVendas[[#This Row],[NR_SIMULACAO]],tblVendas[[#This Row],[VALOR_APARELHO]],""))</f>
        <v>19021.43</v>
      </c>
      <c r="F793">
        <f>IF(tblCalculo[[#This Row],[STATUS]]="CONCLUÍDO",_xlfn.XLOOKUP(tblCalculo[[#This Row],[NR_SIMULACAO]],tblVendas[[#This Row],[NR_SIMULACAO]],tblVendas[[#This Row],[VALOR_MOVEL]],""),0)</f>
        <v>0</v>
      </c>
      <c r="G793">
        <f>IF(tblCalculo[[#This Row],[STATUS]]="CONCLUÍDO",_xlfn.XLOOKUP(tblCalculo[[#This Row],[NR_SIMULACAO]],tblVendas[[#This Row],[NR_SIMULACAO]],tblVendas[[#This Row],[VALOR_AVANCADO]],""),0)</f>
        <v>0</v>
      </c>
      <c r="H793">
        <f>IF(tblCalculo[[#This Row],[STATUS]]="CONCLUÍDO",_xlfn.XLOOKUP(tblCalculo[[#This Row],[NR_SIMULACAO]],tblVendas[[#This Row],[NR_SIMULACAO]],tblVendas[[#This Row],[VALOR_FIXABASICA]],""),0)</f>
        <v>0</v>
      </c>
      <c r="I793">
        <f>IF(tblCalculo[[#This Row],[STATUS]]="CONCLUÍDO",_xlfn.XLOOKUP(tblCalculo[[#This Row],[NR_SIMULACAO]],tblVendas[[#This Row],[NR_SIMULACAO]],tblVendas[[#This Row],[VALOR_TI]],""),0)</f>
        <v>0</v>
      </c>
      <c r="J793">
        <f>IF(tblCalculo[[#This Row],[STATUS]]="CONCLUÍDO",_xlfn.XLOOKUP(tblCalculo[[#This Row],[NR_SIMULACAO]],tblVendas[[#This Row],[NR_SIMULACAO]],tblVendas[[#This Row],[VALOR_APARELHO]],""),0)</f>
        <v>0</v>
      </c>
      <c r="K793" t="str">
        <f>IF(tblCalculo[[#This Row],[STATUS]]="NEGOCIANDO",tblCalculo[[#This Row],[VALOR_TOTAL]],"")</f>
        <v/>
      </c>
      <c r="L793" t="str">
        <f>IF(tblCalculo[[#This Row],[STATUS]]="ALÇADA",tblCalculo[[#This Row],[VALOR_TOTAL]],"")</f>
        <v/>
      </c>
      <c r="M793">
        <f>IF(tblCalculo[[#This Row],[STATUS]]="EM ANÁLISE",tblCalculo[[#This Row],[VALOR_TOTAL]],"")</f>
        <v>19021.43</v>
      </c>
      <c r="N793" t="str">
        <f>IF(tblCalculo[[#This Row],[STATUS]]="TRAMITANDO",tblCalculo[[#This Row],[VALOR_TOTAL]],"")</f>
        <v/>
      </c>
      <c r="O793" t="str">
        <f>IF(tblCalculo[[#This Row],[STATUS]]="PERDIDO",tblCalculo[[#This Row],[VALOR_TOTAL]],"")</f>
        <v/>
      </c>
      <c r="P793" t="str">
        <f>IF(tblCalculo[[#This Row],[STATUS]]="CONCLUÍDO",tblCalculo[[#This Row],[VALOR_TOTAL]],"")</f>
        <v/>
      </c>
    </row>
    <row r="794" spans="1:16" x14ac:dyDescent="0.25">
      <c r="A794" t="str">
        <f>tblVendas[[#This Row],[NR_SIMULACAO]]</f>
        <v>SIM1784</v>
      </c>
      <c r="B794" s="34" t="str">
        <f>_xlfn.XLOOKUP(A794,tblVendas[[#This Row],[NR_SIMULACAO]],tblVendas[[#This Row],[NR_CNPJ]],"")</f>
        <v>39.345.544/0001-23</v>
      </c>
      <c r="C794" t="str">
        <f>_xlfn.XLOOKUP(A794,tblVendas[[#This Row],[NR_SIMULACAO]],tblVendas[[#This Row],[STATUS]],"")</f>
        <v>EM ANÁLISE</v>
      </c>
      <c r="D794" t="str">
        <f>_xlfn.XLOOKUP(A794,tblVendas[[#This Row],[NR_SIMULACAO]],tblVendas[[#This Row],[MES]],"")</f>
        <v>Junho</v>
      </c>
      <c r="E794">
        <f>SUM(_xlfn.XLOOKUP(tblCalculo[[#This Row],[NR_SIMULACAO]],tblVendas[[#This Row],[NR_SIMULACAO]],tblVendas[[#This Row],[VALOR_MOVEL]],""):_xlfn.XLOOKUP(tblCalculo[[#This Row],[NR_SIMULACAO]],tblVendas[[#This Row],[NR_SIMULACAO]],tblVendas[[#This Row],[VALOR_APARELHO]],""))</f>
        <v>6270.12</v>
      </c>
      <c r="F794">
        <f>IF(tblCalculo[[#This Row],[STATUS]]="CONCLUÍDO",_xlfn.XLOOKUP(tblCalculo[[#This Row],[NR_SIMULACAO]],tblVendas[[#This Row],[NR_SIMULACAO]],tblVendas[[#This Row],[VALOR_MOVEL]],""),0)</f>
        <v>0</v>
      </c>
      <c r="G794">
        <f>IF(tblCalculo[[#This Row],[STATUS]]="CONCLUÍDO",_xlfn.XLOOKUP(tblCalculo[[#This Row],[NR_SIMULACAO]],tblVendas[[#This Row],[NR_SIMULACAO]],tblVendas[[#This Row],[VALOR_AVANCADO]],""),0)</f>
        <v>0</v>
      </c>
      <c r="H794">
        <f>IF(tblCalculo[[#This Row],[STATUS]]="CONCLUÍDO",_xlfn.XLOOKUP(tblCalculo[[#This Row],[NR_SIMULACAO]],tblVendas[[#This Row],[NR_SIMULACAO]],tblVendas[[#This Row],[VALOR_FIXABASICA]],""),0)</f>
        <v>0</v>
      </c>
      <c r="I794">
        <f>IF(tblCalculo[[#This Row],[STATUS]]="CONCLUÍDO",_xlfn.XLOOKUP(tblCalculo[[#This Row],[NR_SIMULACAO]],tblVendas[[#This Row],[NR_SIMULACAO]],tblVendas[[#This Row],[VALOR_TI]],""),0)</f>
        <v>0</v>
      </c>
      <c r="J794">
        <f>IF(tblCalculo[[#This Row],[STATUS]]="CONCLUÍDO",_xlfn.XLOOKUP(tblCalculo[[#This Row],[NR_SIMULACAO]],tblVendas[[#This Row],[NR_SIMULACAO]],tblVendas[[#This Row],[VALOR_APARELHO]],""),0)</f>
        <v>0</v>
      </c>
      <c r="K794" t="str">
        <f>IF(tblCalculo[[#This Row],[STATUS]]="NEGOCIANDO",tblCalculo[[#This Row],[VALOR_TOTAL]],"")</f>
        <v/>
      </c>
      <c r="L794" t="str">
        <f>IF(tblCalculo[[#This Row],[STATUS]]="ALÇADA",tblCalculo[[#This Row],[VALOR_TOTAL]],"")</f>
        <v/>
      </c>
      <c r="M794">
        <f>IF(tblCalculo[[#This Row],[STATUS]]="EM ANÁLISE",tblCalculo[[#This Row],[VALOR_TOTAL]],"")</f>
        <v>6270.12</v>
      </c>
      <c r="N794" t="str">
        <f>IF(tblCalculo[[#This Row],[STATUS]]="TRAMITANDO",tblCalculo[[#This Row],[VALOR_TOTAL]],"")</f>
        <v/>
      </c>
      <c r="O794" t="str">
        <f>IF(tblCalculo[[#This Row],[STATUS]]="PERDIDO",tblCalculo[[#This Row],[VALOR_TOTAL]],"")</f>
        <v/>
      </c>
      <c r="P794" t="str">
        <f>IF(tblCalculo[[#This Row],[STATUS]]="CONCLUÍDO",tblCalculo[[#This Row],[VALOR_TOTAL]],"")</f>
        <v/>
      </c>
    </row>
    <row r="795" spans="1:16" x14ac:dyDescent="0.25">
      <c r="A795" t="str">
        <f>tblVendas[[#This Row],[NR_SIMULACAO]]</f>
        <v>SIM1785</v>
      </c>
      <c r="B795" s="34" t="str">
        <f>_xlfn.XLOOKUP(A795,tblVendas[[#This Row],[NR_SIMULACAO]],tblVendas[[#This Row],[NR_CNPJ]],"")</f>
        <v>64.777.175/0001-36</v>
      </c>
      <c r="C795" t="str">
        <f>_xlfn.XLOOKUP(A795,tblVendas[[#This Row],[NR_SIMULACAO]],tblVendas[[#This Row],[STATUS]],"")</f>
        <v>CONCLUÍDO</v>
      </c>
      <c r="D795" t="str">
        <f>_xlfn.XLOOKUP(A795,tblVendas[[#This Row],[NR_SIMULACAO]],tblVendas[[#This Row],[MES]],"")</f>
        <v>Novembro</v>
      </c>
      <c r="E795">
        <f>SUM(_xlfn.XLOOKUP(tblCalculo[[#This Row],[NR_SIMULACAO]],tblVendas[[#This Row],[NR_SIMULACAO]],tblVendas[[#This Row],[VALOR_MOVEL]],""):_xlfn.XLOOKUP(tblCalculo[[#This Row],[NR_SIMULACAO]],tblVendas[[#This Row],[NR_SIMULACAO]],tblVendas[[#This Row],[VALOR_APARELHO]],""))</f>
        <v>13170.32</v>
      </c>
      <c r="F795">
        <f>IF(tblCalculo[[#This Row],[STATUS]]="CONCLUÍDO",_xlfn.XLOOKUP(tblCalculo[[#This Row],[NR_SIMULACAO]],tblVendas[[#This Row],[NR_SIMULACAO]],tblVendas[[#This Row],[VALOR_MOVEL]],""),0)</f>
        <v>0</v>
      </c>
      <c r="G795">
        <f>IF(tblCalculo[[#This Row],[STATUS]]="CONCLUÍDO",_xlfn.XLOOKUP(tblCalculo[[#This Row],[NR_SIMULACAO]],tblVendas[[#This Row],[NR_SIMULACAO]],tblVendas[[#This Row],[VALOR_AVANCADO]],""),0)</f>
        <v>0</v>
      </c>
      <c r="H795">
        <f>IF(tblCalculo[[#This Row],[STATUS]]="CONCLUÍDO",_xlfn.XLOOKUP(tblCalculo[[#This Row],[NR_SIMULACAO]],tblVendas[[#This Row],[NR_SIMULACAO]],tblVendas[[#This Row],[VALOR_FIXABASICA]],""),0)</f>
        <v>2057.48</v>
      </c>
      <c r="I795">
        <f>IF(tblCalculo[[#This Row],[STATUS]]="CONCLUÍDO",_xlfn.XLOOKUP(tblCalculo[[#This Row],[NR_SIMULACAO]],tblVendas[[#This Row],[NR_SIMULACAO]],tblVendas[[#This Row],[VALOR_TI]],""),0)</f>
        <v>5571.19</v>
      </c>
      <c r="J795">
        <f>IF(tblCalculo[[#This Row],[STATUS]]="CONCLUÍDO",_xlfn.XLOOKUP(tblCalculo[[#This Row],[NR_SIMULACAO]],tblVendas[[#This Row],[NR_SIMULACAO]],tblVendas[[#This Row],[VALOR_APARELHO]],""),0)</f>
        <v>5541.65</v>
      </c>
      <c r="K795" t="str">
        <f>IF(tblCalculo[[#This Row],[STATUS]]="NEGOCIANDO",tblCalculo[[#This Row],[VALOR_TOTAL]],"")</f>
        <v/>
      </c>
      <c r="L795" t="str">
        <f>IF(tblCalculo[[#This Row],[STATUS]]="ALÇADA",tblCalculo[[#This Row],[VALOR_TOTAL]],"")</f>
        <v/>
      </c>
      <c r="M795" t="str">
        <f>IF(tblCalculo[[#This Row],[STATUS]]="EM ANÁLISE",tblCalculo[[#This Row],[VALOR_TOTAL]],"")</f>
        <v/>
      </c>
      <c r="N795" t="str">
        <f>IF(tblCalculo[[#This Row],[STATUS]]="TRAMITANDO",tblCalculo[[#This Row],[VALOR_TOTAL]],"")</f>
        <v/>
      </c>
      <c r="O795" t="str">
        <f>IF(tblCalculo[[#This Row],[STATUS]]="PERDIDO",tblCalculo[[#This Row],[VALOR_TOTAL]],"")</f>
        <v/>
      </c>
      <c r="P795">
        <f>IF(tblCalculo[[#This Row],[STATUS]]="CONCLUÍDO",tblCalculo[[#This Row],[VALOR_TOTAL]],"")</f>
        <v>13170.32</v>
      </c>
    </row>
    <row r="796" spans="1:16" x14ac:dyDescent="0.25">
      <c r="A796" t="str">
        <f>tblVendas[[#This Row],[NR_SIMULACAO]]</f>
        <v>SIM1786</v>
      </c>
      <c r="B796" s="34" t="str">
        <f>_xlfn.XLOOKUP(A796,tblVendas[[#This Row],[NR_SIMULACAO]],tblVendas[[#This Row],[NR_CNPJ]],"")</f>
        <v>94.465.824/0001-85</v>
      </c>
      <c r="C796" t="str">
        <f>_xlfn.XLOOKUP(A796,tblVendas[[#This Row],[NR_SIMULACAO]],tblVendas[[#This Row],[STATUS]],"")</f>
        <v>PERDIDO</v>
      </c>
      <c r="D796" t="str">
        <f>_xlfn.XLOOKUP(A796,tblVendas[[#This Row],[NR_SIMULACAO]],tblVendas[[#This Row],[MES]],"")</f>
        <v>Julho</v>
      </c>
      <c r="E796">
        <f>SUM(_xlfn.XLOOKUP(tblCalculo[[#This Row],[NR_SIMULACAO]],tblVendas[[#This Row],[NR_SIMULACAO]],tblVendas[[#This Row],[VALOR_MOVEL]],""):_xlfn.XLOOKUP(tblCalculo[[#This Row],[NR_SIMULACAO]],tblVendas[[#This Row],[NR_SIMULACAO]],tblVendas[[#This Row],[VALOR_APARELHO]],""))</f>
        <v>4563.88</v>
      </c>
      <c r="F796">
        <f>IF(tblCalculo[[#This Row],[STATUS]]="CONCLUÍDO",_xlfn.XLOOKUP(tblCalculo[[#This Row],[NR_SIMULACAO]],tblVendas[[#This Row],[NR_SIMULACAO]],tblVendas[[#This Row],[VALOR_MOVEL]],""),0)</f>
        <v>0</v>
      </c>
      <c r="G796">
        <f>IF(tblCalculo[[#This Row],[STATUS]]="CONCLUÍDO",_xlfn.XLOOKUP(tblCalculo[[#This Row],[NR_SIMULACAO]],tblVendas[[#This Row],[NR_SIMULACAO]],tblVendas[[#This Row],[VALOR_AVANCADO]],""),0)</f>
        <v>0</v>
      </c>
      <c r="H796">
        <f>IF(tblCalculo[[#This Row],[STATUS]]="CONCLUÍDO",_xlfn.XLOOKUP(tblCalculo[[#This Row],[NR_SIMULACAO]],tblVendas[[#This Row],[NR_SIMULACAO]],tblVendas[[#This Row],[VALOR_FIXABASICA]],""),0)</f>
        <v>0</v>
      </c>
      <c r="I796">
        <f>IF(tblCalculo[[#This Row],[STATUS]]="CONCLUÍDO",_xlfn.XLOOKUP(tblCalculo[[#This Row],[NR_SIMULACAO]],tblVendas[[#This Row],[NR_SIMULACAO]],tblVendas[[#This Row],[VALOR_TI]],""),0)</f>
        <v>0</v>
      </c>
      <c r="J796">
        <f>IF(tblCalculo[[#This Row],[STATUS]]="CONCLUÍDO",_xlfn.XLOOKUP(tblCalculo[[#This Row],[NR_SIMULACAO]],tblVendas[[#This Row],[NR_SIMULACAO]],tblVendas[[#This Row],[VALOR_APARELHO]],""),0)</f>
        <v>0</v>
      </c>
      <c r="K796" t="str">
        <f>IF(tblCalculo[[#This Row],[STATUS]]="NEGOCIANDO",tblCalculo[[#This Row],[VALOR_TOTAL]],"")</f>
        <v/>
      </c>
      <c r="L796" t="str">
        <f>IF(tblCalculo[[#This Row],[STATUS]]="ALÇADA",tblCalculo[[#This Row],[VALOR_TOTAL]],"")</f>
        <v/>
      </c>
      <c r="M796" t="str">
        <f>IF(tblCalculo[[#This Row],[STATUS]]="EM ANÁLISE",tblCalculo[[#This Row],[VALOR_TOTAL]],"")</f>
        <v/>
      </c>
      <c r="N796" t="str">
        <f>IF(tblCalculo[[#This Row],[STATUS]]="TRAMITANDO",tblCalculo[[#This Row],[VALOR_TOTAL]],"")</f>
        <v/>
      </c>
      <c r="O796">
        <f>IF(tblCalculo[[#This Row],[STATUS]]="PERDIDO",tblCalculo[[#This Row],[VALOR_TOTAL]],"")</f>
        <v>4563.88</v>
      </c>
      <c r="P796" t="str">
        <f>IF(tblCalculo[[#This Row],[STATUS]]="CONCLUÍDO",tblCalculo[[#This Row],[VALOR_TOTAL]],"")</f>
        <v/>
      </c>
    </row>
    <row r="797" spans="1:16" x14ac:dyDescent="0.25">
      <c r="A797" t="str">
        <f>tblVendas[[#This Row],[NR_SIMULACAO]]</f>
        <v>SIM1787</v>
      </c>
      <c r="B797" s="34" t="str">
        <f>_xlfn.XLOOKUP(A797,tblVendas[[#This Row],[NR_SIMULACAO]],tblVendas[[#This Row],[NR_CNPJ]],"")</f>
        <v>43.108.303/0001-12</v>
      </c>
      <c r="C797" t="str">
        <f>_xlfn.XLOOKUP(A797,tblVendas[[#This Row],[NR_SIMULACAO]],tblVendas[[#This Row],[STATUS]],"")</f>
        <v>EM ANÁLISE</v>
      </c>
      <c r="D797" t="str">
        <f>_xlfn.XLOOKUP(A797,tblVendas[[#This Row],[NR_SIMULACAO]],tblVendas[[#This Row],[MES]],"")</f>
        <v>Julho</v>
      </c>
      <c r="E797">
        <f>SUM(_xlfn.XLOOKUP(tblCalculo[[#This Row],[NR_SIMULACAO]],tblVendas[[#This Row],[NR_SIMULACAO]],tblVendas[[#This Row],[VALOR_MOVEL]],""):_xlfn.XLOOKUP(tblCalculo[[#This Row],[NR_SIMULACAO]],tblVendas[[#This Row],[NR_SIMULACAO]],tblVendas[[#This Row],[VALOR_APARELHO]],""))</f>
        <v>5221.88</v>
      </c>
      <c r="F797">
        <f>IF(tblCalculo[[#This Row],[STATUS]]="CONCLUÍDO",_xlfn.XLOOKUP(tblCalculo[[#This Row],[NR_SIMULACAO]],tblVendas[[#This Row],[NR_SIMULACAO]],tblVendas[[#This Row],[VALOR_MOVEL]],""),0)</f>
        <v>0</v>
      </c>
      <c r="G797">
        <f>IF(tblCalculo[[#This Row],[STATUS]]="CONCLUÍDO",_xlfn.XLOOKUP(tblCalculo[[#This Row],[NR_SIMULACAO]],tblVendas[[#This Row],[NR_SIMULACAO]],tblVendas[[#This Row],[VALOR_AVANCADO]],""),0)</f>
        <v>0</v>
      </c>
      <c r="H797">
        <f>IF(tblCalculo[[#This Row],[STATUS]]="CONCLUÍDO",_xlfn.XLOOKUP(tblCalculo[[#This Row],[NR_SIMULACAO]],tblVendas[[#This Row],[NR_SIMULACAO]],tblVendas[[#This Row],[VALOR_FIXABASICA]],""),0)</f>
        <v>0</v>
      </c>
      <c r="I797">
        <f>IF(tblCalculo[[#This Row],[STATUS]]="CONCLUÍDO",_xlfn.XLOOKUP(tblCalculo[[#This Row],[NR_SIMULACAO]],tblVendas[[#This Row],[NR_SIMULACAO]],tblVendas[[#This Row],[VALOR_TI]],""),0)</f>
        <v>0</v>
      </c>
      <c r="J797">
        <f>IF(tblCalculo[[#This Row],[STATUS]]="CONCLUÍDO",_xlfn.XLOOKUP(tblCalculo[[#This Row],[NR_SIMULACAO]],tblVendas[[#This Row],[NR_SIMULACAO]],tblVendas[[#This Row],[VALOR_APARELHO]],""),0)</f>
        <v>0</v>
      </c>
      <c r="K797" t="str">
        <f>IF(tblCalculo[[#This Row],[STATUS]]="NEGOCIANDO",tblCalculo[[#This Row],[VALOR_TOTAL]],"")</f>
        <v/>
      </c>
      <c r="L797" t="str">
        <f>IF(tblCalculo[[#This Row],[STATUS]]="ALÇADA",tblCalculo[[#This Row],[VALOR_TOTAL]],"")</f>
        <v/>
      </c>
      <c r="M797">
        <f>IF(tblCalculo[[#This Row],[STATUS]]="EM ANÁLISE",tblCalculo[[#This Row],[VALOR_TOTAL]],"")</f>
        <v>5221.88</v>
      </c>
      <c r="N797" t="str">
        <f>IF(tblCalculo[[#This Row],[STATUS]]="TRAMITANDO",tblCalculo[[#This Row],[VALOR_TOTAL]],"")</f>
        <v/>
      </c>
      <c r="O797" t="str">
        <f>IF(tblCalculo[[#This Row],[STATUS]]="PERDIDO",tblCalculo[[#This Row],[VALOR_TOTAL]],"")</f>
        <v/>
      </c>
      <c r="P797" t="str">
        <f>IF(tblCalculo[[#This Row],[STATUS]]="CONCLUÍDO",tblCalculo[[#This Row],[VALOR_TOTAL]],"")</f>
        <v/>
      </c>
    </row>
    <row r="798" spans="1:16" x14ac:dyDescent="0.25">
      <c r="A798" t="str">
        <f>tblVendas[[#This Row],[NR_SIMULACAO]]</f>
        <v>SIM1788</v>
      </c>
      <c r="B798" s="34" t="str">
        <f>_xlfn.XLOOKUP(A798,tblVendas[[#This Row],[NR_SIMULACAO]],tblVendas[[#This Row],[NR_CNPJ]],"")</f>
        <v>26.369.625/0001-52</v>
      </c>
      <c r="C798" t="str">
        <f>_xlfn.XLOOKUP(A798,tblVendas[[#This Row],[NR_SIMULACAO]],tblVendas[[#This Row],[STATUS]],"")</f>
        <v>NEGOCIANDO</v>
      </c>
      <c r="D798" t="str">
        <f>_xlfn.XLOOKUP(A798,tblVendas[[#This Row],[NR_SIMULACAO]],tblVendas[[#This Row],[MES]],"")</f>
        <v>Maio</v>
      </c>
      <c r="E798">
        <f>SUM(_xlfn.XLOOKUP(tblCalculo[[#This Row],[NR_SIMULACAO]],tblVendas[[#This Row],[NR_SIMULACAO]],tblVendas[[#This Row],[VALOR_MOVEL]],""):_xlfn.XLOOKUP(tblCalculo[[#This Row],[NR_SIMULACAO]],tblVendas[[#This Row],[NR_SIMULACAO]],tblVendas[[#This Row],[VALOR_APARELHO]],""))</f>
        <v>19330.809999999998</v>
      </c>
      <c r="F798">
        <f>IF(tblCalculo[[#This Row],[STATUS]]="CONCLUÍDO",_xlfn.XLOOKUP(tblCalculo[[#This Row],[NR_SIMULACAO]],tblVendas[[#This Row],[NR_SIMULACAO]],tblVendas[[#This Row],[VALOR_MOVEL]],""),0)</f>
        <v>0</v>
      </c>
      <c r="G798">
        <f>IF(tblCalculo[[#This Row],[STATUS]]="CONCLUÍDO",_xlfn.XLOOKUP(tblCalculo[[#This Row],[NR_SIMULACAO]],tblVendas[[#This Row],[NR_SIMULACAO]],tblVendas[[#This Row],[VALOR_AVANCADO]],""),0)</f>
        <v>0</v>
      </c>
      <c r="H798">
        <f>IF(tblCalculo[[#This Row],[STATUS]]="CONCLUÍDO",_xlfn.XLOOKUP(tblCalculo[[#This Row],[NR_SIMULACAO]],tblVendas[[#This Row],[NR_SIMULACAO]],tblVendas[[#This Row],[VALOR_FIXABASICA]],""),0)</f>
        <v>0</v>
      </c>
      <c r="I798">
        <f>IF(tblCalculo[[#This Row],[STATUS]]="CONCLUÍDO",_xlfn.XLOOKUP(tblCalculo[[#This Row],[NR_SIMULACAO]],tblVendas[[#This Row],[NR_SIMULACAO]],tblVendas[[#This Row],[VALOR_TI]],""),0)</f>
        <v>0</v>
      </c>
      <c r="J798">
        <f>IF(tblCalculo[[#This Row],[STATUS]]="CONCLUÍDO",_xlfn.XLOOKUP(tblCalculo[[#This Row],[NR_SIMULACAO]],tblVendas[[#This Row],[NR_SIMULACAO]],tblVendas[[#This Row],[VALOR_APARELHO]],""),0)</f>
        <v>0</v>
      </c>
      <c r="K798">
        <f>IF(tblCalculo[[#This Row],[STATUS]]="NEGOCIANDO",tblCalculo[[#This Row],[VALOR_TOTAL]],"")</f>
        <v>19330.809999999998</v>
      </c>
      <c r="L798" t="str">
        <f>IF(tblCalculo[[#This Row],[STATUS]]="ALÇADA",tblCalculo[[#This Row],[VALOR_TOTAL]],"")</f>
        <v/>
      </c>
      <c r="M798" t="str">
        <f>IF(tblCalculo[[#This Row],[STATUS]]="EM ANÁLISE",tblCalculo[[#This Row],[VALOR_TOTAL]],"")</f>
        <v/>
      </c>
      <c r="N798" t="str">
        <f>IF(tblCalculo[[#This Row],[STATUS]]="TRAMITANDO",tblCalculo[[#This Row],[VALOR_TOTAL]],"")</f>
        <v/>
      </c>
      <c r="O798" t="str">
        <f>IF(tblCalculo[[#This Row],[STATUS]]="PERDIDO",tblCalculo[[#This Row],[VALOR_TOTAL]],"")</f>
        <v/>
      </c>
      <c r="P798" t="str">
        <f>IF(tblCalculo[[#This Row],[STATUS]]="CONCLUÍDO",tblCalculo[[#This Row],[VALOR_TOTAL]],"")</f>
        <v/>
      </c>
    </row>
    <row r="799" spans="1:16" x14ac:dyDescent="0.25">
      <c r="A799" t="str">
        <f>tblVendas[[#This Row],[NR_SIMULACAO]]</f>
        <v>SIM1789</v>
      </c>
      <c r="B799" s="34" t="str">
        <f>_xlfn.XLOOKUP(A799,tblVendas[[#This Row],[NR_SIMULACAO]],tblVendas[[#This Row],[NR_CNPJ]],"")</f>
        <v>38.922.811/0001-88</v>
      </c>
      <c r="C799" t="str">
        <f>_xlfn.XLOOKUP(A799,tblVendas[[#This Row],[NR_SIMULACAO]],tblVendas[[#This Row],[STATUS]],"")</f>
        <v>TRAMITANDO</v>
      </c>
      <c r="D799" t="str">
        <f>_xlfn.XLOOKUP(A799,tblVendas[[#This Row],[NR_SIMULACAO]],tblVendas[[#This Row],[MES]],"")</f>
        <v>Maio</v>
      </c>
      <c r="E799">
        <f>SUM(_xlfn.XLOOKUP(tblCalculo[[#This Row],[NR_SIMULACAO]],tblVendas[[#This Row],[NR_SIMULACAO]],tblVendas[[#This Row],[VALOR_MOVEL]],""):_xlfn.XLOOKUP(tblCalculo[[#This Row],[NR_SIMULACAO]],tblVendas[[#This Row],[NR_SIMULACAO]],tblVendas[[#This Row],[VALOR_APARELHO]],""))</f>
        <v>623.88</v>
      </c>
      <c r="F799">
        <f>IF(tblCalculo[[#This Row],[STATUS]]="CONCLUÍDO",_xlfn.XLOOKUP(tblCalculo[[#This Row],[NR_SIMULACAO]],tblVendas[[#This Row],[NR_SIMULACAO]],tblVendas[[#This Row],[VALOR_MOVEL]],""),0)</f>
        <v>0</v>
      </c>
      <c r="G799">
        <f>IF(tblCalculo[[#This Row],[STATUS]]="CONCLUÍDO",_xlfn.XLOOKUP(tblCalculo[[#This Row],[NR_SIMULACAO]],tblVendas[[#This Row],[NR_SIMULACAO]],tblVendas[[#This Row],[VALOR_AVANCADO]],""),0)</f>
        <v>0</v>
      </c>
      <c r="H799">
        <f>IF(tblCalculo[[#This Row],[STATUS]]="CONCLUÍDO",_xlfn.XLOOKUP(tblCalculo[[#This Row],[NR_SIMULACAO]],tblVendas[[#This Row],[NR_SIMULACAO]],tblVendas[[#This Row],[VALOR_FIXABASICA]],""),0)</f>
        <v>0</v>
      </c>
      <c r="I799">
        <f>IF(tblCalculo[[#This Row],[STATUS]]="CONCLUÍDO",_xlfn.XLOOKUP(tblCalculo[[#This Row],[NR_SIMULACAO]],tblVendas[[#This Row],[NR_SIMULACAO]],tblVendas[[#This Row],[VALOR_TI]],""),0)</f>
        <v>0</v>
      </c>
      <c r="J799">
        <f>IF(tblCalculo[[#This Row],[STATUS]]="CONCLUÍDO",_xlfn.XLOOKUP(tblCalculo[[#This Row],[NR_SIMULACAO]],tblVendas[[#This Row],[NR_SIMULACAO]],tblVendas[[#This Row],[VALOR_APARELHO]],""),0)</f>
        <v>0</v>
      </c>
      <c r="K799" t="str">
        <f>IF(tblCalculo[[#This Row],[STATUS]]="NEGOCIANDO",tblCalculo[[#This Row],[VALOR_TOTAL]],"")</f>
        <v/>
      </c>
      <c r="L799" t="str">
        <f>IF(tblCalculo[[#This Row],[STATUS]]="ALÇADA",tblCalculo[[#This Row],[VALOR_TOTAL]],"")</f>
        <v/>
      </c>
      <c r="M799" t="str">
        <f>IF(tblCalculo[[#This Row],[STATUS]]="EM ANÁLISE",tblCalculo[[#This Row],[VALOR_TOTAL]],"")</f>
        <v/>
      </c>
      <c r="N799">
        <f>IF(tblCalculo[[#This Row],[STATUS]]="TRAMITANDO",tblCalculo[[#This Row],[VALOR_TOTAL]],"")</f>
        <v>623.88</v>
      </c>
      <c r="O799" t="str">
        <f>IF(tblCalculo[[#This Row],[STATUS]]="PERDIDO",tblCalculo[[#This Row],[VALOR_TOTAL]],"")</f>
        <v/>
      </c>
      <c r="P799" t="str">
        <f>IF(tblCalculo[[#This Row],[STATUS]]="CONCLUÍDO",tblCalculo[[#This Row],[VALOR_TOTAL]],"")</f>
        <v/>
      </c>
    </row>
    <row r="800" spans="1:16" x14ac:dyDescent="0.25">
      <c r="A800" t="str">
        <f>tblVendas[[#This Row],[NR_SIMULACAO]]</f>
        <v>SIM1790</v>
      </c>
      <c r="B800" s="34" t="str">
        <f>_xlfn.XLOOKUP(A800,tblVendas[[#This Row],[NR_SIMULACAO]],tblVendas[[#This Row],[NR_CNPJ]],"")</f>
        <v>12.287.552/0001-16</v>
      </c>
      <c r="C800" t="str">
        <f>_xlfn.XLOOKUP(A800,tblVendas[[#This Row],[NR_SIMULACAO]],tblVendas[[#This Row],[STATUS]],"")</f>
        <v>CONCLUÍDO</v>
      </c>
      <c r="D800" t="str">
        <f>_xlfn.XLOOKUP(A800,tblVendas[[#This Row],[NR_SIMULACAO]],tblVendas[[#This Row],[MES]],"")</f>
        <v>Janeiro</v>
      </c>
      <c r="E800">
        <f>SUM(_xlfn.XLOOKUP(tblCalculo[[#This Row],[NR_SIMULACAO]],tblVendas[[#This Row],[NR_SIMULACAO]],tblVendas[[#This Row],[VALOR_MOVEL]],""):_xlfn.XLOOKUP(tblCalculo[[#This Row],[NR_SIMULACAO]],tblVendas[[#This Row],[NR_SIMULACAO]],tblVendas[[#This Row],[VALOR_APARELHO]],""))</f>
        <v>7918.57</v>
      </c>
      <c r="F800">
        <f>IF(tblCalculo[[#This Row],[STATUS]]="CONCLUÍDO",_xlfn.XLOOKUP(tblCalculo[[#This Row],[NR_SIMULACAO]],tblVendas[[#This Row],[NR_SIMULACAO]],tblVendas[[#This Row],[VALOR_MOVEL]],""),0)</f>
        <v>0</v>
      </c>
      <c r="G800">
        <f>IF(tblCalculo[[#This Row],[STATUS]]="CONCLUÍDO",_xlfn.XLOOKUP(tblCalculo[[#This Row],[NR_SIMULACAO]],tblVendas[[#This Row],[NR_SIMULACAO]],tblVendas[[#This Row],[VALOR_AVANCADO]],""),0)</f>
        <v>0</v>
      </c>
      <c r="H800">
        <f>IF(tblCalculo[[#This Row],[STATUS]]="CONCLUÍDO",_xlfn.XLOOKUP(tblCalculo[[#This Row],[NR_SIMULACAO]],tblVendas[[#This Row],[NR_SIMULACAO]],tblVendas[[#This Row],[VALOR_FIXABASICA]],""),0)</f>
        <v>2618.7199999999998</v>
      </c>
      <c r="I800">
        <f>IF(tblCalculo[[#This Row],[STATUS]]="CONCLUÍDO",_xlfn.XLOOKUP(tblCalculo[[#This Row],[NR_SIMULACAO]],tblVendas[[#This Row],[NR_SIMULACAO]],tblVendas[[#This Row],[VALOR_TI]],""),0)</f>
        <v>0</v>
      </c>
      <c r="J800">
        <f>IF(tblCalculo[[#This Row],[STATUS]]="CONCLUÍDO",_xlfn.XLOOKUP(tblCalculo[[#This Row],[NR_SIMULACAO]],tblVendas[[#This Row],[NR_SIMULACAO]],tblVendas[[#This Row],[VALOR_APARELHO]],""),0)</f>
        <v>5299.85</v>
      </c>
      <c r="K800" t="str">
        <f>IF(tblCalculo[[#This Row],[STATUS]]="NEGOCIANDO",tblCalculo[[#This Row],[VALOR_TOTAL]],"")</f>
        <v/>
      </c>
      <c r="L800" t="str">
        <f>IF(tblCalculo[[#This Row],[STATUS]]="ALÇADA",tblCalculo[[#This Row],[VALOR_TOTAL]],"")</f>
        <v/>
      </c>
      <c r="M800" t="str">
        <f>IF(tblCalculo[[#This Row],[STATUS]]="EM ANÁLISE",tblCalculo[[#This Row],[VALOR_TOTAL]],"")</f>
        <v/>
      </c>
      <c r="N800" t="str">
        <f>IF(tblCalculo[[#This Row],[STATUS]]="TRAMITANDO",tblCalculo[[#This Row],[VALOR_TOTAL]],"")</f>
        <v/>
      </c>
      <c r="O800" t="str">
        <f>IF(tblCalculo[[#This Row],[STATUS]]="PERDIDO",tblCalculo[[#This Row],[VALOR_TOTAL]],"")</f>
        <v/>
      </c>
      <c r="P800">
        <f>IF(tblCalculo[[#This Row],[STATUS]]="CONCLUÍDO",tblCalculo[[#This Row],[VALOR_TOTAL]],"")</f>
        <v>7918.57</v>
      </c>
    </row>
    <row r="801" spans="1:16" x14ac:dyDescent="0.25">
      <c r="A801" t="str">
        <f>tblVendas[[#This Row],[NR_SIMULACAO]]</f>
        <v>SIM1791</v>
      </c>
      <c r="B801" s="34" t="str">
        <f>_xlfn.XLOOKUP(A801,tblVendas[[#This Row],[NR_SIMULACAO]],tblVendas[[#This Row],[NR_CNPJ]],"")</f>
        <v>52.966.157/0001-22</v>
      </c>
      <c r="C801" t="str">
        <f>_xlfn.XLOOKUP(A801,tblVendas[[#This Row],[NR_SIMULACAO]],tblVendas[[#This Row],[STATUS]],"")</f>
        <v>CONCLUÍDO</v>
      </c>
      <c r="D801" t="str">
        <f>_xlfn.XLOOKUP(A801,tblVendas[[#This Row],[NR_SIMULACAO]],tblVendas[[#This Row],[MES]],"")</f>
        <v>Novembro</v>
      </c>
      <c r="E801">
        <f>SUM(_xlfn.XLOOKUP(tblCalculo[[#This Row],[NR_SIMULACAO]],tblVendas[[#This Row],[NR_SIMULACAO]],tblVendas[[#This Row],[VALOR_MOVEL]],""):_xlfn.XLOOKUP(tblCalculo[[#This Row],[NR_SIMULACAO]],tblVendas[[#This Row],[NR_SIMULACAO]],tblVendas[[#This Row],[VALOR_APARELHO]],""))</f>
        <v>4369.1399999999994</v>
      </c>
      <c r="F801">
        <f>IF(tblCalculo[[#This Row],[STATUS]]="CONCLUÍDO",_xlfn.XLOOKUP(tblCalculo[[#This Row],[NR_SIMULACAO]],tblVendas[[#This Row],[NR_SIMULACAO]],tblVendas[[#This Row],[VALOR_MOVEL]],""),0)</f>
        <v>3470.72</v>
      </c>
      <c r="G801">
        <f>IF(tblCalculo[[#This Row],[STATUS]]="CONCLUÍDO",_xlfn.XLOOKUP(tblCalculo[[#This Row],[NR_SIMULACAO]],tblVendas[[#This Row],[NR_SIMULACAO]],tblVendas[[#This Row],[VALOR_AVANCADO]],""),0)</f>
        <v>0</v>
      </c>
      <c r="H801">
        <f>IF(tblCalculo[[#This Row],[STATUS]]="CONCLUÍDO",_xlfn.XLOOKUP(tblCalculo[[#This Row],[NR_SIMULACAO]],tblVendas[[#This Row],[NR_SIMULACAO]],tblVendas[[#This Row],[VALOR_FIXABASICA]],""),0)</f>
        <v>898.42</v>
      </c>
      <c r="I801">
        <f>IF(tblCalculo[[#This Row],[STATUS]]="CONCLUÍDO",_xlfn.XLOOKUP(tblCalculo[[#This Row],[NR_SIMULACAO]],tblVendas[[#This Row],[NR_SIMULACAO]],tblVendas[[#This Row],[VALOR_TI]],""),0)</f>
        <v>0</v>
      </c>
      <c r="J801">
        <f>IF(tblCalculo[[#This Row],[STATUS]]="CONCLUÍDO",_xlfn.XLOOKUP(tblCalculo[[#This Row],[NR_SIMULACAO]],tblVendas[[#This Row],[NR_SIMULACAO]],tblVendas[[#This Row],[VALOR_APARELHO]],""),0)</f>
        <v>0</v>
      </c>
      <c r="K801" t="str">
        <f>IF(tblCalculo[[#This Row],[STATUS]]="NEGOCIANDO",tblCalculo[[#This Row],[VALOR_TOTAL]],"")</f>
        <v/>
      </c>
      <c r="L801" t="str">
        <f>IF(tblCalculo[[#This Row],[STATUS]]="ALÇADA",tblCalculo[[#This Row],[VALOR_TOTAL]],"")</f>
        <v/>
      </c>
      <c r="M801" t="str">
        <f>IF(tblCalculo[[#This Row],[STATUS]]="EM ANÁLISE",tblCalculo[[#This Row],[VALOR_TOTAL]],"")</f>
        <v/>
      </c>
      <c r="N801" t="str">
        <f>IF(tblCalculo[[#This Row],[STATUS]]="TRAMITANDO",tblCalculo[[#This Row],[VALOR_TOTAL]],"")</f>
        <v/>
      </c>
      <c r="O801" t="str">
        <f>IF(tblCalculo[[#This Row],[STATUS]]="PERDIDO",tblCalculo[[#This Row],[VALOR_TOTAL]],"")</f>
        <v/>
      </c>
      <c r="P801">
        <f>IF(tblCalculo[[#This Row],[STATUS]]="CONCLUÍDO",tblCalculo[[#This Row],[VALOR_TOTAL]],"")</f>
        <v>4369.1399999999994</v>
      </c>
    </row>
    <row r="802" spans="1:16" x14ac:dyDescent="0.25">
      <c r="A802" t="str">
        <f>tblVendas[[#This Row],[NR_SIMULACAO]]</f>
        <v>SIM1792</v>
      </c>
      <c r="B802" s="34" t="str">
        <f>_xlfn.XLOOKUP(A802,tblVendas[[#This Row],[NR_SIMULACAO]],tblVendas[[#This Row],[NR_CNPJ]],"")</f>
        <v>40.150.779/0001-25</v>
      </c>
      <c r="C802" t="str">
        <f>_xlfn.XLOOKUP(A802,tblVendas[[#This Row],[NR_SIMULACAO]],tblVendas[[#This Row],[STATUS]],"")</f>
        <v>NEGOCIANDO</v>
      </c>
      <c r="D802" t="str">
        <f>_xlfn.XLOOKUP(A802,tblVendas[[#This Row],[NR_SIMULACAO]],tblVendas[[#This Row],[MES]],"")</f>
        <v>Maio</v>
      </c>
      <c r="E802">
        <f>SUM(_xlfn.XLOOKUP(tblCalculo[[#This Row],[NR_SIMULACAO]],tblVendas[[#This Row],[NR_SIMULACAO]],tblVendas[[#This Row],[VALOR_MOVEL]],""):_xlfn.XLOOKUP(tblCalculo[[#This Row],[NR_SIMULACAO]],tblVendas[[#This Row],[NR_SIMULACAO]],tblVendas[[#This Row],[VALOR_APARELHO]],""))</f>
        <v>13483.14</v>
      </c>
      <c r="F802">
        <f>IF(tblCalculo[[#This Row],[STATUS]]="CONCLUÍDO",_xlfn.XLOOKUP(tblCalculo[[#This Row],[NR_SIMULACAO]],tblVendas[[#This Row],[NR_SIMULACAO]],tblVendas[[#This Row],[VALOR_MOVEL]],""),0)</f>
        <v>0</v>
      </c>
      <c r="G802">
        <f>IF(tblCalculo[[#This Row],[STATUS]]="CONCLUÍDO",_xlfn.XLOOKUP(tblCalculo[[#This Row],[NR_SIMULACAO]],tblVendas[[#This Row],[NR_SIMULACAO]],tblVendas[[#This Row],[VALOR_AVANCADO]],""),0)</f>
        <v>0</v>
      </c>
      <c r="H802">
        <f>IF(tblCalculo[[#This Row],[STATUS]]="CONCLUÍDO",_xlfn.XLOOKUP(tblCalculo[[#This Row],[NR_SIMULACAO]],tblVendas[[#This Row],[NR_SIMULACAO]],tblVendas[[#This Row],[VALOR_FIXABASICA]],""),0)</f>
        <v>0</v>
      </c>
      <c r="I802">
        <f>IF(tblCalculo[[#This Row],[STATUS]]="CONCLUÍDO",_xlfn.XLOOKUP(tblCalculo[[#This Row],[NR_SIMULACAO]],tblVendas[[#This Row],[NR_SIMULACAO]],tblVendas[[#This Row],[VALOR_TI]],""),0)</f>
        <v>0</v>
      </c>
      <c r="J802">
        <f>IF(tblCalculo[[#This Row],[STATUS]]="CONCLUÍDO",_xlfn.XLOOKUP(tblCalculo[[#This Row],[NR_SIMULACAO]],tblVendas[[#This Row],[NR_SIMULACAO]],tblVendas[[#This Row],[VALOR_APARELHO]],""),0)</f>
        <v>0</v>
      </c>
      <c r="K802">
        <f>IF(tblCalculo[[#This Row],[STATUS]]="NEGOCIANDO",tblCalculo[[#This Row],[VALOR_TOTAL]],"")</f>
        <v>13483.14</v>
      </c>
      <c r="L802" t="str">
        <f>IF(tblCalculo[[#This Row],[STATUS]]="ALÇADA",tblCalculo[[#This Row],[VALOR_TOTAL]],"")</f>
        <v/>
      </c>
      <c r="M802" t="str">
        <f>IF(tblCalculo[[#This Row],[STATUS]]="EM ANÁLISE",tblCalculo[[#This Row],[VALOR_TOTAL]],"")</f>
        <v/>
      </c>
      <c r="N802" t="str">
        <f>IF(tblCalculo[[#This Row],[STATUS]]="TRAMITANDO",tblCalculo[[#This Row],[VALOR_TOTAL]],"")</f>
        <v/>
      </c>
      <c r="O802" t="str">
        <f>IF(tblCalculo[[#This Row],[STATUS]]="PERDIDO",tblCalculo[[#This Row],[VALOR_TOTAL]],"")</f>
        <v/>
      </c>
      <c r="P802" t="str">
        <f>IF(tblCalculo[[#This Row],[STATUS]]="CONCLUÍDO",tblCalculo[[#This Row],[VALOR_TOTAL]],"")</f>
        <v/>
      </c>
    </row>
    <row r="803" spans="1:16" x14ac:dyDescent="0.25">
      <c r="A803" t="str">
        <f>tblVendas[[#This Row],[NR_SIMULACAO]]</f>
        <v>SIM1793</v>
      </c>
      <c r="B803" s="34" t="str">
        <f>_xlfn.XLOOKUP(A803,tblVendas[[#This Row],[NR_SIMULACAO]],tblVendas[[#This Row],[NR_CNPJ]],"")</f>
        <v>79.473.109/0001-69</v>
      </c>
      <c r="C803" t="str">
        <f>_xlfn.XLOOKUP(A803,tblVendas[[#This Row],[NR_SIMULACAO]],tblVendas[[#This Row],[STATUS]],"")</f>
        <v>EM ANÁLISE</v>
      </c>
      <c r="D803" t="str">
        <f>_xlfn.XLOOKUP(A803,tblVendas[[#This Row],[NR_SIMULACAO]],tblVendas[[#This Row],[MES]],"")</f>
        <v>Dezembro</v>
      </c>
      <c r="E803">
        <f>SUM(_xlfn.XLOOKUP(tblCalculo[[#This Row],[NR_SIMULACAO]],tblVendas[[#This Row],[NR_SIMULACAO]],tblVendas[[#This Row],[VALOR_MOVEL]],""):_xlfn.XLOOKUP(tblCalculo[[#This Row],[NR_SIMULACAO]],tblVendas[[#This Row],[NR_SIMULACAO]],tblVendas[[#This Row],[VALOR_APARELHO]],""))</f>
        <v>9954.98</v>
      </c>
      <c r="F803">
        <f>IF(tblCalculo[[#This Row],[STATUS]]="CONCLUÍDO",_xlfn.XLOOKUP(tblCalculo[[#This Row],[NR_SIMULACAO]],tblVendas[[#This Row],[NR_SIMULACAO]],tblVendas[[#This Row],[VALOR_MOVEL]],""),0)</f>
        <v>0</v>
      </c>
      <c r="G803">
        <f>IF(tblCalculo[[#This Row],[STATUS]]="CONCLUÍDO",_xlfn.XLOOKUP(tblCalculo[[#This Row],[NR_SIMULACAO]],tblVendas[[#This Row],[NR_SIMULACAO]],tblVendas[[#This Row],[VALOR_AVANCADO]],""),0)</f>
        <v>0</v>
      </c>
      <c r="H803">
        <f>IF(tblCalculo[[#This Row],[STATUS]]="CONCLUÍDO",_xlfn.XLOOKUP(tblCalculo[[#This Row],[NR_SIMULACAO]],tblVendas[[#This Row],[NR_SIMULACAO]],tblVendas[[#This Row],[VALOR_FIXABASICA]],""),0)</f>
        <v>0</v>
      </c>
      <c r="I803">
        <f>IF(tblCalculo[[#This Row],[STATUS]]="CONCLUÍDO",_xlfn.XLOOKUP(tblCalculo[[#This Row],[NR_SIMULACAO]],tblVendas[[#This Row],[NR_SIMULACAO]],tblVendas[[#This Row],[VALOR_TI]],""),0)</f>
        <v>0</v>
      </c>
      <c r="J803">
        <f>IF(tblCalculo[[#This Row],[STATUS]]="CONCLUÍDO",_xlfn.XLOOKUP(tblCalculo[[#This Row],[NR_SIMULACAO]],tblVendas[[#This Row],[NR_SIMULACAO]],tblVendas[[#This Row],[VALOR_APARELHO]],""),0)</f>
        <v>0</v>
      </c>
      <c r="K803" t="str">
        <f>IF(tblCalculo[[#This Row],[STATUS]]="NEGOCIANDO",tblCalculo[[#This Row],[VALOR_TOTAL]],"")</f>
        <v/>
      </c>
      <c r="L803" t="str">
        <f>IF(tblCalculo[[#This Row],[STATUS]]="ALÇADA",tblCalculo[[#This Row],[VALOR_TOTAL]],"")</f>
        <v/>
      </c>
      <c r="M803">
        <f>IF(tblCalculo[[#This Row],[STATUS]]="EM ANÁLISE",tblCalculo[[#This Row],[VALOR_TOTAL]],"")</f>
        <v>9954.98</v>
      </c>
      <c r="N803" t="str">
        <f>IF(tblCalculo[[#This Row],[STATUS]]="TRAMITANDO",tblCalculo[[#This Row],[VALOR_TOTAL]],"")</f>
        <v/>
      </c>
      <c r="O803" t="str">
        <f>IF(tblCalculo[[#This Row],[STATUS]]="PERDIDO",tblCalculo[[#This Row],[VALOR_TOTAL]],"")</f>
        <v/>
      </c>
      <c r="P803" t="str">
        <f>IF(tblCalculo[[#This Row],[STATUS]]="CONCLUÍDO",tblCalculo[[#This Row],[VALOR_TOTAL]],"")</f>
        <v/>
      </c>
    </row>
    <row r="804" spans="1:16" x14ac:dyDescent="0.25">
      <c r="A804" t="str">
        <f>tblVendas[[#This Row],[NR_SIMULACAO]]</f>
        <v>SIM1794</v>
      </c>
      <c r="B804" s="34" t="str">
        <f>_xlfn.XLOOKUP(A804,tblVendas[[#This Row],[NR_SIMULACAO]],tblVendas[[#This Row],[NR_CNPJ]],"")</f>
        <v>68.586.972/0001-79</v>
      </c>
      <c r="C804" t="str">
        <f>_xlfn.XLOOKUP(A804,tblVendas[[#This Row],[NR_SIMULACAO]],tblVendas[[#This Row],[STATUS]],"")</f>
        <v>PERDIDO</v>
      </c>
      <c r="D804" t="str">
        <f>_xlfn.XLOOKUP(A804,tblVendas[[#This Row],[NR_SIMULACAO]],tblVendas[[#This Row],[MES]],"")</f>
        <v>Março</v>
      </c>
      <c r="E804">
        <f>SUM(_xlfn.XLOOKUP(tblCalculo[[#This Row],[NR_SIMULACAO]],tblVendas[[#This Row],[NR_SIMULACAO]],tblVendas[[#This Row],[VALOR_MOVEL]],""):_xlfn.XLOOKUP(tblCalculo[[#This Row],[NR_SIMULACAO]],tblVendas[[#This Row],[NR_SIMULACAO]],tblVendas[[#This Row],[VALOR_APARELHO]],""))</f>
        <v>3320.0699999999997</v>
      </c>
      <c r="F804">
        <f>IF(tblCalculo[[#This Row],[STATUS]]="CONCLUÍDO",_xlfn.XLOOKUP(tblCalculo[[#This Row],[NR_SIMULACAO]],tblVendas[[#This Row],[NR_SIMULACAO]],tblVendas[[#This Row],[VALOR_MOVEL]],""),0)</f>
        <v>0</v>
      </c>
      <c r="G804">
        <f>IF(tblCalculo[[#This Row],[STATUS]]="CONCLUÍDO",_xlfn.XLOOKUP(tblCalculo[[#This Row],[NR_SIMULACAO]],tblVendas[[#This Row],[NR_SIMULACAO]],tblVendas[[#This Row],[VALOR_AVANCADO]],""),0)</f>
        <v>0</v>
      </c>
      <c r="H804">
        <f>IF(tblCalculo[[#This Row],[STATUS]]="CONCLUÍDO",_xlfn.XLOOKUP(tblCalculo[[#This Row],[NR_SIMULACAO]],tblVendas[[#This Row],[NR_SIMULACAO]],tblVendas[[#This Row],[VALOR_FIXABASICA]],""),0)</f>
        <v>0</v>
      </c>
      <c r="I804">
        <f>IF(tblCalculo[[#This Row],[STATUS]]="CONCLUÍDO",_xlfn.XLOOKUP(tblCalculo[[#This Row],[NR_SIMULACAO]],tblVendas[[#This Row],[NR_SIMULACAO]],tblVendas[[#This Row],[VALOR_TI]],""),0)</f>
        <v>0</v>
      </c>
      <c r="J804">
        <f>IF(tblCalculo[[#This Row],[STATUS]]="CONCLUÍDO",_xlfn.XLOOKUP(tblCalculo[[#This Row],[NR_SIMULACAO]],tblVendas[[#This Row],[NR_SIMULACAO]],tblVendas[[#This Row],[VALOR_APARELHO]],""),0)</f>
        <v>0</v>
      </c>
      <c r="K804" t="str">
        <f>IF(tblCalculo[[#This Row],[STATUS]]="NEGOCIANDO",tblCalculo[[#This Row],[VALOR_TOTAL]],"")</f>
        <v/>
      </c>
      <c r="L804" t="str">
        <f>IF(tblCalculo[[#This Row],[STATUS]]="ALÇADA",tblCalculo[[#This Row],[VALOR_TOTAL]],"")</f>
        <v/>
      </c>
      <c r="M804" t="str">
        <f>IF(tblCalculo[[#This Row],[STATUS]]="EM ANÁLISE",tblCalculo[[#This Row],[VALOR_TOTAL]],"")</f>
        <v/>
      </c>
      <c r="N804" t="str">
        <f>IF(tblCalculo[[#This Row],[STATUS]]="TRAMITANDO",tblCalculo[[#This Row],[VALOR_TOTAL]],"")</f>
        <v/>
      </c>
      <c r="O804">
        <f>IF(tblCalculo[[#This Row],[STATUS]]="PERDIDO",tblCalculo[[#This Row],[VALOR_TOTAL]],"")</f>
        <v>3320.0699999999997</v>
      </c>
      <c r="P804" t="str">
        <f>IF(tblCalculo[[#This Row],[STATUS]]="CONCLUÍDO",tblCalculo[[#This Row],[VALOR_TOTAL]],"")</f>
        <v/>
      </c>
    </row>
    <row r="805" spans="1:16" x14ac:dyDescent="0.25">
      <c r="A805" t="str">
        <f>tblVendas[[#This Row],[NR_SIMULACAO]]</f>
        <v>SIM1795</v>
      </c>
      <c r="B805" s="34" t="str">
        <f>_xlfn.XLOOKUP(A805,tblVendas[[#This Row],[NR_SIMULACAO]],tblVendas[[#This Row],[NR_CNPJ]],"")</f>
        <v>32.826.393/0001-82</v>
      </c>
      <c r="C805" t="str">
        <f>_xlfn.XLOOKUP(A805,tblVendas[[#This Row],[NR_SIMULACAO]],tblVendas[[#This Row],[STATUS]],"")</f>
        <v>PERDIDO</v>
      </c>
      <c r="D805" t="str">
        <f>_xlfn.XLOOKUP(A805,tblVendas[[#This Row],[NR_SIMULACAO]],tblVendas[[#This Row],[MES]],"")</f>
        <v>Outubro</v>
      </c>
      <c r="E805">
        <f>SUM(_xlfn.XLOOKUP(tblCalculo[[#This Row],[NR_SIMULACAO]],tblVendas[[#This Row],[NR_SIMULACAO]],tblVendas[[#This Row],[VALOR_MOVEL]],""):_xlfn.XLOOKUP(tblCalculo[[#This Row],[NR_SIMULACAO]],tblVendas[[#This Row],[NR_SIMULACAO]],tblVendas[[#This Row],[VALOR_APARELHO]],""))</f>
        <v>5869.71</v>
      </c>
      <c r="F805">
        <f>IF(tblCalculo[[#This Row],[STATUS]]="CONCLUÍDO",_xlfn.XLOOKUP(tblCalculo[[#This Row],[NR_SIMULACAO]],tblVendas[[#This Row],[NR_SIMULACAO]],tblVendas[[#This Row],[VALOR_MOVEL]],""),0)</f>
        <v>0</v>
      </c>
      <c r="G805">
        <f>IF(tblCalculo[[#This Row],[STATUS]]="CONCLUÍDO",_xlfn.XLOOKUP(tblCalculo[[#This Row],[NR_SIMULACAO]],tblVendas[[#This Row],[NR_SIMULACAO]],tblVendas[[#This Row],[VALOR_AVANCADO]],""),0)</f>
        <v>0</v>
      </c>
      <c r="H805">
        <f>IF(tblCalculo[[#This Row],[STATUS]]="CONCLUÍDO",_xlfn.XLOOKUP(tblCalculo[[#This Row],[NR_SIMULACAO]],tblVendas[[#This Row],[NR_SIMULACAO]],tblVendas[[#This Row],[VALOR_FIXABASICA]],""),0)</f>
        <v>0</v>
      </c>
      <c r="I805">
        <f>IF(tblCalculo[[#This Row],[STATUS]]="CONCLUÍDO",_xlfn.XLOOKUP(tblCalculo[[#This Row],[NR_SIMULACAO]],tblVendas[[#This Row],[NR_SIMULACAO]],tblVendas[[#This Row],[VALOR_TI]],""),0)</f>
        <v>0</v>
      </c>
      <c r="J805">
        <f>IF(tblCalculo[[#This Row],[STATUS]]="CONCLUÍDO",_xlfn.XLOOKUP(tblCalculo[[#This Row],[NR_SIMULACAO]],tblVendas[[#This Row],[NR_SIMULACAO]],tblVendas[[#This Row],[VALOR_APARELHO]],""),0)</f>
        <v>0</v>
      </c>
      <c r="K805" t="str">
        <f>IF(tblCalculo[[#This Row],[STATUS]]="NEGOCIANDO",tblCalculo[[#This Row],[VALOR_TOTAL]],"")</f>
        <v/>
      </c>
      <c r="L805" t="str">
        <f>IF(tblCalculo[[#This Row],[STATUS]]="ALÇADA",tblCalculo[[#This Row],[VALOR_TOTAL]],"")</f>
        <v/>
      </c>
      <c r="M805" t="str">
        <f>IF(tblCalculo[[#This Row],[STATUS]]="EM ANÁLISE",tblCalculo[[#This Row],[VALOR_TOTAL]],"")</f>
        <v/>
      </c>
      <c r="N805" t="str">
        <f>IF(tblCalculo[[#This Row],[STATUS]]="TRAMITANDO",tblCalculo[[#This Row],[VALOR_TOTAL]],"")</f>
        <v/>
      </c>
      <c r="O805">
        <f>IF(tblCalculo[[#This Row],[STATUS]]="PERDIDO",tblCalculo[[#This Row],[VALOR_TOTAL]],"")</f>
        <v>5869.71</v>
      </c>
      <c r="P805" t="str">
        <f>IF(tblCalculo[[#This Row],[STATUS]]="CONCLUÍDO",tblCalculo[[#This Row],[VALOR_TOTAL]],"")</f>
        <v/>
      </c>
    </row>
    <row r="806" spans="1:16" x14ac:dyDescent="0.25">
      <c r="A806" t="str">
        <f>tblVendas[[#This Row],[NR_SIMULACAO]]</f>
        <v>SIM1796</v>
      </c>
      <c r="B806" s="34" t="str">
        <f>_xlfn.XLOOKUP(A806,tblVendas[[#This Row],[NR_SIMULACAO]],tblVendas[[#This Row],[NR_CNPJ]],"")</f>
        <v>54.140.964/0001-47</v>
      </c>
      <c r="C806" t="str">
        <f>_xlfn.XLOOKUP(A806,tblVendas[[#This Row],[NR_SIMULACAO]],tblVendas[[#This Row],[STATUS]],"")</f>
        <v>TRAMITANDO</v>
      </c>
      <c r="D806" t="str">
        <f>_xlfn.XLOOKUP(A806,tblVendas[[#This Row],[NR_SIMULACAO]],tblVendas[[#This Row],[MES]],"")</f>
        <v>Janeiro</v>
      </c>
      <c r="E806">
        <f>SUM(_xlfn.XLOOKUP(tblCalculo[[#This Row],[NR_SIMULACAO]],tblVendas[[#This Row],[NR_SIMULACAO]],tblVendas[[#This Row],[VALOR_MOVEL]],""):_xlfn.XLOOKUP(tblCalculo[[#This Row],[NR_SIMULACAO]],tblVendas[[#This Row],[NR_SIMULACAO]],tblVendas[[#This Row],[VALOR_APARELHO]],""))</f>
        <v>11621.24</v>
      </c>
      <c r="F806">
        <f>IF(tblCalculo[[#This Row],[STATUS]]="CONCLUÍDO",_xlfn.XLOOKUP(tblCalculo[[#This Row],[NR_SIMULACAO]],tblVendas[[#This Row],[NR_SIMULACAO]],tblVendas[[#This Row],[VALOR_MOVEL]],""),0)</f>
        <v>0</v>
      </c>
      <c r="G806">
        <f>IF(tblCalculo[[#This Row],[STATUS]]="CONCLUÍDO",_xlfn.XLOOKUP(tblCalculo[[#This Row],[NR_SIMULACAO]],tblVendas[[#This Row],[NR_SIMULACAO]],tblVendas[[#This Row],[VALOR_AVANCADO]],""),0)</f>
        <v>0</v>
      </c>
      <c r="H806">
        <f>IF(tblCalculo[[#This Row],[STATUS]]="CONCLUÍDO",_xlfn.XLOOKUP(tblCalculo[[#This Row],[NR_SIMULACAO]],tblVendas[[#This Row],[NR_SIMULACAO]],tblVendas[[#This Row],[VALOR_FIXABASICA]],""),0)</f>
        <v>0</v>
      </c>
      <c r="I806">
        <f>IF(tblCalculo[[#This Row],[STATUS]]="CONCLUÍDO",_xlfn.XLOOKUP(tblCalculo[[#This Row],[NR_SIMULACAO]],tblVendas[[#This Row],[NR_SIMULACAO]],tblVendas[[#This Row],[VALOR_TI]],""),0)</f>
        <v>0</v>
      </c>
      <c r="J806">
        <f>IF(tblCalculo[[#This Row],[STATUS]]="CONCLUÍDO",_xlfn.XLOOKUP(tblCalculo[[#This Row],[NR_SIMULACAO]],tblVendas[[#This Row],[NR_SIMULACAO]],tblVendas[[#This Row],[VALOR_APARELHO]],""),0)</f>
        <v>0</v>
      </c>
      <c r="K806" t="str">
        <f>IF(tblCalculo[[#This Row],[STATUS]]="NEGOCIANDO",tblCalculo[[#This Row],[VALOR_TOTAL]],"")</f>
        <v/>
      </c>
      <c r="L806" t="str">
        <f>IF(tblCalculo[[#This Row],[STATUS]]="ALÇADA",tblCalculo[[#This Row],[VALOR_TOTAL]],"")</f>
        <v/>
      </c>
      <c r="M806" t="str">
        <f>IF(tblCalculo[[#This Row],[STATUS]]="EM ANÁLISE",tblCalculo[[#This Row],[VALOR_TOTAL]],"")</f>
        <v/>
      </c>
      <c r="N806">
        <f>IF(tblCalculo[[#This Row],[STATUS]]="TRAMITANDO",tblCalculo[[#This Row],[VALOR_TOTAL]],"")</f>
        <v>11621.24</v>
      </c>
      <c r="O806" t="str">
        <f>IF(tblCalculo[[#This Row],[STATUS]]="PERDIDO",tblCalculo[[#This Row],[VALOR_TOTAL]],"")</f>
        <v/>
      </c>
      <c r="P806" t="str">
        <f>IF(tblCalculo[[#This Row],[STATUS]]="CONCLUÍDO",tblCalculo[[#This Row],[VALOR_TOTAL]],"")</f>
        <v/>
      </c>
    </row>
    <row r="807" spans="1:16" x14ac:dyDescent="0.25">
      <c r="A807" t="str">
        <f>tblVendas[[#This Row],[NR_SIMULACAO]]</f>
        <v>SIM1797</v>
      </c>
      <c r="B807" s="34" t="str">
        <f>_xlfn.XLOOKUP(A807,tblVendas[[#This Row],[NR_SIMULACAO]],tblVendas[[#This Row],[NR_CNPJ]],"")</f>
        <v>50.746.175/0001-58</v>
      </c>
      <c r="C807" t="str">
        <f>_xlfn.XLOOKUP(A807,tblVendas[[#This Row],[NR_SIMULACAO]],tblVendas[[#This Row],[STATUS]],"")</f>
        <v>NEGOCIANDO</v>
      </c>
      <c r="D807" t="str">
        <f>_xlfn.XLOOKUP(A807,tblVendas[[#This Row],[NR_SIMULACAO]],tblVendas[[#This Row],[MES]],"")</f>
        <v>Abril</v>
      </c>
      <c r="E807">
        <f>SUM(_xlfn.XLOOKUP(tblCalculo[[#This Row],[NR_SIMULACAO]],tblVendas[[#This Row],[NR_SIMULACAO]],tblVendas[[#This Row],[VALOR_MOVEL]],""):_xlfn.XLOOKUP(tblCalculo[[#This Row],[NR_SIMULACAO]],tblVendas[[#This Row],[NR_SIMULACAO]],tblVendas[[#This Row],[VALOR_APARELHO]],""))</f>
        <v>9258.73</v>
      </c>
      <c r="F807">
        <f>IF(tblCalculo[[#This Row],[STATUS]]="CONCLUÍDO",_xlfn.XLOOKUP(tblCalculo[[#This Row],[NR_SIMULACAO]],tblVendas[[#This Row],[NR_SIMULACAO]],tblVendas[[#This Row],[VALOR_MOVEL]],""),0)</f>
        <v>0</v>
      </c>
      <c r="G807">
        <f>IF(tblCalculo[[#This Row],[STATUS]]="CONCLUÍDO",_xlfn.XLOOKUP(tblCalculo[[#This Row],[NR_SIMULACAO]],tblVendas[[#This Row],[NR_SIMULACAO]],tblVendas[[#This Row],[VALOR_AVANCADO]],""),0)</f>
        <v>0</v>
      </c>
      <c r="H807">
        <f>IF(tblCalculo[[#This Row],[STATUS]]="CONCLUÍDO",_xlfn.XLOOKUP(tblCalculo[[#This Row],[NR_SIMULACAO]],tblVendas[[#This Row],[NR_SIMULACAO]],tblVendas[[#This Row],[VALOR_FIXABASICA]],""),0)</f>
        <v>0</v>
      </c>
      <c r="I807">
        <f>IF(tblCalculo[[#This Row],[STATUS]]="CONCLUÍDO",_xlfn.XLOOKUP(tblCalculo[[#This Row],[NR_SIMULACAO]],tblVendas[[#This Row],[NR_SIMULACAO]],tblVendas[[#This Row],[VALOR_TI]],""),0)</f>
        <v>0</v>
      </c>
      <c r="J807">
        <f>IF(tblCalculo[[#This Row],[STATUS]]="CONCLUÍDO",_xlfn.XLOOKUP(tblCalculo[[#This Row],[NR_SIMULACAO]],tblVendas[[#This Row],[NR_SIMULACAO]],tblVendas[[#This Row],[VALOR_APARELHO]],""),0)</f>
        <v>0</v>
      </c>
      <c r="K807">
        <f>IF(tblCalculo[[#This Row],[STATUS]]="NEGOCIANDO",tblCalculo[[#This Row],[VALOR_TOTAL]],"")</f>
        <v>9258.73</v>
      </c>
      <c r="L807" t="str">
        <f>IF(tblCalculo[[#This Row],[STATUS]]="ALÇADA",tblCalculo[[#This Row],[VALOR_TOTAL]],"")</f>
        <v/>
      </c>
      <c r="M807" t="str">
        <f>IF(tblCalculo[[#This Row],[STATUS]]="EM ANÁLISE",tblCalculo[[#This Row],[VALOR_TOTAL]],"")</f>
        <v/>
      </c>
      <c r="N807" t="str">
        <f>IF(tblCalculo[[#This Row],[STATUS]]="TRAMITANDO",tblCalculo[[#This Row],[VALOR_TOTAL]],"")</f>
        <v/>
      </c>
      <c r="O807" t="str">
        <f>IF(tblCalculo[[#This Row],[STATUS]]="PERDIDO",tblCalculo[[#This Row],[VALOR_TOTAL]],"")</f>
        <v/>
      </c>
      <c r="P807" t="str">
        <f>IF(tblCalculo[[#This Row],[STATUS]]="CONCLUÍDO",tblCalculo[[#This Row],[VALOR_TOTAL]],"")</f>
        <v/>
      </c>
    </row>
    <row r="808" spans="1:16" x14ac:dyDescent="0.25">
      <c r="A808" t="str">
        <f>tblVendas[[#This Row],[NR_SIMULACAO]]</f>
        <v>SIM1798</v>
      </c>
      <c r="B808" s="34" t="str">
        <f>_xlfn.XLOOKUP(A808,tblVendas[[#This Row],[NR_SIMULACAO]],tblVendas[[#This Row],[NR_CNPJ]],"")</f>
        <v>42.782.140/0001-49</v>
      </c>
      <c r="C808" t="str">
        <f>_xlfn.XLOOKUP(A808,tblVendas[[#This Row],[NR_SIMULACAO]],tblVendas[[#This Row],[STATUS]],"")</f>
        <v>PERDIDO</v>
      </c>
      <c r="D808" t="str">
        <f>_xlfn.XLOOKUP(A808,tblVendas[[#This Row],[NR_SIMULACAO]],tblVendas[[#This Row],[MES]],"")</f>
        <v>Agosto</v>
      </c>
      <c r="E808">
        <f>SUM(_xlfn.XLOOKUP(tblCalculo[[#This Row],[NR_SIMULACAO]],tblVendas[[#This Row],[NR_SIMULACAO]],tblVendas[[#This Row],[VALOR_MOVEL]],""):_xlfn.XLOOKUP(tblCalculo[[#This Row],[NR_SIMULACAO]],tblVendas[[#This Row],[NR_SIMULACAO]],tblVendas[[#This Row],[VALOR_APARELHO]],""))</f>
        <v>3764.52</v>
      </c>
      <c r="F808">
        <f>IF(tblCalculo[[#This Row],[STATUS]]="CONCLUÍDO",_xlfn.XLOOKUP(tblCalculo[[#This Row],[NR_SIMULACAO]],tblVendas[[#This Row],[NR_SIMULACAO]],tblVendas[[#This Row],[VALOR_MOVEL]],""),0)</f>
        <v>0</v>
      </c>
      <c r="G808">
        <f>IF(tblCalculo[[#This Row],[STATUS]]="CONCLUÍDO",_xlfn.XLOOKUP(tblCalculo[[#This Row],[NR_SIMULACAO]],tblVendas[[#This Row],[NR_SIMULACAO]],tblVendas[[#This Row],[VALOR_AVANCADO]],""),0)</f>
        <v>0</v>
      </c>
      <c r="H808">
        <f>IF(tblCalculo[[#This Row],[STATUS]]="CONCLUÍDO",_xlfn.XLOOKUP(tblCalculo[[#This Row],[NR_SIMULACAO]],tblVendas[[#This Row],[NR_SIMULACAO]],tblVendas[[#This Row],[VALOR_FIXABASICA]],""),0)</f>
        <v>0</v>
      </c>
      <c r="I808">
        <f>IF(tblCalculo[[#This Row],[STATUS]]="CONCLUÍDO",_xlfn.XLOOKUP(tblCalculo[[#This Row],[NR_SIMULACAO]],tblVendas[[#This Row],[NR_SIMULACAO]],tblVendas[[#This Row],[VALOR_TI]],""),0)</f>
        <v>0</v>
      </c>
      <c r="J808">
        <f>IF(tblCalculo[[#This Row],[STATUS]]="CONCLUÍDO",_xlfn.XLOOKUP(tblCalculo[[#This Row],[NR_SIMULACAO]],tblVendas[[#This Row],[NR_SIMULACAO]],tblVendas[[#This Row],[VALOR_APARELHO]],""),0)</f>
        <v>0</v>
      </c>
      <c r="K808" t="str">
        <f>IF(tblCalculo[[#This Row],[STATUS]]="NEGOCIANDO",tblCalculo[[#This Row],[VALOR_TOTAL]],"")</f>
        <v/>
      </c>
      <c r="L808" t="str">
        <f>IF(tblCalculo[[#This Row],[STATUS]]="ALÇADA",tblCalculo[[#This Row],[VALOR_TOTAL]],"")</f>
        <v/>
      </c>
      <c r="M808" t="str">
        <f>IF(tblCalculo[[#This Row],[STATUS]]="EM ANÁLISE",tblCalculo[[#This Row],[VALOR_TOTAL]],"")</f>
        <v/>
      </c>
      <c r="N808" t="str">
        <f>IF(tblCalculo[[#This Row],[STATUS]]="TRAMITANDO",tblCalculo[[#This Row],[VALOR_TOTAL]],"")</f>
        <v/>
      </c>
      <c r="O808">
        <f>IF(tblCalculo[[#This Row],[STATUS]]="PERDIDO",tblCalculo[[#This Row],[VALOR_TOTAL]],"")</f>
        <v>3764.52</v>
      </c>
      <c r="P808" t="str">
        <f>IF(tblCalculo[[#This Row],[STATUS]]="CONCLUÍDO",tblCalculo[[#This Row],[VALOR_TOTAL]],"")</f>
        <v/>
      </c>
    </row>
    <row r="809" spans="1:16" x14ac:dyDescent="0.25">
      <c r="A809" t="str">
        <f>tblVendas[[#This Row],[NR_SIMULACAO]]</f>
        <v>SIM1799</v>
      </c>
      <c r="B809" s="34" t="str">
        <f>_xlfn.XLOOKUP(A809,tblVendas[[#This Row],[NR_SIMULACAO]],tblVendas[[#This Row],[NR_CNPJ]],"")</f>
        <v>55.216.581/0001-17</v>
      </c>
      <c r="C809" t="str">
        <f>_xlfn.XLOOKUP(A809,tblVendas[[#This Row],[NR_SIMULACAO]],tblVendas[[#This Row],[STATUS]],"")</f>
        <v>CONCLUÍDO</v>
      </c>
      <c r="D809" t="str">
        <f>_xlfn.XLOOKUP(A809,tblVendas[[#This Row],[NR_SIMULACAO]],tblVendas[[#This Row],[MES]],"")</f>
        <v>Novembro</v>
      </c>
      <c r="E809">
        <f>SUM(_xlfn.XLOOKUP(tblCalculo[[#This Row],[NR_SIMULACAO]],tblVendas[[#This Row],[NR_SIMULACAO]],tblVendas[[#This Row],[VALOR_MOVEL]],""):_xlfn.XLOOKUP(tblCalculo[[#This Row],[NR_SIMULACAO]],tblVendas[[#This Row],[NR_SIMULACAO]],tblVendas[[#This Row],[VALOR_APARELHO]],""))</f>
        <v>3646.51</v>
      </c>
      <c r="F809">
        <f>IF(tblCalculo[[#This Row],[STATUS]]="CONCLUÍDO",_xlfn.XLOOKUP(tblCalculo[[#This Row],[NR_SIMULACAO]],tblVendas[[#This Row],[NR_SIMULACAO]],tblVendas[[#This Row],[VALOR_MOVEL]],""),0)</f>
        <v>0</v>
      </c>
      <c r="G809">
        <f>IF(tblCalculo[[#This Row],[STATUS]]="CONCLUÍDO",_xlfn.XLOOKUP(tblCalculo[[#This Row],[NR_SIMULACAO]],tblVendas[[#This Row],[NR_SIMULACAO]],tblVendas[[#This Row],[VALOR_AVANCADO]],""),0)</f>
        <v>0</v>
      </c>
      <c r="H809">
        <f>IF(tblCalculo[[#This Row],[STATUS]]="CONCLUÍDO",_xlfn.XLOOKUP(tblCalculo[[#This Row],[NR_SIMULACAO]],tblVendas[[#This Row],[NR_SIMULACAO]],tblVendas[[#This Row],[VALOR_FIXABASICA]],""),0)</f>
        <v>0</v>
      </c>
      <c r="I809">
        <f>IF(tblCalculo[[#This Row],[STATUS]]="CONCLUÍDO",_xlfn.XLOOKUP(tblCalculo[[#This Row],[NR_SIMULACAO]],tblVendas[[#This Row],[NR_SIMULACAO]],tblVendas[[#This Row],[VALOR_TI]],""),0)</f>
        <v>3646.51</v>
      </c>
      <c r="J809">
        <f>IF(tblCalculo[[#This Row],[STATUS]]="CONCLUÍDO",_xlfn.XLOOKUP(tblCalculo[[#This Row],[NR_SIMULACAO]],tblVendas[[#This Row],[NR_SIMULACAO]],tblVendas[[#This Row],[VALOR_APARELHO]],""),0)</f>
        <v>0</v>
      </c>
      <c r="K809" t="str">
        <f>IF(tblCalculo[[#This Row],[STATUS]]="NEGOCIANDO",tblCalculo[[#This Row],[VALOR_TOTAL]],"")</f>
        <v/>
      </c>
      <c r="L809" t="str">
        <f>IF(tblCalculo[[#This Row],[STATUS]]="ALÇADA",tblCalculo[[#This Row],[VALOR_TOTAL]],"")</f>
        <v/>
      </c>
      <c r="M809" t="str">
        <f>IF(tblCalculo[[#This Row],[STATUS]]="EM ANÁLISE",tblCalculo[[#This Row],[VALOR_TOTAL]],"")</f>
        <v/>
      </c>
      <c r="N809" t="str">
        <f>IF(tblCalculo[[#This Row],[STATUS]]="TRAMITANDO",tblCalculo[[#This Row],[VALOR_TOTAL]],"")</f>
        <v/>
      </c>
      <c r="O809" t="str">
        <f>IF(tblCalculo[[#This Row],[STATUS]]="PERDIDO",tblCalculo[[#This Row],[VALOR_TOTAL]],"")</f>
        <v/>
      </c>
      <c r="P809">
        <f>IF(tblCalculo[[#This Row],[STATUS]]="CONCLUÍDO",tblCalculo[[#This Row],[VALOR_TOTAL]],"")</f>
        <v>3646.51</v>
      </c>
    </row>
    <row r="810" spans="1:16" x14ac:dyDescent="0.25">
      <c r="A810" t="str">
        <f>tblVendas[[#This Row],[NR_SIMULACAO]]</f>
        <v>SIM1800</v>
      </c>
      <c r="B810" s="34" t="str">
        <f>_xlfn.XLOOKUP(A810,tblVendas[[#This Row],[NR_SIMULACAO]],tblVendas[[#This Row],[NR_CNPJ]],"")</f>
        <v>81.284.591/0001-29</v>
      </c>
      <c r="C810" t="str">
        <f>_xlfn.XLOOKUP(A810,tblVendas[[#This Row],[NR_SIMULACAO]],tblVendas[[#This Row],[STATUS]],"")</f>
        <v>CONCLUÍDO</v>
      </c>
      <c r="D810" t="str">
        <f>_xlfn.XLOOKUP(A810,tblVendas[[#This Row],[NR_SIMULACAO]],tblVendas[[#This Row],[MES]],"")</f>
        <v>Setembro</v>
      </c>
      <c r="E810">
        <f>SUM(_xlfn.XLOOKUP(tblCalculo[[#This Row],[NR_SIMULACAO]],tblVendas[[#This Row],[NR_SIMULACAO]],tblVendas[[#This Row],[VALOR_MOVEL]],""):_xlfn.XLOOKUP(tblCalculo[[#This Row],[NR_SIMULACAO]],tblVendas[[#This Row],[NR_SIMULACAO]],tblVendas[[#This Row],[VALOR_APARELHO]],""))</f>
        <v>11482.72</v>
      </c>
      <c r="F810">
        <f>IF(tblCalculo[[#This Row],[STATUS]]="CONCLUÍDO",_xlfn.XLOOKUP(tblCalculo[[#This Row],[NR_SIMULACAO]],tblVendas[[#This Row],[NR_SIMULACAO]],tblVendas[[#This Row],[VALOR_MOVEL]],""),0)</f>
        <v>0</v>
      </c>
      <c r="G810">
        <f>IF(tblCalculo[[#This Row],[STATUS]]="CONCLUÍDO",_xlfn.XLOOKUP(tblCalculo[[#This Row],[NR_SIMULACAO]],tblVendas[[#This Row],[NR_SIMULACAO]],tblVendas[[#This Row],[VALOR_AVANCADO]],""),0)</f>
        <v>0</v>
      </c>
      <c r="H810">
        <f>IF(tblCalculo[[#This Row],[STATUS]]="CONCLUÍDO",_xlfn.XLOOKUP(tblCalculo[[#This Row],[NR_SIMULACAO]],tblVendas[[#This Row],[NR_SIMULACAO]],tblVendas[[#This Row],[VALOR_FIXABASICA]],""),0)</f>
        <v>0</v>
      </c>
      <c r="I810">
        <f>IF(tblCalculo[[#This Row],[STATUS]]="CONCLUÍDO",_xlfn.XLOOKUP(tblCalculo[[#This Row],[NR_SIMULACAO]],tblVendas[[#This Row],[NR_SIMULACAO]],tblVendas[[#This Row],[VALOR_TI]],""),0)</f>
        <v>11482.72</v>
      </c>
      <c r="J810">
        <f>IF(tblCalculo[[#This Row],[STATUS]]="CONCLUÍDO",_xlfn.XLOOKUP(tblCalculo[[#This Row],[NR_SIMULACAO]],tblVendas[[#This Row],[NR_SIMULACAO]],tblVendas[[#This Row],[VALOR_APARELHO]],""),0)</f>
        <v>0</v>
      </c>
      <c r="K810" t="str">
        <f>IF(tblCalculo[[#This Row],[STATUS]]="NEGOCIANDO",tblCalculo[[#This Row],[VALOR_TOTAL]],"")</f>
        <v/>
      </c>
      <c r="L810" t="str">
        <f>IF(tblCalculo[[#This Row],[STATUS]]="ALÇADA",tblCalculo[[#This Row],[VALOR_TOTAL]],"")</f>
        <v/>
      </c>
      <c r="M810" t="str">
        <f>IF(tblCalculo[[#This Row],[STATUS]]="EM ANÁLISE",tblCalculo[[#This Row],[VALOR_TOTAL]],"")</f>
        <v/>
      </c>
      <c r="N810" t="str">
        <f>IF(tblCalculo[[#This Row],[STATUS]]="TRAMITANDO",tblCalculo[[#This Row],[VALOR_TOTAL]],"")</f>
        <v/>
      </c>
      <c r="O810" t="str">
        <f>IF(tblCalculo[[#This Row],[STATUS]]="PERDIDO",tblCalculo[[#This Row],[VALOR_TOTAL]],"")</f>
        <v/>
      </c>
      <c r="P810">
        <f>IF(tblCalculo[[#This Row],[STATUS]]="CONCLUÍDO",tblCalculo[[#This Row],[VALOR_TOTAL]],"")</f>
        <v>11482.72</v>
      </c>
    </row>
    <row r="811" spans="1:16" x14ac:dyDescent="0.25">
      <c r="A811" t="str">
        <f>tblVendas[[#This Row],[NR_SIMULACAO]]</f>
        <v>SIM1801</v>
      </c>
      <c r="B811" s="34" t="str">
        <f>_xlfn.XLOOKUP(A811,tblVendas[[#This Row],[NR_SIMULACAO]],tblVendas[[#This Row],[NR_CNPJ]],"")</f>
        <v>96.610.500/0001-41</v>
      </c>
      <c r="C811" t="str">
        <f>_xlfn.XLOOKUP(A811,tblVendas[[#This Row],[NR_SIMULACAO]],tblVendas[[#This Row],[STATUS]],"")</f>
        <v>TRAMITANDO</v>
      </c>
      <c r="D811" t="str">
        <f>_xlfn.XLOOKUP(A811,tblVendas[[#This Row],[NR_SIMULACAO]],tblVendas[[#This Row],[MES]],"")</f>
        <v>Abril</v>
      </c>
      <c r="E811">
        <f>SUM(_xlfn.XLOOKUP(tblCalculo[[#This Row],[NR_SIMULACAO]],tblVendas[[#This Row],[NR_SIMULACAO]],tblVendas[[#This Row],[VALOR_MOVEL]],""):_xlfn.XLOOKUP(tblCalculo[[#This Row],[NR_SIMULACAO]],tblVendas[[#This Row],[NR_SIMULACAO]],tblVendas[[#This Row],[VALOR_APARELHO]],""))</f>
        <v>4096.4399999999996</v>
      </c>
      <c r="F811">
        <f>IF(tblCalculo[[#This Row],[STATUS]]="CONCLUÍDO",_xlfn.XLOOKUP(tblCalculo[[#This Row],[NR_SIMULACAO]],tblVendas[[#This Row],[NR_SIMULACAO]],tblVendas[[#This Row],[VALOR_MOVEL]],""),0)</f>
        <v>0</v>
      </c>
      <c r="G811">
        <f>IF(tblCalculo[[#This Row],[STATUS]]="CONCLUÍDO",_xlfn.XLOOKUP(tblCalculo[[#This Row],[NR_SIMULACAO]],tblVendas[[#This Row],[NR_SIMULACAO]],tblVendas[[#This Row],[VALOR_AVANCADO]],""),0)</f>
        <v>0</v>
      </c>
      <c r="H811">
        <f>IF(tblCalculo[[#This Row],[STATUS]]="CONCLUÍDO",_xlfn.XLOOKUP(tblCalculo[[#This Row],[NR_SIMULACAO]],tblVendas[[#This Row],[NR_SIMULACAO]],tblVendas[[#This Row],[VALOR_FIXABASICA]],""),0)</f>
        <v>0</v>
      </c>
      <c r="I811">
        <f>IF(tblCalculo[[#This Row],[STATUS]]="CONCLUÍDO",_xlfn.XLOOKUP(tblCalculo[[#This Row],[NR_SIMULACAO]],tblVendas[[#This Row],[NR_SIMULACAO]],tblVendas[[#This Row],[VALOR_TI]],""),0)</f>
        <v>0</v>
      </c>
      <c r="J811">
        <f>IF(tblCalculo[[#This Row],[STATUS]]="CONCLUÍDO",_xlfn.XLOOKUP(tblCalculo[[#This Row],[NR_SIMULACAO]],tblVendas[[#This Row],[NR_SIMULACAO]],tblVendas[[#This Row],[VALOR_APARELHO]],""),0)</f>
        <v>0</v>
      </c>
      <c r="K811" t="str">
        <f>IF(tblCalculo[[#This Row],[STATUS]]="NEGOCIANDO",tblCalculo[[#This Row],[VALOR_TOTAL]],"")</f>
        <v/>
      </c>
      <c r="L811" t="str">
        <f>IF(tblCalculo[[#This Row],[STATUS]]="ALÇADA",tblCalculo[[#This Row],[VALOR_TOTAL]],"")</f>
        <v/>
      </c>
      <c r="M811" t="str">
        <f>IF(tblCalculo[[#This Row],[STATUS]]="EM ANÁLISE",tblCalculo[[#This Row],[VALOR_TOTAL]],"")</f>
        <v/>
      </c>
      <c r="N811">
        <f>IF(tblCalculo[[#This Row],[STATUS]]="TRAMITANDO",tblCalculo[[#This Row],[VALOR_TOTAL]],"")</f>
        <v>4096.4399999999996</v>
      </c>
      <c r="O811" t="str">
        <f>IF(tblCalculo[[#This Row],[STATUS]]="PERDIDO",tblCalculo[[#This Row],[VALOR_TOTAL]],"")</f>
        <v/>
      </c>
      <c r="P811" t="str">
        <f>IF(tblCalculo[[#This Row],[STATUS]]="CONCLUÍDO",tblCalculo[[#This Row],[VALOR_TOTAL]],"")</f>
        <v/>
      </c>
    </row>
    <row r="812" spans="1:16" x14ac:dyDescent="0.25">
      <c r="A812" t="str">
        <f>tblVendas[[#This Row],[NR_SIMULACAO]]</f>
        <v>SIM1802</v>
      </c>
      <c r="B812" s="34" t="str">
        <f>_xlfn.XLOOKUP(A812,tblVendas[[#This Row],[NR_SIMULACAO]],tblVendas[[#This Row],[NR_CNPJ]],"")</f>
        <v>69.801.865/0001-71</v>
      </c>
      <c r="C812" t="str">
        <f>_xlfn.XLOOKUP(A812,tblVendas[[#This Row],[NR_SIMULACAO]],tblVendas[[#This Row],[STATUS]],"")</f>
        <v>TRAMITANDO</v>
      </c>
      <c r="D812" t="str">
        <f>_xlfn.XLOOKUP(A812,tblVendas[[#This Row],[NR_SIMULACAO]],tblVendas[[#This Row],[MES]],"")</f>
        <v>Janeiro</v>
      </c>
      <c r="E812">
        <f>SUM(_xlfn.XLOOKUP(tblCalculo[[#This Row],[NR_SIMULACAO]],tblVendas[[#This Row],[NR_SIMULACAO]],tblVendas[[#This Row],[VALOR_MOVEL]],""):_xlfn.XLOOKUP(tblCalculo[[#This Row],[NR_SIMULACAO]],tblVendas[[#This Row],[NR_SIMULACAO]],tblVendas[[#This Row],[VALOR_APARELHO]],""))</f>
        <v>16340.369999999999</v>
      </c>
      <c r="F812">
        <f>IF(tblCalculo[[#This Row],[STATUS]]="CONCLUÍDO",_xlfn.XLOOKUP(tblCalculo[[#This Row],[NR_SIMULACAO]],tblVendas[[#This Row],[NR_SIMULACAO]],tblVendas[[#This Row],[VALOR_MOVEL]],""),0)</f>
        <v>0</v>
      </c>
      <c r="G812">
        <f>IF(tblCalculo[[#This Row],[STATUS]]="CONCLUÍDO",_xlfn.XLOOKUP(tblCalculo[[#This Row],[NR_SIMULACAO]],tblVendas[[#This Row],[NR_SIMULACAO]],tblVendas[[#This Row],[VALOR_AVANCADO]],""),0)</f>
        <v>0</v>
      </c>
      <c r="H812">
        <f>IF(tblCalculo[[#This Row],[STATUS]]="CONCLUÍDO",_xlfn.XLOOKUP(tblCalculo[[#This Row],[NR_SIMULACAO]],tblVendas[[#This Row],[NR_SIMULACAO]],tblVendas[[#This Row],[VALOR_FIXABASICA]],""),0)</f>
        <v>0</v>
      </c>
      <c r="I812">
        <f>IF(tblCalculo[[#This Row],[STATUS]]="CONCLUÍDO",_xlfn.XLOOKUP(tblCalculo[[#This Row],[NR_SIMULACAO]],tblVendas[[#This Row],[NR_SIMULACAO]],tblVendas[[#This Row],[VALOR_TI]],""),0)</f>
        <v>0</v>
      </c>
      <c r="J812">
        <f>IF(tblCalculo[[#This Row],[STATUS]]="CONCLUÍDO",_xlfn.XLOOKUP(tblCalculo[[#This Row],[NR_SIMULACAO]],tblVendas[[#This Row],[NR_SIMULACAO]],tblVendas[[#This Row],[VALOR_APARELHO]],""),0)</f>
        <v>0</v>
      </c>
      <c r="K812" t="str">
        <f>IF(tblCalculo[[#This Row],[STATUS]]="NEGOCIANDO",tblCalculo[[#This Row],[VALOR_TOTAL]],"")</f>
        <v/>
      </c>
      <c r="L812" t="str">
        <f>IF(tblCalculo[[#This Row],[STATUS]]="ALÇADA",tblCalculo[[#This Row],[VALOR_TOTAL]],"")</f>
        <v/>
      </c>
      <c r="M812" t="str">
        <f>IF(tblCalculo[[#This Row],[STATUS]]="EM ANÁLISE",tblCalculo[[#This Row],[VALOR_TOTAL]],"")</f>
        <v/>
      </c>
      <c r="N812">
        <f>IF(tblCalculo[[#This Row],[STATUS]]="TRAMITANDO",tblCalculo[[#This Row],[VALOR_TOTAL]],"")</f>
        <v>16340.369999999999</v>
      </c>
      <c r="O812" t="str">
        <f>IF(tblCalculo[[#This Row],[STATUS]]="PERDIDO",tblCalculo[[#This Row],[VALOR_TOTAL]],"")</f>
        <v/>
      </c>
      <c r="P812" t="str">
        <f>IF(tblCalculo[[#This Row],[STATUS]]="CONCLUÍDO",tblCalculo[[#This Row],[VALOR_TOTAL]],"")</f>
        <v/>
      </c>
    </row>
    <row r="813" spans="1:16" x14ac:dyDescent="0.25">
      <c r="A813" t="str">
        <f>tblVendas[[#This Row],[NR_SIMULACAO]]</f>
        <v>SIM1803</v>
      </c>
      <c r="B813" s="34" t="str">
        <f>_xlfn.XLOOKUP(A813,tblVendas[[#This Row],[NR_SIMULACAO]],tblVendas[[#This Row],[NR_CNPJ]],"")</f>
        <v>34.122.683/0001-95</v>
      </c>
      <c r="C813" t="str">
        <f>_xlfn.XLOOKUP(A813,tblVendas[[#This Row],[NR_SIMULACAO]],tblVendas[[#This Row],[STATUS]],"")</f>
        <v>ALÇADA</v>
      </c>
      <c r="D813" t="str">
        <f>_xlfn.XLOOKUP(A813,tblVendas[[#This Row],[NR_SIMULACAO]],tblVendas[[#This Row],[MES]],"")</f>
        <v>Novembro</v>
      </c>
      <c r="E813">
        <f>SUM(_xlfn.XLOOKUP(tblCalculo[[#This Row],[NR_SIMULACAO]],tblVendas[[#This Row],[NR_SIMULACAO]],tblVendas[[#This Row],[VALOR_MOVEL]],""):_xlfn.XLOOKUP(tblCalculo[[#This Row],[NR_SIMULACAO]],tblVendas[[#This Row],[NR_SIMULACAO]],tblVendas[[#This Row],[VALOR_APARELHO]],""))</f>
        <v>4666.0600000000004</v>
      </c>
      <c r="F813">
        <f>IF(tblCalculo[[#This Row],[STATUS]]="CONCLUÍDO",_xlfn.XLOOKUP(tblCalculo[[#This Row],[NR_SIMULACAO]],tblVendas[[#This Row],[NR_SIMULACAO]],tblVendas[[#This Row],[VALOR_MOVEL]],""),0)</f>
        <v>0</v>
      </c>
      <c r="G813">
        <f>IF(tblCalculo[[#This Row],[STATUS]]="CONCLUÍDO",_xlfn.XLOOKUP(tblCalculo[[#This Row],[NR_SIMULACAO]],tblVendas[[#This Row],[NR_SIMULACAO]],tblVendas[[#This Row],[VALOR_AVANCADO]],""),0)</f>
        <v>0</v>
      </c>
      <c r="H813">
        <f>IF(tblCalculo[[#This Row],[STATUS]]="CONCLUÍDO",_xlfn.XLOOKUP(tblCalculo[[#This Row],[NR_SIMULACAO]],tblVendas[[#This Row],[NR_SIMULACAO]],tblVendas[[#This Row],[VALOR_FIXABASICA]],""),0)</f>
        <v>0</v>
      </c>
      <c r="I813">
        <f>IF(tblCalculo[[#This Row],[STATUS]]="CONCLUÍDO",_xlfn.XLOOKUP(tblCalculo[[#This Row],[NR_SIMULACAO]],tblVendas[[#This Row],[NR_SIMULACAO]],tblVendas[[#This Row],[VALOR_TI]],""),0)</f>
        <v>0</v>
      </c>
      <c r="J813">
        <f>IF(tblCalculo[[#This Row],[STATUS]]="CONCLUÍDO",_xlfn.XLOOKUP(tblCalculo[[#This Row],[NR_SIMULACAO]],tblVendas[[#This Row],[NR_SIMULACAO]],tblVendas[[#This Row],[VALOR_APARELHO]],""),0)</f>
        <v>0</v>
      </c>
      <c r="K813" t="str">
        <f>IF(tblCalculo[[#This Row],[STATUS]]="NEGOCIANDO",tblCalculo[[#This Row],[VALOR_TOTAL]],"")</f>
        <v/>
      </c>
      <c r="L813">
        <f>IF(tblCalculo[[#This Row],[STATUS]]="ALÇADA",tblCalculo[[#This Row],[VALOR_TOTAL]],"")</f>
        <v>4666.0600000000004</v>
      </c>
      <c r="M813" t="str">
        <f>IF(tblCalculo[[#This Row],[STATUS]]="EM ANÁLISE",tblCalculo[[#This Row],[VALOR_TOTAL]],"")</f>
        <v/>
      </c>
      <c r="N813" t="str">
        <f>IF(tblCalculo[[#This Row],[STATUS]]="TRAMITANDO",tblCalculo[[#This Row],[VALOR_TOTAL]],"")</f>
        <v/>
      </c>
      <c r="O813" t="str">
        <f>IF(tblCalculo[[#This Row],[STATUS]]="PERDIDO",tblCalculo[[#This Row],[VALOR_TOTAL]],"")</f>
        <v/>
      </c>
      <c r="P813" t="str">
        <f>IF(tblCalculo[[#This Row],[STATUS]]="CONCLUÍDO",tblCalculo[[#This Row],[VALOR_TOTAL]],"")</f>
        <v/>
      </c>
    </row>
    <row r="814" spans="1:16" x14ac:dyDescent="0.25">
      <c r="A814" t="str">
        <f>tblVendas[[#This Row],[NR_SIMULACAO]]</f>
        <v>SIM1804</v>
      </c>
      <c r="B814" s="34" t="str">
        <f>_xlfn.XLOOKUP(A814,tblVendas[[#This Row],[NR_SIMULACAO]],tblVendas[[#This Row],[NR_CNPJ]],"")</f>
        <v>33.678.523/0001-26</v>
      </c>
      <c r="C814" t="str">
        <f>_xlfn.XLOOKUP(A814,tblVendas[[#This Row],[NR_SIMULACAO]],tblVendas[[#This Row],[STATUS]],"")</f>
        <v>NEGOCIANDO</v>
      </c>
      <c r="D814" t="str">
        <f>_xlfn.XLOOKUP(A814,tblVendas[[#This Row],[NR_SIMULACAO]],tblVendas[[#This Row],[MES]],"")</f>
        <v>Junho</v>
      </c>
      <c r="E814">
        <f>SUM(_xlfn.XLOOKUP(tblCalculo[[#This Row],[NR_SIMULACAO]],tblVendas[[#This Row],[NR_SIMULACAO]],tblVendas[[#This Row],[VALOR_MOVEL]],""):_xlfn.XLOOKUP(tblCalculo[[#This Row],[NR_SIMULACAO]],tblVendas[[#This Row],[NR_SIMULACAO]],tblVendas[[#This Row],[VALOR_APARELHO]],""))</f>
        <v>3474.74</v>
      </c>
      <c r="F814">
        <f>IF(tblCalculo[[#This Row],[STATUS]]="CONCLUÍDO",_xlfn.XLOOKUP(tblCalculo[[#This Row],[NR_SIMULACAO]],tblVendas[[#This Row],[NR_SIMULACAO]],tblVendas[[#This Row],[VALOR_MOVEL]],""),0)</f>
        <v>0</v>
      </c>
      <c r="G814">
        <f>IF(tblCalculo[[#This Row],[STATUS]]="CONCLUÍDO",_xlfn.XLOOKUP(tblCalculo[[#This Row],[NR_SIMULACAO]],tblVendas[[#This Row],[NR_SIMULACAO]],tblVendas[[#This Row],[VALOR_AVANCADO]],""),0)</f>
        <v>0</v>
      </c>
      <c r="H814">
        <f>IF(tblCalculo[[#This Row],[STATUS]]="CONCLUÍDO",_xlfn.XLOOKUP(tblCalculo[[#This Row],[NR_SIMULACAO]],tblVendas[[#This Row],[NR_SIMULACAO]],tblVendas[[#This Row],[VALOR_FIXABASICA]],""),0)</f>
        <v>0</v>
      </c>
      <c r="I814">
        <f>IF(tblCalculo[[#This Row],[STATUS]]="CONCLUÍDO",_xlfn.XLOOKUP(tblCalculo[[#This Row],[NR_SIMULACAO]],tblVendas[[#This Row],[NR_SIMULACAO]],tblVendas[[#This Row],[VALOR_TI]],""),0)</f>
        <v>0</v>
      </c>
      <c r="J814">
        <f>IF(tblCalculo[[#This Row],[STATUS]]="CONCLUÍDO",_xlfn.XLOOKUP(tblCalculo[[#This Row],[NR_SIMULACAO]],tblVendas[[#This Row],[NR_SIMULACAO]],tblVendas[[#This Row],[VALOR_APARELHO]],""),0)</f>
        <v>0</v>
      </c>
      <c r="K814">
        <f>IF(tblCalculo[[#This Row],[STATUS]]="NEGOCIANDO",tblCalculo[[#This Row],[VALOR_TOTAL]],"")</f>
        <v>3474.74</v>
      </c>
      <c r="L814" t="str">
        <f>IF(tblCalculo[[#This Row],[STATUS]]="ALÇADA",tblCalculo[[#This Row],[VALOR_TOTAL]],"")</f>
        <v/>
      </c>
      <c r="M814" t="str">
        <f>IF(tblCalculo[[#This Row],[STATUS]]="EM ANÁLISE",tblCalculo[[#This Row],[VALOR_TOTAL]],"")</f>
        <v/>
      </c>
      <c r="N814" t="str">
        <f>IF(tblCalculo[[#This Row],[STATUS]]="TRAMITANDO",tblCalculo[[#This Row],[VALOR_TOTAL]],"")</f>
        <v/>
      </c>
      <c r="O814" t="str">
        <f>IF(tblCalculo[[#This Row],[STATUS]]="PERDIDO",tblCalculo[[#This Row],[VALOR_TOTAL]],"")</f>
        <v/>
      </c>
      <c r="P814" t="str">
        <f>IF(tblCalculo[[#This Row],[STATUS]]="CONCLUÍDO",tblCalculo[[#This Row],[VALOR_TOTAL]],"")</f>
        <v/>
      </c>
    </row>
    <row r="815" spans="1:16" x14ac:dyDescent="0.25">
      <c r="A815" t="str">
        <f>tblVendas[[#This Row],[NR_SIMULACAO]]</f>
        <v>SIM1805</v>
      </c>
      <c r="B815" s="34" t="str">
        <f>_xlfn.XLOOKUP(A815,tblVendas[[#This Row],[NR_SIMULACAO]],tblVendas[[#This Row],[NR_CNPJ]],"")</f>
        <v>18.412.531/0001-23</v>
      </c>
      <c r="C815" t="str">
        <f>_xlfn.XLOOKUP(A815,tblVendas[[#This Row],[NR_SIMULACAO]],tblVendas[[#This Row],[STATUS]],"")</f>
        <v>EM ANÁLISE</v>
      </c>
      <c r="D815" t="str">
        <f>_xlfn.XLOOKUP(A815,tblVendas[[#This Row],[NR_SIMULACAO]],tblVendas[[#This Row],[MES]],"")</f>
        <v>Julho</v>
      </c>
      <c r="E815">
        <f>SUM(_xlfn.XLOOKUP(tblCalculo[[#This Row],[NR_SIMULACAO]],tblVendas[[#This Row],[NR_SIMULACAO]],tblVendas[[#This Row],[VALOR_MOVEL]],""):_xlfn.XLOOKUP(tblCalculo[[#This Row],[NR_SIMULACAO]],tblVendas[[#This Row],[NR_SIMULACAO]],tblVendas[[#This Row],[VALOR_APARELHO]],""))</f>
        <v>14076.380000000001</v>
      </c>
      <c r="F815">
        <f>IF(tblCalculo[[#This Row],[STATUS]]="CONCLUÍDO",_xlfn.XLOOKUP(tblCalculo[[#This Row],[NR_SIMULACAO]],tblVendas[[#This Row],[NR_SIMULACAO]],tblVendas[[#This Row],[VALOR_MOVEL]],""),0)</f>
        <v>0</v>
      </c>
      <c r="G815">
        <f>IF(tblCalculo[[#This Row],[STATUS]]="CONCLUÍDO",_xlfn.XLOOKUP(tblCalculo[[#This Row],[NR_SIMULACAO]],tblVendas[[#This Row],[NR_SIMULACAO]],tblVendas[[#This Row],[VALOR_AVANCADO]],""),0)</f>
        <v>0</v>
      </c>
      <c r="H815">
        <f>IF(tblCalculo[[#This Row],[STATUS]]="CONCLUÍDO",_xlfn.XLOOKUP(tblCalculo[[#This Row],[NR_SIMULACAO]],tblVendas[[#This Row],[NR_SIMULACAO]],tblVendas[[#This Row],[VALOR_FIXABASICA]],""),0)</f>
        <v>0</v>
      </c>
      <c r="I815">
        <f>IF(tblCalculo[[#This Row],[STATUS]]="CONCLUÍDO",_xlfn.XLOOKUP(tblCalculo[[#This Row],[NR_SIMULACAO]],tblVendas[[#This Row],[NR_SIMULACAO]],tblVendas[[#This Row],[VALOR_TI]],""),0)</f>
        <v>0</v>
      </c>
      <c r="J815">
        <f>IF(tblCalculo[[#This Row],[STATUS]]="CONCLUÍDO",_xlfn.XLOOKUP(tblCalculo[[#This Row],[NR_SIMULACAO]],tblVendas[[#This Row],[NR_SIMULACAO]],tblVendas[[#This Row],[VALOR_APARELHO]],""),0)</f>
        <v>0</v>
      </c>
      <c r="K815" t="str">
        <f>IF(tblCalculo[[#This Row],[STATUS]]="NEGOCIANDO",tblCalculo[[#This Row],[VALOR_TOTAL]],"")</f>
        <v/>
      </c>
      <c r="L815" t="str">
        <f>IF(tblCalculo[[#This Row],[STATUS]]="ALÇADA",tblCalculo[[#This Row],[VALOR_TOTAL]],"")</f>
        <v/>
      </c>
      <c r="M815">
        <f>IF(tblCalculo[[#This Row],[STATUS]]="EM ANÁLISE",tblCalculo[[#This Row],[VALOR_TOTAL]],"")</f>
        <v>14076.380000000001</v>
      </c>
      <c r="N815" t="str">
        <f>IF(tblCalculo[[#This Row],[STATUS]]="TRAMITANDO",tblCalculo[[#This Row],[VALOR_TOTAL]],"")</f>
        <v/>
      </c>
      <c r="O815" t="str">
        <f>IF(tblCalculo[[#This Row],[STATUS]]="PERDIDO",tblCalculo[[#This Row],[VALOR_TOTAL]],"")</f>
        <v/>
      </c>
      <c r="P815" t="str">
        <f>IF(tblCalculo[[#This Row],[STATUS]]="CONCLUÍDO",tblCalculo[[#This Row],[VALOR_TOTAL]],"")</f>
        <v/>
      </c>
    </row>
    <row r="816" spans="1:16" x14ac:dyDescent="0.25">
      <c r="A816" t="str">
        <f>tblVendas[[#This Row],[NR_SIMULACAO]]</f>
        <v>SIM1806</v>
      </c>
      <c r="B816" s="34" t="str">
        <f>_xlfn.XLOOKUP(A816,tblVendas[[#This Row],[NR_SIMULACAO]],tblVendas[[#This Row],[NR_CNPJ]],"")</f>
        <v>93.117.894/0001-70</v>
      </c>
      <c r="C816" t="str">
        <f>_xlfn.XLOOKUP(A816,tblVendas[[#This Row],[NR_SIMULACAO]],tblVendas[[#This Row],[STATUS]],"")</f>
        <v>EM ANÁLISE</v>
      </c>
      <c r="D816" t="str">
        <f>_xlfn.XLOOKUP(A816,tblVendas[[#This Row],[NR_SIMULACAO]],tblVendas[[#This Row],[MES]],"")</f>
        <v>Novembro</v>
      </c>
      <c r="E816">
        <f>SUM(_xlfn.XLOOKUP(tblCalculo[[#This Row],[NR_SIMULACAO]],tblVendas[[#This Row],[NR_SIMULACAO]],tblVendas[[#This Row],[VALOR_MOVEL]],""):_xlfn.XLOOKUP(tblCalculo[[#This Row],[NR_SIMULACAO]],tblVendas[[#This Row],[NR_SIMULACAO]],tblVendas[[#This Row],[VALOR_APARELHO]],""))</f>
        <v>6745.7499999999991</v>
      </c>
      <c r="F816">
        <f>IF(tblCalculo[[#This Row],[STATUS]]="CONCLUÍDO",_xlfn.XLOOKUP(tblCalculo[[#This Row],[NR_SIMULACAO]],tblVendas[[#This Row],[NR_SIMULACAO]],tblVendas[[#This Row],[VALOR_MOVEL]],""),0)</f>
        <v>0</v>
      </c>
      <c r="G816">
        <f>IF(tblCalculo[[#This Row],[STATUS]]="CONCLUÍDO",_xlfn.XLOOKUP(tblCalculo[[#This Row],[NR_SIMULACAO]],tblVendas[[#This Row],[NR_SIMULACAO]],tblVendas[[#This Row],[VALOR_AVANCADO]],""),0)</f>
        <v>0</v>
      </c>
      <c r="H816">
        <f>IF(tblCalculo[[#This Row],[STATUS]]="CONCLUÍDO",_xlfn.XLOOKUP(tblCalculo[[#This Row],[NR_SIMULACAO]],tblVendas[[#This Row],[NR_SIMULACAO]],tblVendas[[#This Row],[VALOR_FIXABASICA]],""),0)</f>
        <v>0</v>
      </c>
      <c r="I816">
        <f>IF(tblCalculo[[#This Row],[STATUS]]="CONCLUÍDO",_xlfn.XLOOKUP(tblCalculo[[#This Row],[NR_SIMULACAO]],tblVendas[[#This Row],[NR_SIMULACAO]],tblVendas[[#This Row],[VALOR_TI]],""),0)</f>
        <v>0</v>
      </c>
      <c r="J816">
        <f>IF(tblCalculo[[#This Row],[STATUS]]="CONCLUÍDO",_xlfn.XLOOKUP(tblCalculo[[#This Row],[NR_SIMULACAO]],tblVendas[[#This Row],[NR_SIMULACAO]],tblVendas[[#This Row],[VALOR_APARELHO]],""),0)</f>
        <v>0</v>
      </c>
      <c r="K816" t="str">
        <f>IF(tblCalculo[[#This Row],[STATUS]]="NEGOCIANDO",tblCalculo[[#This Row],[VALOR_TOTAL]],"")</f>
        <v/>
      </c>
      <c r="L816" t="str">
        <f>IF(tblCalculo[[#This Row],[STATUS]]="ALÇADA",tblCalculo[[#This Row],[VALOR_TOTAL]],"")</f>
        <v/>
      </c>
      <c r="M816">
        <f>IF(tblCalculo[[#This Row],[STATUS]]="EM ANÁLISE",tblCalculo[[#This Row],[VALOR_TOTAL]],"")</f>
        <v>6745.7499999999991</v>
      </c>
      <c r="N816" t="str">
        <f>IF(tblCalculo[[#This Row],[STATUS]]="TRAMITANDO",tblCalculo[[#This Row],[VALOR_TOTAL]],"")</f>
        <v/>
      </c>
      <c r="O816" t="str">
        <f>IF(tblCalculo[[#This Row],[STATUS]]="PERDIDO",tblCalculo[[#This Row],[VALOR_TOTAL]],"")</f>
        <v/>
      </c>
      <c r="P816" t="str">
        <f>IF(tblCalculo[[#This Row],[STATUS]]="CONCLUÍDO",tblCalculo[[#This Row],[VALOR_TOTAL]],"")</f>
        <v/>
      </c>
    </row>
    <row r="817" spans="1:16" x14ac:dyDescent="0.25">
      <c r="A817" t="str">
        <f>tblVendas[[#This Row],[NR_SIMULACAO]]</f>
        <v>SIM1807</v>
      </c>
      <c r="B817" s="34" t="str">
        <f>_xlfn.XLOOKUP(A817,tblVendas[[#This Row],[NR_SIMULACAO]],tblVendas[[#This Row],[NR_CNPJ]],"")</f>
        <v>26.211.821/0001-70</v>
      </c>
      <c r="C817" t="str">
        <f>_xlfn.XLOOKUP(A817,tblVendas[[#This Row],[NR_SIMULACAO]],tblVendas[[#This Row],[STATUS]],"")</f>
        <v>CONCLUÍDO</v>
      </c>
      <c r="D817" t="str">
        <f>_xlfn.XLOOKUP(A817,tblVendas[[#This Row],[NR_SIMULACAO]],tblVendas[[#This Row],[MES]],"")</f>
        <v>Março</v>
      </c>
      <c r="E817">
        <f>SUM(_xlfn.XLOOKUP(tblCalculo[[#This Row],[NR_SIMULACAO]],tblVendas[[#This Row],[NR_SIMULACAO]],tblVendas[[#This Row],[VALOR_MOVEL]],""):_xlfn.XLOOKUP(tblCalculo[[#This Row],[NR_SIMULACAO]],tblVendas[[#This Row],[NR_SIMULACAO]],tblVendas[[#This Row],[VALOR_APARELHO]],""))</f>
        <v>11202.380000000001</v>
      </c>
      <c r="F817">
        <f>IF(tblCalculo[[#This Row],[STATUS]]="CONCLUÍDO",_xlfn.XLOOKUP(tblCalculo[[#This Row],[NR_SIMULACAO]],tblVendas[[#This Row],[NR_SIMULACAO]],tblVendas[[#This Row],[VALOR_MOVEL]],""),0)</f>
        <v>6318.52</v>
      </c>
      <c r="G817">
        <f>IF(tblCalculo[[#This Row],[STATUS]]="CONCLUÍDO",_xlfn.XLOOKUP(tblCalculo[[#This Row],[NR_SIMULACAO]],tblVendas[[#This Row],[NR_SIMULACAO]],tblVendas[[#This Row],[VALOR_AVANCADO]],""),0)</f>
        <v>0</v>
      </c>
      <c r="H817">
        <f>IF(tblCalculo[[#This Row],[STATUS]]="CONCLUÍDO",_xlfn.XLOOKUP(tblCalculo[[#This Row],[NR_SIMULACAO]],tblVendas[[#This Row],[NR_SIMULACAO]],tblVendas[[#This Row],[VALOR_FIXABASICA]],""),0)</f>
        <v>383.73</v>
      </c>
      <c r="I817">
        <f>IF(tblCalculo[[#This Row],[STATUS]]="CONCLUÍDO",_xlfn.XLOOKUP(tblCalculo[[#This Row],[NR_SIMULACAO]],tblVendas[[#This Row],[NR_SIMULACAO]],tblVendas[[#This Row],[VALOR_TI]],""),0)</f>
        <v>0</v>
      </c>
      <c r="J817">
        <f>IF(tblCalculo[[#This Row],[STATUS]]="CONCLUÍDO",_xlfn.XLOOKUP(tblCalculo[[#This Row],[NR_SIMULACAO]],tblVendas[[#This Row],[NR_SIMULACAO]],tblVendas[[#This Row],[VALOR_APARELHO]],""),0)</f>
        <v>4500.13</v>
      </c>
      <c r="K817" t="str">
        <f>IF(tblCalculo[[#This Row],[STATUS]]="NEGOCIANDO",tblCalculo[[#This Row],[VALOR_TOTAL]],"")</f>
        <v/>
      </c>
      <c r="L817" t="str">
        <f>IF(tblCalculo[[#This Row],[STATUS]]="ALÇADA",tblCalculo[[#This Row],[VALOR_TOTAL]],"")</f>
        <v/>
      </c>
      <c r="M817" t="str">
        <f>IF(tblCalculo[[#This Row],[STATUS]]="EM ANÁLISE",tblCalculo[[#This Row],[VALOR_TOTAL]],"")</f>
        <v/>
      </c>
      <c r="N817" t="str">
        <f>IF(tblCalculo[[#This Row],[STATUS]]="TRAMITANDO",tblCalculo[[#This Row],[VALOR_TOTAL]],"")</f>
        <v/>
      </c>
      <c r="O817" t="str">
        <f>IF(tblCalculo[[#This Row],[STATUS]]="PERDIDO",tblCalculo[[#This Row],[VALOR_TOTAL]],"")</f>
        <v/>
      </c>
      <c r="P817">
        <f>IF(tblCalculo[[#This Row],[STATUS]]="CONCLUÍDO",tblCalculo[[#This Row],[VALOR_TOTAL]],"")</f>
        <v>11202.380000000001</v>
      </c>
    </row>
    <row r="818" spans="1:16" x14ac:dyDescent="0.25">
      <c r="A818" t="str">
        <f>tblVendas[[#This Row],[NR_SIMULACAO]]</f>
        <v>SIM1808</v>
      </c>
      <c r="B818" s="34" t="str">
        <f>_xlfn.XLOOKUP(A818,tblVendas[[#This Row],[NR_SIMULACAO]],tblVendas[[#This Row],[NR_CNPJ]],"")</f>
        <v>49.121.240/0001-54</v>
      </c>
      <c r="C818" t="str">
        <f>_xlfn.XLOOKUP(A818,tblVendas[[#This Row],[NR_SIMULACAO]],tblVendas[[#This Row],[STATUS]],"")</f>
        <v>EM ANÁLISE</v>
      </c>
      <c r="D818" t="str">
        <f>_xlfn.XLOOKUP(A818,tblVendas[[#This Row],[NR_SIMULACAO]],tblVendas[[#This Row],[MES]],"")</f>
        <v>Março</v>
      </c>
      <c r="E818">
        <f>SUM(_xlfn.XLOOKUP(tblCalculo[[#This Row],[NR_SIMULACAO]],tblVendas[[#This Row],[NR_SIMULACAO]],tblVendas[[#This Row],[VALOR_MOVEL]],""):_xlfn.XLOOKUP(tblCalculo[[#This Row],[NR_SIMULACAO]],tblVendas[[#This Row],[NR_SIMULACAO]],tblVendas[[#This Row],[VALOR_APARELHO]],""))</f>
        <v>17316.830000000002</v>
      </c>
      <c r="F818">
        <f>IF(tblCalculo[[#This Row],[STATUS]]="CONCLUÍDO",_xlfn.XLOOKUP(tblCalculo[[#This Row],[NR_SIMULACAO]],tblVendas[[#This Row],[NR_SIMULACAO]],tblVendas[[#This Row],[VALOR_MOVEL]],""),0)</f>
        <v>0</v>
      </c>
      <c r="G818">
        <f>IF(tblCalculo[[#This Row],[STATUS]]="CONCLUÍDO",_xlfn.XLOOKUP(tblCalculo[[#This Row],[NR_SIMULACAO]],tblVendas[[#This Row],[NR_SIMULACAO]],tblVendas[[#This Row],[VALOR_AVANCADO]],""),0)</f>
        <v>0</v>
      </c>
      <c r="H818">
        <f>IF(tblCalculo[[#This Row],[STATUS]]="CONCLUÍDO",_xlfn.XLOOKUP(tblCalculo[[#This Row],[NR_SIMULACAO]],tblVendas[[#This Row],[NR_SIMULACAO]],tblVendas[[#This Row],[VALOR_FIXABASICA]],""),0)</f>
        <v>0</v>
      </c>
      <c r="I818">
        <f>IF(tblCalculo[[#This Row],[STATUS]]="CONCLUÍDO",_xlfn.XLOOKUP(tblCalculo[[#This Row],[NR_SIMULACAO]],tblVendas[[#This Row],[NR_SIMULACAO]],tblVendas[[#This Row],[VALOR_TI]],""),0)</f>
        <v>0</v>
      </c>
      <c r="J818">
        <f>IF(tblCalculo[[#This Row],[STATUS]]="CONCLUÍDO",_xlfn.XLOOKUP(tblCalculo[[#This Row],[NR_SIMULACAO]],tblVendas[[#This Row],[NR_SIMULACAO]],tblVendas[[#This Row],[VALOR_APARELHO]],""),0)</f>
        <v>0</v>
      </c>
      <c r="K818" t="str">
        <f>IF(tblCalculo[[#This Row],[STATUS]]="NEGOCIANDO",tblCalculo[[#This Row],[VALOR_TOTAL]],"")</f>
        <v/>
      </c>
      <c r="L818" t="str">
        <f>IF(tblCalculo[[#This Row],[STATUS]]="ALÇADA",tblCalculo[[#This Row],[VALOR_TOTAL]],"")</f>
        <v/>
      </c>
      <c r="M818">
        <f>IF(tblCalculo[[#This Row],[STATUS]]="EM ANÁLISE",tblCalculo[[#This Row],[VALOR_TOTAL]],"")</f>
        <v>17316.830000000002</v>
      </c>
      <c r="N818" t="str">
        <f>IF(tblCalculo[[#This Row],[STATUS]]="TRAMITANDO",tblCalculo[[#This Row],[VALOR_TOTAL]],"")</f>
        <v/>
      </c>
      <c r="O818" t="str">
        <f>IF(tblCalculo[[#This Row],[STATUS]]="PERDIDO",tblCalculo[[#This Row],[VALOR_TOTAL]],"")</f>
        <v/>
      </c>
      <c r="P818" t="str">
        <f>IF(tblCalculo[[#This Row],[STATUS]]="CONCLUÍDO",tblCalculo[[#This Row],[VALOR_TOTAL]],"")</f>
        <v/>
      </c>
    </row>
    <row r="819" spans="1:16" x14ac:dyDescent="0.25">
      <c r="A819" t="str">
        <f>tblVendas[[#This Row],[NR_SIMULACAO]]</f>
        <v>SIM1809</v>
      </c>
      <c r="B819" s="34" t="str">
        <f>_xlfn.XLOOKUP(A819,tblVendas[[#This Row],[NR_SIMULACAO]],tblVendas[[#This Row],[NR_CNPJ]],"")</f>
        <v>41.593.574/0001-36</v>
      </c>
      <c r="C819" t="str">
        <f>_xlfn.XLOOKUP(A819,tblVendas[[#This Row],[NR_SIMULACAO]],tblVendas[[#This Row],[STATUS]],"")</f>
        <v>TRAMITANDO</v>
      </c>
      <c r="D819" t="str">
        <f>_xlfn.XLOOKUP(A819,tblVendas[[#This Row],[NR_SIMULACAO]],tblVendas[[#This Row],[MES]],"")</f>
        <v>Maio</v>
      </c>
      <c r="E819">
        <f>SUM(_xlfn.XLOOKUP(tblCalculo[[#This Row],[NR_SIMULACAO]],tblVendas[[#This Row],[NR_SIMULACAO]],tblVendas[[#This Row],[VALOR_MOVEL]],""):_xlfn.XLOOKUP(tblCalculo[[#This Row],[NR_SIMULACAO]],tblVendas[[#This Row],[NR_SIMULACAO]],tblVendas[[#This Row],[VALOR_APARELHO]],""))</f>
        <v>4966.1099999999997</v>
      </c>
      <c r="F819">
        <f>IF(tblCalculo[[#This Row],[STATUS]]="CONCLUÍDO",_xlfn.XLOOKUP(tblCalculo[[#This Row],[NR_SIMULACAO]],tblVendas[[#This Row],[NR_SIMULACAO]],tblVendas[[#This Row],[VALOR_MOVEL]],""),0)</f>
        <v>0</v>
      </c>
      <c r="G819">
        <f>IF(tblCalculo[[#This Row],[STATUS]]="CONCLUÍDO",_xlfn.XLOOKUP(tblCalculo[[#This Row],[NR_SIMULACAO]],tblVendas[[#This Row],[NR_SIMULACAO]],tblVendas[[#This Row],[VALOR_AVANCADO]],""),0)</f>
        <v>0</v>
      </c>
      <c r="H819">
        <f>IF(tblCalculo[[#This Row],[STATUS]]="CONCLUÍDO",_xlfn.XLOOKUP(tblCalculo[[#This Row],[NR_SIMULACAO]],tblVendas[[#This Row],[NR_SIMULACAO]],tblVendas[[#This Row],[VALOR_FIXABASICA]],""),0)</f>
        <v>0</v>
      </c>
      <c r="I819">
        <f>IF(tblCalculo[[#This Row],[STATUS]]="CONCLUÍDO",_xlfn.XLOOKUP(tblCalculo[[#This Row],[NR_SIMULACAO]],tblVendas[[#This Row],[NR_SIMULACAO]],tblVendas[[#This Row],[VALOR_TI]],""),0)</f>
        <v>0</v>
      </c>
      <c r="J819">
        <f>IF(tblCalculo[[#This Row],[STATUS]]="CONCLUÍDO",_xlfn.XLOOKUP(tblCalculo[[#This Row],[NR_SIMULACAO]],tblVendas[[#This Row],[NR_SIMULACAO]],tblVendas[[#This Row],[VALOR_APARELHO]],""),0)</f>
        <v>0</v>
      </c>
      <c r="K819" t="str">
        <f>IF(tblCalculo[[#This Row],[STATUS]]="NEGOCIANDO",tblCalculo[[#This Row],[VALOR_TOTAL]],"")</f>
        <v/>
      </c>
      <c r="L819" t="str">
        <f>IF(tblCalculo[[#This Row],[STATUS]]="ALÇADA",tblCalculo[[#This Row],[VALOR_TOTAL]],"")</f>
        <v/>
      </c>
      <c r="M819" t="str">
        <f>IF(tblCalculo[[#This Row],[STATUS]]="EM ANÁLISE",tblCalculo[[#This Row],[VALOR_TOTAL]],"")</f>
        <v/>
      </c>
      <c r="N819">
        <f>IF(tblCalculo[[#This Row],[STATUS]]="TRAMITANDO",tblCalculo[[#This Row],[VALOR_TOTAL]],"")</f>
        <v>4966.1099999999997</v>
      </c>
      <c r="O819" t="str">
        <f>IF(tblCalculo[[#This Row],[STATUS]]="PERDIDO",tblCalculo[[#This Row],[VALOR_TOTAL]],"")</f>
        <v/>
      </c>
      <c r="P819" t="str">
        <f>IF(tblCalculo[[#This Row],[STATUS]]="CONCLUÍDO",tblCalculo[[#This Row],[VALOR_TOTAL]],"")</f>
        <v/>
      </c>
    </row>
    <row r="820" spans="1:16" x14ac:dyDescent="0.25">
      <c r="A820" t="str">
        <f>tblVendas[[#This Row],[NR_SIMULACAO]]</f>
        <v>SIM1810</v>
      </c>
      <c r="B820" s="34" t="str">
        <f>_xlfn.XLOOKUP(A820,tblVendas[[#This Row],[NR_SIMULACAO]],tblVendas[[#This Row],[NR_CNPJ]],"")</f>
        <v>76.917.614/0001-48</v>
      </c>
      <c r="C820" t="str">
        <f>_xlfn.XLOOKUP(A820,tblVendas[[#This Row],[NR_SIMULACAO]],tblVendas[[#This Row],[STATUS]],"")</f>
        <v>CONCLUÍDO</v>
      </c>
      <c r="D820" t="str">
        <f>_xlfn.XLOOKUP(A820,tblVendas[[#This Row],[NR_SIMULACAO]],tblVendas[[#This Row],[MES]],"")</f>
        <v>Abril</v>
      </c>
      <c r="E820">
        <f>SUM(_xlfn.XLOOKUP(tblCalculo[[#This Row],[NR_SIMULACAO]],tblVendas[[#This Row],[NR_SIMULACAO]],tblVendas[[#This Row],[VALOR_MOVEL]],""):_xlfn.XLOOKUP(tblCalculo[[#This Row],[NR_SIMULACAO]],tblVendas[[#This Row],[NR_SIMULACAO]],tblVendas[[#This Row],[VALOR_APARELHO]],""))</f>
        <v>11029.8</v>
      </c>
      <c r="F820">
        <f>IF(tblCalculo[[#This Row],[STATUS]]="CONCLUÍDO",_xlfn.XLOOKUP(tblCalculo[[#This Row],[NR_SIMULACAO]],tblVendas[[#This Row],[NR_SIMULACAO]],tblVendas[[#This Row],[VALOR_MOVEL]],""),0)</f>
        <v>0</v>
      </c>
      <c r="G820">
        <f>IF(tblCalculo[[#This Row],[STATUS]]="CONCLUÍDO",_xlfn.XLOOKUP(tblCalculo[[#This Row],[NR_SIMULACAO]],tblVendas[[#This Row],[NR_SIMULACAO]],tblVendas[[#This Row],[VALOR_AVANCADO]],""),0)</f>
        <v>263.33999999999997</v>
      </c>
      <c r="H820">
        <f>IF(tblCalculo[[#This Row],[STATUS]]="CONCLUÍDO",_xlfn.XLOOKUP(tblCalculo[[#This Row],[NR_SIMULACAO]],tblVendas[[#This Row],[NR_SIMULACAO]],tblVendas[[#This Row],[VALOR_FIXABASICA]],""),0)</f>
        <v>0</v>
      </c>
      <c r="I820">
        <f>IF(tblCalculo[[#This Row],[STATUS]]="CONCLUÍDO",_xlfn.XLOOKUP(tblCalculo[[#This Row],[NR_SIMULACAO]],tblVendas[[#This Row],[NR_SIMULACAO]],tblVendas[[#This Row],[VALOR_TI]],""),0)</f>
        <v>10766.46</v>
      </c>
      <c r="J820">
        <f>IF(tblCalculo[[#This Row],[STATUS]]="CONCLUÍDO",_xlfn.XLOOKUP(tblCalculo[[#This Row],[NR_SIMULACAO]],tblVendas[[#This Row],[NR_SIMULACAO]],tblVendas[[#This Row],[VALOR_APARELHO]],""),0)</f>
        <v>0</v>
      </c>
      <c r="K820" t="str">
        <f>IF(tblCalculo[[#This Row],[STATUS]]="NEGOCIANDO",tblCalculo[[#This Row],[VALOR_TOTAL]],"")</f>
        <v/>
      </c>
      <c r="L820" t="str">
        <f>IF(tblCalculo[[#This Row],[STATUS]]="ALÇADA",tblCalculo[[#This Row],[VALOR_TOTAL]],"")</f>
        <v/>
      </c>
      <c r="M820" t="str">
        <f>IF(tblCalculo[[#This Row],[STATUS]]="EM ANÁLISE",tblCalculo[[#This Row],[VALOR_TOTAL]],"")</f>
        <v/>
      </c>
      <c r="N820" t="str">
        <f>IF(tblCalculo[[#This Row],[STATUS]]="TRAMITANDO",tblCalculo[[#This Row],[VALOR_TOTAL]],"")</f>
        <v/>
      </c>
      <c r="O820" t="str">
        <f>IF(tblCalculo[[#This Row],[STATUS]]="PERDIDO",tblCalculo[[#This Row],[VALOR_TOTAL]],"")</f>
        <v/>
      </c>
      <c r="P820">
        <f>IF(tblCalculo[[#This Row],[STATUS]]="CONCLUÍDO",tblCalculo[[#This Row],[VALOR_TOTAL]],"")</f>
        <v>11029.8</v>
      </c>
    </row>
    <row r="821" spans="1:16" x14ac:dyDescent="0.25">
      <c r="A821" t="str">
        <f>tblVendas[[#This Row],[NR_SIMULACAO]]</f>
        <v>SIM1811</v>
      </c>
      <c r="B821" s="34" t="str">
        <f>_xlfn.XLOOKUP(A821,tblVendas[[#This Row],[NR_SIMULACAO]],tblVendas[[#This Row],[NR_CNPJ]],"")</f>
        <v>14.854.243/0001-48</v>
      </c>
      <c r="C821" t="str">
        <f>_xlfn.XLOOKUP(A821,tblVendas[[#This Row],[NR_SIMULACAO]],tblVendas[[#This Row],[STATUS]],"")</f>
        <v>TRAMITANDO</v>
      </c>
      <c r="D821" t="str">
        <f>_xlfn.XLOOKUP(A821,tblVendas[[#This Row],[NR_SIMULACAO]],tblVendas[[#This Row],[MES]],"")</f>
        <v>Junho</v>
      </c>
      <c r="E821">
        <f>SUM(_xlfn.XLOOKUP(tblCalculo[[#This Row],[NR_SIMULACAO]],tblVendas[[#This Row],[NR_SIMULACAO]],tblVendas[[#This Row],[VALOR_MOVEL]],""):_xlfn.XLOOKUP(tblCalculo[[#This Row],[NR_SIMULACAO]],tblVendas[[#This Row],[NR_SIMULACAO]],tblVendas[[#This Row],[VALOR_APARELHO]],""))</f>
        <v>2481.96</v>
      </c>
      <c r="F821">
        <f>IF(tblCalculo[[#This Row],[STATUS]]="CONCLUÍDO",_xlfn.XLOOKUP(tblCalculo[[#This Row],[NR_SIMULACAO]],tblVendas[[#This Row],[NR_SIMULACAO]],tblVendas[[#This Row],[VALOR_MOVEL]],""),0)</f>
        <v>0</v>
      </c>
      <c r="G821">
        <f>IF(tblCalculo[[#This Row],[STATUS]]="CONCLUÍDO",_xlfn.XLOOKUP(tblCalculo[[#This Row],[NR_SIMULACAO]],tblVendas[[#This Row],[NR_SIMULACAO]],tblVendas[[#This Row],[VALOR_AVANCADO]],""),0)</f>
        <v>0</v>
      </c>
      <c r="H821">
        <f>IF(tblCalculo[[#This Row],[STATUS]]="CONCLUÍDO",_xlfn.XLOOKUP(tblCalculo[[#This Row],[NR_SIMULACAO]],tblVendas[[#This Row],[NR_SIMULACAO]],tblVendas[[#This Row],[VALOR_FIXABASICA]],""),0)</f>
        <v>0</v>
      </c>
      <c r="I821">
        <f>IF(tblCalculo[[#This Row],[STATUS]]="CONCLUÍDO",_xlfn.XLOOKUP(tblCalculo[[#This Row],[NR_SIMULACAO]],tblVendas[[#This Row],[NR_SIMULACAO]],tblVendas[[#This Row],[VALOR_TI]],""),0)</f>
        <v>0</v>
      </c>
      <c r="J821">
        <f>IF(tblCalculo[[#This Row],[STATUS]]="CONCLUÍDO",_xlfn.XLOOKUP(tblCalculo[[#This Row],[NR_SIMULACAO]],tblVendas[[#This Row],[NR_SIMULACAO]],tblVendas[[#This Row],[VALOR_APARELHO]],""),0)</f>
        <v>0</v>
      </c>
      <c r="K821" t="str">
        <f>IF(tblCalculo[[#This Row],[STATUS]]="NEGOCIANDO",tblCalculo[[#This Row],[VALOR_TOTAL]],"")</f>
        <v/>
      </c>
      <c r="L821" t="str">
        <f>IF(tblCalculo[[#This Row],[STATUS]]="ALÇADA",tblCalculo[[#This Row],[VALOR_TOTAL]],"")</f>
        <v/>
      </c>
      <c r="M821" t="str">
        <f>IF(tblCalculo[[#This Row],[STATUS]]="EM ANÁLISE",tblCalculo[[#This Row],[VALOR_TOTAL]],"")</f>
        <v/>
      </c>
      <c r="N821">
        <f>IF(tblCalculo[[#This Row],[STATUS]]="TRAMITANDO",tblCalculo[[#This Row],[VALOR_TOTAL]],"")</f>
        <v>2481.96</v>
      </c>
      <c r="O821" t="str">
        <f>IF(tblCalculo[[#This Row],[STATUS]]="PERDIDO",tblCalculo[[#This Row],[VALOR_TOTAL]],"")</f>
        <v/>
      </c>
      <c r="P821" t="str">
        <f>IF(tblCalculo[[#This Row],[STATUS]]="CONCLUÍDO",tblCalculo[[#This Row],[VALOR_TOTAL]],"")</f>
        <v/>
      </c>
    </row>
    <row r="822" spans="1:16" x14ac:dyDescent="0.25">
      <c r="A822" t="str">
        <f>tblVendas[[#This Row],[NR_SIMULACAO]]</f>
        <v>SIM1812</v>
      </c>
      <c r="B822" s="34" t="str">
        <f>_xlfn.XLOOKUP(A822,tblVendas[[#This Row],[NR_SIMULACAO]],tblVendas[[#This Row],[NR_CNPJ]],"")</f>
        <v>99.209.386/0001-87</v>
      </c>
      <c r="C822" t="str">
        <f>_xlfn.XLOOKUP(A822,tblVendas[[#This Row],[NR_SIMULACAO]],tblVendas[[#This Row],[STATUS]],"")</f>
        <v>ALÇADA</v>
      </c>
      <c r="D822" t="str">
        <f>_xlfn.XLOOKUP(A822,tblVendas[[#This Row],[NR_SIMULACAO]],tblVendas[[#This Row],[MES]],"")</f>
        <v>Janeiro</v>
      </c>
      <c r="E822">
        <f>SUM(_xlfn.XLOOKUP(tblCalculo[[#This Row],[NR_SIMULACAO]],tblVendas[[#This Row],[NR_SIMULACAO]],tblVendas[[#This Row],[VALOR_MOVEL]],""):_xlfn.XLOOKUP(tblCalculo[[#This Row],[NR_SIMULACAO]],tblVendas[[#This Row],[NR_SIMULACAO]],tblVendas[[#This Row],[VALOR_APARELHO]],""))</f>
        <v>8895.2200000000012</v>
      </c>
      <c r="F822">
        <f>IF(tblCalculo[[#This Row],[STATUS]]="CONCLUÍDO",_xlfn.XLOOKUP(tblCalculo[[#This Row],[NR_SIMULACAO]],tblVendas[[#This Row],[NR_SIMULACAO]],tblVendas[[#This Row],[VALOR_MOVEL]],""),0)</f>
        <v>0</v>
      </c>
      <c r="G822">
        <f>IF(tblCalculo[[#This Row],[STATUS]]="CONCLUÍDO",_xlfn.XLOOKUP(tblCalculo[[#This Row],[NR_SIMULACAO]],tblVendas[[#This Row],[NR_SIMULACAO]],tblVendas[[#This Row],[VALOR_AVANCADO]],""),0)</f>
        <v>0</v>
      </c>
      <c r="H822">
        <f>IF(tblCalculo[[#This Row],[STATUS]]="CONCLUÍDO",_xlfn.XLOOKUP(tblCalculo[[#This Row],[NR_SIMULACAO]],tblVendas[[#This Row],[NR_SIMULACAO]],tblVendas[[#This Row],[VALOR_FIXABASICA]],""),0)</f>
        <v>0</v>
      </c>
      <c r="I822">
        <f>IF(tblCalculo[[#This Row],[STATUS]]="CONCLUÍDO",_xlfn.XLOOKUP(tblCalculo[[#This Row],[NR_SIMULACAO]],tblVendas[[#This Row],[NR_SIMULACAO]],tblVendas[[#This Row],[VALOR_TI]],""),0)</f>
        <v>0</v>
      </c>
      <c r="J822">
        <f>IF(tblCalculo[[#This Row],[STATUS]]="CONCLUÍDO",_xlfn.XLOOKUP(tblCalculo[[#This Row],[NR_SIMULACAO]],tblVendas[[#This Row],[NR_SIMULACAO]],tblVendas[[#This Row],[VALOR_APARELHO]],""),0)</f>
        <v>0</v>
      </c>
      <c r="K822" t="str">
        <f>IF(tblCalculo[[#This Row],[STATUS]]="NEGOCIANDO",tblCalculo[[#This Row],[VALOR_TOTAL]],"")</f>
        <v/>
      </c>
      <c r="L822">
        <f>IF(tblCalculo[[#This Row],[STATUS]]="ALÇADA",tblCalculo[[#This Row],[VALOR_TOTAL]],"")</f>
        <v>8895.2200000000012</v>
      </c>
      <c r="M822" t="str">
        <f>IF(tblCalculo[[#This Row],[STATUS]]="EM ANÁLISE",tblCalculo[[#This Row],[VALOR_TOTAL]],"")</f>
        <v/>
      </c>
      <c r="N822" t="str">
        <f>IF(tblCalculo[[#This Row],[STATUS]]="TRAMITANDO",tblCalculo[[#This Row],[VALOR_TOTAL]],"")</f>
        <v/>
      </c>
      <c r="O822" t="str">
        <f>IF(tblCalculo[[#This Row],[STATUS]]="PERDIDO",tblCalculo[[#This Row],[VALOR_TOTAL]],"")</f>
        <v/>
      </c>
      <c r="P822" t="str">
        <f>IF(tblCalculo[[#This Row],[STATUS]]="CONCLUÍDO",tblCalculo[[#This Row],[VALOR_TOTAL]],"")</f>
        <v/>
      </c>
    </row>
    <row r="823" spans="1:16" x14ac:dyDescent="0.25">
      <c r="A823" t="str">
        <f>tblVendas[[#This Row],[NR_SIMULACAO]]</f>
        <v>SIM1813</v>
      </c>
      <c r="B823" s="34" t="str">
        <f>_xlfn.XLOOKUP(A823,tblVendas[[#This Row],[NR_SIMULACAO]],tblVendas[[#This Row],[NR_CNPJ]],"")</f>
        <v>50.956.519/0001-90</v>
      </c>
      <c r="C823" t="str">
        <f>_xlfn.XLOOKUP(A823,tblVendas[[#This Row],[NR_SIMULACAO]],tblVendas[[#This Row],[STATUS]],"")</f>
        <v>NEGOCIANDO</v>
      </c>
      <c r="D823" t="str">
        <f>_xlfn.XLOOKUP(A823,tblVendas[[#This Row],[NR_SIMULACAO]],tblVendas[[#This Row],[MES]],"")</f>
        <v>Dezembro</v>
      </c>
      <c r="E823">
        <f>SUM(_xlfn.XLOOKUP(tblCalculo[[#This Row],[NR_SIMULACAO]],tblVendas[[#This Row],[NR_SIMULACAO]],tblVendas[[#This Row],[VALOR_MOVEL]],""):_xlfn.XLOOKUP(tblCalculo[[#This Row],[NR_SIMULACAO]],tblVendas[[#This Row],[NR_SIMULACAO]],tblVendas[[#This Row],[VALOR_APARELHO]],""))</f>
        <v>6428.35</v>
      </c>
      <c r="F823">
        <f>IF(tblCalculo[[#This Row],[STATUS]]="CONCLUÍDO",_xlfn.XLOOKUP(tblCalculo[[#This Row],[NR_SIMULACAO]],tblVendas[[#This Row],[NR_SIMULACAO]],tblVendas[[#This Row],[VALOR_MOVEL]],""),0)</f>
        <v>0</v>
      </c>
      <c r="G823">
        <f>IF(tblCalculo[[#This Row],[STATUS]]="CONCLUÍDO",_xlfn.XLOOKUP(tblCalculo[[#This Row],[NR_SIMULACAO]],tblVendas[[#This Row],[NR_SIMULACAO]],tblVendas[[#This Row],[VALOR_AVANCADO]],""),0)</f>
        <v>0</v>
      </c>
      <c r="H823">
        <f>IF(tblCalculo[[#This Row],[STATUS]]="CONCLUÍDO",_xlfn.XLOOKUP(tblCalculo[[#This Row],[NR_SIMULACAO]],tblVendas[[#This Row],[NR_SIMULACAO]],tblVendas[[#This Row],[VALOR_FIXABASICA]],""),0)</f>
        <v>0</v>
      </c>
      <c r="I823">
        <f>IF(tblCalculo[[#This Row],[STATUS]]="CONCLUÍDO",_xlfn.XLOOKUP(tblCalculo[[#This Row],[NR_SIMULACAO]],tblVendas[[#This Row],[NR_SIMULACAO]],tblVendas[[#This Row],[VALOR_TI]],""),0)</f>
        <v>0</v>
      </c>
      <c r="J823">
        <f>IF(tblCalculo[[#This Row],[STATUS]]="CONCLUÍDO",_xlfn.XLOOKUP(tblCalculo[[#This Row],[NR_SIMULACAO]],tblVendas[[#This Row],[NR_SIMULACAO]],tblVendas[[#This Row],[VALOR_APARELHO]],""),0)</f>
        <v>0</v>
      </c>
      <c r="K823">
        <f>IF(tblCalculo[[#This Row],[STATUS]]="NEGOCIANDO",tblCalculo[[#This Row],[VALOR_TOTAL]],"")</f>
        <v>6428.35</v>
      </c>
      <c r="L823" t="str">
        <f>IF(tblCalculo[[#This Row],[STATUS]]="ALÇADA",tblCalculo[[#This Row],[VALOR_TOTAL]],"")</f>
        <v/>
      </c>
      <c r="M823" t="str">
        <f>IF(tblCalculo[[#This Row],[STATUS]]="EM ANÁLISE",tblCalculo[[#This Row],[VALOR_TOTAL]],"")</f>
        <v/>
      </c>
      <c r="N823" t="str">
        <f>IF(tblCalculo[[#This Row],[STATUS]]="TRAMITANDO",tblCalculo[[#This Row],[VALOR_TOTAL]],"")</f>
        <v/>
      </c>
      <c r="O823" t="str">
        <f>IF(tblCalculo[[#This Row],[STATUS]]="PERDIDO",tblCalculo[[#This Row],[VALOR_TOTAL]],"")</f>
        <v/>
      </c>
      <c r="P823" t="str">
        <f>IF(tblCalculo[[#This Row],[STATUS]]="CONCLUÍDO",tblCalculo[[#This Row],[VALOR_TOTAL]],"")</f>
        <v/>
      </c>
    </row>
    <row r="824" spans="1:16" x14ac:dyDescent="0.25">
      <c r="A824" t="str">
        <f>tblVendas[[#This Row],[NR_SIMULACAO]]</f>
        <v>SIM1814</v>
      </c>
      <c r="B824" s="34" t="str">
        <f>_xlfn.XLOOKUP(A824,tblVendas[[#This Row],[NR_SIMULACAO]],tblVendas[[#This Row],[NR_CNPJ]],"")</f>
        <v>77.411.694/0001-58</v>
      </c>
      <c r="C824" t="str">
        <f>_xlfn.XLOOKUP(A824,tblVendas[[#This Row],[NR_SIMULACAO]],tblVendas[[#This Row],[STATUS]],"")</f>
        <v>EM ANÁLISE</v>
      </c>
      <c r="D824" t="str">
        <f>_xlfn.XLOOKUP(A824,tblVendas[[#This Row],[NR_SIMULACAO]],tblVendas[[#This Row],[MES]],"")</f>
        <v>Novembro</v>
      </c>
      <c r="E824">
        <f>SUM(_xlfn.XLOOKUP(tblCalculo[[#This Row],[NR_SIMULACAO]],tblVendas[[#This Row],[NR_SIMULACAO]],tblVendas[[#This Row],[VALOR_MOVEL]],""):_xlfn.XLOOKUP(tblCalculo[[#This Row],[NR_SIMULACAO]],tblVendas[[#This Row],[NR_SIMULACAO]],tblVendas[[#This Row],[VALOR_APARELHO]],""))</f>
        <v>22223.440000000002</v>
      </c>
      <c r="F824">
        <f>IF(tblCalculo[[#This Row],[STATUS]]="CONCLUÍDO",_xlfn.XLOOKUP(tblCalculo[[#This Row],[NR_SIMULACAO]],tblVendas[[#This Row],[NR_SIMULACAO]],tblVendas[[#This Row],[VALOR_MOVEL]],""),0)</f>
        <v>0</v>
      </c>
      <c r="G824">
        <f>IF(tblCalculo[[#This Row],[STATUS]]="CONCLUÍDO",_xlfn.XLOOKUP(tblCalculo[[#This Row],[NR_SIMULACAO]],tblVendas[[#This Row],[NR_SIMULACAO]],tblVendas[[#This Row],[VALOR_AVANCADO]],""),0)</f>
        <v>0</v>
      </c>
      <c r="H824">
        <f>IF(tblCalculo[[#This Row],[STATUS]]="CONCLUÍDO",_xlfn.XLOOKUP(tblCalculo[[#This Row],[NR_SIMULACAO]],tblVendas[[#This Row],[NR_SIMULACAO]],tblVendas[[#This Row],[VALOR_FIXABASICA]],""),0)</f>
        <v>0</v>
      </c>
      <c r="I824">
        <f>IF(tblCalculo[[#This Row],[STATUS]]="CONCLUÍDO",_xlfn.XLOOKUP(tblCalculo[[#This Row],[NR_SIMULACAO]],tblVendas[[#This Row],[NR_SIMULACAO]],tblVendas[[#This Row],[VALOR_TI]],""),0)</f>
        <v>0</v>
      </c>
      <c r="J824">
        <f>IF(tblCalculo[[#This Row],[STATUS]]="CONCLUÍDO",_xlfn.XLOOKUP(tblCalculo[[#This Row],[NR_SIMULACAO]],tblVendas[[#This Row],[NR_SIMULACAO]],tblVendas[[#This Row],[VALOR_APARELHO]],""),0)</f>
        <v>0</v>
      </c>
      <c r="K824" t="str">
        <f>IF(tblCalculo[[#This Row],[STATUS]]="NEGOCIANDO",tblCalculo[[#This Row],[VALOR_TOTAL]],"")</f>
        <v/>
      </c>
      <c r="L824" t="str">
        <f>IF(tblCalculo[[#This Row],[STATUS]]="ALÇADA",tblCalculo[[#This Row],[VALOR_TOTAL]],"")</f>
        <v/>
      </c>
      <c r="M824">
        <f>IF(tblCalculo[[#This Row],[STATUS]]="EM ANÁLISE",tblCalculo[[#This Row],[VALOR_TOTAL]],"")</f>
        <v>22223.440000000002</v>
      </c>
      <c r="N824" t="str">
        <f>IF(tblCalculo[[#This Row],[STATUS]]="TRAMITANDO",tblCalculo[[#This Row],[VALOR_TOTAL]],"")</f>
        <v/>
      </c>
      <c r="O824" t="str">
        <f>IF(tblCalculo[[#This Row],[STATUS]]="PERDIDO",tblCalculo[[#This Row],[VALOR_TOTAL]],"")</f>
        <v/>
      </c>
      <c r="P824" t="str">
        <f>IF(tblCalculo[[#This Row],[STATUS]]="CONCLUÍDO",tblCalculo[[#This Row],[VALOR_TOTAL]],"")</f>
        <v/>
      </c>
    </row>
    <row r="825" spans="1:16" x14ac:dyDescent="0.25">
      <c r="A825" t="str">
        <f>tblVendas[[#This Row],[NR_SIMULACAO]]</f>
        <v>SIM1815</v>
      </c>
      <c r="B825" s="34" t="str">
        <f>_xlfn.XLOOKUP(A825,tblVendas[[#This Row],[NR_SIMULACAO]],tblVendas[[#This Row],[NR_CNPJ]],"")</f>
        <v>32.618.436/0001-53</v>
      </c>
      <c r="C825" t="str">
        <f>_xlfn.XLOOKUP(A825,tblVendas[[#This Row],[NR_SIMULACAO]],tblVendas[[#This Row],[STATUS]],"")</f>
        <v>EM ANÁLISE</v>
      </c>
      <c r="D825" t="str">
        <f>_xlfn.XLOOKUP(A825,tblVendas[[#This Row],[NR_SIMULACAO]],tblVendas[[#This Row],[MES]],"")</f>
        <v>Abril</v>
      </c>
      <c r="E825">
        <f>SUM(_xlfn.XLOOKUP(tblCalculo[[#This Row],[NR_SIMULACAO]],tblVendas[[#This Row],[NR_SIMULACAO]],tblVendas[[#This Row],[VALOR_MOVEL]],""):_xlfn.XLOOKUP(tblCalculo[[#This Row],[NR_SIMULACAO]],tblVendas[[#This Row],[NR_SIMULACAO]],tblVendas[[#This Row],[VALOR_APARELHO]],""))</f>
        <v>6291.6900000000005</v>
      </c>
      <c r="F825">
        <f>IF(tblCalculo[[#This Row],[STATUS]]="CONCLUÍDO",_xlfn.XLOOKUP(tblCalculo[[#This Row],[NR_SIMULACAO]],tblVendas[[#This Row],[NR_SIMULACAO]],tblVendas[[#This Row],[VALOR_MOVEL]],""),0)</f>
        <v>0</v>
      </c>
      <c r="G825">
        <f>IF(tblCalculo[[#This Row],[STATUS]]="CONCLUÍDO",_xlfn.XLOOKUP(tblCalculo[[#This Row],[NR_SIMULACAO]],tblVendas[[#This Row],[NR_SIMULACAO]],tblVendas[[#This Row],[VALOR_AVANCADO]],""),0)</f>
        <v>0</v>
      </c>
      <c r="H825">
        <f>IF(tblCalculo[[#This Row],[STATUS]]="CONCLUÍDO",_xlfn.XLOOKUP(tblCalculo[[#This Row],[NR_SIMULACAO]],tblVendas[[#This Row],[NR_SIMULACAO]],tblVendas[[#This Row],[VALOR_FIXABASICA]],""),0)</f>
        <v>0</v>
      </c>
      <c r="I825">
        <f>IF(tblCalculo[[#This Row],[STATUS]]="CONCLUÍDO",_xlfn.XLOOKUP(tblCalculo[[#This Row],[NR_SIMULACAO]],tblVendas[[#This Row],[NR_SIMULACAO]],tblVendas[[#This Row],[VALOR_TI]],""),0)</f>
        <v>0</v>
      </c>
      <c r="J825">
        <f>IF(tblCalculo[[#This Row],[STATUS]]="CONCLUÍDO",_xlfn.XLOOKUP(tblCalculo[[#This Row],[NR_SIMULACAO]],tblVendas[[#This Row],[NR_SIMULACAO]],tblVendas[[#This Row],[VALOR_APARELHO]],""),0)</f>
        <v>0</v>
      </c>
      <c r="K825" t="str">
        <f>IF(tblCalculo[[#This Row],[STATUS]]="NEGOCIANDO",tblCalculo[[#This Row],[VALOR_TOTAL]],"")</f>
        <v/>
      </c>
      <c r="L825" t="str">
        <f>IF(tblCalculo[[#This Row],[STATUS]]="ALÇADA",tblCalculo[[#This Row],[VALOR_TOTAL]],"")</f>
        <v/>
      </c>
      <c r="M825">
        <f>IF(tblCalculo[[#This Row],[STATUS]]="EM ANÁLISE",tblCalculo[[#This Row],[VALOR_TOTAL]],"")</f>
        <v>6291.6900000000005</v>
      </c>
      <c r="N825" t="str">
        <f>IF(tblCalculo[[#This Row],[STATUS]]="TRAMITANDO",tblCalculo[[#This Row],[VALOR_TOTAL]],"")</f>
        <v/>
      </c>
      <c r="O825" t="str">
        <f>IF(tblCalculo[[#This Row],[STATUS]]="PERDIDO",tblCalculo[[#This Row],[VALOR_TOTAL]],"")</f>
        <v/>
      </c>
      <c r="P825" t="str">
        <f>IF(tblCalculo[[#This Row],[STATUS]]="CONCLUÍDO",tblCalculo[[#This Row],[VALOR_TOTAL]],"")</f>
        <v/>
      </c>
    </row>
    <row r="826" spans="1:16" x14ac:dyDescent="0.25">
      <c r="A826" t="str">
        <f>tblVendas[[#This Row],[NR_SIMULACAO]]</f>
        <v>SIM1816</v>
      </c>
      <c r="B826" s="34" t="str">
        <f>_xlfn.XLOOKUP(A826,tblVendas[[#This Row],[NR_SIMULACAO]],tblVendas[[#This Row],[NR_CNPJ]],"")</f>
        <v>44.970.243/0001-50</v>
      </c>
      <c r="C826" t="str">
        <f>_xlfn.XLOOKUP(A826,tblVendas[[#This Row],[NR_SIMULACAO]],tblVendas[[#This Row],[STATUS]],"")</f>
        <v>EM ANÁLISE</v>
      </c>
      <c r="D826" t="str">
        <f>_xlfn.XLOOKUP(A826,tblVendas[[#This Row],[NR_SIMULACAO]],tblVendas[[#This Row],[MES]],"")</f>
        <v>Fevereiro</v>
      </c>
      <c r="E826">
        <f>SUM(_xlfn.XLOOKUP(tblCalculo[[#This Row],[NR_SIMULACAO]],tblVendas[[#This Row],[NR_SIMULACAO]],tblVendas[[#This Row],[VALOR_MOVEL]],""):_xlfn.XLOOKUP(tblCalculo[[#This Row],[NR_SIMULACAO]],tblVendas[[#This Row],[NR_SIMULACAO]],tblVendas[[#This Row],[VALOR_APARELHO]],""))</f>
        <v>5837.67</v>
      </c>
      <c r="F826">
        <f>IF(tblCalculo[[#This Row],[STATUS]]="CONCLUÍDO",_xlfn.XLOOKUP(tblCalculo[[#This Row],[NR_SIMULACAO]],tblVendas[[#This Row],[NR_SIMULACAO]],tblVendas[[#This Row],[VALOR_MOVEL]],""),0)</f>
        <v>0</v>
      </c>
      <c r="G826">
        <f>IF(tblCalculo[[#This Row],[STATUS]]="CONCLUÍDO",_xlfn.XLOOKUP(tblCalculo[[#This Row],[NR_SIMULACAO]],tblVendas[[#This Row],[NR_SIMULACAO]],tblVendas[[#This Row],[VALOR_AVANCADO]],""),0)</f>
        <v>0</v>
      </c>
      <c r="H826">
        <f>IF(tblCalculo[[#This Row],[STATUS]]="CONCLUÍDO",_xlfn.XLOOKUP(tblCalculo[[#This Row],[NR_SIMULACAO]],tblVendas[[#This Row],[NR_SIMULACAO]],tblVendas[[#This Row],[VALOR_FIXABASICA]],""),0)</f>
        <v>0</v>
      </c>
      <c r="I826">
        <f>IF(tblCalculo[[#This Row],[STATUS]]="CONCLUÍDO",_xlfn.XLOOKUP(tblCalculo[[#This Row],[NR_SIMULACAO]],tblVendas[[#This Row],[NR_SIMULACAO]],tblVendas[[#This Row],[VALOR_TI]],""),0)</f>
        <v>0</v>
      </c>
      <c r="J826">
        <f>IF(tblCalculo[[#This Row],[STATUS]]="CONCLUÍDO",_xlfn.XLOOKUP(tblCalculo[[#This Row],[NR_SIMULACAO]],tblVendas[[#This Row],[NR_SIMULACAO]],tblVendas[[#This Row],[VALOR_APARELHO]],""),0)</f>
        <v>0</v>
      </c>
      <c r="K826" t="str">
        <f>IF(tblCalculo[[#This Row],[STATUS]]="NEGOCIANDO",tblCalculo[[#This Row],[VALOR_TOTAL]],"")</f>
        <v/>
      </c>
      <c r="L826" t="str">
        <f>IF(tblCalculo[[#This Row],[STATUS]]="ALÇADA",tblCalculo[[#This Row],[VALOR_TOTAL]],"")</f>
        <v/>
      </c>
      <c r="M826">
        <f>IF(tblCalculo[[#This Row],[STATUS]]="EM ANÁLISE",tblCalculo[[#This Row],[VALOR_TOTAL]],"")</f>
        <v>5837.67</v>
      </c>
      <c r="N826" t="str">
        <f>IF(tblCalculo[[#This Row],[STATUS]]="TRAMITANDO",tblCalculo[[#This Row],[VALOR_TOTAL]],"")</f>
        <v/>
      </c>
      <c r="O826" t="str">
        <f>IF(tblCalculo[[#This Row],[STATUS]]="PERDIDO",tblCalculo[[#This Row],[VALOR_TOTAL]],"")</f>
        <v/>
      </c>
      <c r="P826" t="str">
        <f>IF(tblCalculo[[#This Row],[STATUS]]="CONCLUÍDO",tblCalculo[[#This Row],[VALOR_TOTAL]],"")</f>
        <v/>
      </c>
    </row>
    <row r="827" spans="1:16" x14ac:dyDescent="0.25">
      <c r="A827" t="str">
        <f>tblVendas[[#This Row],[NR_SIMULACAO]]</f>
        <v>SIM1817</v>
      </c>
      <c r="B827" s="34" t="str">
        <f>_xlfn.XLOOKUP(A827,tblVendas[[#This Row],[NR_SIMULACAO]],tblVendas[[#This Row],[NR_CNPJ]],"")</f>
        <v>79.631.702/0001-94</v>
      </c>
      <c r="C827" t="str">
        <f>_xlfn.XLOOKUP(A827,tblVendas[[#This Row],[NR_SIMULACAO]],tblVendas[[#This Row],[STATUS]],"")</f>
        <v>PERDIDO</v>
      </c>
      <c r="D827" t="str">
        <f>_xlfn.XLOOKUP(A827,tblVendas[[#This Row],[NR_SIMULACAO]],tblVendas[[#This Row],[MES]],"")</f>
        <v>Julho</v>
      </c>
      <c r="E827">
        <f>SUM(_xlfn.XLOOKUP(tblCalculo[[#This Row],[NR_SIMULACAO]],tblVendas[[#This Row],[NR_SIMULACAO]],tblVendas[[#This Row],[VALOR_MOVEL]],""):_xlfn.XLOOKUP(tblCalculo[[#This Row],[NR_SIMULACAO]],tblVendas[[#This Row],[NR_SIMULACAO]],tblVendas[[#This Row],[VALOR_APARELHO]],""))</f>
        <v>24118.43</v>
      </c>
      <c r="F827">
        <f>IF(tblCalculo[[#This Row],[STATUS]]="CONCLUÍDO",_xlfn.XLOOKUP(tblCalculo[[#This Row],[NR_SIMULACAO]],tblVendas[[#This Row],[NR_SIMULACAO]],tblVendas[[#This Row],[VALOR_MOVEL]],""),0)</f>
        <v>0</v>
      </c>
      <c r="G827">
        <f>IF(tblCalculo[[#This Row],[STATUS]]="CONCLUÍDO",_xlfn.XLOOKUP(tblCalculo[[#This Row],[NR_SIMULACAO]],tblVendas[[#This Row],[NR_SIMULACAO]],tblVendas[[#This Row],[VALOR_AVANCADO]],""),0)</f>
        <v>0</v>
      </c>
      <c r="H827">
        <f>IF(tblCalculo[[#This Row],[STATUS]]="CONCLUÍDO",_xlfn.XLOOKUP(tblCalculo[[#This Row],[NR_SIMULACAO]],tblVendas[[#This Row],[NR_SIMULACAO]],tblVendas[[#This Row],[VALOR_FIXABASICA]],""),0)</f>
        <v>0</v>
      </c>
      <c r="I827">
        <f>IF(tblCalculo[[#This Row],[STATUS]]="CONCLUÍDO",_xlfn.XLOOKUP(tblCalculo[[#This Row],[NR_SIMULACAO]],tblVendas[[#This Row],[NR_SIMULACAO]],tblVendas[[#This Row],[VALOR_TI]],""),0)</f>
        <v>0</v>
      </c>
      <c r="J827">
        <f>IF(tblCalculo[[#This Row],[STATUS]]="CONCLUÍDO",_xlfn.XLOOKUP(tblCalculo[[#This Row],[NR_SIMULACAO]],tblVendas[[#This Row],[NR_SIMULACAO]],tblVendas[[#This Row],[VALOR_APARELHO]],""),0)</f>
        <v>0</v>
      </c>
      <c r="K827" t="str">
        <f>IF(tblCalculo[[#This Row],[STATUS]]="NEGOCIANDO",tblCalculo[[#This Row],[VALOR_TOTAL]],"")</f>
        <v/>
      </c>
      <c r="L827" t="str">
        <f>IF(tblCalculo[[#This Row],[STATUS]]="ALÇADA",tblCalculo[[#This Row],[VALOR_TOTAL]],"")</f>
        <v/>
      </c>
      <c r="M827" t="str">
        <f>IF(tblCalculo[[#This Row],[STATUS]]="EM ANÁLISE",tblCalculo[[#This Row],[VALOR_TOTAL]],"")</f>
        <v/>
      </c>
      <c r="N827" t="str">
        <f>IF(tblCalculo[[#This Row],[STATUS]]="TRAMITANDO",tblCalculo[[#This Row],[VALOR_TOTAL]],"")</f>
        <v/>
      </c>
      <c r="O827">
        <f>IF(tblCalculo[[#This Row],[STATUS]]="PERDIDO",tblCalculo[[#This Row],[VALOR_TOTAL]],"")</f>
        <v>24118.43</v>
      </c>
      <c r="P827" t="str">
        <f>IF(tblCalculo[[#This Row],[STATUS]]="CONCLUÍDO",tblCalculo[[#This Row],[VALOR_TOTAL]],"")</f>
        <v/>
      </c>
    </row>
    <row r="828" spans="1:16" x14ac:dyDescent="0.25">
      <c r="A828" t="str">
        <f>tblVendas[[#This Row],[NR_SIMULACAO]]</f>
        <v>SIM1818</v>
      </c>
      <c r="B828" s="34" t="str">
        <f>_xlfn.XLOOKUP(A828,tblVendas[[#This Row],[NR_SIMULACAO]],tblVendas[[#This Row],[NR_CNPJ]],"")</f>
        <v>81.610.331/0001-41</v>
      </c>
      <c r="C828" t="str">
        <f>_xlfn.XLOOKUP(A828,tblVendas[[#This Row],[NR_SIMULACAO]],tblVendas[[#This Row],[STATUS]],"")</f>
        <v>TRAMITANDO</v>
      </c>
      <c r="D828" t="str">
        <f>_xlfn.XLOOKUP(A828,tblVendas[[#This Row],[NR_SIMULACAO]],tblVendas[[#This Row],[MES]],"")</f>
        <v>Agosto</v>
      </c>
      <c r="E828">
        <f>SUM(_xlfn.XLOOKUP(tblCalculo[[#This Row],[NR_SIMULACAO]],tblVendas[[#This Row],[NR_SIMULACAO]],tblVendas[[#This Row],[VALOR_MOVEL]],""):_xlfn.XLOOKUP(tblCalculo[[#This Row],[NR_SIMULACAO]],tblVendas[[#This Row],[NR_SIMULACAO]],tblVendas[[#This Row],[VALOR_APARELHO]],""))</f>
        <v>4027.3</v>
      </c>
      <c r="F828">
        <f>IF(tblCalculo[[#This Row],[STATUS]]="CONCLUÍDO",_xlfn.XLOOKUP(tblCalculo[[#This Row],[NR_SIMULACAO]],tblVendas[[#This Row],[NR_SIMULACAO]],tblVendas[[#This Row],[VALOR_MOVEL]],""),0)</f>
        <v>0</v>
      </c>
      <c r="G828">
        <f>IF(tblCalculo[[#This Row],[STATUS]]="CONCLUÍDO",_xlfn.XLOOKUP(tblCalculo[[#This Row],[NR_SIMULACAO]],tblVendas[[#This Row],[NR_SIMULACAO]],tblVendas[[#This Row],[VALOR_AVANCADO]],""),0)</f>
        <v>0</v>
      </c>
      <c r="H828">
        <f>IF(tblCalculo[[#This Row],[STATUS]]="CONCLUÍDO",_xlfn.XLOOKUP(tblCalculo[[#This Row],[NR_SIMULACAO]],tblVendas[[#This Row],[NR_SIMULACAO]],tblVendas[[#This Row],[VALOR_FIXABASICA]],""),0)</f>
        <v>0</v>
      </c>
      <c r="I828">
        <f>IF(tblCalculo[[#This Row],[STATUS]]="CONCLUÍDO",_xlfn.XLOOKUP(tblCalculo[[#This Row],[NR_SIMULACAO]],tblVendas[[#This Row],[NR_SIMULACAO]],tblVendas[[#This Row],[VALOR_TI]],""),0)</f>
        <v>0</v>
      </c>
      <c r="J828">
        <f>IF(tblCalculo[[#This Row],[STATUS]]="CONCLUÍDO",_xlfn.XLOOKUP(tblCalculo[[#This Row],[NR_SIMULACAO]],tblVendas[[#This Row],[NR_SIMULACAO]],tblVendas[[#This Row],[VALOR_APARELHO]],""),0)</f>
        <v>0</v>
      </c>
      <c r="K828" t="str">
        <f>IF(tblCalculo[[#This Row],[STATUS]]="NEGOCIANDO",tblCalculo[[#This Row],[VALOR_TOTAL]],"")</f>
        <v/>
      </c>
      <c r="L828" t="str">
        <f>IF(tblCalculo[[#This Row],[STATUS]]="ALÇADA",tblCalculo[[#This Row],[VALOR_TOTAL]],"")</f>
        <v/>
      </c>
      <c r="M828" t="str">
        <f>IF(tblCalculo[[#This Row],[STATUS]]="EM ANÁLISE",tblCalculo[[#This Row],[VALOR_TOTAL]],"")</f>
        <v/>
      </c>
      <c r="N828">
        <f>IF(tblCalculo[[#This Row],[STATUS]]="TRAMITANDO",tblCalculo[[#This Row],[VALOR_TOTAL]],"")</f>
        <v>4027.3</v>
      </c>
      <c r="O828" t="str">
        <f>IF(tblCalculo[[#This Row],[STATUS]]="PERDIDO",tblCalculo[[#This Row],[VALOR_TOTAL]],"")</f>
        <v/>
      </c>
      <c r="P828" t="str">
        <f>IF(tblCalculo[[#This Row],[STATUS]]="CONCLUÍDO",tblCalculo[[#This Row],[VALOR_TOTAL]],"")</f>
        <v/>
      </c>
    </row>
    <row r="829" spans="1:16" x14ac:dyDescent="0.25">
      <c r="A829" t="str">
        <f>tblVendas[[#This Row],[NR_SIMULACAO]]</f>
        <v>SIM1819</v>
      </c>
      <c r="B829" s="34" t="str">
        <f>_xlfn.XLOOKUP(A829,tblVendas[[#This Row],[NR_SIMULACAO]],tblVendas[[#This Row],[NR_CNPJ]],"")</f>
        <v>94.956.753/0001-80</v>
      </c>
      <c r="C829" t="str">
        <f>_xlfn.XLOOKUP(A829,tblVendas[[#This Row],[NR_SIMULACAO]],tblVendas[[#This Row],[STATUS]],"")</f>
        <v>ALÇADA</v>
      </c>
      <c r="D829" t="str">
        <f>_xlfn.XLOOKUP(A829,tblVendas[[#This Row],[NR_SIMULACAO]],tblVendas[[#This Row],[MES]],"")</f>
        <v>Março</v>
      </c>
      <c r="E829">
        <f>SUM(_xlfn.XLOOKUP(tblCalculo[[#This Row],[NR_SIMULACAO]],tblVendas[[#This Row],[NR_SIMULACAO]],tblVendas[[#This Row],[VALOR_MOVEL]],""):_xlfn.XLOOKUP(tblCalculo[[#This Row],[NR_SIMULACAO]],tblVendas[[#This Row],[NR_SIMULACAO]],tblVendas[[#This Row],[VALOR_APARELHO]],""))</f>
        <v>653.29999999999995</v>
      </c>
      <c r="F829">
        <f>IF(tblCalculo[[#This Row],[STATUS]]="CONCLUÍDO",_xlfn.XLOOKUP(tblCalculo[[#This Row],[NR_SIMULACAO]],tblVendas[[#This Row],[NR_SIMULACAO]],tblVendas[[#This Row],[VALOR_MOVEL]],""),0)</f>
        <v>0</v>
      </c>
      <c r="G829">
        <f>IF(tblCalculo[[#This Row],[STATUS]]="CONCLUÍDO",_xlfn.XLOOKUP(tblCalculo[[#This Row],[NR_SIMULACAO]],tblVendas[[#This Row],[NR_SIMULACAO]],tblVendas[[#This Row],[VALOR_AVANCADO]],""),0)</f>
        <v>0</v>
      </c>
      <c r="H829">
        <f>IF(tblCalculo[[#This Row],[STATUS]]="CONCLUÍDO",_xlfn.XLOOKUP(tblCalculo[[#This Row],[NR_SIMULACAO]],tblVendas[[#This Row],[NR_SIMULACAO]],tblVendas[[#This Row],[VALOR_FIXABASICA]],""),0)</f>
        <v>0</v>
      </c>
      <c r="I829">
        <f>IF(tblCalculo[[#This Row],[STATUS]]="CONCLUÍDO",_xlfn.XLOOKUP(tblCalculo[[#This Row],[NR_SIMULACAO]],tblVendas[[#This Row],[NR_SIMULACAO]],tblVendas[[#This Row],[VALOR_TI]],""),0)</f>
        <v>0</v>
      </c>
      <c r="J829">
        <f>IF(tblCalculo[[#This Row],[STATUS]]="CONCLUÍDO",_xlfn.XLOOKUP(tblCalculo[[#This Row],[NR_SIMULACAO]],tblVendas[[#This Row],[NR_SIMULACAO]],tblVendas[[#This Row],[VALOR_APARELHO]],""),0)</f>
        <v>0</v>
      </c>
      <c r="K829" t="str">
        <f>IF(tblCalculo[[#This Row],[STATUS]]="NEGOCIANDO",tblCalculo[[#This Row],[VALOR_TOTAL]],"")</f>
        <v/>
      </c>
      <c r="L829">
        <f>IF(tblCalculo[[#This Row],[STATUS]]="ALÇADA",tblCalculo[[#This Row],[VALOR_TOTAL]],"")</f>
        <v>653.29999999999995</v>
      </c>
      <c r="M829" t="str">
        <f>IF(tblCalculo[[#This Row],[STATUS]]="EM ANÁLISE",tblCalculo[[#This Row],[VALOR_TOTAL]],"")</f>
        <v/>
      </c>
      <c r="N829" t="str">
        <f>IF(tblCalculo[[#This Row],[STATUS]]="TRAMITANDO",tblCalculo[[#This Row],[VALOR_TOTAL]],"")</f>
        <v/>
      </c>
      <c r="O829" t="str">
        <f>IF(tblCalculo[[#This Row],[STATUS]]="PERDIDO",tblCalculo[[#This Row],[VALOR_TOTAL]],"")</f>
        <v/>
      </c>
      <c r="P829" t="str">
        <f>IF(tblCalculo[[#This Row],[STATUS]]="CONCLUÍDO",tblCalculo[[#This Row],[VALOR_TOTAL]],"")</f>
        <v/>
      </c>
    </row>
    <row r="830" spans="1:16" x14ac:dyDescent="0.25">
      <c r="A830" t="str">
        <f>tblVendas[[#This Row],[NR_SIMULACAO]]</f>
        <v>SIM1820</v>
      </c>
      <c r="B830" s="34" t="str">
        <f>_xlfn.XLOOKUP(A830,tblVendas[[#This Row],[NR_SIMULACAO]],tblVendas[[#This Row],[NR_CNPJ]],"")</f>
        <v>87.489.412/0001-31</v>
      </c>
      <c r="C830" t="str">
        <f>_xlfn.XLOOKUP(A830,tblVendas[[#This Row],[NR_SIMULACAO]],tblVendas[[#This Row],[STATUS]],"")</f>
        <v>PERDIDO</v>
      </c>
      <c r="D830" t="str">
        <f>_xlfn.XLOOKUP(A830,tblVendas[[#This Row],[NR_SIMULACAO]],tblVendas[[#This Row],[MES]],"")</f>
        <v>Maio</v>
      </c>
      <c r="E830">
        <f>SUM(_xlfn.XLOOKUP(tblCalculo[[#This Row],[NR_SIMULACAO]],tblVendas[[#This Row],[NR_SIMULACAO]],tblVendas[[#This Row],[VALOR_MOVEL]],""):_xlfn.XLOOKUP(tblCalculo[[#This Row],[NR_SIMULACAO]],tblVendas[[#This Row],[NR_SIMULACAO]],tblVendas[[#This Row],[VALOR_APARELHO]],""))</f>
        <v>25458.959999999999</v>
      </c>
      <c r="F830">
        <f>IF(tblCalculo[[#This Row],[STATUS]]="CONCLUÍDO",_xlfn.XLOOKUP(tblCalculo[[#This Row],[NR_SIMULACAO]],tblVendas[[#This Row],[NR_SIMULACAO]],tblVendas[[#This Row],[VALOR_MOVEL]],""),0)</f>
        <v>0</v>
      </c>
      <c r="G830">
        <f>IF(tblCalculo[[#This Row],[STATUS]]="CONCLUÍDO",_xlfn.XLOOKUP(tblCalculo[[#This Row],[NR_SIMULACAO]],tblVendas[[#This Row],[NR_SIMULACAO]],tblVendas[[#This Row],[VALOR_AVANCADO]],""),0)</f>
        <v>0</v>
      </c>
      <c r="H830">
        <f>IF(tblCalculo[[#This Row],[STATUS]]="CONCLUÍDO",_xlfn.XLOOKUP(tblCalculo[[#This Row],[NR_SIMULACAO]],tblVendas[[#This Row],[NR_SIMULACAO]],tblVendas[[#This Row],[VALOR_FIXABASICA]],""),0)</f>
        <v>0</v>
      </c>
      <c r="I830">
        <f>IF(tblCalculo[[#This Row],[STATUS]]="CONCLUÍDO",_xlfn.XLOOKUP(tblCalculo[[#This Row],[NR_SIMULACAO]],tblVendas[[#This Row],[NR_SIMULACAO]],tblVendas[[#This Row],[VALOR_TI]],""),0)</f>
        <v>0</v>
      </c>
      <c r="J830">
        <f>IF(tblCalculo[[#This Row],[STATUS]]="CONCLUÍDO",_xlfn.XLOOKUP(tblCalculo[[#This Row],[NR_SIMULACAO]],tblVendas[[#This Row],[NR_SIMULACAO]],tblVendas[[#This Row],[VALOR_APARELHO]],""),0)</f>
        <v>0</v>
      </c>
      <c r="K830" t="str">
        <f>IF(tblCalculo[[#This Row],[STATUS]]="NEGOCIANDO",tblCalculo[[#This Row],[VALOR_TOTAL]],"")</f>
        <v/>
      </c>
      <c r="L830" t="str">
        <f>IF(tblCalculo[[#This Row],[STATUS]]="ALÇADA",tblCalculo[[#This Row],[VALOR_TOTAL]],"")</f>
        <v/>
      </c>
      <c r="M830" t="str">
        <f>IF(tblCalculo[[#This Row],[STATUS]]="EM ANÁLISE",tblCalculo[[#This Row],[VALOR_TOTAL]],"")</f>
        <v/>
      </c>
      <c r="N830" t="str">
        <f>IF(tblCalculo[[#This Row],[STATUS]]="TRAMITANDO",tblCalculo[[#This Row],[VALOR_TOTAL]],"")</f>
        <v/>
      </c>
      <c r="O830">
        <f>IF(tblCalculo[[#This Row],[STATUS]]="PERDIDO",tblCalculo[[#This Row],[VALOR_TOTAL]],"")</f>
        <v>25458.959999999999</v>
      </c>
      <c r="P830" t="str">
        <f>IF(tblCalculo[[#This Row],[STATUS]]="CONCLUÍDO",tblCalculo[[#This Row],[VALOR_TOTAL]],"")</f>
        <v/>
      </c>
    </row>
    <row r="831" spans="1:16" x14ac:dyDescent="0.25">
      <c r="A831" t="str">
        <f>tblVendas[[#This Row],[NR_SIMULACAO]]</f>
        <v>SIM1821</v>
      </c>
      <c r="B831" s="34" t="str">
        <f>_xlfn.XLOOKUP(A831,tblVendas[[#This Row],[NR_SIMULACAO]],tblVendas[[#This Row],[NR_CNPJ]],"")</f>
        <v>24.782.947/0001-65</v>
      </c>
      <c r="C831" t="str">
        <f>_xlfn.XLOOKUP(A831,tblVendas[[#This Row],[NR_SIMULACAO]],tblVendas[[#This Row],[STATUS]],"")</f>
        <v>EM ANÁLISE</v>
      </c>
      <c r="D831" t="str">
        <f>_xlfn.XLOOKUP(A831,tblVendas[[#This Row],[NR_SIMULACAO]],tblVendas[[#This Row],[MES]],"")</f>
        <v>Agosto</v>
      </c>
      <c r="E831">
        <f>SUM(_xlfn.XLOOKUP(tblCalculo[[#This Row],[NR_SIMULACAO]],tblVendas[[#This Row],[NR_SIMULACAO]],tblVendas[[#This Row],[VALOR_MOVEL]],""):_xlfn.XLOOKUP(tblCalculo[[#This Row],[NR_SIMULACAO]],tblVendas[[#This Row],[NR_SIMULACAO]],tblVendas[[#This Row],[VALOR_APARELHO]],""))</f>
        <v>4428.42</v>
      </c>
      <c r="F831">
        <f>IF(tblCalculo[[#This Row],[STATUS]]="CONCLUÍDO",_xlfn.XLOOKUP(tblCalculo[[#This Row],[NR_SIMULACAO]],tblVendas[[#This Row],[NR_SIMULACAO]],tblVendas[[#This Row],[VALOR_MOVEL]],""),0)</f>
        <v>0</v>
      </c>
      <c r="G831">
        <f>IF(tblCalculo[[#This Row],[STATUS]]="CONCLUÍDO",_xlfn.XLOOKUP(tblCalculo[[#This Row],[NR_SIMULACAO]],tblVendas[[#This Row],[NR_SIMULACAO]],tblVendas[[#This Row],[VALOR_AVANCADO]],""),0)</f>
        <v>0</v>
      </c>
      <c r="H831">
        <f>IF(tblCalculo[[#This Row],[STATUS]]="CONCLUÍDO",_xlfn.XLOOKUP(tblCalculo[[#This Row],[NR_SIMULACAO]],tblVendas[[#This Row],[NR_SIMULACAO]],tblVendas[[#This Row],[VALOR_FIXABASICA]],""),0)</f>
        <v>0</v>
      </c>
      <c r="I831">
        <f>IF(tblCalculo[[#This Row],[STATUS]]="CONCLUÍDO",_xlfn.XLOOKUP(tblCalculo[[#This Row],[NR_SIMULACAO]],tblVendas[[#This Row],[NR_SIMULACAO]],tblVendas[[#This Row],[VALOR_TI]],""),0)</f>
        <v>0</v>
      </c>
      <c r="J831">
        <f>IF(tblCalculo[[#This Row],[STATUS]]="CONCLUÍDO",_xlfn.XLOOKUP(tblCalculo[[#This Row],[NR_SIMULACAO]],tblVendas[[#This Row],[NR_SIMULACAO]],tblVendas[[#This Row],[VALOR_APARELHO]],""),0)</f>
        <v>0</v>
      </c>
      <c r="K831" t="str">
        <f>IF(tblCalculo[[#This Row],[STATUS]]="NEGOCIANDO",tblCalculo[[#This Row],[VALOR_TOTAL]],"")</f>
        <v/>
      </c>
      <c r="L831" t="str">
        <f>IF(tblCalculo[[#This Row],[STATUS]]="ALÇADA",tblCalculo[[#This Row],[VALOR_TOTAL]],"")</f>
        <v/>
      </c>
      <c r="M831">
        <f>IF(tblCalculo[[#This Row],[STATUS]]="EM ANÁLISE",tblCalculo[[#This Row],[VALOR_TOTAL]],"")</f>
        <v>4428.42</v>
      </c>
      <c r="N831" t="str">
        <f>IF(tblCalculo[[#This Row],[STATUS]]="TRAMITANDO",tblCalculo[[#This Row],[VALOR_TOTAL]],"")</f>
        <v/>
      </c>
      <c r="O831" t="str">
        <f>IF(tblCalculo[[#This Row],[STATUS]]="PERDIDO",tblCalculo[[#This Row],[VALOR_TOTAL]],"")</f>
        <v/>
      </c>
      <c r="P831" t="str">
        <f>IF(tblCalculo[[#This Row],[STATUS]]="CONCLUÍDO",tblCalculo[[#This Row],[VALOR_TOTAL]],"")</f>
        <v/>
      </c>
    </row>
    <row r="832" spans="1:16" x14ac:dyDescent="0.25">
      <c r="A832" t="str">
        <f>tblVendas[[#This Row],[NR_SIMULACAO]]</f>
        <v>SIM1822</v>
      </c>
      <c r="B832" s="34" t="str">
        <f>_xlfn.XLOOKUP(A832,tblVendas[[#This Row],[NR_SIMULACAO]],tblVendas[[#This Row],[NR_CNPJ]],"")</f>
        <v>31.636.333/0001-14</v>
      </c>
      <c r="C832" t="str">
        <f>_xlfn.XLOOKUP(A832,tblVendas[[#This Row],[NR_SIMULACAO]],tblVendas[[#This Row],[STATUS]],"")</f>
        <v>NEGOCIANDO</v>
      </c>
      <c r="D832" t="str">
        <f>_xlfn.XLOOKUP(A832,tblVendas[[#This Row],[NR_SIMULACAO]],tblVendas[[#This Row],[MES]],"")</f>
        <v>Janeiro</v>
      </c>
      <c r="E832">
        <f>SUM(_xlfn.XLOOKUP(tblCalculo[[#This Row],[NR_SIMULACAO]],tblVendas[[#This Row],[NR_SIMULACAO]],tblVendas[[#This Row],[VALOR_MOVEL]],""):_xlfn.XLOOKUP(tblCalculo[[#This Row],[NR_SIMULACAO]],tblVendas[[#This Row],[NR_SIMULACAO]],tblVendas[[#This Row],[VALOR_APARELHO]],""))</f>
        <v>4803.82</v>
      </c>
      <c r="F832">
        <f>IF(tblCalculo[[#This Row],[STATUS]]="CONCLUÍDO",_xlfn.XLOOKUP(tblCalculo[[#This Row],[NR_SIMULACAO]],tblVendas[[#This Row],[NR_SIMULACAO]],tblVendas[[#This Row],[VALOR_MOVEL]],""),0)</f>
        <v>0</v>
      </c>
      <c r="G832">
        <f>IF(tblCalculo[[#This Row],[STATUS]]="CONCLUÍDO",_xlfn.XLOOKUP(tblCalculo[[#This Row],[NR_SIMULACAO]],tblVendas[[#This Row],[NR_SIMULACAO]],tblVendas[[#This Row],[VALOR_AVANCADO]],""),0)</f>
        <v>0</v>
      </c>
      <c r="H832">
        <f>IF(tblCalculo[[#This Row],[STATUS]]="CONCLUÍDO",_xlfn.XLOOKUP(tblCalculo[[#This Row],[NR_SIMULACAO]],tblVendas[[#This Row],[NR_SIMULACAO]],tblVendas[[#This Row],[VALOR_FIXABASICA]],""),0)</f>
        <v>0</v>
      </c>
      <c r="I832">
        <f>IF(tblCalculo[[#This Row],[STATUS]]="CONCLUÍDO",_xlfn.XLOOKUP(tblCalculo[[#This Row],[NR_SIMULACAO]],tblVendas[[#This Row],[NR_SIMULACAO]],tblVendas[[#This Row],[VALOR_TI]],""),0)</f>
        <v>0</v>
      </c>
      <c r="J832">
        <f>IF(tblCalculo[[#This Row],[STATUS]]="CONCLUÍDO",_xlfn.XLOOKUP(tblCalculo[[#This Row],[NR_SIMULACAO]],tblVendas[[#This Row],[NR_SIMULACAO]],tblVendas[[#This Row],[VALOR_APARELHO]],""),0)</f>
        <v>0</v>
      </c>
      <c r="K832">
        <f>IF(tblCalculo[[#This Row],[STATUS]]="NEGOCIANDO",tblCalculo[[#This Row],[VALOR_TOTAL]],"")</f>
        <v>4803.82</v>
      </c>
      <c r="L832" t="str">
        <f>IF(tblCalculo[[#This Row],[STATUS]]="ALÇADA",tblCalculo[[#This Row],[VALOR_TOTAL]],"")</f>
        <v/>
      </c>
      <c r="M832" t="str">
        <f>IF(tblCalculo[[#This Row],[STATUS]]="EM ANÁLISE",tblCalculo[[#This Row],[VALOR_TOTAL]],"")</f>
        <v/>
      </c>
      <c r="N832" t="str">
        <f>IF(tblCalculo[[#This Row],[STATUS]]="TRAMITANDO",tblCalculo[[#This Row],[VALOR_TOTAL]],"")</f>
        <v/>
      </c>
      <c r="O832" t="str">
        <f>IF(tblCalculo[[#This Row],[STATUS]]="PERDIDO",tblCalculo[[#This Row],[VALOR_TOTAL]],"")</f>
        <v/>
      </c>
      <c r="P832" t="str">
        <f>IF(tblCalculo[[#This Row],[STATUS]]="CONCLUÍDO",tblCalculo[[#This Row],[VALOR_TOTAL]],"")</f>
        <v/>
      </c>
    </row>
    <row r="833" spans="1:16" x14ac:dyDescent="0.25">
      <c r="A833" t="str">
        <f>tblVendas[[#This Row],[NR_SIMULACAO]]</f>
        <v>SIM1823</v>
      </c>
      <c r="B833" s="34" t="str">
        <f>_xlfn.XLOOKUP(A833,tblVendas[[#This Row],[NR_SIMULACAO]],tblVendas[[#This Row],[NR_CNPJ]],"")</f>
        <v>21.320.872/0001-18</v>
      </c>
      <c r="C833" t="str">
        <f>_xlfn.XLOOKUP(A833,tblVendas[[#This Row],[NR_SIMULACAO]],tblVendas[[#This Row],[STATUS]],"")</f>
        <v>EM ANÁLISE</v>
      </c>
      <c r="D833" t="str">
        <f>_xlfn.XLOOKUP(A833,tblVendas[[#This Row],[NR_SIMULACAO]],tblVendas[[#This Row],[MES]],"")</f>
        <v>Julho</v>
      </c>
      <c r="E833">
        <f>SUM(_xlfn.XLOOKUP(tblCalculo[[#This Row],[NR_SIMULACAO]],tblVendas[[#This Row],[NR_SIMULACAO]],tblVendas[[#This Row],[VALOR_MOVEL]],""):_xlfn.XLOOKUP(tblCalculo[[#This Row],[NR_SIMULACAO]],tblVendas[[#This Row],[NR_SIMULACAO]],tblVendas[[#This Row],[VALOR_APARELHO]],""))</f>
        <v>14248.19</v>
      </c>
      <c r="F833">
        <f>IF(tblCalculo[[#This Row],[STATUS]]="CONCLUÍDO",_xlfn.XLOOKUP(tblCalculo[[#This Row],[NR_SIMULACAO]],tblVendas[[#This Row],[NR_SIMULACAO]],tblVendas[[#This Row],[VALOR_MOVEL]],""),0)</f>
        <v>0</v>
      </c>
      <c r="G833">
        <f>IF(tblCalculo[[#This Row],[STATUS]]="CONCLUÍDO",_xlfn.XLOOKUP(tblCalculo[[#This Row],[NR_SIMULACAO]],tblVendas[[#This Row],[NR_SIMULACAO]],tblVendas[[#This Row],[VALOR_AVANCADO]],""),0)</f>
        <v>0</v>
      </c>
      <c r="H833">
        <f>IF(tblCalculo[[#This Row],[STATUS]]="CONCLUÍDO",_xlfn.XLOOKUP(tblCalculo[[#This Row],[NR_SIMULACAO]],tblVendas[[#This Row],[NR_SIMULACAO]],tblVendas[[#This Row],[VALOR_FIXABASICA]],""),0)</f>
        <v>0</v>
      </c>
      <c r="I833">
        <f>IF(tblCalculo[[#This Row],[STATUS]]="CONCLUÍDO",_xlfn.XLOOKUP(tblCalculo[[#This Row],[NR_SIMULACAO]],tblVendas[[#This Row],[NR_SIMULACAO]],tblVendas[[#This Row],[VALOR_TI]],""),0)</f>
        <v>0</v>
      </c>
      <c r="J833">
        <f>IF(tblCalculo[[#This Row],[STATUS]]="CONCLUÍDO",_xlfn.XLOOKUP(tblCalculo[[#This Row],[NR_SIMULACAO]],tblVendas[[#This Row],[NR_SIMULACAO]],tblVendas[[#This Row],[VALOR_APARELHO]],""),0)</f>
        <v>0</v>
      </c>
      <c r="K833" t="str">
        <f>IF(tblCalculo[[#This Row],[STATUS]]="NEGOCIANDO",tblCalculo[[#This Row],[VALOR_TOTAL]],"")</f>
        <v/>
      </c>
      <c r="L833" t="str">
        <f>IF(tblCalculo[[#This Row],[STATUS]]="ALÇADA",tblCalculo[[#This Row],[VALOR_TOTAL]],"")</f>
        <v/>
      </c>
      <c r="M833">
        <f>IF(tblCalculo[[#This Row],[STATUS]]="EM ANÁLISE",tblCalculo[[#This Row],[VALOR_TOTAL]],"")</f>
        <v>14248.19</v>
      </c>
      <c r="N833" t="str">
        <f>IF(tblCalculo[[#This Row],[STATUS]]="TRAMITANDO",tblCalculo[[#This Row],[VALOR_TOTAL]],"")</f>
        <v/>
      </c>
      <c r="O833" t="str">
        <f>IF(tblCalculo[[#This Row],[STATUS]]="PERDIDO",tblCalculo[[#This Row],[VALOR_TOTAL]],"")</f>
        <v/>
      </c>
      <c r="P833" t="str">
        <f>IF(tblCalculo[[#This Row],[STATUS]]="CONCLUÍDO",tblCalculo[[#This Row],[VALOR_TOTAL]],"")</f>
        <v/>
      </c>
    </row>
    <row r="834" spans="1:16" x14ac:dyDescent="0.25">
      <c r="A834" t="str">
        <f>tblVendas[[#This Row],[NR_SIMULACAO]]</f>
        <v>SIM1824</v>
      </c>
      <c r="B834" s="34" t="str">
        <f>_xlfn.XLOOKUP(A834,tblVendas[[#This Row],[NR_SIMULACAO]],tblVendas[[#This Row],[NR_CNPJ]],"")</f>
        <v>32.989.705/0001-16</v>
      </c>
      <c r="C834" t="str">
        <f>_xlfn.XLOOKUP(A834,tblVendas[[#This Row],[NR_SIMULACAO]],tblVendas[[#This Row],[STATUS]],"")</f>
        <v>CONCLUÍDO</v>
      </c>
      <c r="D834" t="str">
        <f>_xlfn.XLOOKUP(A834,tblVendas[[#This Row],[NR_SIMULACAO]],tblVendas[[#This Row],[MES]],"")</f>
        <v>Julho</v>
      </c>
      <c r="E834">
        <f>SUM(_xlfn.XLOOKUP(tblCalculo[[#This Row],[NR_SIMULACAO]],tblVendas[[#This Row],[NR_SIMULACAO]],tblVendas[[#This Row],[VALOR_MOVEL]],""):_xlfn.XLOOKUP(tblCalculo[[#This Row],[NR_SIMULACAO]],tblVendas[[#This Row],[NR_SIMULACAO]],tblVendas[[#This Row],[VALOR_APARELHO]],""))</f>
        <v>210.29</v>
      </c>
      <c r="F834">
        <f>IF(tblCalculo[[#This Row],[STATUS]]="CONCLUÍDO",_xlfn.XLOOKUP(tblCalculo[[#This Row],[NR_SIMULACAO]],tblVendas[[#This Row],[NR_SIMULACAO]],tblVendas[[#This Row],[VALOR_MOVEL]],""),0)</f>
        <v>0</v>
      </c>
      <c r="G834">
        <f>IF(tblCalculo[[#This Row],[STATUS]]="CONCLUÍDO",_xlfn.XLOOKUP(tblCalculo[[#This Row],[NR_SIMULACAO]],tblVendas[[#This Row],[NR_SIMULACAO]],tblVendas[[#This Row],[VALOR_AVANCADO]],""),0)</f>
        <v>210.29</v>
      </c>
      <c r="H834">
        <f>IF(tblCalculo[[#This Row],[STATUS]]="CONCLUÍDO",_xlfn.XLOOKUP(tblCalculo[[#This Row],[NR_SIMULACAO]],tblVendas[[#This Row],[NR_SIMULACAO]],tblVendas[[#This Row],[VALOR_FIXABASICA]],""),0)</f>
        <v>0</v>
      </c>
      <c r="I834">
        <f>IF(tblCalculo[[#This Row],[STATUS]]="CONCLUÍDO",_xlfn.XLOOKUP(tblCalculo[[#This Row],[NR_SIMULACAO]],tblVendas[[#This Row],[NR_SIMULACAO]],tblVendas[[#This Row],[VALOR_TI]],""),0)</f>
        <v>0</v>
      </c>
      <c r="J834">
        <f>IF(tblCalculo[[#This Row],[STATUS]]="CONCLUÍDO",_xlfn.XLOOKUP(tblCalculo[[#This Row],[NR_SIMULACAO]],tblVendas[[#This Row],[NR_SIMULACAO]],tblVendas[[#This Row],[VALOR_APARELHO]],""),0)</f>
        <v>0</v>
      </c>
      <c r="K834" t="str">
        <f>IF(tblCalculo[[#This Row],[STATUS]]="NEGOCIANDO",tblCalculo[[#This Row],[VALOR_TOTAL]],"")</f>
        <v/>
      </c>
      <c r="L834" t="str">
        <f>IF(tblCalculo[[#This Row],[STATUS]]="ALÇADA",tblCalculo[[#This Row],[VALOR_TOTAL]],"")</f>
        <v/>
      </c>
      <c r="M834" t="str">
        <f>IF(tblCalculo[[#This Row],[STATUS]]="EM ANÁLISE",tblCalculo[[#This Row],[VALOR_TOTAL]],"")</f>
        <v/>
      </c>
      <c r="N834" t="str">
        <f>IF(tblCalculo[[#This Row],[STATUS]]="TRAMITANDO",tblCalculo[[#This Row],[VALOR_TOTAL]],"")</f>
        <v/>
      </c>
      <c r="O834" t="str">
        <f>IF(tblCalculo[[#This Row],[STATUS]]="PERDIDO",tblCalculo[[#This Row],[VALOR_TOTAL]],"")</f>
        <v/>
      </c>
      <c r="P834">
        <f>IF(tblCalculo[[#This Row],[STATUS]]="CONCLUÍDO",tblCalculo[[#This Row],[VALOR_TOTAL]],"")</f>
        <v>210.29</v>
      </c>
    </row>
    <row r="835" spans="1:16" x14ac:dyDescent="0.25">
      <c r="A835" t="str">
        <f>tblVendas[[#This Row],[NR_SIMULACAO]]</f>
        <v>SIM1825</v>
      </c>
      <c r="B835" s="34" t="str">
        <f>_xlfn.XLOOKUP(A835,tblVendas[[#This Row],[NR_SIMULACAO]],tblVendas[[#This Row],[NR_CNPJ]],"")</f>
        <v>74.242.249/0001-46</v>
      </c>
      <c r="C835" t="str">
        <f>_xlfn.XLOOKUP(A835,tblVendas[[#This Row],[NR_SIMULACAO]],tblVendas[[#This Row],[STATUS]],"")</f>
        <v>EM ANÁLISE</v>
      </c>
      <c r="D835" t="str">
        <f>_xlfn.XLOOKUP(A835,tblVendas[[#This Row],[NR_SIMULACAO]],tblVendas[[#This Row],[MES]],"")</f>
        <v>Janeiro</v>
      </c>
      <c r="E835">
        <f>SUM(_xlfn.XLOOKUP(tblCalculo[[#This Row],[NR_SIMULACAO]],tblVendas[[#This Row],[NR_SIMULACAO]],tblVendas[[#This Row],[VALOR_MOVEL]],""):_xlfn.XLOOKUP(tblCalculo[[#This Row],[NR_SIMULACAO]],tblVendas[[#This Row],[NR_SIMULACAO]],tblVendas[[#This Row],[VALOR_APARELHO]],""))</f>
        <v>7790.9</v>
      </c>
      <c r="F835">
        <f>IF(tblCalculo[[#This Row],[STATUS]]="CONCLUÍDO",_xlfn.XLOOKUP(tblCalculo[[#This Row],[NR_SIMULACAO]],tblVendas[[#This Row],[NR_SIMULACAO]],tblVendas[[#This Row],[VALOR_MOVEL]],""),0)</f>
        <v>0</v>
      </c>
      <c r="G835">
        <f>IF(tblCalculo[[#This Row],[STATUS]]="CONCLUÍDO",_xlfn.XLOOKUP(tblCalculo[[#This Row],[NR_SIMULACAO]],tblVendas[[#This Row],[NR_SIMULACAO]],tblVendas[[#This Row],[VALOR_AVANCADO]],""),0)</f>
        <v>0</v>
      </c>
      <c r="H835">
        <f>IF(tblCalculo[[#This Row],[STATUS]]="CONCLUÍDO",_xlfn.XLOOKUP(tblCalculo[[#This Row],[NR_SIMULACAO]],tblVendas[[#This Row],[NR_SIMULACAO]],tblVendas[[#This Row],[VALOR_FIXABASICA]],""),0)</f>
        <v>0</v>
      </c>
      <c r="I835">
        <f>IF(tblCalculo[[#This Row],[STATUS]]="CONCLUÍDO",_xlfn.XLOOKUP(tblCalculo[[#This Row],[NR_SIMULACAO]],tblVendas[[#This Row],[NR_SIMULACAO]],tblVendas[[#This Row],[VALOR_TI]],""),0)</f>
        <v>0</v>
      </c>
      <c r="J835">
        <f>IF(tblCalculo[[#This Row],[STATUS]]="CONCLUÍDO",_xlfn.XLOOKUP(tblCalculo[[#This Row],[NR_SIMULACAO]],tblVendas[[#This Row],[NR_SIMULACAO]],tblVendas[[#This Row],[VALOR_APARELHO]],""),0)</f>
        <v>0</v>
      </c>
      <c r="K835" t="str">
        <f>IF(tblCalculo[[#This Row],[STATUS]]="NEGOCIANDO",tblCalculo[[#This Row],[VALOR_TOTAL]],"")</f>
        <v/>
      </c>
      <c r="L835" t="str">
        <f>IF(tblCalculo[[#This Row],[STATUS]]="ALÇADA",tblCalculo[[#This Row],[VALOR_TOTAL]],"")</f>
        <v/>
      </c>
      <c r="M835">
        <f>IF(tblCalculo[[#This Row],[STATUS]]="EM ANÁLISE",tblCalculo[[#This Row],[VALOR_TOTAL]],"")</f>
        <v>7790.9</v>
      </c>
      <c r="N835" t="str">
        <f>IF(tblCalculo[[#This Row],[STATUS]]="TRAMITANDO",tblCalculo[[#This Row],[VALOR_TOTAL]],"")</f>
        <v/>
      </c>
      <c r="O835" t="str">
        <f>IF(tblCalculo[[#This Row],[STATUS]]="PERDIDO",tblCalculo[[#This Row],[VALOR_TOTAL]],"")</f>
        <v/>
      </c>
      <c r="P835" t="str">
        <f>IF(tblCalculo[[#This Row],[STATUS]]="CONCLUÍDO",tblCalculo[[#This Row],[VALOR_TOTAL]],"")</f>
        <v/>
      </c>
    </row>
    <row r="836" spans="1:16" x14ac:dyDescent="0.25">
      <c r="A836" t="str">
        <f>tblVendas[[#This Row],[NR_SIMULACAO]]</f>
        <v>SIM1826</v>
      </c>
      <c r="B836" s="34" t="str">
        <f>_xlfn.XLOOKUP(A836,tblVendas[[#This Row],[NR_SIMULACAO]],tblVendas[[#This Row],[NR_CNPJ]],"")</f>
        <v>79.493.226/0001-35</v>
      </c>
      <c r="C836" t="str">
        <f>_xlfn.XLOOKUP(A836,tblVendas[[#This Row],[NR_SIMULACAO]],tblVendas[[#This Row],[STATUS]],"")</f>
        <v>CONCLUÍDO</v>
      </c>
      <c r="D836" t="str">
        <f>_xlfn.XLOOKUP(A836,tblVendas[[#This Row],[NR_SIMULACAO]],tblVendas[[#This Row],[MES]],"")</f>
        <v>Outubro</v>
      </c>
      <c r="E836">
        <f>SUM(_xlfn.XLOOKUP(tblCalculo[[#This Row],[NR_SIMULACAO]],tblVendas[[#This Row],[NR_SIMULACAO]],tblVendas[[#This Row],[VALOR_MOVEL]],""):_xlfn.XLOOKUP(tblCalculo[[#This Row],[NR_SIMULACAO]],tblVendas[[#This Row],[NR_SIMULACAO]],tblVendas[[#This Row],[VALOR_APARELHO]],""))</f>
        <v>6638.19</v>
      </c>
      <c r="F836">
        <f>IF(tblCalculo[[#This Row],[STATUS]]="CONCLUÍDO",_xlfn.XLOOKUP(tblCalculo[[#This Row],[NR_SIMULACAO]],tblVendas[[#This Row],[NR_SIMULACAO]],tblVendas[[#This Row],[VALOR_MOVEL]],""),0)</f>
        <v>6333.37</v>
      </c>
      <c r="G836">
        <f>IF(tblCalculo[[#This Row],[STATUS]]="CONCLUÍDO",_xlfn.XLOOKUP(tblCalculo[[#This Row],[NR_SIMULACAO]],tblVendas[[#This Row],[NR_SIMULACAO]],tblVendas[[#This Row],[VALOR_AVANCADO]],""),0)</f>
        <v>0</v>
      </c>
      <c r="H836">
        <f>IF(tblCalculo[[#This Row],[STATUS]]="CONCLUÍDO",_xlfn.XLOOKUP(tblCalculo[[#This Row],[NR_SIMULACAO]],tblVendas[[#This Row],[NR_SIMULACAO]],tblVendas[[#This Row],[VALOR_FIXABASICA]],""),0)</f>
        <v>304.82</v>
      </c>
      <c r="I836">
        <f>IF(tblCalculo[[#This Row],[STATUS]]="CONCLUÍDO",_xlfn.XLOOKUP(tblCalculo[[#This Row],[NR_SIMULACAO]],tblVendas[[#This Row],[NR_SIMULACAO]],tblVendas[[#This Row],[VALOR_TI]],""),0)</f>
        <v>0</v>
      </c>
      <c r="J836">
        <f>IF(tblCalculo[[#This Row],[STATUS]]="CONCLUÍDO",_xlfn.XLOOKUP(tblCalculo[[#This Row],[NR_SIMULACAO]],tblVendas[[#This Row],[NR_SIMULACAO]],tblVendas[[#This Row],[VALOR_APARELHO]],""),0)</f>
        <v>0</v>
      </c>
      <c r="K836" t="str">
        <f>IF(tblCalculo[[#This Row],[STATUS]]="NEGOCIANDO",tblCalculo[[#This Row],[VALOR_TOTAL]],"")</f>
        <v/>
      </c>
      <c r="L836" t="str">
        <f>IF(tblCalculo[[#This Row],[STATUS]]="ALÇADA",tblCalculo[[#This Row],[VALOR_TOTAL]],"")</f>
        <v/>
      </c>
      <c r="M836" t="str">
        <f>IF(tblCalculo[[#This Row],[STATUS]]="EM ANÁLISE",tblCalculo[[#This Row],[VALOR_TOTAL]],"")</f>
        <v/>
      </c>
      <c r="N836" t="str">
        <f>IF(tblCalculo[[#This Row],[STATUS]]="TRAMITANDO",tblCalculo[[#This Row],[VALOR_TOTAL]],"")</f>
        <v/>
      </c>
      <c r="O836" t="str">
        <f>IF(tblCalculo[[#This Row],[STATUS]]="PERDIDO",tblCalculo[[#This Row],[VALOR_TOTAL]],"")</f>
        <v/>
      </c>
      <c r="P836">
        <f>IF(tblCalculo[[#This Row],[STATUS]]="CONCLUÍDO",tblCalculo[[#This Row],[VALOR_TOTAL]],"")</f>
        <v>6638.19</v>
      </c>
    </row>
    <row r="837" spans="1:16" x14ac:dyDescent="0.25">
      <c r="A837" t="str">
        <f>tblVendas[[#This Row],[NR_SIMULACAO]]</f>
        <v>SIM1827</v>
      </c>
      <c r="B837" s="34" t="str">
        <f>_xlfn.XLOOKUP(A837,tblVendas[[#This Row],[NR_SIMULACAO]],tblVendas[[#This Row],[NR_CNPJ]],"")</f>
        <v>98.739.935/0001-67</v>
      </c>
      <c r="C837" t="str">
        <f>_xlfn.XLOOKUP(A837,tblVendas[[#This Row],[NR_SIMULACAO]],tblVendas[[#This Row],[STATUS]],"")</f>
        <v>CONCLUÍDO</v>
      </c>
      <c r="D837" t="str">
        <f>_xlfn.XLOOKUP(A837,tblVendas[[#This Row],[NR_SIMULACAO]],tblVendas[[#This Row],[MES]],"")</f>
        <v>Julho</v>
      </c>
      <c r="E837">
        <f>SUM(_xlfn.XLOOKUP(tblCalculo[[#This Row],[NR_SIMULACAO]],tblVendas[[#This Row],[NR_SIMULACAO]],tblVendas[[#This Row],[VALOR_MOVEL]],""):_xlfn.XLOOKUP(tblCalculo[[#This Row],[NR_SIMULACAO]],tblVendas[[#This Row],[NR_SIMULACAO]],tblVendas[[#This Row],[VALOR_APARELHO]],""))</f>
        <v>14095.510000000002</v>
      </c>
      <c r="F837">
        <f>IF(tblCalculo[[#This Row],[STATUS]]="CONCLUÍDO",_xlfn.XLOOKUP(tblCalculo[[#This Row],[NR_SIMULACAO]],tblVendas[[#This Row],[NR_SIMULACAO]],tblVendas[[#This Row],[VALOR_MOVEL]],""),0)</f>
        <v>0</v>
      </c>
      <c r="G837">
        <f>IF(tblCalculo[[#This Row],[STATUS]]="CONCLUÍDO",_xlfn.XLOOKUP(tblCalculo[[#This Row],[NR_SIMULACAO]],tblVendas[[#This Row],[NR_SIMULACAO]],tblVendas[[#This Row],[VALOR_AVANCADO]],""),0)</f>
        <v>4899.0600000000004</v>
      </c>
      <c r="H837">
        <f>IF(tblCalculo[[#This Row],[STATUS]]="CONCLUÍDO",_xlfn.XLOOKUP(tblCalculo[[#This Row],[NR_SIMULACAO]],tblVendas[[#This Row],[NR_SIMULACAO]],tblVendas[[#This Row],[VALOR_FIXABASICA]],""),0)</f>
        <v>1442.14</v>
      </c>
      <c r="I837">
        <f>IF(tblCalculo[[#This Row],[STATUS]]="CONCLUÍDO",_xlfn.XLOOKUP(tblCalculo[[#This Row],[NR_SIMULACAO]],tblVendas[[#This Row],[NR_SIMULACAO]],tblVendas[[#This Row],[VALOR_TI]],""),0)</f>
        <v>7754.31</v>
      </c>
      <c r="J837">
        <f>IF(tblCalculo[[#This Row],[STATUS]]="CONCLUÍDO",_xlfn.XLOOKUP(tblCalculo[[#This Row],[NR_SIMULACAO]],tblVendas[[#This Row],[NR_SIMULACAO]],tblVendas[[#This Row],[VALOR_APARELHO]],""),0)</f>
        <v>0</v>
      </c>
      <c r="K837" t="str">
        <f>IF(tblCalculo[[#This Row],[STATUS]]="NEGOCIANDO",tblCalculo[[#This Row],[VALOR_TOTAL]],"")</f>
        <v/>
      </c>
      <c r="L837" t="str">
        <f>IF(tblCalculo[[#This Row],[STATUS]]="ALÇADA",tblCalculo[[#This Row],[VALOR_TOTAL]],"")</f>
        <v/>
      </c>
      <c r="M837" t="str">
        <f>IF(tblCalculo[[#This Row],[STATUS]]="EM ANÁLISE",tblCalculo[[#This Row],[VALOR_TOTAL]],"")</f>
        <v/>
      </c>
      <c r="N837" t="str">
        <f>IF(tblCalculo[[#This Row],[STATUS]]="TRAMITANDO",tblCalculo[[#This Row],[VALOR_TOTAL]],"")</f>
        <v/>
      </c>
      <c r="O837" t="str">
        <f>IF(tblCalculo[[#This Row],[STATUS]]="PERDIDO",tblCalculo[[#This Row],[VALOR_TOTAL]],"")</f>
        <v/>
      </c>
      <c r="P837">
        <f>IF(tblCalculo[[#This Row],[STATUS]]="CONCLUÍDO",tblCalculo[[#This Row],[VALOR_TOTAL]],"")</f>
        <v>14095.510000000002</v>
      </c>
    </row>
    <row r="838" spans="1:16" x14ac:dyDescent="0.25">
      <c r="A838" t="str">
        <f>tblVendas[[#This Row],[NR_SIMULACAO]]</f>
        <v>SIM1828</v>
      </c>
      <c r="B838" s="34" t="str">
        <f>_xlfn.XLOOKUP(A838,tblVendas[[#This Row],[NR_SIMULACAO]],tblVendas[[#This Row],[NR_CNPJ]],"")</f>
        <v>71.286.542/0001-47</v>
      </c>
      <c r="C838" t="str">
        <f>_xlfn.XLOOKUP(A838,tblVendas[[#This Row],[NR_SIMULACAO]],tblVendas[[#This Row],[STATUS]],"")</f>
        <v>CONCLUÍDO</v>
      </c>
      <c r="D838" t="str">
        <f>_xlfn.XLOOKUP(A838,tblVendas[[#This Row],[NR_SIMULACAO]],tblVendas[[#This Row],[MES]],"")</f>
        <v>Março</v>
      </c>
      <c r="E838">
        <f>SUM(_xlfn.XLOOKUP(tblCalculo[[#This Row],[NR_SIMULACAO]],tblVendas[[#This Row],[NR_SIMULACAO]],tblVendas[[#This Row],[VALOR_MOVEL]],""):_xlfn.XLOOKUP(tblCalculo[[#This Row],[NR_SIMULACAO]],tblVendas[[#This Row],[NR_SIMULACAO]],tblVendas[[#This Row],[VALOR_APARELHO]],""))</f>
        <v>7645.03</v>
      </c>
      <c r="F838">
        <f>IF(tblCalculo[[#This Row],[STATUS]]="CONCLUÍDO",_xlfn.XLOOKUP(tblCalculo[[#This Row],[NR_SIMULACAO]],tblVendas[[#This Row],[NR_SIMULACAO]],tblVendas[[#This Row],[VALOR_MOVEL]],""),0)</f>
        <v>7130.9</v>
      </c>
      <c r="G838">
        <f>IF(tblCalculo[[#This Row],[STATUS]]="CONCLUÍDO",_xlfn.XLOOKUP(tblCalculo[[#This Row],[NR_SIMULACAO]],tblVendas[[#This Row],[NR_SIMULACAO]],tblVendas[[#This Row],[VALOR_AVANCADO]],""),0)</f>
        <v>0</v>
      </c>
      <c r="H838">
        <f>IF(tblCalculo[[#This Row],[STATUS]]="CONCLUÍDO",_xlfn.XLOOKUP(tblCalculo[[#This Row],[NR_SIMULACAO]],tblVendas[[#This Row],[NR_SIMULACAO]],tblVendas[[#This Row],[VALOR_FIXABASICA]],""),0)</f>
        <v>514.13</v>
      </c>
      <c r="I838">
        <f>IF(tblCalculo[[#This Row],[STATUS]]="CONCLUÍDO",_xlfn.XLOOKUP(tblCalculo[[#This Row],[NR_SIMULACAO]],tblVendas[[#This Row],[NR_SIMULACAO]],tblVendas[[#This Row],[VALOR_TI]],""),0)</f>
        <v>0</v>
      </c>
      <c r="J838">
        <f>IF(tblCalculo[[#This Row],[STATUS]]="CONCLUÍDO",_xlfn.XLOOKUP(tblCalculo[[#This Row],[NR_SIMULACAO]],tblVendas[[#This Row],[NR_SIMULACAO]],tblVendas[[#This Row],[VALOR_APARELHO]],""),0)</f>
        <v>0</v>
      </c>
      <c r="K838" t="str">
        <f>IF(tblCalculo[[#This Row],[STATUS]]="NEGOCIANDO",tblCalculo[[#This Row],[VALOR_TOTAL]],"")</f>
        <v/>
      </c>
      <c r="L838" t="str">
        <f>IF(tblCalculo[[#This Row],[STATUS]]="ALÇADA",tblCalculo[[#This Row],[VALOR_TOTAL]],"")</f>
        <v/>
      </c>
      <c r="M838" t="str">
        <f>IF(tblCalculo[[#This Row],[STATUS]]="EM ANÁLISE",tblCalculo[[#This Row],[VALOR_TOTAL]],"")</f>
        <v/>
      </c>
      <c r="N838" t="str">
        <f>IF(tblCalculo[[#This Row],[STATUS]]="TRAMITANDO",tblCalculo[[#This Row],[VALOR_TOTAL]],"")</f>
        <v/>
      </c>
      <c r="O838" t="str">
        <f>IF(tblCalculo[[#This Row],[STATUS]]="PERDIDO",tblCalculo[[#This Row],[VALOR_TOTAL]],"")</f>
        <v/>
      </c>
      <c r="P838">
        <f>IF(tblCalculo[[#This Row],[STATUS]]="CONCLUÍDO",tblCalculo[[#This Row],[VALOR_TOTAL]],"")</f>
        <v>7645.03</v>
      </c>
    </row>
    <row r="839" spans="1:16" x14ac:dyDescent="0.25">
      <c r="A839" t="str">
        <f>tblVendas[[#This Row],[NR_SIMULACAO]]</f>
        <v>SIM1829</v>
      </c>
      <c r="B839" s="34" t="str">
        <f>_xlfn.XLOOKUP(A839,tblVendas[[#This Row],[NR_SIMULACAO]],tblVendas[[#This Row],[NR_CNPJ]],"")</f>
        <v>12.983.301/0001-76</v>
      </c>
      <c r="C839" t="str">
        <f>_xlfn.XLOOKUP(A839,tblVendas[[#This Row],[NR_SIMULACAO]],tblVendas[[#This Row],[STATUS]],"")</f>
        <v>CONCLUÍDO</v>
      </c>
      <c r="D839" t="str">
        <f>_xlfn.XLOOKUP(A839,tblVendas[[#This Row],[NR_SIMULACAO]],tblVendas[[#This Row],[MES]],"")</f>
        <v>Maio</v>
      </c>
      <c r="E839">
        <f>SUM(_xlfn.XLOOKUP(tblCalculo[[#This Row],[NR_SIMULACAO]],tblVendas[[#This Row],[NR_SIMULACAO]],tblVendas[[#This Row],[VALOR_MOVEL]],""):_xlfn.XLOOKUP(tblCalculo[[#This Row],[NR_SIMULACAO]],tblVendas[[#This Row],[NR_SIMULACAO]],tblVendas[[#This Row],[VALOR_APARELHO]],""))</f>
        <v>828.25</v>
      </c>
      <c r="F839">
        <f>IF(tblCalculo[[#This Row],[STATUS]]="CONCLUÍDO",_xlfn.XLOOKUP(tblCalculo[[#This Row],[NR_SIMULACAO]],tblVendas[[#This Row],[NR_SIMULACAO]],tblVendas[[#This Row],[VALOR_MOVEL]],""),0)</f>
        <v>0</v>
      </c>
      <c r="G839">
        <f>IF(tblCalculo[[#This Row],[STATUS]]="CONCLUÍDO",_xlfn.XLOOKUP(tblCalculo[[#This Row],[NR_SIMULACAO]],tblVendas[[#This Row],[NR_SIMULACAO]],tblVendas[[#This Row],[VALOR_AVANCADO]],""),0)</f>
        <v>0</v>
      </c>
      <c r="H839">
        <f>IF(tblCalculo[[#This Row],[STATUS]]="CONCLUÍDO",_xlfn.XLOOKUP(tblCalculo[[#This Row],[NR_SIMULACAO]],tblVendas[[#This Row],[NR_SIMULACAO]],tblVendas[[#This Row],[VALOR_FIXABASICA]],""),0)</f>
        <v>828.25</v>
      </c>
      <c r="I839">
        <f>IF(tblCalculo[[#This Row],[STATUS]]="CONCLUÍDO",_xlfn.XLOOKUP(tblCalculo[[#This Row],[NR_SIMULACAO]],tblVendas[[#This Row],[NR_SIMULACAO]],tblVendas[[#This Row],[VALOR_TI]],""),0)</f>
        <v>0</v>
      </c>
      <c r="J839">
        <f>IF(tblCalculo[[#This Row],[STATUS]]="CONCLUÍDO",_xlfn.XLOOKUP(tblCalculo[[#This Row],[NR_SIMULACAO]],tblVendas[[#This Row],[NR_SIMULACAO]],tblVendas[[#This Row],[VALOR_APARELHO]],""),0)</f>
        <v>0</v>
      </c>
      <c r="K839" t="str">
        <f>IF(tblCalculo[[#This Row],[STATUS]]="NEGOCIANDO",tblCalculo[[#This Row],[VALOR_TOTAL]],"")</f>
        <v/>
      </c>
      <c r="L839" t="str">
        <f>IF(tblCalculo[[#This Row],[STATUS]]="ALÇADA",tblCalculo[[#This Row],[VALOR_TOTAL]],"")</f>
        <v/>
      </c>
      <c r="M839" t="str">
        <f>IF(tblCalculo[[#This Row],[STATUS]]="EM ANÁLISE",tblCalculo[[#This Row],[VALOR_TOTAL]],"")</f>
        <v/>
      </c>
      <c r="N839" t="str">
        <f>IF(tblCalculo[[#This Row],[STATUS]]="TRAMITANDO",tblCalculo[[#This Row],[VALOR_TOTAL]],"")</f>
        <v/>
      </c>
      <c r="O839" t="str">
        <f>IF(tblCalculo[[#This Row],[STATUS]]="PERDIDO",tblCalculo[[#This Row],[VALOR_TOTAL]],"")</f>
        <v/>
      </c>
      <c r="P839">
        <f>IF(tblCalculo[[#This Row],[STATUS]]="CONCLUÍDO",tblCalculo[[#This Row],[VALOR_TOTAL]],"")</f>
        <v>828.25</v>
      </c>
    </row>
    <row r="840" spans="1:16" x14ac:dyDescent="0.25">
      <c r="A840" t="str">
        <f>tblVendas[[#This Row],[NR_SIMULACAO]]</f>
        <v>SIM1830</v>
      </c>
      <c r="B840" s="34" t="str">
        <f>_xlfn.XLOOKUP(A840,tblVendas[[#This Row],[NR_SIMULACAO]],tblVendas[[#This Row],[NR_CNPJ]],"")</f>
        <v>82.631.851/0001-46</v>
      </c>
      <c r="C840" t="str">
        <f>_xlfn.XLOOKUP(A840,tblVendas[[#This Row],[NR_SIMULACAO]],tblVendas[[#This Row],[STATUS]],"")</f>
        <v>CONCLUÍDO</v>
      </c>
      <c r="D840" t="str">
        <f>_xlfn.XLOOKUP(A840,tblVendas[[#This Row],[NR_SIMULACAO]],tblVendas[[#This Row],[MES]],"")</f>
        <v>Março</v>
      </c>
      <c r="E840">
        <f>SUM(_xlfn.XLOOKUP(tblCalculo[[#This Row],[NR_SIMULACAO]],tblVendas[[#This Row],[NR_SIMULACAO]],tblVendas[[#This Row],[VALOR_MOVEL]],""):_xlfn.XLOOKUP(tblCalculo[[#This Row],[NR_SIMULACAO]],tblVendas[[#This Row],[NR_SIMULACAO]],tblVendas[[#This Row],[VALOR_APARELHO]],""))</f>
        <v>3942.84</v>
      </c>
      <c r="F840">
        <f>IF(tblCalculo[[#This Row],[STATUS]]="CONCLUÍDO",_xlfn.XLOOKUP(tblCalculo[[#This Row],[NR_SIMULACAO]],tblVendas[[#This Row],[NR_SIMULACAO]],tblVendas[[#This Row],[VALOR_MOVEL]],""),0)</f>
        <v>0</v>
      </c>
      <c r="G840">
        <f>IF(tblCalculo[[#This Row],[STATUS]]="CONCLUÍDO",_xlfn.XLOOKUP(tblCalculo[[#This Row],[NR_SIMULACAO]],tblVendas[[#This Row],[NR_SIMULACAO]],tblVendas[[#This Row],[VALOR_AVANCADO]],""),0)</f>
        <v>0</v>
      </c>
      <c r="H840">
        <f>IF(tblCalculo[[#This Row],[STATUS]]="CONCLUÍDO",_xlfn.XLOOKUP(tblCalculo[[#This Row],[NR_SIMULACAO]],tblVendas[[#This Row],[NR_SIMULACAO]],tblVendas[[#This Row],[VALOR_FIXABASICA]],""),0)</f>
        <v>0</v>
      </c>
      <c r="I840">
        <f>IF(tblCalculo[[#This Row],[STATUS]]="CONCLUÍDO",_xlfn.XLOOKUP(tblCalculo[[#This Row],[NR_SIMULACAO]],tblVendas[[#This Row],[NR_SIMULACAO]],tblVendas[[#This Row],[VALOR_TI]],""),0)</f>
        <v>2100.4</v>
      </c>
      <c r="J840">
        <f>IF(tblCalculo[[#This Row],[STATUS]]="CONCLUÍDO",_xlfn.XLOOKUP(tblCalculo[[#This Row],[NR_SIMULACAO]],tblVendas[[#This Row],[NR_SIMULACAO]],tblVendas[[#This Row],[VALOR_APARELHO]],""),0)</f>
        <v>1842.44</v>
      </c>
      <c r="K840" t="str">
        <f>IF(tblCalculo[[#This Row],[STATUS]]="NEGOCIANDO",tblCalculo[[#This Row],[VALOR_TOTAL]],"")</f>
        <v/>
      </c>
      <c r="L840" t="str">
        <f>IF(tblCalculo[[#This Row],[STATUS]]="ALÇADA",tblCalculo[[#This Row],[VALOR_TOTAL]],"")</f>
        <v/>
      </c>
      <c r="M840" t="str">
        <f>IF(tblCalculo[[#This Row],[STATUS]]="EM ANÁLISE",tblCalculo[[#This Row],[VALOR_TOTAL]],"")</f>
        <v/>
      </c>
      <c r="N840" t="str">
        <f>IF(tblCalculo[[#This Row],[STATUS]]="TRAMITANDO",tblCalculo[[#This Row],[VALOR_TOTAL]],"")</f>
        <v/>
      </c>
      <c r="O840" t="str">
        <f>IF(tblCalculo[[#This Row],[STATUS]]="PERDIDO",tblCalculo[[#This Row],[VALOR_TOTAL]],"")</f>
        <v/>
      </c>
      <c r="P840">
        <f>IF(tblCalculo[[#This Row],[STATUS]]="CONCLUÍDO",tblCalculo[[#This Row],[VALOR_TOTAL]],"")</f>
        <v>3942.84</v>
      </c>
    </row>
    <row r="841" spans="1:16" x14ac:dyDescent="0.25">
      <c r="A841" t="str">
        <f>tblVendas[[#This Row],[NR_SIMULACAO]]</f>
        <v>SIM1831</v>
      </c>
      <c r="B841" s="34" t="str">
        <f>_xlfn.XLOOKUP(A841,tblVendas[[#This Row],[NR_SIMULACAO]],tblVendas[[#This Row],[NR_CNPJ]],"")</f>
        <v>61.777.320/0001-31</v>
      </c>
      <c r="C841" t="str">
        <f>_xlfn.XLOOKUP(A841,tblVendas[[#This Row],[NR_SIMULACAO]],tblVendas[[#This Row],[STATUS]],"")</f>
        <v>TRAMITANDO</v>
      </c>
      <c r="D841" t="str">
        <f>_xlfn.XLOOKUP(A841,tblVendas[[#This Row],[NR_SIMULACAO]],tblVendas[[#This Row],[MES]],"")</f>
        <v>Outubro</v>
      </c>
      <c r="E841">
        <f>SUM(_xlfn.XLOOKUP(tblCalculo[[#This Row],[NR_SIMULACAO]],tblVendas[[#This Row],[NR_SIMULACAO]],tblVendas[[#This Row],[VALOR_MOVEL]],""):_xlfn.XLOOKUP(tblCalculo[[#This Row],[NR_SIMULACAO]],tblVendas[[#This Row],[NR_SIMULACAO]],tblVendas[[#This Row],[VALOR_APARELHO]],""))</f>
        <v>11329.25</v>
      </c>
      <c r="F841">
        <f>IF(tblCalculo[[#This Row],[STATUS]]="CONCLUÍDO",_xlfn.XLOOKUP(tblCalculo[[#This Row],[NR_SIMULACAO]],tblVendas[[#This Row],[NR_SIMULACAO]],tblVendas[[#This Row],[VALOR_MOVEL]],""),0)</f>
        <v>0</v>
      </c>
      <c r="G841">
        <f>IF(tblCalculo[[#This Row],[STATUS]]="CONCLUÍDO",_xlfn.XLOOKUP(tblCalculo[[#This Row],[NR_SIMULACAO]],tblVendas[[#This Row],[NR_SIMULACAO]],tblVendas[[#This Row],[VALOR_AVANCADO]],""),0)</f>
        <v>0</v>
      </c>
      <c r="H841">
        <f>IF(tblCalculo[[#This Row],[STATUS]]="CONCLUÍDO",_xlfn.XLOOKUP(tblCalculo[[#This Row],[NR_SIMULACAO]],tblVendas[[#This Row],[NR_SIMULACAO]],tblVendas[[#This Row],[VALOR_FIXABASICA]],""),0)</f>
        <v>0</v>
      </c>
      <c r="I841">
        <f>IF(tblCalculo[[#This Row],[STATUS]]="CONCLUÍDO",_xlfn.XLOOKUP(tblCalculo[[#This Row],[NR_SIMULACAO]],tblVendas[[#This Row],[NR_SIMULACAO]],tblVendas[[#This Row],[VALOR_TI]],""),0)</f>
        <v>0</v>
      </c>
      <c r="J841">
        <f>IF(tblCalculo[[#This Row],[STATUS]]="CONCLUÍDO",_xlfn.XLOOKUP(tblCalculo[[#This Row],[NR_SIMULACAO]],tblVendas[[#This Row],[NR_SIMULACAO]],tblVendas[[#This Row],[VALOR_APARELHO]],""),0)</f>
        <v>0</v>
      </c>
      <c r="K841" t="str">
        <f>IF(tblCalculo[[#This Row],[STATUS]]="NEGOCIANDO",tblCalculo[[#This Row],[VALOR_TOTAL]],"")</f>
        <v/>
      </c>
      <c r="L841" t="str">
        <f>IF(tblCalculo[[#This Row],[STATUS]]="ALÇADA",tblCalculo[[#This Row],[VALOR_TOTAL]],"")</f>
        <v/>
      </c>
      <c r="M841" t="str">
        <f>IF(tblCalculo[[#This Row],[STATUS]]="EM ANÁLISE",tblCalculo[[#This Row],[VALOR_TOTAL]],"")</f>
        <v/>
      </c>
      <c r="N841">
        <f>IF(tblCalculo[[#This Row],[STATUS]]="TRAMITANDO",tblCalculo[[#This Row],[VALOR_TOTAL]],"")</f>
        <v>11329.25</v>
      </c>
      <c r="O841" t="str">
        <f>IF(tblCalculo[[#This Row],[STATUS]]="PERDIDO",tblCalculo[[#This Row],[VALOR_TOTAL]],"")</f>
        <v/>
      </c>
      <c r="P841" t="str">
        <f>IF(tblCalculo[[#This Row],[STATUS]]="CONCLUÍDO",tblCalculo[[#This Row],[VALOR_TOTAL]],"")</f>
        <v/>
      </c>
    </row>
    <row r="842" spans="1:16" x14ac:dyDescent="0.25">
      <c r="A842" t="str">
        <f>tblVendas[[#This Row],[NR_SIMULACAO]]</f>
        <v>SIM1832</v>
      </c>
      <c r="B842" s="34" t="str">
        <f>_xlfn.XLOOKUP(A842,tblVendas[[#This Row],[NR_SIMULACAO]],tblVendas[[#This Row],[NR_CNPJ]],"")</f>
        <v>88.963.239/0001-74</v>
      </c>
      <c r="C842" t="str">
        <f>_xlfn.XLOOKUP(A842,tblVendas[[#This Row],[NR_SIMULACAO]],tblVendas[[#This Row],[STATUS]],"")</f>
        <v>PERDIDO</v>
      </c>
      <c r="D842" t="str">
        <f>_xlfn.XLOOKUP(A842,tblVendas[[#This Row],[NR_SIMULACAO]],tblVendas[[#This Row],[MES]],"")</f>
        <v>Junho</v>
      </c>
      <c r="E842">
        <f>SUM(_xlfn.XLOOKUP(tblCalculo[[#This Row],[NR_SIMULACAO]],tblVendas[[#This Row],[NR_SIMULACAO]],tblVendas[[#This Row],[VALOR_MOVEL]],""):_xlfn.XLOOKUP(tblCalculo[[#This Row],[NR_SIMULACAO]],tblVendas[[#This Row],[NR_SIMULACAO]],tblVendas[[#This Row],[VALOR_APARELHO]],""))</f>
        <v>10209.74</v>
      </c>
      <c r="F842">
        <f>IF(tblCalculo[[#This Row],[STATUS]]="CONCLUÍDO",_xlfn.XLOOKUP(tblCalculo[[#This Row],[NR_SIMULACAO]],tblVendas[[#This Row],[NR_SIMULACAO]],tblVendas[[#This Row],[VALOR_MOVEL]],""),0)</f>
        <v>0</v>
      </c>
      <c r="G842">
        <f>IF(tblCalculo[[#This Row],[STATUS]]="CONCLUÍDO",_xlfn.XLOOKUP(tblCalculo[[#This Row],[NR_SIMULACAO]],tblVendas[[#This Row],[NR_SIMULACAO]],tblVendas[[#This Row],[VALOR_AVANCADO]],""),0)</f>
        <v>0</v>
      </c>
      <c r="H842">
        <f>IF(tblCalculo[[#This Row],[STATUS]]="CONCLUÍDO",_xlfn.XLOOKUP(tblCalculo[[#This Row],[NR_SIMULACAO]],tblVendas[[#This Row],[NR_SIMULACAO]],tblVendas[[#This Row],[VALOR_FIXABASICA]],""),0)</f>
        <v>0</v>
      </c>
      <c r="I842">
        <f>IF(tblCalculo[[#This Row],[STATUS]]="CONCLUÍDO",_xlfn.XLOOKUP(tblCalculo[[#This Row],[NR_SIMULACAO]],tblVendas[[#This Row],[NR_SIMULACAO]],tblVendas[[#This Row],[VALOR_TI]],""),0)</f>
        <v>0</v>
      </c>
      <c r="J842">
        <f>IF(tblCalculo[[#This Row],[STATUS]]="CONCLUÍDO",_xlfn.XLOOKUP(tblCalculo[[#This Row],[NR_SIMULACAO]],tblVendas[[#This Row],[NR_SIMULACAO]],tblVendas[[#This Row],[VALOR_APARELHO]],""),0)</f>
        <v>0</v>
      </c>
      <c r="K842" t="str">
        <f>IF(tblCalculo[[#This Row],[STATUS]]="NEGOCIANDO",tblCalculo[[#This Row],[VALOR_TOTAL]],"")</f>
        <v/>
      </c>
      <c r="L842" t="str">
        <f>IF(tblCalculo[[#This Row],[STATUS]]="ALÇADA",tblCalculo[[#This Row],[VALOR_TOTAL]],"")</f>
        <v/>
      </c>
      <c r="M842" t="str">
        <f>IF(tblCalculo[[#This Row],[STATUS]]="EM ANÁLISE",tblCalculo[[#This Row],[VALOR_TOTAL]],"")</f>
        <v/>
      </c>
      <c r="N842" t="str">
        <f>IF(tblCalculo[[#This Row],[STATUS]]="TRAMITANDO",tblCalculo[[#This Row],[VALOR_TOTAL]],"")</f>
        <v/>
      </c>
      <c r="O842">
        <f>IF(tblCalculo[[#This Row],[STATUS]]="PERDIDO",tblCalculo[[#This Row],[VALOR_TOTAL]],"")</f>
        <v>10209.74</v>
      </c>
      <c r="P842" t="str">
        <f>IF(tblCalculo[[#This Row],[STATUS]]="CONCLUÍDO",tblCalculo[[#This Row],[VALOR_TOTAL]],"")</f>
        <v/>
      </c>
    </row>
    <row r="843" spans="1:16" x14ac:dyDescent="0.25">
      <c r="A843" t="str">
        <f>tblVendas[[#This Row],[NR_SIMULACAO]]</f>
        <v>SIM1833</v>
      </c>
      <c r="B843" s="34" t="str">
        <f>_xlfn.XLOOKUP(A843,tblVendas[[#This Row],[NR_SIMULACAO]],tblVendas[[#This Row],[NR_CNPJ]],"")</f>
        <v>43.837.299/0001-43</v>
      </c>
      <c r="C843" t="str">
        <f>_xlfn.XLOOKUP(A843,tblVendas[[#This Row],[NR_SIMULACAO]],tblVendas[[#This Row],[STATUS]],"")</f>
        <v>PERDIDO</v>
      </c>
      <c r="D843" t="str">
        <f>_xlfn.XLOOKUP(A843,tblVendas[[#This Row],[NR_SIMULACAO]],tblVendas[[#This Row],[MES]],"")</f>
        <v>Fevereiro</v>
      </c>
      <c r="E843">
        <f>SUM(_xlfn.XLOOKUP(tblCalculo[[#This Row],[NR_SIMULACAO]],tblVendas[[#This Row],[NR_SIMULACAO]],tblVendas[[#This Row],[VALOR_MOVEL]],""):_xlfn.XLOOKUP(tblCalculo[[#This Row],[NR_SIMULACAO]],tblVendas[[#This Row],[NR_SIMULACAO]],tblVendas[[#This Row],[VALOR_APARELHO]],""))</f>
        <v>18280.059999999998</v>
      </c>
      <c r="F843">
        <f>IF(tblCalculo[[#This Row],[STATUS]]="CONCLUÍDO",_xlfn.XLOOKUP(tblCalculo[[#This Row],[NR_SIMULACAO]],tblVendas[[#This Row],[NR_SIMULACAO]],tblVendas[[#This Row],[VALOR_MOVEL]],""),0)</f>
        <v>0</v>
      </c>
      <c r="G843">
        <f>IF(tblCalculo[[#This Row],[STATUS]]="CONCLUÍDO",_xlfn.XLOOKUP(tblCalculo[[#This Row],[NR_SIMULACAO]],tblVendas[[#This Row],[NR_SIMULACAO]],tblVendas[[#This Row],[VALOR_AVANCADO]],""),0)</f>
        <v>0</v>
      </c>
      <c r="H843">
        <f>IF(tblCalculo[[#This Row],[STATUS]]="CONCLUÍDO",_xlfn.XLOOKUP(tblCalculo[[#This Row],[NR_SIMULACAO]],tblVendas[[#This Row],[NR_SIMULACAO]],tblVendas[[#This Row],[VALOR_FIXABASICA]],""),0)</f>
        <v>0</v>
      </c>
      <c r="I843">
        <f>IF(tblCalculo[[#This Row],[STATUS]]="CONCLUÍDO",_xlfn.XLOOKUP(tblCalculo[[#This Row],[NR_SIMULACAO]],tblVendas[[#This Row],[NR_SIMULACAO]],tblVendas[[#This Row],[VALOR_TI]],""),0)</f>
        <v>0</v>
      </c>
      <c r="J843">
        <f>IF(tblCalculo[[#This Row],[STATUS]]="CONCLUÍDO",_xlfn.XLOOKUP(tblCalculo[[#This Row],[NR_SIMULACAO]],tblVendas[[#This Row],[NR_SIMULACAO]],tblVendas[[#This Row],[VALOR_APARELHO]],""),0)</f>
        <v>0</v>
      </c>
      <c r="K843" t="str">
        <f>IF(tblCalculo[[#This Row],[STATUS]]="NEGOCIANDO",tblCalculo[[#This Row],[VALOR_TOTAL]],"")</f>
        <v/>
      </c>
      <c r="L843" t="str">
        <f>IF(tblCalculo[[#This Row],[STATUS]]="ALÇADA",tblCalculo[[#This Row],[VALOR_TOTAL]],"")</f>
        <v/>
      </c>
      <c r="M843" t="str">
        <f>IF(tblCalculo[[#This Row],[STATUS]]="EM ANÁLISE",tblCalculo[[#This Row],[VALOR_TOTAL]],"")</f>
        <v/>
      </c>
      <c r="N843" t="str">
        <f>IF(tblCalculo[[#This Row],[STATUS]]="TRAMITANDO",tblCalculo[[#This Row],[VALOR_TOTAL]],"")</f>
        <v/>
      </c>
      <c r="O843">
        <f>IF(tblCalculo[[#This Row],[STATUS]]="PERDIDO",tblCalculo[[#This Row],[VALOR_TOTAL]],"")</f>
        <v>18280.059999999998</v>
      </c>
      <c r="P843" t="str">
        <f>IF(tblCalculo[[#This Row],[STATUS]]="CONCLUÍDO",tblCalculo[[#This Row],[VALOR_TOTAL]],"")</f>
        <v/>
      </c>
    </row>
    <row r="844" spans="1:16" x14ac:dyDescent="0.25">
      <c r="A844" t="str">
        <f>tblVendas[[#This Row],[NR_SIMULACAO]]</f>
        <v>SIM1834</v>
      </c>
      <c r="B844" s="34" t="str">
        <f>_xlfn.XLOOKUP(A844,tblVendas[[#This Row],[NR_SIMULACAO]],tblVendas[[#This Row],[NR_CNPJ]],"")</f>
        <v>63.722.555/0001-57</v>
      </c>
      <c r="C844" t="str">
        <f>_xlfn.XLOOKUP(A844,tblVendas[[#This Row],[NR_SIMULACAO]],tblVendas[[#This Row],[STATUS]],"")</f>
        <v>EM ANÁLISE</v>
      </c>
      <c r="D844" t="str">
        <f>_xlfn.XLOOKUP(A844,tblVendas[[#This Row],[NR_SIMULACAO]],tblVendas[[#This Row],[MES]],"")</f>
        <v>Maio</v>
      </c>
      <c r="E844">
        <f>SUM(_xlfn.XLOOKUP(tblCalculo[[#This Row],[NR_SIMULACAO]],tblVendas[[#This Row],[NR_SIMULACAO]],tblVendas[[#This Row],[VALOR_MOVEL]],""):_xlfn.XLOOKUP(tblCalculo[[#This Row],[NR_SIMULACAO]],tblVendas[[#This Row],[NR_SIMULACAO]],tblVendas[[#This Row],[VALOR_APARELHO]],""))</f>
        <v>4703.05</v>
      </c>
      <c r="F844">
        <f>IF(tblCalculo[[#This Row],[STATUS]]="CONCLUÍDO",_xlfn.XLOOKUP(tblCalculo[[#This Row],[NR_SIMULACAO]],tblVendas[[#This Row],[NR_SIMULACAO]],tblVendas[[#This Row],[VALOR_MOVEL]],""),0)</f>
        <v>0</v>
      </c>
      <c r="G844">
        <f>IF(tblCalculo[[#This Row],[STATUS]]="CONCLUÍDO",_xlfn.XLOOKUP(tblCalculo[[#This Row],[NR_SIMULACAO]],tblVendas[[#This Row],[NR_SIMULACAO]],tblVendas[[#This Row],[VALOR_AVANCADO]],""),0)</f>
        <v>0</v>
      </c>
      <c r="H844">
        <f>IF(tblCalculo[[#This Row],[STATUS]]="CONCLUÍDO",_xlfn.XLOOKUP(tblCalculo[[#This Row],[NR_SIMULACAO]],tblVendas[[#This Row],[NR_SIMULACAO]],tblVendas[[#This Row],[VALOR_FIXABASICA]],""),0)</f>
        <v>0</v>
      </c>
      <c r="I844">
        <f>IF(tblCalculo[[#This Row],[STATUS]]="CONCLUÍDO",_xlfn.XLOOKUP(tblCalculo[[#This Row],[NR_SIMULACAO]],tblVendas[[#This Row],[NR_SIMULACAO]],tblVendas[[#This Row],[VALOR_TI]],""),0)</f>
        <v>0</v>
      </c>
      <c r="J844">
        <f>IF(tblCalculo[[#This Row],[STATUS]]="CONCLUÍDO",_xlfn.XLOOKUP(tblCalculo[[#This Row],[NR_SIMULACAO]],tblVendas[[#This Row],[NR_SIMULACAO]],tblVendas[[#This Row],[VALOR_APARELHO]],""),0)</f>
        <v>0</v>
      </c>
      <c r="K844" t="str">
        <f>IF(tblCalculo[[#This Row],[STATUS]]="NEGOCIANDO",tblCalculo[[#This Row],[VALOR_TOTAL]],"")</f>
        <v/>
      </c>
      <c r="L844" t="str">
        <f>IF(tblCalculo[[#This Row],[STATUS]]="ALÇADA",tblCalculo[[#This Row],[VALOR_TOTAL]],"")</f>
        <v/>
      </c>
      <c r="M844">
        <f>IF(tblCalculo[[#This Row],[STATUS]]="EM ANÁLISE",tblCalculo[[#This Row],[VALOR_TOTAL]],"")</f>
        <v>4703.05</v>
      </c>
      <c r="N844" t="str">
        <f>IF(tblCalculo[[#This Row],[STATUS]]="TRAMITANDO",tblCalculo[[#This Row],[VALOR_TOTAL]],"")</f>
        <v/>
      </c>
      <c r="O844" t="str">
        <f>IF(tblCalculo[[#This Row],[STATUS]]="PERDIDO",tblCalculo[[#This Row],[VALOR_TOTAL]],"")</f>
        <v/>
      </c>
      <c r="P844" t="str">
        <f>IF(tblCalculo[[#This Row],[STATUS]]="CONCLUÍDO",tblCalculo[[#This Row],[VALOR_TOTAL]],"")</f>
        <v/>
      </c>
    </row>
    <row r="845" spans="1:16" x14ac:dyDescent="0.25">
      <c r="A845" t="str">
        <f>tblVendas[[#This Row],[NR_SIMULACAO]]</f>
        <v>SIM1835</v>
      </c>
      <c r="B845" s="34" t="str">
        <f>_xlfn.XLOOKUP(A845,tblVendas[[#This Row],[NR_SIMULACAO]],tblVendas[[#This Row],[NR_CNPJ]],"")</f>
        <v>63.688.933/0001-83</v>
      </c>
      <c r="C845" t="str">
        <f>_xlfn.XLOOKUP(A845,tblVendas[[#This Row],[NR_SIMULACAO]],tblVendas[[#This Row],[STATUS]],"")</f>
        <v>CONCLUÍDO</v>
      </c>
      <c r="D845" t="str">
        <f>_xlfn.XLOOKUP(A845,tblVendas[[#This Row],[NR_SIMULACAO]],tblVendas[[#This Row],[MES]],"")</f>
        <v>Fevereiro</v>
      </c>
      <c r="E845">
        <f>SUM(_xlfn.XLOOKUP(tblCalculo[[#This Row],[NR_SIMULACAO]],tblVendas[[#This Row],[NR_SIMULACAO]],tblVendas[[#This Row],[VALOR_MOVEL]],""):_xlfn.XLOOKUP(tblCalculo[[#This Row],[NR_SIMULACAO]],tblVendas[[#This Row],[NR_SIMULACAO]],tblVendas[[#This Row],[VALOR_APARELHO]],""))</f>
        <v>7283.8799999999992</v>
      </c>
      <c r="F845">
        <f>IF(tblCalculo[[#This Row],[STATUS]]="CONCLUÍDO",_xlfn.XLOOKUP(tblCalculo[[#This Row],[NR_SIMULACAO]],tblVendas[[#This Row],[NR_SIMULACAO]],tblVendas[[#This Row],[VALOR_MOVEL]],""),0)</f>
        <v>3401.22</v>
      </c>
      <c r="G845">
        <f>IF(tblCalculo[[#This Row],[STATUS]]="CONCLUÍDO",_xlfn.XLOOKUP(tblCalculo[[#This Row],[NR_SIMULACAO]],tblVendas[[#This Row],[NR_SIMULACAO]],tblVendas[[#This Row],[VALOR_AVANCADO]],""),0)</f>
        <v>2918.91</v>
      </c>
      <c r="H845">
        <f>IF(tblCalculo[[#This Row],[STATUS]]="CONCLUÍDO",_xlfn.XLOOKUP(tblCalculo[[#This Row],[NR_SIMULACAO]],tblVendas[[#This Row],[NR_SIMULACAO]],tblVendas[[#This Row],[VALOR_FIXABASICA]],""),0)</f>
        <v>128.33000000000001</v>
      </c>
      <c r="I845">
        <f>IF(tblCalculo[[#This Row],[STATUS]]="CONCLUÍDO",_xlfn.XLOOKUP(tblCalculo[[#This Row],[NR_SIMULACAO]],tblVendas[[#This Row],[NR_SIMULACAO]],tblVendas[[#This Row],[VALOR_TI]],""),0)</f>
        <v>835.42</v>
      </c>
      <c r="J845">
        <f>IF(tblCalculo[[#This Row],[STATUS]]="CONCLUÍDO",_xlfn.XLOOKUP(tblCalculo[[#This Row],[NR_SIMULACAO]],tblVendas[[#This Row],[NR_SIMULACAO]],tblVendas[[#This Row],[VALOR_APARELHO]],""),0)</f>
        <v>0</v>
      </c>
      <c r="K845" t="str">
        <f>IF(tblCalculo[[#This Row],[STATUS]]="NEGOCIANDO",tblCalculo[[#This Row],[VALOR_TOTAL]],"")</f>
        <v/>
      </c>
      <c r="L845" t="str">
        <f>IF(tblCalculo[[#This Row],[STATUS]]="ALÇADA",tblCalculo[[#This Row],[VALOR_TOTAL]],"")</f>
        <v/>
      </c>
      <c r="M845" t="str">
        <f>IF(tblCalculo[[#This Row],[STATUS]]="EM ANÁLISE",tblCalculo[[#This Row],[VALOR_TOTAL]],"")</f>
        <v/>
      </c>
      <c r="N845" t="str">
        <f>IF(tblCalculo[[#This Row],[STATUS]]="TRAMITANDO",tblCalculo[[#This Row],[VALOR_TOTAL]],"")</f>
        <v/>
      </c>
      <c r="O845" t="str">
        <f>IF(tblCalculo[[#This Row],[STATUS]]="PERDIDO",tblCalculo[[#This Row],[VALOR_TOTAL]],"")</f>
        <v/>
      </c>
      <c r="P845">
        <f>IF(tblCalculo[[#This Row],[STATUS]]="CONCLUÍDO",tblCalculo[[#This Row],[VALOR_TOTAL]],"")</f>
        <v>7283.8799999999992</v>
      </c>
    </row>
    <row r="846" spans="1:16" x14ac:dyDescent="0.25">
      <c r="A846" t="str">
        <f>tblVendas[[#This Row],[NR_SIMULACAO]]</f>
        <v>SIM1836</v>
      </c>
      <c r="B846" s="34" t="str">
        <f>_xlfn.XLOOKUP(A846,tblVendas[[#This Row],[NR_SIMULACAO]],tblVendas[[#This Row],[NR_CNPJ]],"")</f>
        <v>57.988.670/0001-16</v>
      </c>
      <c r="C846" t="str">
        <f>_xlfn.XLOOKUP(A846,tblVendas[[#This Row],[NR_SIMULACAO]],tblVendas[[#This Row],[STATUS]],"")</f>
        <v>NEGOCIANDO</v>
      </c>
      <c r="D846" t="str">
        <f>_xlfn.XLOOKUP(A846,tblVendas[[#This Row],[NR_SIMULACAO]],tblVendas[[#This Row],[MES]],"")</f>
        <v>Fevereiro</v>
      </c>
      <c r="E846">
        <f>SUM(_xlfn.XLOOKUP(tblCalculo[[#This Row],[NR_SIMULACAO]],tblVendas[[#This Row],[NR_SIMULACAO]],tblVendas[[#This Row],[VALOR_MOVEL]],""):_xlfn.XLOOKUP(tblCalculo[[#This Row],[NR_SIMULACAO]],tblVendas[[#This Row],[NR_SIMULACAO]],tblVendas[[#This Row],[VALOR_APARELHO]],""))</f>
        <v>5622.03</v>
      </c>
      <c r="F846">
        <f>IF(tblCalculo[[#This Row],[STATUS]]="CONCLUÍDO",_xlfn.XLOOKUP(tblCalculo[[#This Row],[NR_SIMULACAO]],tblVendas[[#This Row],[NR_SIMULACAO]],tblVendas[[#This Row],[VALOR_MOVEL]],""),0)</f>
        <v>0</v>
      </c>
      <c r="G846">
        <f>IF(tblCalculo[[#This Row],[STATUS]]="CONCLUÍDO",_xlfn.XLOOKUP(tblCalculo[[#This Row],[NR_SIMULACAO]],tblVendas[[#This Row],[NR_SIMULACAO]],tblVendas[[#This Row],[VALOR_AVANCADO]],""),0)</f>
        <v>0</v>
      </c>
      <c r="H846">
        <f>IF(tblCalculo[[#This Row],[STATUS]]="CONCLUÍDO",_xlfn.XLOOKUP(tblCalculo[[#This Row],[NR_SIMULACAO]],tblVendas[[#This Row],[NR_SIMULACAO]],tblVendas[[#This Row],[VALOR_FIXABASICA]],""),0)</f>
        <v>0</v>
      </c>
      <c r="I846">
        <f>IF(tblCalculo[[#This Row],[STATUS]]="CONCLUÍDO",_xlfn.XLOOKUP(tblCalculo[[#This Row],[NR_SIMULACAO]],tblVendas[[#This Row],[NR_SIMULACAO]],tblVendas[[#This Row],[VALOR_TI]],""),0)</f>
        <v>0</v>
      </c>
      <c r="J846">
        <f>IF(tblCalculo[[#This Row],[STATUS]]="CONCLUÍDO",_xlfn.XLOOKUP(tblCalculo[[#This Row],[NR_SIMULACAO]],tblVendas[[#This Row],[NR_SIMULACAO]],tblVendas[[#This Row],[VALOR_APARELHO]],""),0)</f>
        <v>0</v>
      </c>
      <c r="K846">
        <f>IF(tblCalculo[[#This Row],[STATUS]]="NEGOCIANDO",tblCalculo[[#This Row],[VALOR_TOTAL]],"")</f>
        <v>5622.03</v>
      </c>
      <c r="L846" t="str">
        <f>IF(tblCalculo[[#This Row],[STATUS]]="ALÇADA",tblCalculo[[#This Row],[VALOR_TOTAL]],"")</f>
        <v/>
      </c>
      <c r="M846" t="str">
        <f>IF(tblCalculo[[#This Row],[STATUS]]="EM ANÁLISE",tblCalculo[[#This Row],[VALOR_TOTAL]],"")</f>
        <v/>
      </c>
      <c r="N846" t="str">
        <f>IF(tblCalculo[[#This Row],[STATUS]]="TRAMITANDO",tblCalculo[[#This Row],[VALOR_TOTAL]],"")</f>
        <v/>
      </c>
      <c r="O846" t="str">
        <f>IF(tblCalculo[[#This Row],[STATUS]]="PERDIDO",tblCalculo[[#This Row],[VALOR_TOTAL]],"")</f>
        <v/>
      </c>
      <c r="P846" t="str">
        <f>IF(tblCalculo[[#This Row],[STATUS]]="CONCLUÍDO",tblCalculo[[#This Row],[VALOR_TOTAL]],"")</f>
        <v/>
      </c>
    </row>
    <row r="847" spans="1:16" x14ac:dyDescent="0.25">
      <c r="A847" t="str">
        <f>tblVendas[[#This Row],[NR_SIMULACAO]]</f>
        <v>SIM1837</v>
      </c>
      <c r="B847" s="34" t="str">
        <f>_xlfn.XLOOKUP(A847,tblVendas[[#This Row],[NR_SIMULACAO]],tblVendas[[#This Row],[NR_CNPJ]],"")</f>
        <v>50.628.401/0001-26</v>
      </c>
      <c r="C847" t="str">
        <f>_xlfn.XLOOKUP(A847,tblVendas[[#This Row],[NR_SIMULACAO]],tblVendas[[#This Row],[STATUS]],"")</f>
        <v>PERDIDO</v>
      </c>
      <c r="D847" t="str">
        <f>_xlfn.XLOOKUP(A847,tblVendas[[#This Row],[NR_SIMULACAO]],tblVendas[[#This Row],[MES]],"")</f>
        <v>Julho</v>
      </c>
      <c r="E847">
        <f>SUM(_xlfn.XLOOKUP(tblCalculo[[#This Row],[NR_SIMULACAO]],tblVendas[[#This Row],[NR_SIMULACAO]],tblVendas[[#This Row],[VALOR_MOVEL]],""):_xlfn.XLOOKUP(tblCalculo[[#This Row],[NR_SIMULACAO]],tblVendas[[#This Row],[NR_SIMULACAO]],tblVendas[[#This Row],[VALOR_APARELHO]],""))</f>
        <v>9659.619999999999</v>
      </c>
      <c r="F847">
        <f>IF(tblCalculo[[#This Row],[STATUS]]="CONCLUÍDO",_xlfn.XLOOKUP(tblCalculo[[#This Row],[NR_SIMULACAO]],tblVendas[[#This Row],[NR_SIMULACAO]],tblVendas[[#This Row],[VALOR_MOVEL]],""),0)</f>
        <v>0</v>
      </c>
      <c r="G847">
        <f>IF(tblCalculo[[#This Row],[STATUS]]="CONCLUÍDO",_xlfn.XLOOKUP(tblCalculo[[#This Row],[NR_SIMULACAO]],tblVendas[[#This Row],[NR_SIMULACAO]],tblVendas[[#This Row],[VALOR_AVANCADO]],""),0)</f>
        <v>0</v>
      </c>
      <c r="H847">
        <f>IF(tblCalculo[[#This Row],[STATUS]]="CONCLUÍDO",_xlfn.XLOOKUP(tblCalculo[[#This Row],[NR_SIMULACAO]],tblVendas[[#This Row],[NR_SIMULACAO]],tblVendas[[#This Row],[VALOR_FIXABASICA]],""),0)</f>
        <v>0</v>
      </c>
      <c r="I847">
        <f>IF(tblCalculo[[#This Row],[STATUS]]="CONCLUÍDO",_xlfn.XLOOKUP(tblCalculo[[#This Row],[NR_SIMULACAO]],tblVendas[[#This Row],[NR_SIMULACAO]],tblVendas[[#This Row],[VALOR_TI]],""),0)</f>
        <v>0</v>
      </c>
      <c r="J847">
        <f>IF(tblCalculo[[#This Row],[STATUS]]="CONCLUÍDO",_xlfn.XLOOKUP(tblCalculo[[#This Row],[NR_SIMULACAO]],tblVendas[[#This Row],[NR_SIMULACAO]],tblVendas[[#This Row],[VALOR_APARELHO]],""),0)</f>
        <v>0</v>
      </c>
      <c r="K847" t="str">
        <f>IF(tblCalculo[[#This Row],[STATUS]]="NEGOCIANDO",tblCalculo[[#This Row],[VALOR_TOTAL]],"")</f>
        <v/>
      </c>
      <c r="L847" t="str">
        <f>IF(tblCalculo[[#This Row],[STATUS]]="ALÇADA",tblCalculo[[#This Row],[VALOR_TOTAL]],"")</f>
        <v/>
      </c>
      <c r="M847" t="str">
        <f>IF(tblCalculo[[#This Row],[STATUS]]="EM ANÁLISE",tblCalculo[[#This Row],[VALOR_TOTAL]],"")</f>
        <v/>
      </c>
      <c r="N847" t="str">
        <f>IF(tblCalculo[[#This Row],[STATUS]]="TRAMITANDO",tblCalculo[[#This Row],[VALOR_TOTAL]],"")</f>
        <v/>
      </c>
      <c r="O847">
        <f>IF(tblCalculo[[#This Row],[STATUS]]="PERDIDO",tblCalculo[[#This Row],[VALOR_TOTAL]],"")</f>
        <v>9659.619999999999</v>
      </c>
      <c r="P847" t="str">
        <f>IF(tblCalculo[[#This Row],[STATUS]]="CONCLUÍDO",tblCalculo[[#This Row],[VALOR_TOTAL]],"")</f>
        <v/>
      </c>
    </row>
    <row r="848" spans="1:16" x14ac:dyDescent="0.25">
      <c r="A848" t="str">
        <f>tblVendas[[#This Row],[NR_SIMULACAO]]</f>
        <v>SIM1838</v>
      </c>
      <c r="B848" s="34" t="str">
        <f>_xlfn.XLOOKUP(A848,tblVendas[[#This Row],[NR_SIMULACAO]],tblVendas[[#This Row],[NR_CNPJ]],"")</f>
        <v>56.675.782/0001-53</v>
      </c>
      <c r="C848" t="str">
        <f>_xlfn.XLOOKUP(A848,tblVendas[[#This Row],[NR_SIMULACAO]],tblVendas[[#This Row],[STATUS]],"")</f>
        <v>NEGOCIANDO</v>
      </c>
      <c r="D848" t="str">
        <f>_xlfn.XLOOKUP(A848,tblVendas[[#This Row],[NR_SIMULACAO]],tblVendas[[#This Row],[MES]],"")</f>
        <v>Novembro</v>
      </c>
      <c r="E848">
        <f>SUM(_xlfn.XLOOKUP(tblCalculo[[#This Row],[NR_SIMULACAO]],tblVendas[[#This Row],[NR_SIMULACAO]],tblVendas[[#This Row],[VALOR_MOVEL]],""):_xlfn.XLOOKUP(tblCalculo[[#This Row],[NR_SIMULACAO]],tblVendas[[#This Row],[NR_SIMULACAO]],tblVendas[[#This Row],[VALOR_APARELHO]],""))</f>
        <v>20608.849999999999</v>
      </c>
      <c r="F848">
        <f>IF(tblCalculo[[#This Row],[STATUS]]="CONCLUÍDO",_xlfn.XLOOKUP(tblCalculo[[#This Row],[NR_SIMULACAO]],tblVendas[[#This Row],[NR_SIMULACAO]],tblVendas[[#This Row],[VALOR_MOVEL]],""),0)</f>
        <v>0</v>
      </c>
      <c r="G848">
        <f>IF(tblCalculo[[#This Row],[STATUS]]="CONCLUÍDO",_xlfn.XLOOKUP(tblCalculo[[#This Row],[NR_SIMULACAO]],tblVendas[[#This Row],[NR_SIMULACAO]],tblVendas[[#This Row],[VALOR_AVANCADO]],""),0)</f>
        <v>0</v>
      </c>
      <c r="H848">
        <f>IF(tblCalculo[[#This Row],[STATUS]]="CONCLUÍDO",_xlfn.XLOOKUP(tblCalculo[[#This Row],[NR_SIMULACAO]],tblVendas[[#This Row],[NR_SIMULACAO]],tblVendas[[#This Row],[VALOR_FIXABASICA]],""),0)</f>
        <v>0</v>
      </c>
      <c r="I848">
        <f>IF(tblCalculo[[#This Row],[STATUS]]="CONCLUÍDO",_xlfn.XLOOKUP(tblCalculo[[#This Row],[NR_SIMULACAO]],tblVendas[[#This Row],[NR_SIMULACAO]],tblVendas[[#This Row],[VALOR_TI]],""),0)</f>
        <v>0</v>
      </c>
      <c r="J848">
        <f>IF(tblCalculo[[#This Row],[STATUS]]="CONCLUÍDO",_xlfn.XLOOKUP(tblCalculo[[#This Row],[NR_SIMULACAO]],tblVendas[[#This Row],[NR_SIMULACAO]],tblVendas[[#This Row],[VALOR_APARELHO]],""),0)</f>
        <v>0</v>
      </c>
      <c r="K848">
        <f>IF(tblCalculo[[#This Row],[STATUS]]="NEGOCIANDO",tblCalculo[[#This Row],[VALOR_TOTAL]],"")</f>
        <v>20608.849999999999</v>
      </c>
      <c r="L848" t="str">
        <f>IF(tblCalculo[[#This Row],[STATUS]]="ALÇADA",tblCalculo[[#This Row],[VALOR_TOTAL]],"")</f>
        <v/>
      </c>
      <c r="M848" t="str">
        <f>IF(tblCalculo[[#This Row],[STATUS]]="EM ANÁLISE",tblCalculo[[#This Row],[VALOR_TOTAL]],"")</f>
        <v/>
      </c>
      <c r="N848" t="str">
        <f>IF(tblCalculo[[#This Row],[STATUS]]="TRAMITANDO",tblCalculo[[#This Row],[VALOR_TOTAL]],"")</f>
        <v/>
      </c>
      <c r="O848" t="str">
        <f>IF(tblCalculo[[#This Row],[STATUS]]="PERDIDO",tblCalculo[[#This Row],[VALOR_TOTAL]],"")</f>
        <v/>
      </c>
      <c r="P848" t="str">
        <f>IF(tblCalculo[[#This Row],[STATUS]]="CONCLUÍDO",tblCalculo[[#This Row],[VALOR_TOTAL]],"")</f>
        <v/>
      </c>
    </row>
    <row r="849" spans="1:16" x14ac:dyDescent="0.25">
      <c r="A849" t="str">
        <f>tblVendas[[#This Row],[NR_SIMULACAO]]</f>
        <v>SIM1839</v>
      </c>
      <c r="B849" s="34" t="str">
        <f>_xlfn.XLOOKUP(A849,tblVendas[[#This Row],[NR_SIMULACAO]],tblVendas[[#This Row],[NR_CNPJ]],"")</f>
        <v>21.453.126/0001-10</v>
      </c>
      <c r="C849" t="str">
        <f>_xlfn.XLOOKUP(A849,tblVendas[[#This Row],[NR_SIMULACAO]],tblVendas[[#This Row],[STATUS]],"")</f>
        <v>EM ANÁLISE</v>
      </c>
      <c r="D849" t="str">
        <f>_xlfn.XLOOKUP(A849,tblVendas[[#This Row],[NR_SIMULACAO]],tblVendas[[#This Row],[MES]],"")</f>
        <v>Abril</v>
      </c>
      <c r="E849">
        <f>SUM(_xlfn.XLOOKUP(tblCalculo[[#This Row],[NR_SIMULACAO]],tblVendas[[#This Row],[NR_SIMULACAO]],tblVendas[[#This Row],[VALOR_MOVEL]],""):_xlfn.XLOOKUP(tblCalculo[[#This Row],[NR_SIMULACAO]],tblVendas[[#This Row],[NR_SIMULACAO]],tblVendas[[#This Row],[VALOR_APARELHO]],""))</f>
        <v>17374.689999999999</v>
      </c>
      <c r="F849">
        <f>IF(tblCalculo[[#This Row],[STATUS]]="CONCLUÍDO",_xlfn.XLOOKUP(tblCalculo[[#This Row],[NR_SIMULACAO]],tblVendas[[#This Row],[NR_SIMULACAO]],tblVendas[[#This Row],[VALOR_MOVEL]],""),0)</f>
        <v>0</v>
      </c>
      <c r="G849">
        <f>IF(tblCalculo[[#This Row],[STATUS]]="CONCLUÍDO",_xlfn.XLOOKUP(tblCalculo[[#This Row],[NR_SIMULACAO]],tblVendas[[#This Row],[NR_SIMULACAO]],tblVendas[[#This Row],[VALOR_AVANCADO]],""),0)</f>
        <v>0</v>
      </c>
      <c r="H849">
        <f>IF(tblCalculo[[#This Row],[STATUS]]="CONCLUÍDO",_xlfn.XLOOKUP(tblCalculo[[#This Row],[NR_SIMULACAO]],tblVendas[[#This Row],[NR_SIMULACAO]],tblVendas[[#This Row],[VALOR_FIXABASICA]],""),0)</f>
        <v>0</v>
      </c>
      <c r="I849">
        <f>IF(tblCalculo[[#This Row],[STATUS]]="CONCLUÍDO",_xlfn.XLOOKUP(tblCalculo[[#This Row],[NR_SIMULACAO]],tblVendas[[#This Row],[NR_SIMULACAO]],tblVendas[[#This Row],[VALOR_TI]],""),0)</f>
        <v>0</v>
      </c>
      <c r="J849">
        <f>IF(tblCalculo[[#This Row],[STATUS]]="CONCLUÍDO",_xlfn.XLOOKUP(tblCalculo[[#This Row],[NR_SIMULACAO]],tblVendas[[#This Row],[NR_SIMULACAO]],tblVendas[[#This Row],[VALOR_APARELHO]],""),0)</f>
        <v>0</v>
      </c>
      <c r="K849" t="str">
        <f>IF(tblCalculo[[#This Row],[STATUS]]="NEGOCIANDO",tblCalculo[[#This Row],[VALOR_TOTAL]],"")</f>
        <v/>
      </c>
      <c r="L849" t="str">
        <f>IF(tblCalculo[[#This Row],[STATUS]]="ALÇADA",tblCalculo[[#This Row],[VALOR_TOTAL]],"")</f>
        <v/>
      </c>
      <c r="M849">
        <f>IF(tblCalculo[[#This Row],[STATUS]]="EM ANÁLISE",tblCalculo[[#This Row],[VALOR_TOTAL]],"")</f>
        <v>17374.689999999999</v>
      </c>
      <c r="N849" t="str">
        <f>IF(tblCalculo[[#This Row],[STATUS]]="TRAMITANDO",tblCalculo[[#This Row],[VALOR_TOTAL]],"")</f>
        <v/>
      </c>
      <c r="O849" t="str">
        <f>IF(tblCalculo[[#This Row],[STATUS]]="PERDIDO",tblCalculo[[#This Row],[VALOR_TOTAL]],"")</f>
        <v/>
      </c>
      <c r="P849" t="str">
        <f>IF(tblCalculo[[#This Row],[STATUS]]="CONCLUÍDO",tblCalculo[[#This Row],[VALOR_TOTAL]],"")</f>
        <v/>
      </c>
    </row>
    <row r="850" spans="1:16" x14ac:dyDescent="0.25">
      <c r="A850" t="str">
        <f>tblVendas[[#This Row],[NR_SIMULACAO]]</f>
        <v>SIM1840</v>
      </c>
      <c r="B850" s="34" t="str">
        <f>_xlfn.XLOOKUP(A850,tblVendas[[#This Row],[NR_SIMULACAO]],tblVendas[[#This Row],[NR_CNPJ]],"")</f>
        <v>58.910.924/0001-86</v>
      </c>
      <c r="C850" t="str">
        <f>_xlfn.XLOOKUP(A850,tblVendas[[#This Row],[NR_SIMULACAO]],tblVendas[[#This Row],[STATUS]],"")</f>
        <v>TRAMITANDO</v>
      </c>
      <c r="D850" t="str">
        <f>_xlfn.XLOOKUP(A850,tblVendas[[#This Row],[NR_SIMULACAO]],tblVendas[[#This Row],[MES]],"")</f>
        <v>Junho</v>
      </c>
      <c r="E850">
        <f>SUM(_xlfn.XLOOKUP(tblCalculo[[#This Row],[NR_SIMULACAO]],tblVendas[[#This Row],[NR_SIMULACAO]],tblVendas[[#This Row],[VALOR_MOVEL]],""):_xlfn.XLOOKUP(tblCalculo[[#This Row],[NR_SIMULACAO]],tblVendas[[#This Row],[NR_SIMULACAO]],tblVendas[[#This Row],[VALOR_APARELHO]],""))</f>
        <v>16672.78</v>
      </c>
      <c r="F850">
        <f>IF(tblCalculo[[#This Row],[STATUS]]="CONCLUÍDO",_xlfn.XLOOKUP(tblCalculo[[#This Row],[NR_SIMULACAO]],tblVendas[[#This Row],[NR_SIMULACAO]],tblVendas[[#This Row],[VALOR_MOVEL]],""),0)</f>
        <v>0</v>
      </c>
      <c r="G850">
        <f>IF(tblCalculo[[#This Row],[STATUS]]="CONCLUÍDO",_xlfn.XLOOKUP(tblCalculo[[#This Row],[NR_SIMULACAO]],tblVendas[[#This Row],[NR_SIMULACAO]],tblVendas[[#This Row],[VALOR_AVANCADO]],""),0)</f>
        <v>0</v>
      </c>
      <c r="H850">
        <f>IF(tblCalculo[[#This Row],[STATUS]]="CONCLUÍDO",_xlfn.XLOOKUP(tblCalculo[[#This Row],[NR_SIMULACAO]],tblVendas[[#This Row],[NR_SIMULACAO]],tblVendas[[#This Row],[VALOR_FIXABASICA]],""),0)</f>
        <v>0</v>
      </c>
      <c r="I850">
        <f>IF(tblCalculo[[#This Row],[STATUS]]="CONCLUÍDO",_xlfn.XLOOKUP(tblCalculo[[#This Row],[NR_SIMULACAO]],tblVendas[[#This Row],[NR_SIMULACAO]],tblVendas[[#This Row],[VALOR_TI]],""),0)</f>
        <v>0</v>
      </c>
      <c r="J850">
        <f>IF(tblCalculo[[#This Row],[STATUS]]="CONCLUÍDO",_xlfn.XLOOKUP(tblCalculo[[#This Row],[NR_SIMULACAO]],tblVendas[[#This Row],[NR_SIMULACAO]],tblVendas[[#This Row],[VALOR_APARELHO]],""),0)</f>
        <v>0</v>
      </c>
      <c r="K850" t="str">
        <f>IF(tblCalculo[[#This Row],[STATUS]]="NEGOCIANDO",tblCalculo[[#This Row],[VALOR_TOTAL]],"")</f>
        <v/>
      </c>
      <c r="L850" t="str">
        <f>IF(tblCalculo[[#This Row],[STATUS]]="ALÇADA",tblCalculo[[#This Row],[VALOR_TOTAL]],"")</f>
        <v/>
      </c>
      <c r="M850" t="str">
        <f>IF(tblCalculo[[#This Row],[STATUS]]="EM ANÁLISE",tblCalculo[[#This Row],[VALOR_TOTAL]],"")</f>
        <v/>
      </c>
      <c r="N850">
        <f>IF(tblCalculo[[#This Row],[STATUS]]="TRAMITANDO",tblCalculo[[#This Row],[VALOR_TOTAL]],"")</f>
        <v>16672.78</v>
      </c>
      <c r="O850" t="str">
        <f>IF(tblCalculo[[#This Row],[STATUS]]="PERDIDO",tblCalculo[[#This Row],[VALOR_TOTAL]],"")</f>
        <v/>
      </c>
      <c r="P850" t="str">
        <f>IF(tblCalculo[[#This Row],[STATUS]]="CONCLUÍDO",tblCalculo[[#This Row],[VALOR_TOTAL]],"")</f>
        <v/>
      </c>
    </row>
    <row r="851" spans="1:16" x14ac:dyDescent="0.25">
      <c r="A851" t="str">
        <f>tblVendas[[#This Row],[NR_SIMULACAO]]</f>
        <v>SIM1841</v>
      </c>
      <c r="B851" s="34" t="str">
        <f>_xlfn.XLOOKUP(A851,tblVendas[[#This Row],[NR_SIMULACAO]],tblVendas[[#This Row],[NR_CNPJ]],"")</f>
        <v>77.251.933/0001-16</v>
      </c>
      <c r="C851" t="str">
        <f>_xlfn.XLOOKUP(A851,tblVendas[[#This Row],[NR_SIMULACAO]],tblVendas[[#This Row],[STATUS]],"")</f>
        <v>TRAMITANDO</v>
      </c>
      <c r="D851" t="str">
        <f>_xlfn.XLOOKUP(A851,tblVendas[[#This Row],[NR_SIMULACAO]],tblVendas[[#This Row],[MES]],"")</f>
        <v>Março</v>
      </c>
      <c r="E851">
        <f>SUM(_xlfn.XLOOKUP(tblCalculo[[#This Row],[NR_SIMULACAO]],tblVendas[[#This Row],[NR_SIMULACAO]],tblVendas[[#This Row],[VALOR_MOVEL]],""):_xlfn.XLOOKUP(tblCalculo[[#This Row],[NR_SIMULACAO]],tblVendas[[#This Row],[NR_SIMULACAO]],tblVendas[[#This Row],[VALOR_APARELHO]],""))</f>
        <v>20009.419999999998</v>
      </c>
      <c r="F851">
        <f>IF(tblCalculo[[#This Row],[STATUS]]="CONCLUÍDO",_xlfn.XLOOKUP(tblCalculo[[#This Row],[NR_SIMULACAO]],tblVendas[[#This Row],[NR_SIMULACAO]],tblVendas[[#This Row],[VALOR_MOVEL]],""),0)</f>
        <v>0</v>
      </c>
      <c r="G851">
        <f>IF(tblCalculo[[#This Row],[STATUS]]="CONCLUÍDO",_xlfn.XLOOKUP(tblCalculo[[#This Row],[NR_SIMULACAO]],tblVendas[[#This Row],[NR_SIMULACAO]],tblVendas[[#This Row],[VALOR_AVANCADO]],""),0)</f>
        <v>0</v>
      </c>
      <c r="H851">
        <f>IF(tblCalculo[[#This Row],[STATUS]]="CONCLUÍDO",_xlfn.XLOOKUP(tblCalculo[[#This Row],[NR_SIMULACAO]],tblVendas[[#This Row],[NR_SIMULACAO]],tblVendas[[#This Row],[VALOR_FIXABASICA]],""),0)</f>
        <v>0</v>
      </c>
      <c r="I851">
        <f>IF(tblCalculo[[#This Row],[STATUS]]="CONCLUÍDO",_xlfn.XLOOKUP(tblCalculo[[#This Row],[NR_SIMULACAO]],tblVendas[[#This Row],[NR_SIMULACAO]],tblVendas[[#This Row],[VALOR_TI]],""),0)</f>
        <v>0</v>
      </c>
      <c r="J851">
        <f>IF(tblCalculo[[#This Row],[STATUS]]="CONCLUÍDO",_xlfn.XLOOKUP(tblCalculo[[#This Row],[NR_SIMULACAO]],tblVendas[[#This Row],[NR_SIMULACAO]],tblVendas[[#This Row],[VALOR_APARELHO]],""),0)</f>
        <v>0</v>
      </c>
      <c r="K851" t="str">
        <f>IF(tblCalculo[[#This Row],[STATUS]]="NEGOCIANDO",tblCalculo[[#This Row],[VALOR_TOTAL]],"")</f>
        <v/>
      </c>
      <c r="L851" t="str">
        <f>IF(tblCalculo[[#This Row],[STATUS]]="ALÇADA",tblCalculo[[#This Row],[VALOR_TOTAL]],"")</f>
        <v/>
      </c>
      <c r="M851" t="str">
        <f>IF(tblCalculo[[#This Row],[STATUS]]="EM ANÁLISE",tblCalculo[[#This Row],[VALOR_TOTAL]],"")</f>
        <v/>
      </c>
      <c r="N851">
        <f>IF(tblCalculo[[#This Row],[STATUS]]="TRAMITANDO",tblCalculo[[#This Row],[VALOR_TOTAL]],"")</f>
        <v>20009.419999999998</v>
      </c>
      <c r="O851" t="str">
        <f>IF(tblCalculo[[#This Row],[STATUS]]="PERDIDO",tblCalculo[[#This Row],[VALOR_TOTAL]],"")</f>
        <v/>
      </c>
      <c r="P851" t="str">
        <f>IF(tblCalculo[[#This Row],[STATUS]]="CONCLUÍDO",tblCalculo[[#This Row],[VALOR_TOTAL]],"")</f>
        <v/>
      </c>
    </row>
    <row r="852" spans="1:16" x14ac:dyDescent="0.25">
      <c r="A852" t="str">
        <f>tblVendas[[#This Row],[NR_SIMULACAO]]</f>
        <v>SIM1842</v>
      </c>
      <c r="B852" s="34" t="str">
        <f>_xlfn.XLOOKUP(A852,tblVendas[[#This Row],[NR_SIMULACAO]],tblVendas[[#This Row],[NR_CNPJ]],"")</f>
        <v>69.979.286/0001-40</v>
      </c>
      <c r="C852" t="str">
        <f>_xlfn.XLOOKUP(A852,tblVendas[[#This Row],[NR_SIMULACAO]],tblVendas[[#This Row],[STATUS]],"")</f>
        <v>NEGOCIANDO</v>
      </c>
      <c r="D852" t="str">
        <f>_xlfn.XLOOKUP(A852,tblVendas[[#This Row],[NR_SIMULACAO]],tblVendas[[#This Row],[MES]],"")</f>
        <v>Julho</v>
      </c>
      <c r="E852">
        <f>SUM(_xlfn.XLOOKUP(tblCalculo[[#This Row],[NR_SIMULACAO]],tblVendas[[#This Row],[NR_SIMULACAO]],tblVendas[[#This Row],[VALOR_MOVEL]],""):_xlfn.XLOOKUP(tblCalculo[[#This Row],[NR_SIMULACAO]],tblVendas[[#This Row],[NR_SIMULACAO]],tblVendas[[#This Row],[VALOR_APARELHO]],""))</f>
        <v>18120.75</v>
      </c>
      <c r="F852">
        <f>IF(tblCalculo[[#This Row],[STATUS]]="CONCLUÍDO",_xlfn.XLOOKUP(tblCalculo[[#This Row],[NR_SIMULACAO]],tblVendas[[#This Row],[NR_SIMULACAO]],tblVendas[[#This Row],[VALOR_MOVEL]],""),0)</f>
        <v>0</v>
      </c>
      <c r="G852">
        <f>IF(tblCalculo[[#This Row],[STATUS]]="CONCLUÍDO",_xlfn.XLOOKUP(tblCalculo[[#This Row],[NR_SIMULACAO]],tblVendas[[#This Row],[NR_SIMULACAO]],tblVendas[[#This Row],[VALOR_AVANCADO]],""),0)</f>
        <v>0</v>
      </c>
      <c r="H852">
        <f>IF(tblCalculo[[#This Row],[STATUS]]="CONCLUÍDO",_xlfn.XLOOKUP(tblCalculo[[#This Row],[NR_SIMULACAO]],tblVendas[[#This Row],[NR_SIMULACAO]],tblVendas[[#This Row],[VALOR_FIXABASICA]],""),0)</f>
        <v>0</v>
      </c>
      <c r="I852">
        <f>IF(tblCalculo[[#This Row],[STATUS]]="CONCLUÍDO",_xlfn.XLOOKUP(tblCalculo[[#This Row],[NR_SIMULACAO]],tblVendas[[#This Row],[NR_SIMULACAO]],tblVendas[[#This Row],[VALOR_TI]],""),0)</f>
        <v>0</v>
      </c>
      <c r="J852">
        <f>IF(tblCalculo[[#This Row],[STATUS]]="CONCLUÍDO",_xlfn.XLOOKUP(tblCalculo[[#This Row],[NR_SIMULACAO]],tblVendas[[#This Row],[NR_SIMULACAO]],tblVendas[[#This Row],[VALOR_APARELHO]],""),0)</f>
        <v>0</v>
      </c>
      <c r="K852">
        <f>IF(tblCalculo[[#This Row],[STATUS]]="NEGOCIANDO",tblCalculo[[#This Row],[VALOR_TOTAL]],"")</f>
        <v>18120.75</v>
      </c>
      <c r="L852" t="str">
        <f>IF(tblCalculo[[#This Row],[STATUS]]="ALÇADA",tblCalculo[[#This Row],[VALOR_TOTAL]],"")</f>
        <v/>
      </c>
      <c r="M852" t="str">
        <f>IF(tblCalculo[[#This Row],[STATUS]]="EM ANÁLISE",tblCalculo[[#This Row],[VALOR_TOTAL]],"")</f>
        <v/>
      </c>
      <c r="N852" t="str">
        <f>IF(tblCalculo[[#This Row],[STATUS]]="TRAMITANDO",tblCalculo[[#This Row],[VALOR_TOTAL]],"")</f>
        <v/>
      </c>
      <c r="O852" t="str">
        <f>IF(tblCalculo[[#This Row],[STATUS]]="PERDIDO",tblCalculo[[#This Row],[VALOR_TOTAL]],"")</f>
        <v/>
      </c>
      <c r="P852" t="str">
        <f>IF(tblCalculo[[#This Row],[STATUS]]="CONCLUÍDO",tblCalculo[[#This Row],[VALOR_TOTAL]],"")</f>
        <v/>
      </c>
    </row>
    <row r="853" spans="1:16" x14ac:dyDescent="0.25">
      <c r="A853" t="str">
        <f>tblVendas[[#This Row],[NR_SIMULACAO]]</f>
        <v>SIM1843</v>
      </c>
      <c r="B853" s="34" t="str">
        <f>_xlfn.XLOOKUP(A853,tblVendas[[#This Row],[NR_SIMULACAO]],tblVendas[[#This Row],[NR_CNPJ]],"")</f>
        <v>13.592.590/0001-23</v>
      </c>
      <c r="C853" t="str">
        <f>_xlfn.XLOOKUP(A853,tblVendas[[#This Row],[NR_SIMULACAO]],tblVendas[[#This Row],[STATUS]],"")</f>
        <v>ALÇADA</v>
      </c>
      <c r="D853" t="str">
        <f>_xlfn.XLOOKUP(A853,tblVendas[[#This Row],[NR_SIMULACAO]],tblVendas[[#This Row],[MES]],"")</f>
        <v>Abril</v>
      </c>
      <c r="E853">
        <f>SUM(_xlfn.XLOOKUP(tblCalculo[[#This Row],[NR_SIMULACAO]],tblVendas[[#This Row],[NR_SIMULACAO]],tblVendas[[#This Row],[VALOR_MOVEL]],""):_xlfn.XLOOKUP(tblCalculo[[#This Row],[NR_SIMULACAO]],tblVendas[[#This Row],[NR_SIMULACAO]],tblVendas[[#This Row],[VALOR_APARELHO]],""))</f>
        <v>16565.09</v>
      </c>
      <c r="F853">
        <f>IF(tblCalculo[[#This Row],[STATUS]]="CONCLUÍDO",_xlfn.XLOOKUP(tblCalculo[[#This Row],[NR_SIMULACAO]],tblVendas[[#This Row],[NR_SIMULACAO]],tblVendas[[#This Row],[VALOR_MOVEL]],""),0)</f>
        <v>0</v>
      </c>
      <c r="G853">
        <f>IF(tblCalculo[[#This Row],[STATUS]]="CONCLUÍDO",_xlfn.XLOOKUP(tblCalculo[[#This Row],[NR_SIMULACAO]],tblVendas[[#This Row],[NR_SIMULACAO]],tblVendas[[#This Row],[VALOR_AVANCADO]],""),0)</f>
        <v>0</v>
      </c>
      <c r="H853">
        <f>IF(tblCalculo[[#This Row],[STATUS]]="CONCLUÍDO",_xlfn.XLOOKUP(tblCalculo[[#This Row],[NR_SIMULACAO]],tblVendas[[#This Row],[NR_SIMULACAO]],tblVendas[[#This Row],[VALOR_FIXABASICA]],""),0)</f>
        <v>0</v>
      </c>
      <c r="I853">
        <f>IF(tblCalculo[[#This Row],[STATUS]]="CONCLUÍDO",_xlfn.XLOOKUP(tblCalculo[[#This Row],[NR_SIMULACAO]],tblVendas[[#This Row],[NR_SIMULACAO]],tblVendas[[#This Row],[VALOR_TI]],""),0)</f>
        <v>0</v>
      </c>
      <c r="J853">
        <f>IF(tblCalculo[[#This Row],[STATUS]]="CONCLUÍDO",_xlfn.XLOOKUP(tblCalculo[[#This Row],[NR_SIMULACAO]],tblVendas[[#This Row],[NR_SIMULACAO]],tblVendas[[#This Row],[VALOR_APARELHO]],""),0)</f>
        <v>0</v>
      </c>
      <c r="K853" t="str">
        <f>IF(tblCalculo[[#This Row],[STATUS]]="NEGOCIANDO",tblCalculo[[#This Row],[VALOR_TOTAL]],"")</f>
        <v/>
      </c>
      <c r="L853">
        <f>IF(tblCalculo[[#This Row],[STATUS]]="ALÇADA",tblCalculo[[#This Row],[VALOR_TOTAL]],"")</f>
        <v>16565.09</v>
      </c>
      <c r="M853" t="str">
        <f>IF(tblCalculo[[#This Row],[STATUS]]="EM ANÁLISE",tblCalculo[[#This Row],[VALOR_TOTAL]],"")</f>
        <v/>
      </c>
      <c r="N853" t="str">
        <f>IF(tblCalculo[[#This Row],[STATUS]]="TRAMITANDO",tblCalculo[[#This Row],[VALOR_TOTAL]],"")</f>
        <v/>
      </c>
      <c r="O853" t="str">
        <f>IF(tblCalculo[[#This Row],[STATUS]]="PERDIDO",tblCalculo[[#This Row],[VALOR_TOTAL]],"")</f>
        <v/>
      </c>
      <c r="P853" t="str">
        <f>IF(tblCalculo[[#This Row],[STATUS]]="CONCLUÍDO",tblCalculo[[#This Row],[VALOR_TOTAL]],"")</f>
        <v/>
      </c>
    </row>
    <row r="854" spans="1:16" x14ac:dyDescent="0.25">
      <c r="A854" t="str">
        <f>tblVendas[[#This Row],[NR_SIMULACAO]]</f>
        <v>SIM1844</v>
      </c>
      <c r="B854" s="34" t="str">
        <f>_xlfn.XLOOKUP(A854,tblVendas[[#This Row],[NR_SIMULACAO]],tblVendas[[#This Row],[NR_CNPJ]],"")</f>
        <v>35.284.160/0001-73</v>
      </c>
      <c r="C854" t="str">
        <f>_xlfn.XLOOKUP(A854,tblVendas[[#This Row],[NR_SIMULACAO]],tblVendas[[#This Row],[STATUS]],"")</f>
        <v>CONCLUÍDO</v>
      </c>
      <c r="D854" t="str">
        <f>_xlfn.XLOOKUP(A854,tblVendas[[#This Row],[NR_SIMULACAO]],tblVendas[[#This Row],[MES]],"")</f>
        <v>Outubro</v>
      </c>
      <c r="E854">
        <f>SUM(_xlfn.XLOOKUP(tblCalculo[[#This Row],[NR_SIMULACAO]],tblVendas[[#This Row],[NR_SIMULACAO]],tblVendas[[#This Row],[VALOR_MOVEL]],""):_xlfn.XLOOKUP(tblCalculo[[#This Row],[NR_SIMULACAO]],tblVendas[[#This Row],[NR_SIMULACAO]],tblVendas[[#This Row],[VALOR_APARELHO]],""))</f>
        <v>11429.61</v>
      </c>
      <c r="F854">
        <f>IF(tblCalculo[[#This Row],[STATUS]]="CONCLUÍDO",_xlfn.XLOOKUP(tblCalculo[[#This Row],[NR_SIMULACAO]],tblVendas[[#This Row],[NR_SIMULACAO]],tblVendas[[#This Row],[VALOR_MOVEL]],""),0)</f>
        <v>6598.1</v>
      </c>
      <c r="G854">
        <f>IF(tblCalculo[[#This Row],[STATUS]]="CONCLUÍDO",_xlfn.XLOOKUP(tblCalculo[[#This Row],[NR_SIMULACAO]],tblVendas[[#This Row],[NR_SIMULACAO]],tblVendas[[#This Row],[VALOR_AVANCADO]],""),0)</f>
        <v>2783.76</v>
      </c>
      <c r="H854">
        <f>IF(tblCalculo[[#This Row],[STATUS]]="CONCLUÍDO",_xlfn.XLOOKUP(tblCalculo[[#This Row],[NR_SIMULACAO]],tblVendas[[#This Row],[NR_SIMULACAO]],tblVendas[[#This Row],[VALOR_FIXABASICA]],""),0)</f>
        <v>2047.75</v>
      </c>
      <c r="I854">
        <f>IF(tblCalculo[[#This Row],[STATUS]]="CONCLUÍDO",_xlfn.XLOOKUP(tblCalculo[[#This Row],[NR_SIMULACAO]],tblVendas[[#This Row],[NR_SIMULACAO]],tblVendas[[#This Row],[VALOR_TI]],""),0)</f>
        <v>0</v>
      </c>
      <c r="J854">
        <f>IF(tblCalculo[[#This Row],[STATUS]]="CONCLUÍDO",_xlfn.XLOOKUP(tblCalculo[[#This Row],[NR_SIMULACAO]],tblVendas[[#This Row],[NR_SIMULACAO]],tblVendas[[#This Row],[VALOR_APARELHO]],""),0)</f>
        <v>0</v>
      </c>
      <c r="K854" t="str">
        <f>IF(tblCalculo[[#This Row],[STATUS]]="NEGOCIANDO",tblCalculo[[#This Row],[VALOR_TOTAL]],"")</f>
        <v/>
      </c>
      <c r="L854" t="str">
        <f>IF(tblCalculo[[#This Row],[STATUS]]="ALÇADA",tblCalculo[[#This Row],[VALOR_TOTAL]],"")</f>
        <v/>
      </c>
      <c r="M854" t="str">
        <f>IF(tblCalculo[[#This Row],[STATUS]]="EM ANÁLISE",tblCalculo[[#This Row],[VALOR_TOTAL]],"")</f>
        <v/>
      </c>
      <c r="N854" t="str">
        <f>IF(tblCalculo[[#This Row],[STATUS]]="TRAMITANDO",tblCalculo[[#This Row],[VALOR_TOTAL]],"")</f>
        <v/>
      </c>
      <c r="O854" t="str">
        <f>IF(tblCalculo[[#This Row],[STATUS]]="PERDIDO",tblCalculo[[#This Row],[VALOR_TOTAL]],"")</f>
        <v/>
      </c>
      <c r="P854">
        <f>IF(tblCalculo[[#This Row],[STATUS]]="CONCLUÍDO",tblCalculo[[#This Row],[VALOR_TOTAL]],"")</f>
        <v>11429.61</v>
      </c>
    </row>
    <row r="855" spans="1:16" x14ac:dyDescent="0.25">
      <c r="A855" t="str">
        <f>tblVendas[[#This Row],[NR_SIMULACAO]]</f>
        <v>SIM1845</v>
      </c>
      <c r="B855" s="34" t="str">
        <f>_xlfn.XLOOKUP(A855,tblVendas[[#This Row],[NR_SIMULACAO]],tblVendas[[#This Row],[NR_CNPJ]],"")</f>
        <v>25.174.293/0001-17</v>
      </c>
      <c r="C855" t="str">
        <f>_xlfn.XLOOKUP(A855,tblVendas[[#This Row],[NR_SIMULACAO]],tblVendas[[#This Row],[STATUS]],"")</f>
        <v>EM ANÁLISE</v>
      </c>
      <c r="D855" t="str">
        <f>_xlfn.XLOOKUP(A855,tblVendas[[#This Row],[NR_SIMULACAO]],tblVendas[[#This Row],[MES]],"")</f>
        <v>Junho</v>
      </c>
      <c r="E855">
        <f>SUM(_xlfn.XLOOKUP(tblCalculo[[#This Row],[NR_SIMULACAO]],tblVendas[[#This Row],[NR_SIMULACAO]],tblVendas[[#This Row],[VALOR_MOVEL]],""):_xlfn.XLOOKUP(tblCalculo[[#This Row],[NR_SIMULACAO]],tblVendas[[#This Row],[NR_SIMULACAO]],tblVendas[[#This Row],[VALOR_APARELHO]],""))</f>
        <v>16341.89</v>
      </c>
      <c r="F855">
        <f>IF(tblCalculo[[#This Row],[STATUS]]="CONCLUÍDO",_xlfn.XLOOKUP(tblCalculo[[#This Row],[NR_SIMULACAO]],tblVendas[[#This Row],[NR_SIMULACAO]],tblVendas[[#This Row],[VALOR_MOVEL]],""),0)</f>
        <v>0</v>
      </c>
      <c r="G855">
        <f>IF(tblCalculo[[#This Row],[STATUS]]="CONCLUÍDO",_xlfn.XLOOKUP(tblCalculo[[#This Row],[NR_SIMULACAO]],tblVendas[[#This Row],[NR_SIMULACAO]],tblVendas[[#This Row],[VALOR_AVANCADO]],""),0)</f>
        <v>0</v>
      </c>
      <c r="H855">
        <f>IF(tblCalculo[[#This Row],[STATUS]]="CONCLUÍDO",_xlfn.XLOOKUP(tblCalculo[[#This Row],[NR_SIMULACAO]],tblVendas[[#This Row],[NR_SIMULACAO]],tblVendas[[#This Row],[VALOR_FIXABASICA]],""),0)</f>
        <v>0</v>
      </c>
      <c r="I855">
        <f>IF(tblCalculo[[#This Row],[STATUS]]="CONCLUÍDO",_xlfn.XLOOKUP(tblCalculo[[#This Row],[NR_SIMULACAO]],tblVendas[[#This Row],[NR_SIMULACAO]],tblVendas[[#This Row],[VALOR_TI]],""),0)</f>
        <v>0</v>
      </c>
      <c r="J855">
        <f>IF(tblCalculo[[#This Row],[STATUS]]="CONCLUÍDO",_xlfn.XLOOKUP(tblCalculo[[#This Row],[NR_SIMULACAO]],tblVendas[[#This Row],[NR_SIMULACAO]],tblVendas[[#This Row],[VALOR_APARELHO]],""),0)</f>
        <v>0</v>
      </c>
      <c r="K855" t="str">
        <f>IF(tblCalculo[[#This Row],[STATUS]]="NEGOCIANDO",tblCalculo[[#This Row],[VALOR_TOTAL]],"")</f>
        <v/>
      </c>
      <c r="L855" t="str">
        <f>IF(tblCalculo[[#This Row],[STATUS]]="ALÇADA",tblCalculo[[#This Row],[VALOR_TOTAL]],"")</f>
        <v/>
      </c>
      <c r="M855">
        <f>IF(tblCalculo[[#This Row],[STATUS]]="EM ANÁLISE",tblCalculo[[#This Row],[VALOR_TOTAL]],"")</f>
        <v>16341.89</v>
      </c>
      <c r="N855" t="str">
        <f>IF(tblCalculo[[#This Row],[STATUS]]="TRAMITANDO",tblCalculo[[#This Row],[VALOR_TOTAL]],"")</f>
        <v/>
      </c>
      <c r="O855" t="str">
        <f>IF(tblCalculo[[#This Row],[STATUS]]="PERDIDO",tblCalculo[[#This Row],[VALOR_TOTAL]],"")</f>
        <v/>
      </c>
      <c r="P855" t="str">
        <f>IF(tblCalculo[[#This Row],[STATUS]]="CONCLUÍDO",tblCalculo[[#This Row],[VALOR_TOTAL]],"")</f>
        <v/>
      </c>
    </row>
    <row r="856" spans="1:16" x14ac:dyDescent="0.25">
      <c r="A856" t="str">
        <f>tblVendas[[#This Row],[NR_SIMULACAO]]</f>
        <v>SIM1846</v>
      </c>
      <c r="B856" s="34" t="str">
        <f>_xlfn.XLOOKUP(A856,tblVendas[[#This Row],[NR_SIMULACAO]],tblVendas[[#This Row],[NR_CNPJ]],"")</f>
        <v>51.885.982/0001-12</v>
      </c>
      <c r="C856" t="str">
        <f>_xlfn.XLOOKUP(A856,tblVendas[[#This Row],[NR_SIMULACAO]],tblVendas[[#This Row],[STATUS]],"")</f>
        <v>NEGOCIANDO</v>
      </c>
      <c r="D856" t="str">
        <f>_xlfn.XLOOKUP(A856,tblVendas[[#This Row],[NR_SIMULACAO]],tblVendas[[#This Row],[MES]],"")</f>
        <v>Outubro</v>
      </c>
      <c r="E856">
        <f>SUM(_xlfn.XLOOKUP(tblCalculo[[#This Row],[NR_SIMULACAO]],tblVendas[[#This Row],[NR_SIMULACAO]],tblVendas[[#This Row],[VALOR_MOVEL]],""):_xlfn.XLOOKUP(tblCalculo[[#This Row],[NR_SIMULACAO]],tblVendas[[#This Row],[NR_SIMULACAO]],tblVendas[[#This Row],[VALOR_APARELHO]],""))</f>
        <v>4550.04</v>
      </c>
      <c r="F856">
        <f>IF(tblCalculo[[#This Row],[STATUS]]="CONCLUÍDO",_xlfn.XLOOKUP(tblCalculo[[#This Row],[NR_SIMULACAO]],tblVendas[[#This Row],[NR_SIMULACAO]],tblVendas[[#This Row],[VALOR_MOVEL]],""),0)</f>
        <v>0</v>
      </c>
      <c r="G856">
        <f>IF(tblCalculo[[#This Row],[STATUS]]="CONCLUÍDO",_xlfn.XLOOKUP(tblCalculo[[#This Row],[NR_SIMULACAO]],tblVendas[[#This Row],[NR_SIMULACAO]],tblVendas[[#This Row],[VALOR_AVANCADO]],""),0)</f>
        <v>0</v>
      </c>
      <c r="H856">
        <f>IF(tblCalculo[[#This Row],[STATUS]]="CONCLUÍDO",_xlfn.XLOOKUP(tblCalculo[[#This Row],[NR_SIMULACAO]],tblVendas[[#This Row],[NR_SIMULACAO]],tblVendas[[#This Row],[VALOR_FIXABASICA]],""),0)</f>
        <v>0</v>
      </c>
      <c r="I856">
        <f>IF(tblCalculo[[#This Row],[STATUS]]="CONCLUÍDO",_xlfn.XLOOKUP(tblCalculo[[#This Row],[NR_SIMULACAO]],tblVendas[[#This Row],[NR_SIMULACAO]],tblVendas[[#This Row],[VALOR_TI]],""),0)</f>
        <v>0</v>
      </c>
      <c r="J856">
        <f>IF(tblCalculo[[#This Row],[STATUS]]="CONCLUÍDO",_xlfn.XLOOKUP(tblCalculo[[#This Row],[NR_SIMULACAO]],tblVendas[[#This Row],[NR_SIMULACAO]],tblVendas[[#This Row],[VALOR_APARELHO]],""),0)</f>
        <v>0</v>
      </c>
      <c r="K856">
        <f>IF(tblCalculo[[#This Row],[STATUS]]="NEGOCIANDO",tblCalculo[[#This Row],[VALOR_TOTAL]],"")</f>
        <v>4550.04</v>
      </c>
      <c r="L856" t="str">
        <f>IF(tblCalculo[[#This Row],[STATUS]]="ALÇADA",tblCalculo[[#This Row],[VALOR_TOTAL]],"")</f>
        <v/>
      </c>
      <c r="M856" t="str">
        <f>IF(tblCalculo[[#This Row],[STATUS]]="EM ANÁLISE",tblCalculo[[#This Row],[VALOR_TOTAL]],"")</f>
        <v/>
      </c>
      <c r="N856" t="str">
        <f>IF(tblCalculo[[#This Row],[STATUS]]="TRAMITANDO",tblCalculo[[#This Row],[VALOR_TOTAL]],"")</f>
        <v/>
      </c>
      <c r="O856" t="str">
        <f>IF(tblCalculo[[#This Row],[STATUS]]="PERDIDO",tblCalculo[[#This Row],[VALOR_TOTAL]],"")</f>
        <v/>
      </c>
      <c r="P856" t="str">
        <f>IF(tblCalculo[[#This Row],[STATUS]]="CONCLUÍDO",tblCalculo[[#This Row],[VALOR_TOTAL]],"")</f>
        <v/>
      </c>
    </row>
    <row r="857" spans="1:16" x14ac:dyDescent="0.25">
      <c r="A857" t="str">
        <f>tblVendas[[#This Row],[NR_SIMULACAO]]</f>
        <v>SIM1847</v>
      </c>
      <c r="B857" s="34" t="str">
        <f>_xlfn.XLOOKUP(A857,tblVendas[[#This Row],[NR_SIMULACAO]],tblVendas[[#This Row],[NR_CNPJ]],"")</f>
        <v>20.302.300/0001-88</v>
      </c>
      <c r="C857" t="str">
        <f>_xlfn.XLOOKUP(A857,tblVendas[[#This Row],[NR_SIMULACAO]],tblVendas[[#This Row],[STATUS]],"")</f>
        <v>ALÇADA</v>
      </c>
      <c r="D857" t="str">
        <f>_xlfn.XLOOKUP(A857,tblVendas[[#This Row],[NR_SIMULACAO]],tblVendas[[#This Row],[MES]],"")</f>
        <v>Dezembro</v>
      </c>
      <c r="E857">
        <f>SUM(_xlfn.XLOOKUP(tblCalculo[[#This Row],[NR_SIMULACAO]],tblVendas[[#This Row],[NR_SIMULACAO]],tblVendas[[#This Row],[VALOR_MOVEL]],""):_xlfn.XLOOKUP(tblCalculo[[#This Row],[NR_SIMULACAO]],tblVendas[[#This Row],[NR_SIMULACAO]],tblVendas[[#This Row],[VALOR_APARELHO]],""))</f>
        <v>11619.4</v>
      </c>
      <c r="F857">
        <f>IF(tblCalculo[[#This Row],[STATUS]]="CONCLUÍDO",_xlfn.XLOOKUP(tblCalculo[[#This Row],[NR_SIMULACAO]],tblVendas[[#This Row],[NR_SIMULACAO]],tblVendas[[#This Row],[VALOR_MOVEL]],""),0)</f>
        <v>0</v>
      </c>
      <c r="G857">
        <f>IF(tblCalculo[[#This Row],[STATUS]]="CONCLUÍDO",_xlfn.XLOOKUP(tblCalculo[[#This Row],[NR_SIMULACAO]],tblVendas[[#This Row],[NR_SIMULACAO]],tblVendas[[#This Row],[VALOR_AVANCADO]],""),0)</f>
        <v>0</v>
      </c>
      <c r="H857">
        <f>IF(tblCalculo[[#This Row],[STATUS]]="CONCLUÍDO",_xlfn.XLOOKUP(tblCalculo[[#This Row],[NR_SIMULACAO]],tblVendas[[#This Row],[NR_SIMULACAO]],tblVendas[[#This Row],[VALOR_FIXABASICA]],""),0)</f>
        <v>0</v>
      </c>
      <c r="I857">
        <f>IF(tblCalculo[[#This Row],[STATUS]]="CONCLUÍDO",_xlfn.XLOOKUP(tblCalculo[[#This Row],[NR_SIMULACAO]],tblVendas[[#This Row],[NR_SIMULACAO]],tblVendas[[#This Row],[VALOR_TI]],""),0)</f>
        <v>0</v>
      </c>
      <c r="J857">
        <f>IF(tblCalculo[[#This Row],[STATUS]]="CONCLUÍDO",_xlfn.XLOOKUP(tblCalculo[[#This Row],[NR_SIMULACAO]],tblVendas[[#This Row],[NR_SIMULACAO]],tblVendas[[#This Row],[VALOR_APARELHO]],""),0)</f>
        <v>0</v>
      </c>
      <c r="K857" t="str">
        <f>IF(tblCalculo[[#This Row],[STATUS]]="NEGOCIANDO",tblCalculo[[#This Row],[VALOR_TOTAL]],"")</f>
        <v/>
      </c>
      <c r="L857">
        <f>IF(tblCalculo[[#This Row],[STATUS]]="ALÇADA",tblCalculo[[#This Row],[VALOR_TOTAL]],"")</f>
        <v>11619.4</v>
      </c>
      <c r="M857" t="str">
        <f>IF(tblCalculo[[#This Row],[STATUS]]="EM ANÁLISE",tblCalculo[[#This Row],[VALOR_TOTAL]],"")</f>
        <v/>
      </c>
      <c r="N857" t="str">
        <f>IF(tblCalculo[[#This Row],[STATUS]]="TRAMITANDO",tblCalculo[[#This Row],[VALOR_TOTAL]],"")</f>
        <v/>
      </c>
      <c r="O857" t="str">
        <f>IF(tblCalculo[[#This Row],[STATUS]]="PERDIDO",tblCalculo[[#This Row],[VALOR_TOTAL]],"")</f>
        <v/>
      </c>
      <c r="P857" t="str">
        <f>IF(tblCalculo[[#This Row],[STATUS]]="CONCLUÍDO",tblCalculo[[#This Row],[VALOR_TOTAL]],"")</f>
        <v/>
      </c>
    </row>
    <row r="858" spans="1:16" x14ac:dyDescent="0.25">
      <c r="A858" t="str">
        <f>tblVendas[[#This Row],[NR_SIMULACAO]]</f>
        <v>SIM1848</v>
      </c>
      <c r="B858" s="34" t="str">
        <f>_xlfn.XLOOKUP(A858,tblVendas[[#This Row],[NR_SIMULACAO]],tblVendas[[#This Row],[NR_CNPJ]],"")</f>
        <v>28.993.727/0001-61</v>
      </c>
      <c r="C858" t="str">
        <f>_xlfn.XLOOKUP(A858,tblVendas[[#This Row],[NR_SIMULACAO]],tblVendas[[#This Row],[STATUS]],"")</f>
        <v>ALÇADA</v>
      </c>
      <c r="D858" t="str">
        <f>_xlfn.XLOOKUP(A858,tblVendas[[#This Row],[NR_SIMULACAO]],tblVendas[[#This Row],[MES]],"")</f>
        <v>Janeiro</v>
      </c>
      <c r="E858">
        <f>SUM(_xlfn.XLOOKUP(tblCalculo[[#This Row],[NR_SIMULACAO]],tblVendas[[#This Row],[NR_SIMULACAO]],tblVendas[[#This Row],[VALOR_MOVEL]],""):_xlfn.XLOOKUP(tblCalculo[[#This Row],[NR_SIMULACAO]],tblVendas[[#This Row],[NR_SIMULACAO]],tblVendas[[#This Row],[VALOR_APARELHO]],""))</f>
        <v>4835.6100000000006</v>
      </c>
      <c r="F858">
        <f>IF(tblCalculo[[#This Row],[STATUS]]="CONCLUÍDO",_xlfn.XLOOKUP(tblCalculo[[#This Row],[NR_SIMULACAO]],tblVendas[[#This Row],[NR_SIMULACAO]],tblVendas[[#This Row],[VALOR_MOVEL]],""),0)</f>
        <v>0</v>
      </c>
      <c r="G858">
        <f>IF(tblCalculo[[#This Row],[STATUS]]="CONCLUÍDO",_xlfn.XLOOKUP(tblCalculo[[#This Row],[NR_SIMULACAO]],tblVendas[[#This Row],[NR_SIMULACAO]],tblVendas[[#This Row],[VALOR_AVANCADO]],""),0)</f>
        <v>0</v>
      </c>
      <c r="H858">
        <f>IF(tblCalculo[[#This Row],[STATUS]]="CONCLUÍDO",_xlfn.XLOOKUP(tblCalculo[[#This Row],[NR_SIMULACAO]],tblVendas[[#This Row],[NR_SIMULACAO]],tblVendas[[#This Row],[VALOR_FIXABASICA]],""),0)</f>
        <v>0</v>
      </c>
      <c r="I858">
        <f>IF(tblCalculo[[#This Row],[STATUS]]="CONCLUÍDO",_xlfn.XLOOKUP(tblCalculo[[#This Row],[NR_SIMULACAO]],tblVendas[[#This Row],[NR_SIMULACAO]],tblVendas[[#This Row],[VALOR_TI]],""),0)</f>
        <v>0</v>
      </c>
      <c r="J858">
        <f>IF(tblCalculo[[#This Row],[STATUS]]="CONCLUÍDO",_xlfn.XLOOKUP(tblCalculo[[#This Row],[NR_SIMULACAO]],tblVendas[[#This Row],[NR_SIMULACAO]],tblVendas[[#This Row],[VALOR_APARELHO]],""),0)</f>
        <v>0</v>
      </c>
      <c r="K858" t="str">
        <f>IF(tblCalculo[[#This Row],[STATUS]]="NEGOCIANDO",tblCalculo[[#This Row],[VALOR_TOTAL]],"")</f>
        <v/>
      </c>
      <c r="L858">
        <f>IF(tblCalculo[[#This Row],[STATUS]]="ALÇADA",tblCalculo[[#This Row],[VALOR_TOTAL]],"")</f>
        <v>4835.6100000000006</v>
      </c>
      <c r="M858" t="str">
        <f>IF(tblCalculo[[#This Row],[STATUS]]="EM ANÁLISE",tblCalculo[[#This Row],[VALOR_TOTAL]],"")</f>
        <v/>
      </c>
      <c r="N858" t="str">
        <f>IF(tblCalculo[[#This Row],[STATUS]]="TRAMITANDO",tblCalculo[[#This Row],[VALOR_TOTAL]],"")</f>
        <v/>
      </c>
      <c r="O858" t="str">
        <f>IF(tblCalculo[[#This Row],[STATUS]]="PERDIDO",tblCalculo[[#This Row],[VALOR_TOTAL]],"")</f>
        <v/>
      </c>
      <c r="P858" t="str">
        <f>IF(tblCalculo[[#This Row],[STATUS]]="CONCLUÍDO",tblCalculo[[#This Row],[VALOR_TOTAL]],"")</f>
        <v/>
      </c>
    </row>
    <row r="859" spans="1:16" x14ac:dyDescent="0.25">
      <c r="A859" t="str">
        <f>tblVendas[[#This Row],[NR_SIMULACAO]]</f>
        <v>SIM1849</v>
      </c>
      <c r="B859" s="34" t="str">
        <f>_xlfn.XLOOKUP(A859,tblVendas[[#This Row],[NR_SIMULACAO]],tblVendas[[#This Row],[NR_CNPJ]],"")</f>
        <v>69.978.647/0001-78</v>
      </c>
      <c r="C859" t="str">
        <f>_xlfn.XLOOKUP(A859,tblVendas[[#This Row],[NR_SIMULACAO]],tblVendas[[#This Row],[STATUS]],"")</f>
        <v>PERDIDO</v>
      </c>
      <c r="D859" t="str">
        <f>_xlfn.XLOOKUP(A859,tblVendas[[#This Row],[NR_SIMULACAO]],tblVendas[[#This Row],[MES]],"")</f>
        <v>Outubro</v>
      </c>
      <c r="E859">
        <f>SUM(_xlfn.XLOOKUP(tblCalculo[[#This Row],[NR_SIMULACAO]],tblVendas[[#This Row],[NR_SIMULACAO]],tblVendas[[#This Row],[VALOR_MOVEL]],""):_xlfn.XLOOKUP(tblCalculo[[#This Row],[NR_SIMULACAO]],tblVendas[[#This Row],[NR_SIMULACAO]],tblVendas[[#This Row],[VALOR_APARELHO]],""))</f>
        <v>2108.6799999999998</v>
      </c>
      <c r="F859">
        <f>IF(tblCalculo[[#This Row],[STATUS]]="CONCLUÍDO",_xlfn.XLOOKUP(tblCalculo[[#This Row],[NR_SIMULACAO]],tblVendas[[#This Row],[NR_SIMULACAO]],tblVendas[[#This Row],[VALOR_MOVEL]],""),0)</f>
        <v>0</v>
      </c>
      <c r="G859">
        <f>IF(tblCalculo[[#This Row],[STATUS]]="CONCLUÍDO",_xlfn.XLOOKUP(tblCalculo[[#This Row],[NR_SIMULACAO]],tblVendas[[#This Row],[NR_SIMULACAO]],tblVendas[[#This Row],[VALOR_AVANCADO]],""),0)</f>
        <v>0</v>
      </c>
      <c r="H859">
        <f>IF(tblCalculo[[#This Row],[STATUS]]="CONCLUÍDO",_xlfn.XLOOKUP(tblCalculo[[#This Row],[NR_SIMULACAO]],tblVendas[[#This Row],[NR_SIMULACAO]],tblVendas[[#This Row],[VALOR_FIXABASICA]],""),0)</f>
        <v>0</v>
      </c>
      <c r="I859">
        <f>IF(tblCalculo[[#This Row],[STATUS]]="CONCLUÍDO",_xlfn.XLOOKUP(tblCalculo[[#This Row],[NR_SIMULACAO]],tblVendas[[#This Row],[NR_SIMULACAO]],tblVendas[[#This Row],[VALOR_TI]],""),0)</f>
        <v>0</v>
      </c>
      <c r="J859">
        <f>IF(tblCalculo[[#This Row],[STATUS]]="CONCLUÍDO",_xlfn.XLOOKUP(tblCalculo[[#This Row],[NR_SIMULACAO]],tblVendas[[#This Row],[NR_SIMULACAO]],tblVendas[[#This Row],[VALOR_APARELHO]],""),0)</f>
        <v>0</v>
      </c>
      <c r="K859" t="str">
        <f>IF(tblCalculo[[#This Row],[STATUS]]="NEGOCIANDO",tblCalculo[[#This Row],[VALOR_TOTAL]],"")</f>
        <v/>
      </c>
      <c r="L859" t="str">
        <f>IF(tblCalculo[[#This Row],[STATUS]]="ALÇADA",tblCalculo[[#This Row],[VALOR_TOTAL]],"")</f>
        <v/>
      </c>
      <c r="M859" t="str">
        <f>IF(tblCalculo[[#This Row],[STATUS]]="EM ANÁLISE",tblCalculo[[#This Row],[VALOR_TOTAL]],"")</f>
        <v/>
      </c>
      <c r="N859" t="str">
        <f>IF(tblCalculo[[#This Row],[STATUS]]="TRAMITANDO",tblCalculo[[#This Row],[VALOR_TOTAL]],"")</f>
        <v/>
      </c>
      <c r="O859">
        <f>IF(tblCalculo[[#This Row],[STATUS]]="PERDIDO",tblCalculo[[#This Row],[VALOR_TOTAL]],"")</f>
        <v>2108.6799999999998</v>
      </c>
      <c r="P859" t="str">
        <f>IF(tblCalculo[[#This Row],[STATUS]]="CONCLUÍDO",tblCalculo[[#This Row],[VALOR_TOTAL]],"")</f>
        <v/>
      </c>
    </row>
    <row r="860" spans="1:16" x14ac:dyDescent="0.25">
      <c r="A860" t="str">
        <f>tblVendas[[#This Row],[NR_SIMULACAO]]</f>
        <v>SIM1850</v>
      </c>
      <c r="B860" s="34" t="str">
        <f>_xlfn.XLOOKUP(A860,tblVendas[[#This Row],[NR_SIMULACAO]],tblVendas[[#This Row],[NR_CNPJ]],"")</f>
        <v>23.507.126/0001-92</v>
      </c>
      <c r="C860" t="str">
        <f>_xlfn.XLOOKUP(A860,tblVendas[[#This Row],[NR_SIMULACAO]],tblVendas[[#This Row],[STATUS]],"")</f>
        <v>CONCLUÍDO</v>
      </c>
      <c r="D860" t="str">
        <f>_xlfn.XLOOKUP(A860,tblVendas[[#This Row],[NR_SIMULACAO]],tblVendas[[#This Row],[MES]],"")</f>
        <v>Novembro</v>
      </c>
      <c r="E860">
        <f>SUM(_xlfn.XLOOKUP(tblCalculo[[#This Row],[NR_SIMULACAO]],tblVendas[[#This Row],[NR_SIMULACAO]],tblVendas[[#This Row],[VALOR_MOVEL]],""):_xlfn.XLOOKUP(tblCalculo[[#This Row],[NR_SIMULACAO]],tblVendas[[#This Row],[NR_SIMULACAO]],tblVendas[[#This Row],[VALOR_APARELHO]],""))</f>
        <v>18337.84</v>
      </c>
      <c r="F860">
        <f>IF(tblCalculo[[#This Row],[STATUS]]="CONCLUÍDO",_xlfn.XLOOKUP(tblCalculo[[#This Row],[NR_SIMULACAO]],tblVendas[[#This Row],[NR_SIMULACAO]],tblVendas[[#This Row],[VALOR_MOVEL]],""),0)</f>
        <v>0</v>
      </c>
      <c r="G860">
        <f>IF(tblCalculo[[#This Row],[STATUS]]="CONCLUÍDO",_xlfn.XLOOKUP(tblCalculo[[#This Row],[NR_SIMULACAO]],tblVendas[[#This Row],[NR_SIMULACAO]],tblVendas[[#This Row],[VALOR_AVANCADO]],""),0)</f>
        <v>3421.09</v>
      </c>
      <c r="H860">
        <f>IF(tblCalculo[[#This Row],[STATUS]]="CONCLUÍDO",_xlfn.XLOOKUP(tblCalculo[[#This Row],[NR_SIMULACAO]],tblVendas[[#This Row],[NR_SIMULACAO]],tblVendas[[#This Row],[VALOR_FIXABASICA]],""),0)</f>
        <v>0</v>
      </c>
      <c r="I860">
        <f>IF(tblCalculo[[#This Row],[STATUS]]="CONCLUÍDO",_xlfn.XLOOKUP(tblCalculo[[#This Row],[NR_SIMULACAO]],tblVendas[[#This Row],[NR_SIMULACAO]],tblVendas[[#This Row],[VALOR_TI]],""),0)</f>
        <v>0</v>
      </c>
      <c r="J860">
        <f>IF(tblCalculo[[#This Row],[STATUS]]="CONCLUÍDO",_xlfn.XLOOKUP(tblCalculo[[#This Row],[NR_SIMULACAO]],tblVendas[[#This Row],[NR_SIMULACAO]],tblVendas[[#This Row],[VALOR_APARELHO]],""),0)</f>
        <v>14916.75</v>
      </c>
      <c r="K860" t="str">
        <f>IF(tblCalculo[[#This Row],[STATUS]]="NEGOCIANDO",tblCalculo[[#This Row],[VALOR_TOTAL]],"")</f>
        <v/>
      </c>
      <c r="L860" t="str">
        <f>IF(tblCalculo[[#This Row],[STATUS]]="ALÇADA",tblCalculo[[#This Row],[VALOR_TOTAL]],"")</f>
        <v/>
      </c>
      <c r="M860" t="str">
        <f>IF(tblCalculo[[#This Row],[STATUS]]="EM ANÁLISE",tblCalculo[[#This Row],[VALOR_TOTAL]],"")</f>
        <v/>
      </c>
      <c r="N860" t="str">
        <f>IF(tblCalculo[[#This Row],[STATUS]]="TRAMITANDO",tblCalculo[[#This Row],[VALOR_TOTAL]],"")</f>
        <v/>
      </c>
      <c r="O860" t="str">
        <f>IF(tblCalculo[[#This Row],[STATUS]]="PERDIDO",tblCalculo[[#This Row],[VALOR_TOTAL]],"")</f>
        <v/>
      </c>
      <c r="P860">
        <f>IF(tblCalculo[[#This Row],[STATUS]]="CONCLUÍDO",tblCalculo[[#This Row],[VALOR_TOTAL]],"")</f>
        <v>18337.84</v>
      </c>
    </row>
    <row r="861" spans="1:16" x14ac:dyDescent="0.25">
      <c r="A861" t="str">
        <f>tblVendas[[#This Row],[NR_SIMULACAO]]</f>
        <v>SIM1851</v>
      </c>
      <c r="B861" s="34" t="str">
        <f>_xlfn.XLOOKUP(A861,tblVendas[[#This Row],[NR_SIMULACAO]],tblVendas[[#This Row],[NR_CNPJ]],"")</f>
        <v>45.958.201/0001-63</v>
      </c>
      <c r="C861" t="str">
        <f>_xlfn.XLOOKUP(A861,tblVendas[[#This Row],[NR_SIMULACAO]],tblVendas[[#This Row],[STATUS]],"")</f>
        <v>ALÇADA</v>
      </c>
      <c r="D861" t="str">
        <f>_xlfn.XLOOKUP(A861,tblVendas[[#This Row],[NR_SIMULACAO]],tblVendas[[#This Row],[MES]],"")</f>
        <v>Novembro</v>
      </c>
      <c r="E861">
        <f>SUM(_xlfn.XLOOKUP(tblCalculo[[#This Row],[NR_SIMULACAO]],tblVendas[[#This Row],[NR_SIMULACAO]],tblVendas[[#This Row],[VALOR_MOVEL]],""):_xlfn.XLOOKUP(tblCalculo[[#This Row],[NR_SIMULACAO]],tblVendas[[#This Row],[NR_SIMULACAO]],tblVendas[[#This Row],[VALOR_APARELHO]],""))</f>
        <v>2759.98</v>
      </c>
      <c r="F861">
        <f>IF(tblCalculo[[#This Row],[STATUS]]="CONCLUÍDO",_xlfn.XLOOKUP(tblCalculo[[#This Row],[NR_SIMULACAO]],tblVendas[[#This Row],[NR_SIMULACAO]],tblVendas[[#This Row],[VALOR_MOVEL]],""),0)</f>
        <v>0</v>
      </c>
      <c r="G861">
        <f>IF(tblCalculo[[#This Row],[STATUS]]="CONCLUÍDO",_xlfn.XLOOKUP(tblCalculo[[#This Row],[NR_SIMULACAO]],tblVendas[[#This Row],[NR_SIMULACAO]],tblVendas[[#This Row],[VALOR_AVANCADO]],""),0)</f>
        <v>0</v>
      </c>
      <c r="H861">
        <f>IF(tblCalculo[[#This Row],[STATUS]]="CONCLUÍDO",_xlfn.XLOOKUP(tblCalculo[[#This Row],[NR_SIMULACAO]],tblVendas[[#This Row],[NR_SIMULACAO]],tblVendas[[#This Row],[VALOR_FIXABASICA]],""),0)</f>
        <v>0</v>
      </c>
      <c r="I861">
        <f>IF(tblCalculo[[#This Row],[STATUS]]="CONCLUÍDO",_xlfn.XLOOKUP(tblCalculo[[#This Row],[NR_SIMULACAO]],tblVendas[[#This Row],[NR_SIMULACAO]],tblVendas[[#This Row],[VALOR_TI]],""),0)</f>
        <v>0</v>
      </c>
      <c r="J861">
        <f>IF(tblCalculo[[#This Row],[STATUS]]="CONCLUÍDO",_xlfn.XLOOKUP(tblCalculo[[#This Row],[NR_SIMULACAO]],tblVendas[[#This Row],[NR_SIMULACAO]],tblVendas[[#This Row],[VALOR_APARELHO]],""),0)</f>
        <v>0</v>
      </c>
      <c r="K861" t="str">
        <f>IF(tblCalculo[[#This Row],[STATUS]]="NEGOCIANDO",tblCalculo[[#This Row],[VALOR_TOTAL]],"")</f>
        <v/>
      </c>
      <c r="L861">
        <f>IF(tblCalculo[[#This Row],[STATUS]]="ALÇADA",tblCalculo[[#This Row],[VALOR_TOTAL]],"")</f>
        <v>2759.98</v>
      </c>
      <c r="M861" t="str">
        <f>IF(tblCalculo[[#This Row],[STATUS]]="EM ANÁLISE",tblCalculo[[#This Row],[VALOR_TOTAL]],"")</f>
        <v/>
      </c>
      <c r="N861" t="str">
        <f>IF(tblCalculo[[#This Row],[STATUS]]="TRAMITANDO",tblCalculo[[#This Row],[VALOR_TOTAL]],"")</f>
        <v/>
      </c>
      <c r="O861" t="str">
        <f>IF(tblCalculo[[#This Row],[STATUS]]="PERDIDO",tblCalculo[[#This Row],[VALOR_TOTAL]],"")</f>
        <v/>
      </c>
      <c r="P861" t="str">
        <f>IF(tblCalculo[[#This Row],[STATUS]]="CONCLUÍDO",tblCalculo[[#This Row],[VALOR_TOTAL]],"")</f>
        <v/>
      </c>
    </row>
    <row r="862" spans="1:16" x14ac:dyDescent="0.25">
      <c r="A862" t="str">
        <f>tblVendas[[#This Row],[NR_SIMULACAO]]</f>
        <v>SIM1852</v>
      </c>
      <c r="B862" s="34" t="str">
        <f>_xlfn.XLOOKUP(A862,tblVendas[[#This Row],[NR_SIMULACAO]],tblVendas[[#This Row],[NR_CNPJ]],"")</f>
        <v>24.825.741/0001-89</v>
      </c>
      <c r="C862" t="str">
        <f>_xlfn.XLOOKUP(A862,tblVendas[[#This Row],[NR_SIMULACAO]],tblVendas[[#This Row],[STATUS]],"")</f>
        <v>ALÇADA</v>
      </c>
      <c r="D862" t="str">
        <f>_xlfn.XLOOKUP(A862,tblVendas[[#This Row],[NR_SIMULACAO]],tblVendas[[#This Row],[MES]],"")</f>
        <v>Janeiro</v>
      </c>
      <c r="E862">
        <f>SUM(_xlfn.XLOOKUP(tblCalculo[[#This Row],[NR_SIMULACAO]],tblVendas[[#This Row],[NR_SIMULACAO]],tblVendas[[#This Row],[VALOR_MOVEL]],""):_xlfn.XLOOKUP(tblCalculo[[#This Row],[NR_SIMULACAO]],tblVendas[[#This Row],[NR_SIMULACAO]],tblVendas[[#This Row],[VALOR_APARELHO]],""))</f>
        <v>12347.279999999999</v>
      </c>
      <c r="F862">
        <f>IF(tblCalculo[[#This Row],[STATUS]]="CONCLUÍDO",_xlfn.XLOOKUP(tblCalculo[[#This Row],[NR_SIMULACAO]],tblVendas[[#This Row],[NR_SIMULACAO]],tblVendas[[#This Row],[VALOR_MOVEL]],""),0)</f>
        <v>0</v>
      </c>
      <c r="G862">
        <f>IF(tblCalculo[[#This Row],[STATUS]]="CONCLUÍDO",_xlfn.XLOOKUP(tblCalculo[[#This Row],[NR_SIMULACAO]],tblVendas[[#This Row],[NR_SIMULACAO]],tblVendas[[#This Row],[VALOR_AVANCADO]],""),0)</f>
        <v>0</v>
      </c>
      <c r="H862">
        <f>IF(tblCalculo[[#This Row],[STATUS]]="CONCLUÍDO",_xlfn.XLOOKUP(tblCalculo[[#This Row],[NR_SIMULACAO]],tblVendas[[#This Row],[NR_SIMULACAO]],tblVendas[[#This Row],[VALOR_FIXABASICA]],""),0)</f>
        <v>0</v>
      </c>
      <c r="I862">
        <f>IF(tblCalculo[[#This Row],[STATUS]]="CONCLUÍDO",_xlfn.XLOOKUP(tblCalculo[[#This Row],[NR_SIMULACAO]],tblVendas[[#This Row],[NR_SIMULACAO]],tblVendas[[#This Row],[VALOR_TI]],""),0)</f>
        <v>0</v>
      </c>
      <c r="J862">
        <f>IF(tblCalculo[[#This Row],[STATUS]]="CONCLUÍDO",_xlfn.XLOOKUP(tblCalculo[[#This Row],[NR_SIMULACAO]],tblVendas[[#This Row],[NR_SIMULACAO]],tblVendas[[#This Row],[VALOR_APARELHO]],""),0)</f>
        <v>0</v>
      </c>
      <c r="K862" t="str">
        <f>IF(tblCalculo[[#This Row],[STATUS]]="NEGOCIANDO",tblCalculo[[#This Row],[VALOR_TOTAL]],"")</f>
        <v/>
      </c>
      <c r="L862">
        <f>IF(tblCalculo[[#This Row],[STATUS]]="ALÇADA",tblCalculo[[#This Row],[VALOR_TOTAL]],"")</f>
        <v>12347.279999999999</v>
      </c>
      <c r="M862" t="str">
        <f>IF(tblCalculo[[#This Row],[STATUS]]="EM ANÁLISE",tblCalculo[[#This Row],[VALOR_TOTAL]],"")</f>
        <v/>
      </c>
      <c r="N862" t="str">
        <f>IF(tblCalculo[[#This Row],[STATUS]]="TRAMITANDO",tblCalculo[[#This Row],[VALOR_TOTAL]],"")</f>
        <v/>
      </c>
      <c r="O862" t="str">
        <f>IF(tblCalculo[[#This Row],[STATUS]]="PERDIDO",tblCalculo[[#This Row],[VALOR_TOTAL]],"")</f>
        <v/>
      </c>
      <c r="P862" t="str">
        <f>IF(tblCalculo[[#This Row],[STATUS]]="CONCLUÍDO",tblCalculo[[#This Row],[VALOR_TOTAL]],"")</f>
        <v/>
      </c>
    </row>
    <row r="863" spans="1:16" x14ac:dyDescent="0.25">
      <c r="A863" t="str">
        <f>tblVendas[[#This Row],[NR_SIMULACAO]]</f>
        <v>SIM1853</v>
      </c>
      <c r="B863" s="34" t="str">
        <f>_xlfn.XLOOKUP(A863,tblVendas[[#This Row],[NR_SIMULACAO]],tblVendas[[#This Row],[NR_CNPJ]],"")</f>
        <v>48.506.553/0001-88</v>
      </c>
      <c r="C863" t="str">
        <f>_xlfn.XLOOKUP(A863,tblVendas[[#This Row],[NR_SIMULACAO]],tblVendas[[#This Row],[STATUS]],"")</f>
        <v>ALÇADA</v>
      </c>
      <c r="D863" t="str">
        <f>_xlfn.XLOOKUP(A863,tblVendas[[#This Row],[NR_SIMULACAO]],tblVendas[[#This Row],[MES]],"")</f>
        <v>Junho</v>
      </c>
      <c r="E863">
        <f>SUM(_xlfn.XLOOKUP(tblCalculo[[#This Row],[NR_SIMULACAO]],tblVendas[[#This Row],[NR_SIMULACAO]],tblVendas[[#This Row],[VALOR_MOVEL]],""):_xlfn.XLOOKUP(tblCalculo[[#This Row],[NR_SIMULACAO]],tblVendas[[#This Row],[NR_SIMULACAO]],tblVendas[[#This Row],[VALOR_APARELHO]],""))</f>
        <v>6132.94</v>
      </c>
      <c r="F863">
        <f>IF(tblCalculo[[#This Row],[STATUS]]="CONCLUÍDO",_xlfn.XLOOKUP(tblCalculo[[#This Row],[NR_SIMULACAO]],tblVendas[[#This Row],[NR_SIMULACAO]],tblVendas[[#This Row],[VALOR_MOVEL]],""),0)</f>
        <v>0</v>
      </c>
      <c r="G863">
        <f>IF(tblCalculo[[#This Row],[STATUS]]="CONCLUÍDO",_xlfn.XLOOKUP(tblCalculo[[#This Row],[NR_SIMULACAO]],tblVendas[[#This Row],[NR_SIMULACAO]],tblVendas[[#This Row],[VALOR_AVANCADO]],""),0)</f>
        <v>0</v>
      </c>
      <c r="H863">
        <f>IF(tblCalculo[[#This Row],[STATUS]]="CONCLUÍDO",_xlfn.XLOOKUP(tblCalculo[[#This Row],[NR_SIMULACAO]],tblVendas[[#This Row],[NR_SIMULACAO]],tblVendas[[#This Row],[VALOR_FIXABASICA]],""),0)</f>
        <v>0</v>
      </c>
      <c r="I863">
        <f>IF(tblCalculo[[#This Row],[STATUS]]="CONCLUÍDO",_xlfn.XLOOKUP(tblCalculo[[#This Row],[NR_SIMULACAO]],tblVendas[[#This Row],[NR_SIMULACAO]],tblVendas[[#This Row],[VALOR_TI]],""),0)</f>
        <v>0</v>
      </c>
      <c r="J863">
        <f>IF(tblCalculo[[#This Row],[STATUS]]="CONCLUÍDO",_xlfn.XLOOKUP(tblCalculo[[#This Row],[NR_SIMULACAO]],tblVendas[[#This Row],[NR_SIMULACAO]],tblVendas[[#This Row],[VALOR_APARELHO]],""),0)</f>
        <v>0</v>
      </c>
      <c r="K863" t="str">
        <f>IF(tblCalculo[[#This Row],[STATUS]]="NEGOCIANDO",tblCalculo[[#This Row],[VALOR_TOTAL]],"")</f>
        <v/>
      </c>
      <c r="L863">
        <f>IF(tblCalculo[[#This Row],[STATUS]]="ALÇADA",tblCalculo[[#This Row],[VALOR_TOTAL]],"")</f>
        <v>6132.94</v>
      </c>
      <c r="M863" t="str">
        <f>IF(tblCalculo[[#This Row],[STATUS]]="EM ANÁLISE",tblCalculo[[#This Row],[VALOR_TOTAL]],"")</f>
        <v/>
      </c>
      <c r="N863" t="str">
        <f>IF(tblCalculo[[#This Row],[STATUS]]="TRAMITANDO",tblCalculo[[#This Row],[VALOR_TOTAL]],"")</f>
        <v/>
      </c>
      <c r="O863" t="str">
        <f>IF(tblCalculo[[#This Row],[STATUS]]="PERDIDO",tblCalculo[[#This Row],[VALOR_TOTAL]],"")</f>
        <v/>
      </c>
      <c r="P863" t="str">
        <f>IF(tblCalculo[[#This Row],[STATUS]]="CONCLUÍDO",tblCalculo[[#This Row],[VALOR_TOTAL]],"")</f>
        <v/>
      </c>
    </row>
    <row r="864" spans="1:16" x14ac:dyDescent="0.25">
      <c r="A864" t="str">
        <f>tblVendas[[#This Row],[NR_SIMULACAO]]</f>
        <v>SIM1854</v>
      </c>
      <c r="B864" s="34" t="str">
        <f>_xlfn.XLOOKUP(A864,tblVendas[[#This Row],[NR_SIMULACAO]],tblVendas[[#This Row],[NR_CNPJ]],"")</f>
        <v>74.496.112/0001-54</v>
      </c>
      <c r="C864" t="str">
        <f>_xlfn.XLOOKUP(A864,tblVendas[[#This Row],[NR_SIMULACAO]],tblVendas[[#This Row],[STATUS]],"")</f>
        <v>EM ANÁLISE</v>
      </c>
      <c r="D864" t="str">
        <f>_xlfn.XLOOKUP(A864,tblVendas[[#This Row],[NR_SIMULACAO]],tblVendas[[#This Row],[MES]],"")</f>
        <v>Dezembro</v>
      </c>
      <c r="E864">
        <f>SUM(_xlfn.XLOOKUP(tblCalculo[[#This Row],[NR_SIMULACAO]],tblVendas[[#This Row],[NR_SIMULACAO]],tblVendas[[#This Row],[VALOR_MOVEL]],""):_xlfn.XLOOKUP(tblCalculo[[#This Row],[NR_SIMULACAO]],tblVendas[[#This Row],[NR_SIMULACAO]],tblVendas[[#This Row],[VALOR_APARELHO]],""))</f>
        <v>3208.77</v>
      </c>
      <c r="F864">
        <f>IF(tblCalculo[[#This Row],[STATUS]]="CONCLUÍDO",_xlfn.XLOOKUP(tblCalculo[[#This Row],[NR_SIMULACAO]],tblVendas[[#This Row],[NR_SIMULACAO]],tblVendas[[#This Row],[VALOR_MOVEL]],""),0)</f>
        <v>0</v>
      </c>
      <c r="G864">
        <f>IF(tblCalculo[[#This Row],[STATUS]]="CONCLUÍDO",_xlfn.XLOOKUP(tblCalculo[[#This Row],[NR_SIMULACAO]],tblVendas[[#This Row],[NR_SIMULACAO]],tblVendas[[#This Row],[VALOR_AVANCADO]],""),0)</f>
        <v>0</v>
      </c>
      <c r="H864">
        <f>IF(tblCalculo[[#This Row],[STATUS]]="CONCLUÍDO",_xlfn.XLOOKUP(tblCalculo[[#This Row],[NR_SIMULACAO]],tblVendas[[#This Row],[NR_SIMULACAO]],tblVendas[[#This Row],[VALOR_FIXABASICA]],""),0)</f>
        <v>0</v>
      </c>
      <c r="I864">
        <f>IF(tblCalculo[[#This Row],[STATUS]]="CONCLUÍDO",_xlfn.XLOOKUP(tblCalculo[[#This Row],[NR_SIMULACAO]],tblVendas[[#This Row],[NR_SIMULACAO]],tblVendas[[#This Row],[VALOR_TI]],""),0)</f>
        <v>0</v>
      </c>
      <c r="J864">
        <f>IF(tblCalculo[[#This Row],[STATUS]]="CONCLUÍDO",_xlfn.XLOOKUP(tblCalculo[[#This Row],[NR_SIMULACAO]],tblVendas[[#This Row],[NR_SIMULACAO]],tblVendas[[#This Row],[VALOR_APARELHO]],""),0)</f>
        <v>0</v>
      </c>
      <c r="K864" t="str">
        <f>IF(tblCalculo[[#This Row],[STATUS]]="NEGOCIANDO",tblCalculo[[#This Row],[VALOR_TOTAL]],"")</f>
        <v/>
      </c>
      <c r="L864" t="str">
        <f>IF(tblCalculo[[#This Row],[STATUS]]="ALÇADA",tblCalculo[[#This Row],[VALOR_TOTAL]],"")</f>
        <v/>
      </c>
      <c r="M864">
        <f>IF(tblCalculo[[#This Row],[STATUS]]="EM ANÁLISE",tblCalculo[[#This Row],[VALOR_TOTAL]],"")</f>
        <v>3208.77</v>
      </c>
      <c r="N864" t="str">
        <f>IF(tblCalculo[[#This Row],[STATUS]]="TRAMITANDO",tblCalculo[[#This Row],[VALOR_TOTAL]],"")</f>
        <v/>
      </c>
      <c r="O864" t="str">
        <f>IF(tblCalculo[[#This Row],[STATUS]]="PERDIDO",tblCalculo[[#This Row],[VALOR_TOTAL]],"")</f>
        <v/>
      </c>
      <c r="P864" t="str">
        <f>IF(tblCalculo[[#This Row],[STATUS]]="CONCLUÍDO",tblCalculo[[#This Row],[VALOR_TOTAL]],"")</f>
        <v/>
      </c>
    </row>
    <row r="865" spans="1:16" x14ac:dyDescent="0.25">
      <c r="A865" t="str">
        <f>tblVendas[[#This Row],[NR_SIMULACAO]]</f>
        <v>SIM1855</v>
      </c>
      <c r="B865" s="34" t="str">
        <f>_xlfn.XLOOKUP(A865,tblVendas[[#This Row],[NR_SIMULACAO]],tblVendas[[#This Row],[NR_CNPJ]],"")</f>
        <v>69.897.295/0001-74</v>
      </c>
      <c r="C865" t="str">
        <f>_xlfn.XLOOKUP(A865,tblVendas[[#This Row],[NR_SIMULACAO]],tblVendas[[#This Row],[STATUS]],"")</f>
        <v>NEGOCIANDO</v>
      </c>
      <c r="D865" t="str">
        <f>_xlfn.XLOOKUP(A865,tblVendas[[#This Row],[NR_SIMULACAO]],tblVendas[[#This Row],[MES]],"")</f>
        <v>Agosto</v>
      </c>
      <c r="E865">
        <f>SUM(_xlfn.XLOOKUP(tblCalculo[[#This Row],[NR_SIMULACAO]],tblVendas[[#This Row],[NR_SIMULACAO]],tblVendas[[#This Row],[VALOR_MOVEL]],""):_xlfn.XLOOKUP(tblCalculo[[#This Row],[NR_SIMULACAO]],tblVendas[[#This Row],[NR_SIMULACAO]],tblVendas[[#This Row],[VALOR_APARELHO]],""))</f>
        <v>4936.59</v>
      </c>
      <c r="F865">
        <f>IF(tblCalculo[[#This Row],[STATUS]]="CONCLUÍDO",_xlfn.XLOOKUP(tblCalculo[[#This Row],[NR_SIMULACAO]],tblVendas[[#This Row],[NR_SIMULACAO]],tblVendas[[#This Row],[VALOR_MOVEL]],""),0)</f>
        <v>0</v>
      </c>
      <c r="G865">
        <f>IF(tblCalculo[[#This Row],[STATUS]]="CONCLUÍDO",_xlfn.XLOOKUP(tblCalculo[[#This Row],[NR_SIMULACAO]],tblVendas[[#This Row],[NR_SIMULACAO]],tblVendas[[#This Row],[VALOR_AVANCADO]],""),0)</f>
        <v>0</v>
      </c>
      <c r="H865">
        <f>IF(tblCalculo[[#This Row],[STATUS]]="CONCLUÍDO",_xlfn.XLOOKUP(tblCalculo[[#This Row],[NR_SIMULACAO]],tblVendas[[#This Row],[NR_SIMULACAO]],tblVendas[[#This Row],[VALOR_FIXABASICA]],""),0)</f>
        <v>0</v>
      </c>
      <c r="I865">
        <f>IF(tblCalculo[[#This Row],[STATUS]]="CONCLUÍDO",_xlfn.XLOOKUP(tblCalculo[[#This Row],[NR_SIMULACAO]],tblVendas[[#This Row],[NR_SIMULACAO]],tblVendas[[#This Row],[VALOR_TI]],""),0)</f>
        <v>0</v>
      </c>
      <c r="J865">
        <f>IF(tblCalculo[[#This Row],[STATUS]]="CONCLUÍDO",_xlfn.XLOOKUP(tblCalculo[[#This Row],[NR_SIMULACAO]],tblVendas[[#This Row],[NR_SIMULACAO]],tblVendas[[#This Row],[VALOR_APARELHO]],""),0)</f>
        <v>0</v>
      </c>
      <c r="K865">
        <f>IF(tblCalculo[[#This Row],[STATUS]]="NEGOCIANDO",tblCalculo[[#This Row],[VALOR_TOTAL]],"")</f>
        <v>4936.59</v>
      </c>
      <c r="L865" t="str">
        <f>IF(tblCalculo[[#This Row],[STATUS]]="ALÇADA",tblCalculo[[#This Row],[VALOR_TOTAL]],"")</f>
        <v/>
      </c>
      <c r="M865" t="str">
        <f>IF(tblCalculo[[#This Row],[STATUS]]="EM ANÁLISE",tblCalculo[[#This Row],[VALOR_TOTAL]],"")</f>
        <v/>
      </c>
      <c r="N865" t="str">
        <f>IF(tblCalculo[[#This Row],[STATUS]]="TRAMITANDO",tblCalculo[[#This Row],[VALOR_TOTAL]],"")</f>
        <v/>
      </c>
      <c r="O865" t="str">
        <f>IF(tblCalculo[[#This Row],[STATUS]]="PERDIDO",tblCalculo[[#This Row],[VALOR_TOTAL]],"")</f>
        <v/>
      </c>
      <c r="P865" t="str">
        <f>IF(tblCalculo[[#This Row],[STATUS]]="CONCLUÍDO",tblCalculo[[#This Row],[VALOR_TOTAL]],"")</f>
        <v/>
      </c>
    </row>
    <row r="866" spans="1:16" x14ac:dyDescent="0.25">
      <c r="A866" t="str">
        <f>tblVendas[[#This Row],[NR_SIMULACAO]]</f>
        <v>SIM1856</v>
      </c>
      <c r="B866" s="34" t="str">
        <f>_xlfn.XLOOKUP(A866,tblVendas[[#This Row],[NR_SIMULACAO]],tblVendas[[#This Row],[NR_CNPJ]],"")</f>
        <v>14.264.401/0001-93</v>
      </c>
      <c r="C866" t="str">
        <f>_xlfn.XLOOKUP(A866,tblVendas[[#This Row],[NR_SIMULACAO]],tblVendas[[#This Row],[STATUS]],"")</f>
        <v>CONCLUÍDO</v>
      </c>
      <c r="D866" t="str">
        <f>_xlfn.XLOOKUP(A866,tblVendas[[#This Row],[NR_SIMULACAO]],tblVendas[[#This Row],[MES]],"")</f>
        <v>Outubro</v>
      </c>
      <c r="E866">
        <f>SUM(_xlfn.XLOOKUP(tblCalculo[[#This Row],[NR_SIMULACAO]],tblVendas[[#This Row],[NR_SIMULACAO]],tblVendas[[#This Row],[VALOR_MOVEL]],""):_xlfn.XLOOKUP(tblCalculo[[#This Row],[NR_SIMULACAO]],tblVendas[[#This Row],[NR_SIMULACAO]],tblVendas[[#This Row],[VALOR_APARELHO]],""))</f>
        <v>13297.66</v>
      </c>
      <c r="F866">
        <f>IF(tblCalculo[[#This Row],[STATUS]]="CONCLUÍDO",_xlfn.XLOOKUP(tblCalculo[[#This Row],[NR_SIMULACAO]],tblVendas[[#This Row],[NR_SIMULACAO]],tblVendas[[#This Row],[VALOR_MOVEL]],""),0)</f>
        <v>2299.62</v>
      </c>
      <c r="G866">
        <f>IF(tblCalculo[[#This Row],[STATUS]]="CONCLUÍDO",_xlfn.XLOOKUP(tblCalculo[[#This Row],[NR_SIMULACAO]],tblVendas[[#This Row],[NR_SIMULACAO]],tblVendas[[#This Row],[VALOR_AVANCADO]],""),0)</f>
        <v>4530.96</v>
      </c>
      <c r="H866">
        <f>IF(tblCalculo[[#This Row],[STATUS]]="CONCLUÍDO",_xlfn.XLOOKUP(tblCalculo[[#This Row],[NR_SIMULACAO]],tblVendas[[#This Row],[NR_SIMULACAO]],tblVendas[[#This Row],[VALOR_FIXABASICA]],""),0)</f>
        <v>1947.74</v>
      </c>
      <c r="I866">
        <f>IF(tblCalculo[[#This Row],[STATUS]]="CONCLUÍDO",_xlfn.XLOOKUP(tblCalculo[[#This Row],[NR_SIMULACAO]],tblVendas[[#This Row],[NR_SIMULACAO]],tblVendas[[#This Row],[VALOR_TI]],""),0)</f>
        <v>4519.34</v>
      </c>
      <c r="J866">
        <f>IF(tblCalculo[[#This Row],[STATUS]]="CONCLUÍDO",_xlfn.XLOOKUP(tblCalculo[[#This Row],[NR_SIMULACAO]],tblVendas[[#This Row],[NR_SIMULACAO]],tblVendas[[#This Row],[VALOR_APARELHO]],""),0)</f>
        <v>0</v>
      </c>
      <c r="K866" t="str">
        <f>IF(tblCalculo[[#This Row],[STATUS]]="NEGOCIANDO",tblCalculo[[#This Row],[VALOR_TOTAL]],"")</f>
        <v/>
      </c>
      <c r="L866" t="str">
        <f>IF(tblCalculo[[#This Row],[STATUS]]="ALÇADA",tblCalculo[[#This Row],[VALOR_TOTAL]],"")</f>
        <v/>
      </c>
      <c r="M866" t="str">
        <f>IF(tblCalculo[[#This Row],[STATUS]]="EM ANÁLISE",tblCalculo[[#This Row],[VALOR_TOTAL]],"")</f>
        <v/>
      </c>
      <c r="N866" t="str">
        <f>IF(tblCalculo[[#This Row],[STATUS]]="TRAMITANDO",tblCalculo[[#This Row],[VALOR_TOTAL]],"")</f>
        <v/>
      </c>
      <c r="O866" t="str">
        <f>IF(tblCalculo[[#This Row],[STATUS]]="PERDIDO",tblCalculo[[#This Row],[VALOR_TOTAL]],"")</f>
        <v/>
      </c>
      <c r="P866">
        <f>IF(tblCalculo[[#This Row],[STATUS]]="CONCLUÍDO",tblCalculo[[#This Row],[VALOR_TOTAL]],"")</f>
        <v>13297.66</v>
      </c>
    </row>
    <row r="867" spans="1:16" x14ac:dyDescent="0.25">
      <c r="A867" t="str">
        <f>tblVendas[[#This Row],[NR_SIMULACAO]]</f>
        <v>SIM1857</v>
      </c>
      <c r="B867" s="34" t="str">
        <f>_xlfn.XLOOKUP(A867,tblVendas[[#This Row],[NR_SIMULACAO]],tblVendas[[#This Row],[NR_CNPJ]],"")</f>
        <v>46.582.982/0001-56</v>
      </c>
      <c r="C867" t="str">
        <f>_xlfn.XLOOKUP(A867,tblVendas[[#This Row],[NR_SIMULACAO]],tblVendas[[#This Row],[STATUS]],"")</f>
        <v>PERDIDO</v>
      </c>
      <c r="D867" t="str">
        <f>_xlfn.XLOOKUP(A867,tblVendas[[#This Row],[NR_SIMULACAO]],tblVendas[[#This Row],[MES]],"")</f>
        <v>Maio</v>
      </c>
      <c r="E867">
        <f>SUM(_xlfn.XLOOKUP(tblCalculo[[#This Row],[NR_SIMULACAO]],tblVendas[[#This Row],[NR_SIMULACAO]],tblVendas[[#This Row],[VALOR_MOVEL]],""):_xlfn.XLOOKUP(tblCalculo[[#This Row],[NR_SIMULACAO]],tblVendas[[#This Row],[NR_SIMULACAO]],tblVendas[[#This Row],[VALOR_APARELHO]],""))</f>
        <v>10526.52</v>
      </c>
      <c r="F867">
        <f>IF(tblCalculo[[#This Row],[STATUS]]="CONCLUÍDO",_xlfn.XLOOKUP(tblCalculo[[#This Row],[NR_SIMULACAO]],tblVendas[[#This Row],[NR_SIMULACAO]],tblVendas[[#This Row],[VALOR_MOVEL]],""),0)</f>
        <v>0</v>
      </c>
      <c r="G867">
        <f>IF(tblCalculo[[#This Row],[STATUS]]="CONCLUÍDO",_xlfn.XLOOKUP(tblCalculo[[#This Row],[NR_SIMULACAO]],tblVendas[[#This Row],[NR_SIMULACAO]],tblVendas[[#This Row],[VALOR_AVANCADO]],""),0)</f>
        <v>0</v>
      </c>
      <c r="H867">
        <f>IF(tblCalculo[[#This Row],[STATUS]]="CONCLUÍDO",_xlfn.XLOOKUP(tblCalculo[[#This Row],[NR_SIMULACAO]],tblVendas[[#This Row],[NR_SIMULACAO]],tblVendas[[#This Row],[VALOR_FIXABASICA]],""),0)</f>
        <v>0</v>
      </c>
      <c r="I867">
        <f>IF(tblCalculo[[#This Row],[STATUS]]="CONCLUÍDO",_xlfn.XLOOKUP(tblCalculo[[#This Row],[NR_SIMULACAO]],tblVendas[[#This Row],[NR_SIMULACAO]],tblVendas[[#This Row],[VALOR_TI]],""),0)</f>
        <v>0</v>
      </c>
      <c r="J867">
        <f>IF(tblCalculo[[#This Row],[STATUS]]="CONCLUÍDO",_xlfn.XLOOKUP(tblCalculo[[#This Row],[NR_SIMULACAO]],tblVendas[[#This Row],[NR_SIMULACAO]],tblVendas[[#This Row],[VALOR_APARELHO]],""),0)</f>
        <v>0</v>
      </c>
      <c r="K867" t="str">
        <f>IF(tblCalculo[[#This Row],[STATUS]]="NEGOCIANDO",tblCalculo[[#This Row],[VALOR_TOTAL]],"")</f>
        <v/>
      </c>
      <c r="L867" t="str">
        <f>IF(tblCalculo[[#This Row],[STATUS]]="ALÇADA",tblCalculo[[#This Row],[VALOR_TOTAL]],"")</f>
        <v/>
      </c>
      <c r="M867" t="str">
        <f>IF(tblCalculo[[#This Row],[STATUS]]="EM ANÁLISE",tblCalculo[[#This Row],[VALOR_TOTAL]],"")</f>
        <v/>
      </c>
      <c r="N867" t="str">
        <f>IF(tblCalculo[[#This Row],[STATUS]]="TRAMITANDO",tblCalculo[[#This Row],[VALOR_TOTAL]],"")</f>
        <v/>
      </c>
      <c r="O867">
        <f>IF(tblCalculo[[#This Row],[STATUS]]="PERDIDO",tblCalculo[[#This Row],[VALOR_TOTAL]],"")</f>
        <v>10526.52</v>
      </c>
      <c r="P867" t="str">
        <f>IF(tblCalculo[[#This Row],[STATUS]]="CONCLUÍDO",tblCalculo[[#This Row],[VALOR_TOTAL]],"")</f>
        <v/>
      </c>
    </row>
    <row r="868" spans="1:16" x14ac:dyDescent="0.25">
      <c r="A868" t="str">
        <f>tblVendas[[#This Row],[NR_SIMULACAO]]</f>
        <v>SIM1858</v>
      </c>
      <c r="B868" s="34" t="str">
        <f>_xlfn.XLOOKUP(A868,tblVendas[[#This Row],[NR_SIMULACAO]],tblVendas[[#This Row],[NR_CNPJ]],"")</f>
        <v>37.949.462/0001-78</v>
      </c>
      <c r="C868" t="str">
        <f>_xlfn.XLOOKUP(A868,tblVendas[[#This Row],[NR_SIMULACAO]],tblVendas[[#This Row],[STATUS]],"")</f>
        <v>CONCLUÍDO</v>
      </c>
      <c r="D868" t="str">
        <f>_xlfn.XLOOKUP(A868,tblVendas[[#This Row],[NR_SIMULACAO]],tblVendas[[#This Row],[MES]],"")</f>
        <v>Dezembro</v>
      </c>
      <c r="E868">
        <f>SUM(_xlfn.XLOOKUP(tblCalculo[[#This Row],[NR_SIMULACAO]],tblVendas[[#This Row],[NR_SIMULACAO]],tblVendas[[#This Row],[VALOR_MOVEL]],""):_xlfn.XLOOKUP(tblCalculo[[#This Row],[NR_SIMULACAO]],tblVendas[[#This Row],[NR_SIMULACAO]],tblVendas[[#This Row],[VALOR_APARELHO]],""))</f>
        <v>11687.83</v>
      </c>
      <c r="F868">
        <f>IF(tblCalculo[[#This Row],[STATUS]]="CONCLUÍDO",_xlfn.XLOOKUP(tblCalculo[[#This Row],[NR_SIMULACAO]],tblVendas[[#This Row],[NR_SIMULACAO]],tblVendas[[#This Row],[VALOR_MOVEL]],""),0)</f>
        <v>0</v>
      </c>
      <c r="G868">
        <f>IF(tblCalculo[[#This Row],[STATUS]]="CONCLUÍDO",_xlfn.XLOOKUP(tblCalculo[[#This Row],[NR_SIMULACAO]],tblVendas[[#This Row],[NR_SIMULACAO]],tblVendas[[#This Row],[VALOR_AVANCADO]],""),0)</f>
        <v>0</v>
      </c>
      <c r="H868">
        <f>IF(tblCalculo[[#This Row],[STATUS]]="CONCLUÍDO",_xlfn.XLOOKUP(tblCalculo[[#This Row],[NR_SIMULACAO]],tblVendas[[#This Row],[NR_SIMULACAO]],tblVendas[[#This Row],[VALOR_FIXABASICA]],""),0)</f>
        <v>1020.08</v>
      </c>
      <c r="I868">
        <f>IF(tblCalculo[[#This Row],[STATUS]]="CONCLUÍDO",_xlfn.XLOOKUP(tblCalculo[[#This Row],[NR_SIMULACAO]],tblVendas[[#This Row],[NR_SIMULACAO]],tblVendas[[#This Row],[VALOR_TI]],""),0)</f>
        <v>0</v>
      </c>
      <c r="J868">
        <f>IF(tblCalculo[[#This Row],[STATUS]]="CONCLUÍDO",_xlfn.XLOOKUP(tblCalculo[[#This Row],[NR_SIMULACAO]],tblVendas[[#This Row],[NR_SIMULACAO]],tblVendas[[#This Row],[VALOR_APARELHO]],""),0)</f>
        <v>10667.75</v>
      </c>
      <c r="K868" t="str">
        <f>IF(tblCalculo[[#This Row],[STATUS]]="NEGOCIANDO",tblCalculo[[#This Row],[VALOR_TOTAL]],"")</f>
        <v/>
      </c>
      <c r="L868" t="str">
        <f>IF(tblCalculo[[#This Row],[STATUS]]="ALÇADA",tblCalculo[[#This Row],[VALOR_TOTAL]],"")</f>
        <v/>
      </c>
      <c r="M868" t="str">
        <f>IF(tblCalculo[[#This Row],[STATUS]]="EM ANÁLISE",tblCalculo[[#This Row],[VALOR_TOTAL]],"")</f>
        <v/>
      </c>
      <c r="N868" t="str">
        <f>IF(tblCalculo[[#This Row],[STATUS]]="TRAMITANDO",tblCalculo[[#This Row],[VALOR_TOTAL]],"")</f>
        <v/>
      </c>
      <c r="O868" t="str">
        <f>IF(tblCalculo[[#This Row],[STATUS]]="PERDIDO",tblCalculo[[#This Row],[VALOR_TOTAL]],"")</f>
        <v/>
      </c>
      <c r="P868">
        <f>IF(tblCalculo[[#This Row],[STATUS]]="CONCLUÍDO",tblCalculo[[#This Row],[VALOR_TOTAL]],"")</f>
        <v>11687.83</v>
      </c>
    </row>
    <row r="869" spans="1:16" x14ac:dyDescent="0.25">
      <c r="A869" t="str">
        <f>tblVendas[[#This Row],[NR_SIMULACAO]]</f>
        <v>SIM1859</v>
      </c>
      <c r="B869" s="34" t="str">
        <f>_xlfn.XLOOKUP(A869,tblVendas[[#This Row],[NR_SIMULACAO]],tblVendas[[#This Row],[NR_CNPJ]],"")</f>
        <v>97.771.835/0001-26</v>
      </c>
      <c r="C869" t="str">
        <f>_xlfn.XLOOKUP(A869,tblVendas[[#This Row],[NR_SIMULACAO]],tblVendas[[#This Row],[STATUS]],"")</f>
        <v>PERDIDO</v>
      </c>
      <c r="D869" t="str">
        <f>_xlfn.XLOOKUP(A869,tblVendas[[#This Row],[NR_SIMULACAO]],tblVendas[[#This Row],[MES]],"")</f>
        <v>Fevereiro</v>
      </c>
      <c r="E869">
        <f>SUM(_xlfn.XLOOKUP(tblCalculo[[#This Row],[NR_SIMULACAO]],tblVendas[[#This Row],[NR_SIMULACAO]],tblVendas[[#This Row],[VALOR_MOVEL]],""):_xlfn.XLOOKUP(tblCalculo[[#This Row],[NR_SIMULACAO]],tblVendas[[#This Row],[NR_SIMULACAO]],tblVendas[[#This Row],[VALOR_APARELHO]],""))</f>
        <v>1973.52</v>
      </c>
      <c r="F869">
        <f>IF(tblCalculo[[#This Row],[STATUS]]="CONCLUÍDO",_xlfn.XLOOKUP(tblCalculo[[#This Row],[NR_SIMULACAO]],tblVendas[[#This Row],[NR_SIMULACAO]],tblVendas[[#This Row],[VALOR_MOVEL]],""),0)</f>
        <v>0</v>
      </c>
      <c r="G869">
        <f>IF(tblCalculo[[#This Row],[STATUS]]="CONCLUÍDO",_xlfn.XLOOKUP(tblCalculo[[#This Row],[NR_SIMULACAO]],tblVendas[[#This Row],[NR_SIMULACAO]],tblVendas[[#This Row],[VALOR_AVANCADO]],""),0)</f>
        <v>0</v>
      </c>
      <c r="H869">
        <f>IF(tblCalculo[[#This Row],[STATUS]]="CONCLUÍDO",_xlfn.XLOOKUP(tblCalculo[[#This Row],[NR_SIMULACAO]],tblVendas[[#This Row],[NR_SIMULACAO]],tblVendas[[#This Row],[VALOR_FIXABASICA]],""),0)</f>
        <v>0</v>
      </c>
      <c r="I869">
        <f>IF(tblCalculo[[#This Row],[STATUS]]="CONCLUÍDO",_xlfn.XLOOKUP(tblCalculo[[#This Row],[NR_SIMULACAO]],tblVendas[[#This Row],[NR_SIMULACAO]],tblVendas[[#This Row],[VALOR_TI]],""),0)</f>
        <v>0</v>
      </c>
      <c r="J869">
        <f>IF(tblCalculo[[#This Row],[STATUS]]="CONCLUÍDO",_xlfn.XLOOKUP(tblCalculo[[#This Row],[NR_SIMULACAO]],tblVendas[[#This Row],[NR_SIMULACAO]],tblVendas[[#This Row],[VALOR_APARELHO]],""),0)</f>
        <v>0</v>
      </c>
      <c r="K869" t="str">
        <f>IF(tblCalculo[[#This Row],[STATUS]]="NEGOCIANDO",tblCalculo[[#This Row],[VALOR_TOTAL]],"")</f>
        <v/>
      </c>
      <c r="L869" t="str">
        <f>IF(tblCalculo[[#This Row],[STATUS]]="ALÇADA",tblCalculo[[#This Row],[VALOR_TOTAL]],"")</f>
        <v/>
      </c>
      <c r="M869" t="str">
        <f>IF(tblCalculo[[#This Row],[STATUS]]="EM ANÁLISE",tblCalculo[[#This Row],[VALOR_TOTAL]],"")</f>
        <v/>
      </c>
      <c r="N869" t="str">
        <f>IF(tblCalculo[[#This Row],[STATUS]]="TRAMITANDO",tblCalculo[[#This Row],[VALOR_TOTAL]],"")</f>
        <v/>
      </c>
      <c r="O869">
        <f>IF(tblCalculo[[#This Row],[STATUS]]="PERDIDO",tblCalculo[[#This Row],[VALOR_TOTAL]],"")</f>
        <v>1973.52</v>
      </c>
      <c r="P869" t="str">
        <f>IF(tblCalculo[[#This Row],[STATUS]]="CONCLUÍDO",tblCalculo[[#This Row],[VALOR_TOTAL]],"")</f>
        <v/>
      </c>
    </row>
    <row r="870" spans="1:16" x14ac:dyDescent="0.25">
      <c r="A870" t="str">
        <f>tblVendas[[#This Row],[NR_SIMULACAO]]</f>
        <v>SIM1860</v>
      </c>
      <c r="B870" s="34" t="str">
        <f>_xlfn.XLOOKUP(A870,tblVendas[[#This Row],[NR_SIMULACAO]],tblVendas[[#This Row],[NR_CNPJ]],"")</f>
        <v>20.965.610/0001-82</v>
      </c>
      <c r="C870" t="str">
        <f>_xlfn.XLOOKUP(A870,tblVendas[[#This Row],[NR_SIMULACAO]],tblVendas[[#This Row],[STATUS]],"")</f>
        <v>EM ANÁLISE</v>
      </c>
      <c r="D870" t="str">
        <f>_xlfn.XLOOKUP(A870,tblVendas[[#This Row],[NR_SIMULACAO]],tblVendas[[#This Row],[MES]],"")</f>
        <v>Abril</v>
      </c>
      <c r="E870">
        <f>SUM(_xlfn.XLOOKUP(tblCalculo[[#This Row],[NR_SIMULACAO]],tblVendas[[#This Row],[NR_SIMULACAO]],tblVendas[[#This Row],[VALOR_MOVEL]],""):_xlfn.XLOOKUP(tblCalculo[[#This Row],[NR_SIMULACAO]],tblVendas[[#This Row],[NR_SIMULACAO]],tblVendas[[#This Row],[VALOR_APARELHO]],""))</f>
        <v>2563.3599999999997</v>
      </c>
      <c r="F870">
        <f>IF(tblCalculo[[#This Row],[STATUS]]="CONCLUÍDO",_xlfn.XLOOKUP(tblCalculo[[#This Row],[NR_SIMULACAO]],tblVendas[[#This Row],[NR_SIMULACAO]],tblVendas[[#This Row],[VALOR_MOVEL]],""),0)</f>
        <v>0</v>
      </c>
      <c r="G870">
        <f>IF(tblCalculo[[#This Row],[STATUS]]="CONCLUÍDO",_xlfn.XLOOKUP(tblCalculo[[#This Row],[NR_SIMULACAO]],tblVendas[[#This Row],[NR_SIMULACAO]],tblVendas[[#This Row],[VALOR_AVANCADO]],""),0)</f>
        <v>0</v>
      </c>
      <c r="H870">
        <f>IF(tblCalculo[[#This Row],[STATUS]]="CONCLUÍDO",_xlfn.XLOOKUP(tblCalculo[[#This Row],[NR_SIMULACAO]],tblVendas[[#This Row],[NR_SIMULACAO]],tblVendas[[#This Row],[VALOR_FIXABASICA]],""),0)</f>
        <v>0</v>
      </c>
      <c r="I870">
        <f>IF(tblCalculo[[#This Row],[STATUS]]="CONCLUÍDO",_xlfn.XLOOKUP(tblCalculo[[#This Row],[NR_SIMULACAO]],tblVendas[[#This Row],[NR_SIMULACAO]],tblVendas[[#This Row],[VALOR_TI]],""),0)</f>
        <v>0</v>
      </c>
      <c r="J870">
        <f>IF(tblCalculo[[#This Row],[STATUS]]="CONCLUÍDO",_xlfn.XLOOKUP(tblCalculo[[#This Row],[NR_SIMULACAO]],tblVendas[[#This Row],[NR_SIMULACAO]],tblVendas[[#This Row],[VALOR_APARELHO]],""),0)</f>
        <v>0</v>
      </c>
      <c r="K870" t="str">
        <f>IF(tblCalculo[[#This Row],[STATUS]]="NEGOCIANDO",tblCalculo[[#This Row],[VALOR_TOTAL]],"")</f>
        <v/>
      </c>
      <c r="L870" t="str">
        <f>IF(tblCalculo[[#This Row],[STATUS]]="ALÇADA",tblCalculo[[#This Row],[VALOR_TOTAL]],"")</f>
        <v/>
      </c>
      <c r="M870">
        <f>IF(tblCalculo[[#This Row],[STATUS]]="EM ANÁLISE",tblCalculo[[#This Row],[VALOR_TOTAL]],"")</f>
        <v>2563.3599999999997</v>
      </c>
      <c r="N870" t="str">
        <f>IF(tblCalculo[[#This Row],[STATUS]]="TRAMITANDO",tblCalculo[[#This Row],[VALOR_TOTAL]],"")</f>
        <v/>
      </c>
      <c r="O870" t="str">
        <f>IF(tblCalculo[[#This Row],[STATUS]]="PERDIDO",tblCalculo[[#This Row],[VALOR_TOTAL]],"")</f>
        <v/>
      </c>
      <c r="P870" t="str">
        <f>IF(tblCalculo[[#This Row],[STATUS]]="CONCLUÍDO",tblCalculo[[#This Row],[VALOR_TOTAL]],"")</f>
        <v/>
      </c>
    </row>
    <row r="871" spans="1:16" x14ac:dyDescent="0.25">
      <c r="A871" t="str">
        <f>tblVendas[[#This Row],[NR_SIMULACAO]]</f>
        <v>SIM1861</v>
      </c>
      <c r="B871" s="34" t="str">
        <f>_xlfn.XLOOKUP(A871,tblVendas[[#This Row],[NR_SIMULACAO]],tblVendas[[#This Row],[NR_CNPJ]],"")</f>
        <v>32.894.951/0001-75</v>
      </c>
      <c r="C871" t="str">
        <f>_xlfn.XLOOKUP(A871,tblVendas[[#This Row],[NR_SIMULACAO]],tblVendas[[#This Row],[STATUS]],"")</f>
        <v>TRAMITANDO</v>
      </c>
      <c r="D871" t="str">
        <f>_xlfn.XLOOKUP(A871,tblVendas[[#This Row],[NR_SIMULACAO]],tblVendas[[#This Row],[MES]],"")</f>
        <v>Agosto</v>
      </c>
      <c r="E871">
        <f>SUM(_xlfn.XLOOKUP(tblCalculo[[#This Row],[NR_SIMULACAO]],tblVendas[[#This Row],[NR_SIMULACAO]],tblVendas[[#This Row],[VALOR_MOVEL]],""):_xlfn.XLOOKUP(tblCalculo[[#This Row],[NR_SIMULACAO]],tblVendas[[#This Row],[NR_SIMULACAO]],tblVendas[[#This Row],[VALOR_APARELHO]],""))</f>
        <v>10903.939999999999</v>
      </c>
      <c r="F871">
        <f>IF(tblCalculo[[#This Row],[STATUS]]="CONCLUÍDO",_xlfn.XLOOKUP(tblCalculo[[#This Row],[NR_SIMULACAO]],tblVendas[[#This Row],[NR_SIMULACAO]],tblVendas[[#This Row],[VALOR_MOVEL]],""),0)</f>
        <v>0</v>
      </c>
      <c r="G871">
        <f>IF(tblCalculo[[#This Row],[STATUS]]="CONCLUÍDO",_xlfn.XLOOKUP(tblCalculo[[#This Row],[NR_SIMULACAO]],tblVendas[[#This Row],[NR_SIMULACAO]],tblVendas[[#This Row],[VALOR_AVANCADO]],""),0)</f>
        <v>0</v>
      </c>
      <c r="H871">
        <f>IF(tblCalculo[[#This Row],[STATUS]]="CONCLUÍDO",_xlfn.XLOOKUP(tblCalculo[[#This Row],[NR_SIMULACAO]],tblVendas[[#This Row],[NR_SIMULACAO]],tblVendas[[#This Row],[VALOR_FIXABASICA]],""),0)</f>
        <v>0</v>
      </c>
      <c r="I871">
        <f>IF(tblCalculo[[#This Row],[STATUS]]="CONCLUÍDO",_xlfn.XLOOKUP(tblCalculo[[#This Row],[NR_SIMULACAO]],tblVendas[[#This Row],[NR_SIMULACAO]],tblVendas[[#This Row],[VALOR_TI]],""),0)</f>
        <v>0</v>
      </c>
      <c r="J871">
        <f>IF(tblCalculo[[#This Row],[STATUS]]="CONCLUÍDO",_xlfn.XLOOKUP(tblCalculo[[#This Row],[NR_SIMULACAO]],tblVendas[[#This Row],[NR_SIMULACAO]],tblVendas[[#This Row],[VALOR_APARELHO]],""),0)</f>
        <v>0</v>
      </c>
      <c r="K871" t="str">
        <f>IF(tblCalculo[[#This Row],[STATUS]]="NEGOCIANDO",tblCalculo[[#This Row],[VALOR_TOTAL]],"")</f>
        <v/>
      </c>
      <c r="L871" t="str">
        <f>IF(tblCalculo[[#This Row],[STATUS]]="ALÇADA",tblCalculo[[#This Row],[VALOR_TOTAL]],"")</f>
        <v/>
      </c>
      <c r="M871" t="str">
        <f>IF(tblCalculo[[#This Row],[STATUS]]="EM ANÁLISE",tblCalculo[[#This Row],[VALOR_TOTAL]],"")</f>
        <v/>
      </c>
      <c r="N871">
        <f>IF(tblCalculo[[#This Row],[STATUS]]="TRAMITANDO",tblCalculo[[#This Row],[VALOR_TOTAL]],"")</f>
        <v>10903.939999999999</v>
      </c>
      <c r="O871" t="str">
        <f>IF(tblCalculo[[#This Row],[STATUS]]="PERDIDO",tblCalculo[[#This Row],[VALOR_TOTAL]],"")</f>
        <v/>
      </c>
      <c r="P871" t="str">
        <f>IF(tblCalculo[[#This Row],[STATUS]]="CONCLUÍDO",tblCalculo[[#This Row],[VALOR_TOTAL]],"")</f>
        <v/>
      </c>
    </row>
    <row r="872" spans="1:16" x14ac:dyDescent="0.25">
      <c r="A872" t="str">
        <f>tblVendas[[#This Row],[NR_SIMULACAO]]</f>
        <v>SIM1862</v>
      </c>
      <c r="B872" s="34" t="str">
        <f>_xlfn.XLOOKUP(A872,tblVendas[[#This Row],[NR_SIMULACAO]],tblVendas[[#This Row],[NR_CNPJ]],"")</f>
        <v>80.713.892/0001-15</v>
      </c>
      <c r="C872" t="str">
        <f>_xlfn.XLOOKUP(A872,tblVendas[[#This Row],[NR_SIMULACAO]],tblVendas[[#This Row],[STATUS]],"")</f>
        <v>TRAMITANDO</v>
      </c>
      <c r="D872" t="str">
        <f>_xlfn.XLOOKUP(A872,tblVendas[[#This Row],[NR_SIMULACAO]],tblVendas[[#This Row],[MES]],"")</f>
        <v>Março</v>
      </c>
      <c r="E872">
        <f>SUM(_xlfn.XLOOKUP(tblCalculo[[#This Row],[NR_SIMULACAO]],tblVendas[[#This Row],[NR_SIMULACAO]],tblVendas[[#This Row],[VALOR_MOVEL]],""):_xlfn.XLOOKUP(tblCalculo[[#This Row],[NR_SIMULACAO]],tblVendas[[#This Row],[NR_SIMULACAO]],tblVendas[[#This Row],[VALOR_APARELHO]],""))</f>
        <v>15362</v>
      </c>
      <c r="F872">
        <f>IF(tblCalculo[[#This Row],[STATUS]]="CONCLUÍDO",_xlfn.XLOOKUP(tblCalculo[[#This Row],[NR_SIMULACAO]],tblVendas[[#This Row],[NR_SIMULACAO]],tblVendas[[#This Row],[VALOR_MOVEL]],""),0)</f>
        <v>0</v>
      </c>
      <c r="G872">
        <f>IF(tblCalculo[[#This Row],[STATUS]]="CONCLUÍDO",_xlfn.XLOOKUP(tblCalculo[[#This Row],[NR_SIMULACAO]],tblVendas[[#This Row],[NR_SIMULACAO]],tblVendas[[#This Row],[VALOR_AVANCADO]],""),0)</f>
        <v>0</v>
      </c>
      <c r="H872">
        <f>IF(tblCalculo[[#This Row],[STATUS]]="CONCLUÍDO",_xlfn.XLOOKUP(tblCalculo[[#This Row],[NR_SIMULACAO]],tblVendas[[#This Row],[NR_SIMULACAO]],tblVendas[[#This Row],[VALOR_FIXABASICA]],""),0)</f>
        <v>0</v>
      </c>
      <c r="I872">
        <f>IF(tblCalculo[[#This Row],[STATUS]]="CONCLUÍDO",_xlfn.XLOOKUP(tblCalculo[[#This Row],[NR_SIMULACAO]],tblVendas[[#This Row],[NR_SIMULACAO]],tblVendas[[#This Row],[VALOR_TI]],""),0)</f>
        <v>0</v>
      </c>
      <c r="J872">
        <f>IF(tblCalculo[[#This Row],[STATUS]]="CONCLUÍDO",_xlfn.XLOOKUP(tblCalculo[[#This Row],[NR_SIMULACAO]],tblVendas[[#This Row],[NR_SIMULACAO]],tblVendas[[#This Row],[VALOR_APARELHO]],""),0)</f>
        <v>0</v>
      </c>
      <c r="K872" t="str">
        <f>IF(tblCalculo[[#This Row],[STATUS]]="NEGOCIANDO",tblCalculo[[#This Row],[VALOR_TOTAL]],"")</f>
        <v/>
      </c>
      <c r="L872" t="str">
        <f>IF(tblCalculo[[#This Row],[STATUS]]="ALÇADA",tblCalculo[[#This Row],[VALOR_TOTAL]],"")</f>
        <v/>
      </c>
      <c r="M872" t="str">
        <f>IF(tblCalculo[[#This Row],[STATUS]]="EM ANÁLISE",tblCalculo[[#This Row],[VALOR_TOTAL]],"")</f>
        <v/>
      </c>
      <c r="N872">
        <f>IF(tblCalculo[[#This Row],[STATUS]]="TRAMITANDO",tblCalculo[[#This Row],[VALOR_TOTAL]],"")</f>
        <v>15362</v>
      </c>
      <c r="O872" t="str">
        <f>IF(tblCalculo[[#This Row],[STATUS]]="PERDIDO",tblCalculo[[#This Row],[VALOR_TOTAL]],"")</f>
        <v/>
      </c>
      <c r="P872" t="str">
        <f>IF(tblCalculo[[#This Row],[STATUS]]="CONCLUÍDO",tblCalculo[[#This Row],[VALOR_TOTAL]],"")</f>
        <v/>
      </c>
    </row>
    <row r="873" spans="1:16" x14ac:dyDescent="0.25">
      <c r="A873" t="str">
        <f>tblVendas[[#This Row],[NR_SIMULACAO]]</f>
        <v>SIM1863</v>
      </c>
      <c r="B873" s="34" t="str">
        <f>_xlfn.XLOOKUP(A873,tblVendas[[#This Row],[NR_SIMULACAO]],tblVendas[[#This Row],[NR_CNPJ]],"")</f>
        <v>26.156.492/0001-43</v>
      </c>
      <c r="C873" t="str">
        <f>_xlfn.XLOOKUP(A873,tblVendas[[#This Row],[NR_SIMULACAO]],tblVendas[[#This Row],[STATUS]],"")</f>
        <v>TRAMITANDO</v>
      </c>
      <c r="D873" t="str">
        <f>_xlfn.XLOOKUP(A873,tblVendas[[#This Row],[NR_SIMULACAO]],tblVendas[[#This Row],[MES]],"")</f>
        <v>Agosto</v>
      </c>
      <c r="E873">
        <f>SUM(_xlfn.XLOOKUP(tblCalculo[[#This Row],[NR_SIMULACAO]],tblVendas[[#This Row],[NR_SIMULACAO]],tblVendas[[#This Row],[VALOR_MOVEL]],""):_xlfn.XLOOKUP(tblCalculo[[#This Row],[NR_SIMULACAO]],tblVendas[[#This Row],[NR_SIMULACAO]],tblVendas[[#This Row],[VALOR_APARELHO]],""))</f>
        <v>14897.62</v>
      </c>
      <c r="F873">
        <f>IF(tblCalculo[[#This Row],[STATUS]]="CONCLUÍDO",_xlfn.XLOOKUP(tblCalculo[[#This Row],[NR_SIMULACAO]],tblVendas[[#This Row],[NR_SIMULACAO]],tblVendas[[#This Row],[VALOR_MOVEL]],""),0)</f>
        <v>0</v>
      </c>
      <c r="G873">
        <f>IF(tblCalculo[[#This Row],[STATUS]]="CONCLUÍDO",_xlfn.XLOOKUP(tblCalculo[[#This Row],[NR_SIMULACAO]],tblVendas[[#This Row],[NR_SIMULACAO]],tblVendas[[#This Row],[VALOR_AVANCADO]],""),0)</f>
        <v>0</v>
      </c>
      <c r="H873">
        <f>IF(tblCalculo[[#This Row],[STATUS]]="CONCLUÍDO",_xlfn.XLOOKUP(tblCalculo[[#This Row],[NR_SIMULACAO]],tblVendas[[#This Row],[NR_SIMULACAO]],tblVendas[[#This Row],[VALOR_FIXABASICA]],""),0)</f>
        <v>0</v>
      </c>
      <c r="I873">
        <f>IF(tblCalculo[[#This Row],[STATUS]]="CONCLUÍDO",_xlfn.XLOOKUP(tblCalculo[[#This Row],[NR_SIMULACAO]],tblVendas[[#This Row],[NR_SIMULACAO]],tblVendas[[#This Row],[VALOR_TI]],""),0)</f>
        <v>0</v>
      </c>
      <c r="J873">
        <f>IF(tblCalculo[[#This Row],[STATUS]]="CONCLUÍDO",_xlfn.XLOOKUP(tblCalculo[[#This Row],[NR_SIMULACAO]],tblVendas[[#This Row],[NR_SIMULACAO]],tblVendas[[#This Row],[VALOR_APARELHO]],""),0)</f>
        <v>0</v>
      </c>
      <c r="K873" t="str">
        <f>IF(tblCalculo[[#This Row],[STATUS]]="NEGOCIANDO",tblCalculo[[#This Row],[VALOR_TOTAL]],"")</f>
        <v/>
      </c>
      <c r="L873" t="str">
        <f>IF(tblCalculo[[#This Row],[STATUS]]="ALÇADA",tblCalculo[[#This Row],[VALOR_TOTAL]],"")</f>
        <v/>
      </c>
      <c r="M873" t="str">
        <f>IF(tblCalculo[[#This Row],[STATUS]]="EM ANÁLISE",tblCalculo[[#This Row],[VALOR_TOTAL]],"")</f>
        <v/>
      </c>
      <c r="N873">
        <f>IF(tblCalculo[[#This Row],[STATUS]]="TRAMITANDO",tblCalculo[[#This Row],[VALOR_TOTAL]],"")</f>
        <v>14897.62</v>
      </c>
      <c r="O873" t="str">
        <f>IF(tblCalculo[[#This Row],[STATUS]]="PERDIDO",tblCalculo[[#This Row],[VALOR_TOTAL]],"")</f>
        <v/>
      </c>
      <c r="P873" t="str">
        <f>IF(tblCalculo[[#This Row],[STATUS]]="CONCLUÍDO",tblCalculo[[#This Row],[VALOR_TOTAL]],"")</f>
        <v/>
      </c>
    </row>
    <row r="874" spans="1:16" x14ac:dyDescent="0.25">
      <c r="A874" t="str">
        <f>tblVendas[[#This Row],[NR_SIMULACAO]]</f>
        <v>SIM1864</v>
      </c>
      <c r="B874" s="34" t="str">
        <f>_xlfn.XLOOKUP(A874,tblVendas[[#This Row],[NR_SIMULACAO]],tblVendas[[#This Row],[NR_CNPJ]],"")</f>
        <v>14.221.457/0001-25</v>
      </c>
      <c r="C874" t="str">
        <f>_xlfn.XLOOKUP(A874,tblVendas[[#This Row],[NR_SIMULACAO]],tblVendas[[#This Row],[STATUS]],"")</f>
        <v>ALÇADA</v>
      </c>
      <c r="D874" t="str">
        <f>_xlfn.XLOOKUP(A874,tblVendas[[#This Row],[NR_SIMULACAO]],tblVendas[[#This Row],[MES]],"")</f>
        <v>Julho</v>
      </c>
      <c r="E874">
        <f>SUM(_xlfn.XLOOKUP(tblCalculo[[#This Row],[NR_SIMULACAO]],tblVendas[[#This Row],[NR_SIMULACAO]],tblVendas[[#This Row],[VALOR_MOVEL]],""):_xlfn.XLOOKUP(tblCalculo[[#This Row],[NR_SIMULACAO]],tblVendas[[#This Row],[NR_SIMULACAO]],tblVendas[[#This Row],[VALOR_APARELHO]],""))</f>
        <v>6454.58</v>
      </c>
      <c r="F874">
        <f>IF(tblCalculo[[#This Row],[STATUS]]="CONCLUÍDO",_xlfn.XLOOKUP(tblCalculo[[#This Row],[NR_SIMULACAO]],tblVendas[[#This Row],[NR_SIMULACAO]],tblVendas[[#This Row],[VALOR_MOVEL]],""),0)</f>
        <v>0</v>
      </c>
      <c r="G874">
        <f>IF(tblCalculo[[#This Row],[STATUS]]="CONCLUÍDO",_xlfn.XLOOKUP(tblCalculo[[#This Row],[NR_SIMULACAO]],tblVendas[[#This Row],[NR_SIMULACAO]],tblVendas[[#This Row],[VALOR_AVANCADO]],""),0)</f>
        <v>0</v>
      </c>
      <c r="H874">
        <f>IF(tblCalculo[[#This Row],[STATUS]]="CONCLUÍDO",_xlfn.XLOOKUP(tblCalculo[[#This Row],[NR_SIMULACAO]],tblVendas[[#This Row],[NR_SIMULACAO]],tblVendas[[#This Row],[VALOR_FIXABASICA]],""),0)</f>
        <v>0</v>
      </c>
      <c r="I874">
        <f>IF(tblCalculo[[#This Row],[STATUS]]="CONCLUÍDO",_xlfn.XLOOKUP(tblCalculo[[#This Row],[NR_SIMULACAO]],tblVendas[[#This Row],[NR_SIMULACAO]],tblVendas[[#This Row],[VALOR_TI]],""),0)</f>
        <v>0</v>
      </c>
      <c r="J874">
        <f>IF(tblCalculo[[#This Row],[STATUS]]="CONCLUÍDO",_xlfn.XLOOKUP(tblCalculo[[#This Row],[NR_SIMULACAO]],tblVendas[[#This Row],[NR_SIMULACAO]],tblVendas[[#This Row],[VALOR_APARELHO]],""),0)</f>
        <v>0</v>
      </c>
      <c r="K874" t="str">
        <f>IF(tblCalculo[[#This Row],[STATUS]]="NEGOCIANDO",tblCalculo[[#This Row],[VALOR_TOTAL]],"")</f>
        <v/>
      </c>
      <c r="L874">
        <f>IF(tblCalculo[[#This Row],[STATUS]]="ALÇADA",tblCalculo[[#This Row],[VALOR_TOTAL]],"")</f>
        <v>6454.58</v>
      </c>
      <c r="M874" t="str">
        <f>IF(tblCalculo[[#This Row],[STATUS]]="EM ANÁLISE",tblCalculo[[#This Row],[VALOR_TOTAL]],"")</f>
        <v/>
      </c>
      <c r="N874" t="str">
        <f>IF(tblCalculo[[#This Row],[STATUS]]="TRAMITANDO",tblCalculo[[#This Row],[VALOR_TOTAL]],"")</f>
        <v/>
      </c>
      <c r="O874" t="str">
        <f>IF(tblCalculo[[#This Row],[STATUS]]="PERDIDO",tblCalculo[[#This Row],[VALOR_TOTAL]],"")</f>
        <v/>
      </c>
      <c r="P874" t="str">
        <f>IF(tblCalculo[[#This Row],[STATUS]]="CONCLUÍDO",tblCalculo[[#This Row],[VALOR_TOTAL]],"")</f>
        <v/>
      </c>
    </row>
    <row r="875" spans="1:16" x14ac:dyDescent="0.25">
      <c r="A875" t="str">
        <f>tblVendas[[#This Row],[NR_SIMULACAO]]</f>
        <v>SIM1865</v>
      </c>
      <c r="B875" s="34" t="str">
        <f>_xlfn.XLOOKUP(A875,tblVendas[[#This Row],[NR_SIMULACAO]],tblVendas[[#This Row],[NR_CNPJ]],"")</f>
        <v>99.375.246/0001-23</v>
      </c>
      <c r="C875" t="str">
        <f>_xlfn.XLOOKUP(A875,tblVendas[[#This Row],[NR_SIMULACAO]],tblVendas[[#This Row],[STATUS]],"")</f>
        <v>EM ANÁLISE</v>
      </c>
      <c r="D875" t="str">
        <f>_xlfn.XLOOKUP(A875,tblVendas[[#This Row],[NR_SIMULACAO]],tblVendas[[#This Row],[MES]],"")</f>
        <v>Maio</v>
      </c>
      <c r="E875">
        <f>SUM(_xlfn.XLOOKUP(tblCalculo[[#This Row],[NR_SIMULACAO]],tblVendas[[#This Row],[NR_SIMULACAO]],tblVendas[[#This Row],[VALOR_MOVEL]],""):_xlfn.XLOOKUP(tblCalculo[[#This Row],[NR_SIMULACAO]],tblVendas[[#This Row],[NR_SIMULACAO]],tblVendas[[#This Row],[VALOR_APARELHO]],""))</f>
        <v>17205.309999999998</v>
      </c>
      <c r="F875">
        <f>IF(tblCalculo[[#This Row],[STATUS]]="CONCLUÍDO",_xlfn.XLOOKUP(tblCalculo[[#This Row],[NR_SIMULACAO]],tblVendas[[#This Row],[NR_SIMULACAO]],tblVendas[[#This Row],[VALOR_MOVEL]],""),0)</f>
        <v>0</v>
      </c>
      <c r="G875">
        <f>IF(tblCalculo[[#This Row],[STATUS]]="CONCLUÍDO",_xlfn.XLOOKUP(tblCalculo[[#This Row],[NR_SIMULACAO]],tblVendas[[#This Row],[NR_SIMULACAO]],tblVendas[[#This Row],[VALOR_AVANCADO]],""),0)</f>
        <v>0</v>
      </c>
      <c r="H875">
        <f>IF(tblCalculo[[#This Row],[STATUS]]="CONCLUÍDO",_xlfn.XLOOKUP(tblCalculo[[#This Row],[NR_SIMULACAO]],tblVendas[[#This Row],[NR_SIMULACAO]],tblVendas[[#This Row],[VALOR_FIXABASICA]],""),0)</f>
        <v>0</v>
      </c>
      <c r="I875">
        <f>IF(tblCalculo[[#This Row],[STATUS]]="CONCLUÍDO",_xlfn.XLOOKUP(tblCalculo[[#This Row],[NR_SIMULACAO]],tblVendas[[#This Row],[NR_SIMULACAO]],tblVendas[[#This Row],[VALOR_TI]],""),0)</f>
        <v>0</v>
      </c>
      <c r="J875">
        <f>IF(tblCalculo[[#This Row],[STATUS]]="CONCLUÍDO",_xlfn.XLOOKUP(tblCalculo[[#This Row],[NR_SIMULACAO]],tblVendas[[#This Row],[NR_SIMULACAO]],tblVendas[[#This Row],[VALOR_APARELHO]],""),0)</f>
        <v>0</v>
      </c>
      <c r="K875" t="str">
        <f>IF(tblCalculo[[#This Row],[STATUS]]="NEGOCIANDO",tblCalculo[[#This Row],[VALOR_TOTAL]],"")</f>
        <v/>
      </c>
      <c r="L875" t="str">
        <f>IF(tblCalculo[[#This Row],[STATUS]]="ALÇADA",tblCalculo[[#This Row],[VALOR_TOTAL]],"")</f>
        <v/>
      </c>
      <c r="M875">
        <f>IF(tblCalculo[[#This Row],[STATUS]]="EM ANÁLISE",tblCalculo[[#This Row],[VALOR_TOTAL]],"")</f>
        <v>17205.309999999998</v>
      </c>
      <c r="N875" t="str">
        <f>IF(tblCalculo[[#This Row],[STATUS]]="TRAMITANDO",tblCalculo[[#This Row],[VALOR_TOTAL]],"")</f>
        <v/>
      </c>
      <c r="O875" t="str">
        <f>IF(tblCalculo[[#This Row],[STATUS]]="PERDIDO",tblCalculo[[#This Row],[VALOR_TOTAL]],"")</f>
        <v/>
      </c>
      <c r="P875" t="str">
        <f>IF(tblCalculo[[#This Row],[STATUS]]="CONCLUÍDO",tblCalculo[[#This Row],[VALOR_TOTAL]],"")</f>
        <v/>
      </c>
    </row>
    <row r="876" spans="1:16" x14ac:dyDescent="0.25">
      <c r="A876" t="str">
        <f>tblVendas[[#This Row],[NR_SIMULACAO]]</f>
        <v>SIM1866</v>
      </c>
      <c r="B876" s="34" t="str">
        <f>_xlfn.XLOOKUP(A876,tblVendas[[#This Row],[NR_SIMULACAO]],tblVendas[[#This Row],[NR_CNPJ]],"")</f>
        <v>20.401.674/0001-40</v>
      </c>
      <c r="C876" t="str">
        <f>_xlfn.XLOOKUP(A876,tblVendas[[#This Row],[NR_SIMULACAO]],tblVendas[[#This Row],[STATUS]],"")</f>
        <v>PERDIDO</v>
      </c>
      <c r="D876" t="str">
        <f>_xlfn.XLOOKUP(A876,tblVendas[[#This Row],[NR_SIMULACAO]],tblVendas[[#This Row],[MES]],"")</f>
        <v>Janeiro</v>
      </c>
      <c r="E876">
        <f>SUM(_xlfn.XLOOKUP(tblCalculo[[#This Row],[NR_SIMULACAO]],tblVendas[[#This Row],[NR_SIMULACAO]],tblVendas[[#This Row],[VALOR_MOVEL]],""):_xlfn.XLOOKUP(tblCalculo[[#This Row],[NR_SIMULACAO]],tblVendas[[#This Row],[NR_SIMULACAO]],tblVendas[[#This Row],[VALOR_APARELHO]],""))</f>
        <v>5762.31</v>
      </c>
      <c r="F876">
        <f>IF(tblCalculo[[#This Row],[STATUS]]="CONCLUÍDO",_xlfn.XLOOKUP(tblCalculo[[#This Row],[NR_SIMULACAO]],tblVendas[[#This Row],[NR_SIMULACAO]],tblVendas[[#This Row],[VALOR_MOVEL]],""),0)</f>
        <v>0</v>
      </c>
      <c r="G876">
        <f>IF(tblCalculo[[#This Row],[STATUS]]="CONCLUÍDO",_xlfn.XLOOKUP(tblCalculo[[#This Row],[NR_SIMULACAO]],tblVendas[[#This Row],[NR_SIMULACAO]],tblVendas[[#This Row],[VALOR_AVANCADO]],""),0)</f>
        <v>0</v>
      </c>
      <c r="H876">
        <f>IF(tblCalculo[[#This Row],[STATUS]]="CONCLUÍDO",_xlfn.XLOOKUP(tblCalculo[[#This Row],[NR_SIMULACAO]],tblVendas[[#This Row],[NR_SIMULACAO]],tblVendas[[#This Row],[VALOR_FIXABASICA]],""),0)</f>
        <v>0</v>
      </c>
      <c r="I876">
        <f>IF(tblCalculo[[#This Row],[STATUS]]="CONCLUÍDO",_xlfn.XLOOKUP(tblCalculo[[#This Row],[NR_SIMULACAO]],tblVendas[[#This Row],[NR_SIMULACAO]],tblVendas[[#This Row],[VALOR_TI]],""),0)</f>
        <v>0</v>
      </c>
      <c r="J876">
        <f>IF(tblCalculo[[#This Row],[STATUS]]="CONCLUÍDO",_xlfn.XLOOKUP(tblCalculo[[#This Row],[NR_SIMULACAO]],tblVendas[[#This Row],[NR_SIMULACAO]],tblVendas[[#This Row],[VALOR_APARELHO]],""),0)</f>
        <v>0</v>
      </c>
      <c r="K876" t="str">
        <f>IF(tblCalculo[[#This Row],[STATUS]]="NEGOCIANDO",tblCalculo[[#This Row],[VALOR_TOTAL]],"")</f>
        <v/>
      </c>
      <c r="L876" t="str">
        <f>IF(tblCalculo[[#This Row],[STATUS]]="ALÇADA",tblCalculo[[#This Row],[VALOR_TOTAL]],"")</f>
        <v/>
      </c>
      <c r="M876" t="str">
        <f>IF(tblCalculo[[#This Row],[STATUS]]="EM ANÁLISE",tblCalculo[[#This Row],[VALOR_TOTAL]],"")</f>
        <v/>
      </c>
      <c r="N876" t="str">
        <f>IF(tblCalculo[[#This Row],[STATUS]]="TRAMITANDO",tblCalculo[[#This Row],[VALOR_TOTAL]],"")</f>
        <v/>
      </c>
      <c r="O876">
        <f>IF(tblCalculo[[#This Row],[STATUS]]="PERDIDO",tblCalculo[[#This Row],[VALOR_TOTAL]],"")</f>
        <v>5762.31</v>
      </c>
      <c r="P876" t="str">
        <f>IF(tblCalculo[[#This Row],[STATUS]]="CONCLUÍDO",tblCalculo[[#This Row],[VALOR_TOTAL]],"")</f>
        <v/>
      </c>
    </row>
    <row r="877" spans="1:16" x14ac:dyDescent="0.25">
      <c r="A877" t="str">
        <f>tblVendas[[#This Row],[NR_SIMULACAO]]</f>
        <v>SIM1867</v>
      </c>
      <c r="B877" s="34" t="str">
        <f>_xlfn.XLOOKUP(A877,tblVendas[[#This Row],[NR_SIMULACAO]],tblVendas[[#This Row],[NR_CNPJ]],"")</f>
        <v>16.175.801/0001-81</v>
      </c>
      <c r="C877" t="str">
        <f>_xlfn.XLOOKUP(A877,tblVendas[[#This Row],[NR_SIMULACAO]],tblVendas[[#This Row],[STATUS]],"")</f>
        <v>NEGOCIANDO</v>
      </c>
      <c r="D877" t="str">
        <f>_xlfn.XLOOKUP(A877,tblVendas[[#This Row],[NR_SIMULACAO]],tblVendas[[#This Row],[MES]],"")</f>
        <v>Julho</v>
      </c>
      <c r="E877">
        <f>SUM(_xlfn.XLOOKUP(tblCalculo[[#This Row],[NR_SIMULACAO]],tblVendas[[#This Row],[NR_SIMULACAO]],tblVendas[[#This Row],[VALOR_MOVEL]],""):_xlfn.XLOOKUP(tblCalculo[[#This Row],[NR_SIMULACAO]],tblVendas[[#This Row],[NR_SIMULACAO]],tblVendas[[#This Row],[VALOR_APARELHO]],""))</f>
        <v>10167.76</v>
      </c>
      <c r="F877">
        <f>IF(tblCalculo[[#This Row],[STATUS]]="CONCLUÍDO",_xlfn.XLOOKUP(tblCalculo[[#This Row],[NR_SIMULACAO]],tblVendas[[#This Row],[NR_SIMULACAO]],tblVendas[[#This Row],[VALOR_MOVEL]],""),0)</f>
        <v>0</v>
      </c>
      <c r="G877">
        <f>IF(tblCalculo[[#This Row],[STATUS]]="CONCLUÍDO",_xlfn.XLOOKUP(tblCalculo[[#This Row],[NR_SIMULACAO]],tblVendas[[#This Row],[NR_SIMULACAO]],tblVendas[[#This Row],[VALOR_AVANCADO]],""),0)</f>
        <v>0</v>
      </c>
      <c r="H877">
        <f>IF(tblCalculo[[#This Row],[STATUS]]="CONCLUÍDO",_xlfn.XLOOKUP(tblCalculo[[#This Row],[NR_SIMULACAO]],tblVendas[[#This Row],[NR_SIMULACAO]],tblVendas[[#This Row],[VALOR_FIXABASICA]],""),0)</f>
        <v>0</v>
      </c>
      <c r="I877">
        <f>IF(tblCalculo[[#This Row],[STATUS]]="CONCLUÍDO",_xlfn.XLOOKUP(tblCalculo[[#This Row],[NR_SIMULACAO]],tblVendas[[#This Row],[NR_SIMULACAO]],tblVendas[[#This Row],[VALOR_TI]],""),0)</f>
        <v>0</v>
      </c>
      <c r="J877">
        <f>IF(tblCalculo[[#This Row],[STATUS]]="CONCLUÍDO",_xlfn.XLOOKUP(tblCalculo[[#This Row],[NR_SIMULACAO]],tblVendas[[#This Row],[NR_SIMULACAO]],tblVendas[[#This Row],[VALOR_APARELHO]],""),0)</f>
        <v>0</v>
      </c>
      <c r="K877">
        <f>IF(tblCalculo[[#This Row],[STATUS]]="NEGOCIANDO",tblCalculo[[#This Row],[VALOR_TOTAL]],"")</f>
        <v>10167.76</v>
      </c>
      <c r="L877" t="str">
        <f>IF(tblCalculo[[#This Row],[STATUS]]="ALÇADA",tblCalculo[[#This Row],[VALOR_TOTAL]],"")</f>
        <v/>
      </c>
      <c r="M877" t="str">
        <f>IF(tblCalculo[[#This Row],[STATUS]]="EM ANÁLISE",tblCalculo[[#This Row],[VALOR_TOTAL]],"")</f>
        <v/>
      </c>
      <c r="N877" t="str">
        <f>IF(tblCalculo[[#This Row],[STATUS]]="TRAMITANDO",tblCalculo[[#This Row],[VALOR_TOTAL]],"")</f>
        <v/>
      </c>
      <c r="O877" t="str">
        <f>IF(tblCalculo[[#This Row],[STATUS]]="PERDIDO",tblCalculo[[#This Row],[VALOR_TOTAL]],"")</f>
        <v/>
      </c>
      <c r="P877" t="str">
        <f>IF(tblCalculo[[#This Row],[STATUS]]="CONCLUÍDO",tblCalculo[[#This Row],[VALOR_TOTAL]],"")</f>
        <v/>
      </c>
    </row>
    <row r="878" spans="1:16" x14ac:dyDescent="0.25">
      <c r="A878" t="str">
        <f>tblVendas[[#This Row],[NR_SIMULACAO]]</f>
        <v>SIM1868</v>
      </c>
      <c r="B878" s="34" t="str">
        <f>_xlfn.XLOOKUP(A878,tblVendas[[#This Row],[NR_SIMULACAO]],tblVendas[[#This Row],[NR_CNPJ]],"")</f>
        <v>29.637.438/0001-36</v>
      </c>
      <c r="C878" t="str">
        <f>_xlfn.XLOOKUP(A878,tblVendas[[#This Row],[NR_SIMULACAO]],tblVendas[[#This Row],[STATUS]],"")</f>
        <v>ALÇADA</v>
      </c>
      <c r="D878" t="str">
        <f>_xlfn.XLOOKUP(A878,tblVendas[[#This Row],[NR_SIMULACAO]],tblVendas[[#This Row],[MES]],"")</f>
        <v>Novembro</v>
      </c>
      <c r="E878">
        <f>SUM(_xlfn.XLOOKUP(tblCalculo[[#This Row],[NR_SIMULACAO]],tblVendas[[#This Row],[NR_SIMULACAO]],tblVendas[[#This Row],[VALOR_MOVEL]],""):_xlfn.XLOOKUP(tblCalculo[[#This Row],[NR_SIMULACAO]],tblVendas[[#This Row],[NR_SIMULACAO]],tblVendas[[#This Row],[VALOR_APARELHO]],""))</f>
        <v>4858.3999999999996</v>
      </c>
      <c r="F878">
        <f>IF(tblCalculo[[#This Row],[STATUS]]="CONCLUÍDO",_xlfn.XLOOKUP(tblCalculo[[#This Row],[NR_SIMULACAO]],tblVendas[[#This Row],[NR_SIMULACAO]],tblVendas[[#This Row],[VALOR_MOVEL]],""),0)</f>
        <v>0</v>
      </c>
      <c r="G878">
        <f>IF(tblCalculo[[#This Row],[STATUS]]="CONCLUÍDO",_xlfn.XLOOKUP(tblCalculo[[#This Row],[NR_SIMULACAO]],tblVendas[[#This Row],[NR_SIMULACAO]],tblVendas[[#This Row],[VALOR_AVANCADO]],""),0)</f>
        <v>0</v>
      </c>
      <c r="H878">
        <f>IF(tblCalculo[[#This Row],[STATUS]]="CONCLUÍDO",_xlfn.XLOOKUP(tblCalculo[[#This Row],[NR_SIMULACAO]],tblVendas[[#This Row],[NR_SIMULACAO]],tblVendas[[#This Row],[VALOR_FIXABASICA]],""),0)</f>
        <v>0</v>
      </c>
      <c r="I878">
        <f>IF(tblCalculo[[#This Row],[STATUS]]="CONCLUÍDO",_xlfn.XLOOKUP(tblCalculo[[#This Row],[NR_SIMULACAO]],tblVendas[[#This Row],[NR_SIMULACAO]],tblVendas[[#This Row],[VALOR_TI]],""),0)</f>
        <v>0</v>
      </c>
      <c r="J878">
        <f>IF(tblCalculo[[#This Row],[STATUS]]="CONCLUÍDO",_xlfn.XLOOKUP(tblCalculo[[#This Row],[NR_SIMULACAO]],tblVendas[[#This Row],[NR_SIMULACAO]],tblVendas[[#This Row],[VALOR_APARELHO]],""),0)</f>
        <v>0</v>
      </c>
      <c r="K878" t="str">
        <f>IF(tblCalculo[[#This Row],[STATUS]]="NEGOCIANDO",tblCalculo[[#This Row],[VALOR_TOTAL]],"")</f>
        <v/>
      </c>
      <c r="L878">
        <f>IF(tblCalculo[[#This Row],[STATUS]]="ALÇADA",tblCalculo[[#This Row],[VALOR_TOTAL]],"")</f>
        <v>4858.3999999999996</v>
      </c>
      <c r="M878" t="str">
        <f>IF(tblCalculo[[#This Row],[STATUS]]="EM ANÁLISE",tblCalculo[[#This Row],[VALOR_TOTAL]],"")</f>
        <v/>
      </c>
      <c r="N878" t="str">
        <f>IF(tblCalculo[[#This Row],[STATUS]]="TRAMITANDO",tblCalculo[[#This Row],[VALOR_TOTAL]],"")</f>
        <v/>
      </c>
      <c r="O878" t="str">
        <f>IF(tblCalculo[[#This Row],[STATUS]]="PERDIDO",tblCalculo[[#This Row],[VALOR_TOTAL]],"")</f>
        <v/>
      </c>
      <c r="P878" t="str">
        <f>IF(tblCalculo[[#This Row],[STATUS]]="CONCLUÍDO",tblCalculo[[#This Row],[VALOR_TOTAL]],"")</f>
        <v/>
      </c>
    </row>
    <row r="879" spans="1:16" x14ac:dyDescent="0.25">
      <c r="A879" t="str">
        <f>tblVendas[[#This Row],[NR_SIMULACAO]]</f>
        <v>SIM1869</v>
      </c>
      <c r="B879" s="34" t="str">
        <f>_xlfn.XLOOKUP(A879,tblVendas[[#This Row],[NR_SIMULACAO]],tblVendas[[#This Row],[NR_CNPJ]],"")</f>
        <v>11.301.904/0001-13</v>
      </c>
      <c r="C879" t="str">
        <f>_xlfn.XLOOKUP(A879,tblVendas[[#This Row],[NR_SIMULACAO]],tblVendas[[#This Row],[STATUS]],"")</f>
        <v>ALÇADA</v>
      </c>
      <c r="D879" t="str">
        <f>_xlfn.XLOOKUP(A879,tblVendas[[#This Row],[NR_SIMULACAO]],tblVendas[[#This Row],[MES]],"")</f>
        <v>Março</v>
      </c>
      <c r="E879">
        <f>SUM(_xlfn.XLOOKUP(tblCalculo[[#This Row],[NR_SIMULACAO]],tblVendas[[#This Row],[NR_SIMULACAO]],tblVendas[[#This Row],[VALOR_MOVEL]],""):_xlfn.XLOOKUP(tblCalculo[[#This Row],[NR_SIMULACAO]],tblVendas[[#This Row],[NR_SIMULACAO]],tblVendas[[#This Row],[VALOR_APARELHO]],""))</f>
        <v>5080.67</v>
      </c>
      <c r="F879">
        <f>IF(tblCalculo[[#This Row],[STATUS]]="CONCLUÍDO",_xlfn.XLOOKUP(tblCalculo[[#This Row],[NR_SIMULACAO]],tblVendas[[#This Row],[NR_SIMULACAO]],tblVendas[[#This Row],[VALOR_MOVEL]],""),0)</f>
        <v>0</v>
      </c>
      <c r="G879">
        <f>IF(tblCalculo[[#This Row],[STATUS]]="CONCLUÍDO",_xlfn.XLOOKUP(tblCalculo[[#This Row],[NR_SIMULACAO]],tblVendas[[#This Row],[NR_SIMULACAO]],tblVendas[[#This Row],[VALOR_AVANCADO]],""),0)</f>
        <v>0</v>
      </c>
      <c r="H879">
        <f>IF(tblCalculo[[#This Row],[STATUS]]="CONCLUÍDO",_xlfn.XLOOKUP(tblCalculo[[#This Row],[NR_SIMULACAO]],tblVendas[[#This Row],[NR_SIMULACAO]],tblVendas[[#This Row],[VALOR_FIXABASICA]],""),0)</f>
        <v>0</v>
      </c>
      <c r="I879">
        <f>IF(tblCalculo[[#This Row],[STATUS]]="CONCLUÍDO",_xlfn.XLOOKUP(tblCalculo[[#This Row],[NR_SIMULACAO]],tblVendas[[#This Row],[NR_SIMULACAO]],tblVendas[[#This Row],[VALOR_TI]],""),0)</f>
        <v>0</v>
      </c>
      <c r="J879">
        <f>IF(tblCalculo[[#This Row],[STATUS]]="CONCLUÍDO",_xlfn.XLOOKUP(tblCalculo[[#This Row],[NR_SIMULACAO]],tblVendas[[#This Row],[NR_SIMULACAO]],tblVendas[[#This Row],[VALOR_APARELHO]],""),0)</f>
        <v>0</v>
      </c>
      <c r="K879" t="str">
        <f>IF(tblCalculo[[#This Row],[STATUS]]="NEGOCIANDO",tblCalculo[[#This Row],[VALOR_TOTAL]],"")</f>
        <v/>
      </c>
      <c r="L879">
        <f>IF(tblCalculo[[#This Row],[STATUS]]="ALÇADA",tblCalculo[[#This Row],[VALOR_TOTAL]],"")</f>
        <v>5080.67</v>
      </c>
      <c r="M879" t="str">
        <f>IF(tblCalculo[[#This Row],[STATUS]]="EM ANÁLISE",tblCalculo[[#This Row],[VALOR_TOTAL]],"")</f>
        <v/>
      </c>
      <c r="N879" t="str">
        <f>IF(tblCalculo[[#This Row],[STATUS]]="TRAMITANDO",tblCalculo[[#This Row],[VALOR_TOTAL]],"")</f>
        <v/>
      </c>
      <c r="O879" t="str">
        <f>IF(tblCalculo[[#This Row],[STATUS]]="PERDIDO",tblCalculo[[#This Row],[VALOR_TOTAL]],"")</f>
        <v/>
      </c>
      <c r="P879" t="str">
        <f>IF(tblCalculo[[#This Row],[STATUS]]="CONCLUÍDO",tblCalculo[[#This Row],[VALOR_TOTAL]],"")</f>
        <v/>
      </c>
    </row>
    <row r="880" spans="1:16" x14ac:dyDescent="0.25">
      <c r="A880" t="str">
        <f>tblVendas[[#This Row],[NR_SIMULACAO]]</f>
        <v>SIM1870</v>
      </c>
      <c r="B880" s="34" t="str">
        <f>_xlfn.XLOOKUP(A880,tblVendas[[#This Row],[NR_SIMULACAO]],tblVendas[[#This Row],[NR_CNPJ]],"")</f>
        <v>40.199.494/0001-87</v>
      </c>
      <c r="C880" t="str">
        <f>_xlfn.XLOOKUP(A880,tblVendas[[#This Row],[NR_SIMULACAO]],tblVendas[[#This Row],[STATUS]],"")</f>
        <v>PERDIDO</v>
      </c>
      <c r="D880" t="str">
        <f>_xlfn.XLOOKUP(A880,tblVendas[[#This Row],[NR_SIMULACAO]],tblVendas[[#This Row],[MES]],"")</f>
        <v>Fevereiro</v>
      </c>
      <c r="E880">
        <f>SUM(_xlfn.XLOOKUP(tblCalculo[[#This Row],[NR_SIMULACAO]],tblVendas[[#This Row],[NR_SIMULACAO]],tblVendas[[#This Row],[VALOR_MOVEL]],""):_xlfn.XLOOKUP(tblCalculo[[#This Row],[NR_SIMULACAO]],tblVendas[[#This Row],[NR_SIMULACAO]],tblVendas[[#This Row],[VALOR_APARELHO]],""))</f>
        <v>7654.34</v>
      </c>
      <c r="F880">
        <f>IF(tblCalculo[[#This Row],[STATUS]]="CONCLUÍDO",_xlfn.XLOOKUP(tblCalculo[[#This Row],[NR_SIMULACAO]],tblVendas[[#This Row],[NR_SIMULACAO]],tblVendas[[#This Row],[VALOR_MOVEL]],""),0)</f>
        <v>0</v>
      </c>
      <c r="G880">
        <f>IF(tblCalculo[[#This Row],[STATUS]]="CONCLUÍDO",_xlfn.XLOOKUP(tblCalculo[[#This Row],[NR_SIMULACAO]],tblVendas[[#This Row],[NR_SIMULACAO]],tblVendas[[#This Row],[VALOR_AVANCADO]],""),0)</f>
        <v>0</v>
      </c>
      <c r="H880">
        <f>IF(tblCalculo[[#This Row],[STATUS]]="CONCLUÍDO",_xlfn.XLOOKUP(tblCalculo[[#This Row],[NR_SIMULACAO]],tblVendas[[#This Row],[NR_SIMULACAO]],tblVendas[[#This Row],[VALOR_FIXABASICA]],""),0)</f>
        <v>0</v>
      </c>
      <c r="I880">
        <f>IF(tblCalculo[[#This Row],[STATUS]]="CONCLUÍDO",_xlfn.XLOOKUP(tblCalculo[[#This Row],[NR_SIMULACAO]],tblVendas[[#This Row],[NR_SIMULACAO]],tblVendas[[#This Row],[VALOR_TI]],""),0)</f>
        <v>0</v>
      </c>
      <c r="J880">
        <f>IF(tblCalculo[[#This Row],[STATUS]]="CONCLUÍDO",_xlfn.XLOOKUP(tblCalculo[[#This Row],[NR_SIMULACAO]],tblVendas[[#This Row],[NR_SIMULACAO]],tblVendas[[#This Row],[VALOR_APARELHO]],""),0)</f>
        <v>0</v>
      </c>
      <c r="K880" t="str">
        <f>IF(tblCalculo[[#This Row],[STATUS]]="NEGOCIANDO",tblCalculo[[#This Row],[VALOR_TOTAL]],"")</f>
        <v/>
      </c>
      <c r="L880" t="str">
        <f>IF(tblCalculo[[#This Row],[STATUS]]="ALÇADA",tblCalculo[[#This Row],[VALOR_TOTAL]],"")</f>
        <v/>
      </c>
      <c r="M880" t="str">
        <f>IF(tblCalculo[[#This Row],[STATUS]]="EM ANÁLISE",tblCalculo[[#This Row],[VALOR_TOTAL]],"")</f>
        <v/>
      </c>
      <c r="N880" t="str">
        <f>IF(tblCalculo[[#This Row],[STATUS]]="TRAMITANDO",tblCalculo[[#This Row],[VALOR_TOTAL]],"")</f>
        <v/>
      </c>
      <c r="O880">
        <f>IF(tblCalculo[[#This Row],[STATUS]]="PERDIDO",tblCalculo[[#This Row],[VALOR_TOTAL]],"")</f>
        <v>7654.34</v>
      </c>
      <c r="P880" t="str">
        <f>IF(tblCalculo[[#This Row],[STATUS]]="CONCLUÍDO",tblCalculo[[#This Row],[VALOR_TOTAL]],"")</f>
        <v/>
      </c>
    </row>
    <row r="881" spans="1:16" x14ac:dyDescent="0.25">
      <c r="A881" t="str">
        <f>tblVendas[[#This Row],[NR_SIMULACAO]]</f>
        <v>SIM1871</v>
      </c>
      <c r="B881" s="34" t="str">
        <f>_xlfn.XLOOKUP(A881,tblVendas[[#This Row],[NR_SIMULACAO]],tblVendas[[#This Row],[NR_CNPJ]],"")</f>
        <v>99.903.101/0001-30</v>
      </c>
      <c r="C881" t="str">
        <f>_xlfn.XLOOKUP(A881,tblVendas[[#This Row],[NR_SIMULACAO]],tblVendas[[#This Row],[STATUS]],"")</f>
        <v>EM ANÁLISE</v>
      </c>
      <c r="D881" t="str">
        <f>_xlfn.XLOOKUP(A881,tblVendas[[#This Row],[NR_SIMULACAO]],tblVendas[[#This Row],[MES]],"")</f>
        <v>Abril</v>
      </c>
      <c r="E881">
        <f>SUM(_xlfn.XLOOKUP(tblCalculo[[#This Row],[NR_SIMULACAO]],tblVendas[[#This Row],[NR_SIMULACAO]],tblVendas[[#This Row],[VALOR_MOVEL]],""):_xlfn.XLOOKUP(tblCalculo[[#This Row],[NR_SIMULACAO]],tblVendas[[#This Row],[NR_SIMULACAO]],tblVendas[[#This Row],[VALOR_APARELHO]],""))</f>
        <v>15993.119999999999</v>
      </c>
      <c r="F881">
        <f>IF(tblCalculo[[#This Row],[STATUS]]="CONCLUÍDO",_xlfn.XLOOKUP(tblCalculo[[#This Row],[NR_SIMULACAO]],tblVendas[[#This Row],[NR_SIMULACAO]],tblVendas[[#This Row],[VALOR_MOVEL]],""),0)</f>
        <v>0</v>
      </c>
      <c r="G881">
        <f>IF(tblCalculo[[#This Row],[STATUS]]="CONCLUÍDO",_xlfn.XLOOKUP(tblCalculo[[#This Row],[NR_SIMULACAO]],tblVendas[[#This Row],[NR_SIMULACAO]],tblVendas[[#This Row],[VALOR_AVANCADO]],""),0)</f>
        <v>0</v>
      </c>
      <c r="H881">
        <f>IF(tblCalculo[[#This Row],[STATUS]]="CONCLUÍDO",_xlfn.XLOOKUP(tblCalculo[[#This Row],[NR_SIMULACAO]],tblVendas[[#This Row],[NR_SIMULACAO]],tblVendas[[#This Row],[VALOR_FIXABASICA]],""),0)</f>
        <v>0</v>
      </c>
      <c r="I881">
        <f>IF(tblCalculo[[#This Row],[STATUS]]="CONCLUÍDO",_xlfn.XLOOKUP(tblCalculo[[#This Row],[NR_SIMULACAO]],tblVendas[[#This Row],[NR_SIMULACAO]],tblVendas[[#This Row],[VALOR_TI]],""),0)</f>
        <v>0</v>
      </c>
      <c r="J881">
        <f>IF(tblCalculo[[#This Row],[STATUS]]="CONCLUÍDO",_xlfn.XLOOKUP(tblCalculo[[#This Row],[NR_SIMULACAO]],tblVendas[[#This Row],[NR_SIMULACAO]],tblVendas[[#This Row],[VALOR_APARELHO]],""),0)</f>
        <v>0</v>
      </c>
      <c r="K881" t="str">
        <f>IF(tblCalculo[[#This Row],[STATUS]]="NEGOCIANDO",tblCalculo[[#This Row],[VALOR_TOTAL]],"")</f>
        <v/>
      </c>
      <c r="L881" t="str">
        <f>IF(tblCalculo[[#This Row],[STATUS]]="ALÇADA",tblCalculo[[#This Row],[VALOR_TOTAL]],"")</f>
        <v/>
      </c>
      <c r="M881">
        <f>IF(tblCalculo[[#This Row],[STATUS]]="EM ANÁLISE",tblCalculo[[#This Row],[VALOR_TOTAL]],"")</f>
        <v>15993.119999999999</v>
      </c>
      <c r="N881" t="str">
        <f>IF(tblCalculo[[#This Row],[STATUS]]="TRAMITANDO",tblCalculo[[#This Row],[VALOR_TOTAL]],"")</f>
        <v/>
      </c>
      <c r="O881" t="str">
        <f>IF(tblCalculo[[#This Row],[STATUS]]="PERDIDO",tblCalculo[[#This Row],[VALOR_TOTAL]],"")</f>
        <v/>
      </c>
      <c r="P881" t="str">
        <f>IF(tblCalculo[[#This Row],[STATUS]]="CONCLUÍDO",tblCalculo[[#This Row],[VALOR_TOTAL]],"")</f>
        <v/>
      </c>
    </row>
    <row r="882" spans="1:16" x14ac:dyDescent="0.25">
      <c r="A882" t="str">
        <f>tblVendas[[#This Row],[NR_SIMULACAO]]</f>
        <v>SIM1872</v>
      </c>
      <c r="B882" s="34" t="str">
        <f>_xlfn.XLOOKUP(A882,tblVendas[[#This Row],[NR_SIMULACAO]],tblVendas[[#This Row],[NR_CNPJ]],"")</f>
        <v>27.791.205/0001-98</v>
      </c>
      <c r="C882" t="str">
        <f>_xlfn.XLOOKUP(A882,tblVendas[[#This Row],[NR_SIMULACAO]],tblVendas[[#This Row],[STATUS]],"")</f>
        <v>CONCLUÍDO</v>
      </c>
      <c r="D882" t="str">
        <f>_xlfn.XLOOKUP(A882,tblVendas[[#This Row],[NR_SIMULACAO]],tblVendas[[#This Row],[MES]],"")</f>
        <v>Janeiro</v>
      </c>
      <c r="E882">
        <f>SUM(_xlfn.XLOOKUP(tblCalculo[[#This Row],[NR_SIMULACAO]],tblVendas[[#This Row],[NR_SIMULACAO]],tblVendas[[#This Row],[VALOR_MOVEL]],""):_xlfn.XLOOKUP(tblCalculo[[#This Row],[NR_SIMULACAO]],tblVendas[[#This Row],[NR_SIMULACAO]],tblVendas[[#This Row],[VALOR_APARELHO]],""))</f>
        <v>11146.17</v>
      </c>
      <c r="F882">
        <f>IF(tblCalculo[[#This Row],[STATUS]]="CONCLUÍDO",_xlfn.XLOOKUP(tblCalculo[[#This Row],[NR_SIMULACAO]],tblVendas[[#This Row],[NR_SIMULACAO]],tblVendas[[#This Row],[VALOR_MOVEL]],""),0)</f>
        <v>0</v>
      </c>
      <c r="G882">
        <f>IF(tblCalculo[[#This Row],[STATUS]]="CONCLUÍDO",_xlfn.XLOOKUP(tblCalculo[[#This Row],[NR_SIMULACAO]],tblVendas[[#This Row],[NR_SIMULACAO]],tblVendas[[#This Row],[VALOR_AVANCADO]],""),0)</f>
        <v>0</v>
      </c>
      <c r="H882">
        <f>IF(tblCalculo[[#This Row],[STATUS]]="CONCLUÍDO",_xlfn.XLOOKUP(tblCalculo[[#This Row],[NR_SIMULACAO]],tblVendas[[#This Row],[NR_SIMULACAO]],tblVendas[[#This Row],[VALOR_FIXABASICA]],""),0)</f>
        <v>0</v>
      </c>
      <c r="I882">
        <f>IF(tblCalculo[[#This Row],[STATUS]]="CONCLUÍDO",_xlfn.XLOOKUP(tblCalculo[[#This Row],[NR_SIMULACAO]],tblVendas[[#This Row],[NR_SIMULACAO]],tblVendas[[#This Row],[VALOR_TI]],""),0)</f>
        <v>11146.17</v>
      </c>
      <c r="J882">
        <f>IF(tblCalculo[[#This Row],[STATUS]]="CONCLUÍDO",_xlfn.XLOOKUP(tblCalculo[[#This Row],[NR_SIMULACAO]],tblVendas[[#This Row],[NR_SIMULACAO]],tblVendas[[#This Row],[VALOR_APARELHO]],""),0)</f>
        <v>0</v>
      </c>
      <c r="K882" t="str">
        <f>IF(tblCalculo[[#This Row],[STATUS]]="NEGOCIANDO",tblCalculo[[#This Row],[VALOR_TOTAL]],"")</f>
        <v/>
      </c>
      <c r="L882" t="str">
        <f>IF(tblCalculo[[#This Row],[STATUS]]="ALÇADA",tblCalculo[[#This Row],[VALOR_TOTAL]],"")</f>
        <v/>
      </c>
      <c r="M882" t="str">
        <f>IF(tblCalculo[[#This Row],[STATUS]]="EM ANÁLISE",tblCalculo[[#This Row],[VALOR_TOTAL]],"")</f>
        <v/>
      </c>
      <c r="N882" t="str">
        <f>IF(tblCalculo[[#This Row],[STATUS]]="TRAMITANDO",tblCalculo[[#This Row],[VALOR_TOTAL]],"")</f>
        <v/>
      </c>
      <c r="O882" t="str">
        <f>IF(tblCalculo[[#This Row],[STATUS]]="PERDIDO",tblCalculo[[#This Row],[VALOR_TOTAL]],"")</f>
        <v/>
      </c>
      <c r="P882">
        <f>IF(tblCalculo[[#This Row],[STATUS]]="CONCLUÍDO",tblCalculo[[#This Row],[VALOR_TOTAL]],"")</f>
        <v>11146.17</v>
      </c>
    </row>
    <row r="883" spans="1:16" x14ac:dyDescent="0.25">
      <c r="A883" t="str">
        <f>tblVendas[[#This Row],[NR_SIMULACAO]]</f>
        <v>SIM1873</v>
      </c>
      <c r="B883" s="34" t="str">
        <f>_xlfn.XLOOKUP(A883,tblVendas[[#This Row],[NR_SIMULACAO]],tblVendas[[#This Row],[NR_CNPJ]],"")</f>
        <v>15.217.524/0001-73</v>
      </c>
      <c r="C883" t="str">
        <f>_xlfn.XLOOKUP(A883,tblVendas[[#This Row],[NR_SIMULACAO]],tblVendas[[#This Row],[STATUS]],"")</f>
        <v>TRAMITANDO</v>
      </c>
      <c r="D883" t="str">
        <f>_xlfn.XLOOKUP(A883,tblVendas[[#This Row],[NR_SIMULACAO]],tblVendas[[#This Row],[MES]],"")</f>
        <v>Agosto</v>
      </c>
      <c r="E883">
        <f>SUM(_xlfn.XLOOKUP(tblCalculo[[#This Row],[NR_SIMULACAO]],tblVendas[[#This Row],[NR_SIMULACAO]],tblVendas[[#This Row],[VALOR_MOVEL]],""):_xlfn.XLOOKUP(tblCalculo[[#This Row],[NR_SIMULACAO]],tblVendas[[#This Row],[NR_SIMULACAO]],tblVendas[[#This Row],[VALOR_APARELHO]],""))</f>
        <v>2193.37</v>
      </c>
      <c r="F883">
        <f>IF(tblCalculo[[#This Row],[STATUS]]="CONCLUÍDO",_xlfn.XLOOKUP(tblCalculo[[#This Row],[NR_SIMULACAO]],tblVendas[[#This Row],[NR_SIMULACAO]],tblVendas[[#This Row],[VALOR_MOVEL]],""),0)</f>
        <v>0</v>
      </c>
      <c r="G883">
        <f>IF(tblCalculo[[#This Row],[STATUS]]="CONCLUÍDO",_xlfn.XLOOKUP(tblCalculo[[#This Row],[NR_SIMULACAO]],tblVendas[[#This Row],[NR_SIMULACAO]],tblVendas[[#This Row],[VALOR_AVANCADO]],""),0)</f>
        <v>0</v>
      </c>
      <c r="H883">
        <f>IF(tblCalculo[[#This Row],[STATUS]]="CONCLUÍDO",_xlfn.XLOOKUP(tblCalculo[[#This Row],[NR_SIMULACAO]],tblVendas[[#This Row],[NR_SIMULACAO]],tblVendas[[#This Row],[VALOR_FIXABASICA]],""),0)</f>
        <v>0</v>
      </c>
      <c r="I883">
        <f>IF(tblCalculo[[#This Row],[STATUS]]="CONCLUÍDO",_xlfn.XLOOKUP(tblCalculo[[#This Row],[NR_SIMULACAO]],tblVendas[[#This Row],[NR_SIMULACAO]],tblVendas[[#This Row],[VALOR_TI]],""),0)</f>
        <v>0</v>
      </c>
      <c r="J883">
        <f>IF(tblCalculo[[#This Row],[STATUS]]="CONCLUÍDO",_xlfn.XLOOKUP(tblCalculo[[#This Row],[NR_SIMULACAO]],tblVendas[[#This Row],[NR_SIMULACAO]],tblVendas[[#This Row],[VALOR_APARELHO]],""),0)</f>
        <v>0</v>
      </c>
      <c r="K883" t="str">
        <f>IF(tblCalculo[[#This Row],[STATUS]]="NEGOCIANDO",tblCalculo[[#This Row],[VALOR_TOTAL]],"")</f>
        <v/>
      </c>
      <c r="L883" t="str">
        <f>IF(tblCalculo[[#This Row],[STATUS]]="ALÇADA",tblCalculo[[#This Row],[VALOR_TOTAL]],"")</f>
        <v/>
      </c>
      <c r="M883" t="str">
        <f>IF(tblCalculo[[#This Row],[STATUS]]="EM ANÁLISE",tblCalculo[[#This Row],[VALOR_TOTAL]],"")</f>
        <v/>
      </c>
      <c r="N883">
        <f>IF(tblCalculo[[#This Row],[STATUS]]="TRAMITANDO",tblCalculo[[#This Row],[VALOR_TOTAL]],"")</f>
        <v>2193.37</v>
      </c>
      <c r="O883" t="str">
        <f>IF(tblCalculo[[#This Row],[STATUS]]="PERDIDO",tblCalculo[[#This Row],[VALOR_TOTAL]],"")</f>
        <v/>
      </c>
      <c r="P883" t="str">
        <f>IF(tblCalculo[[#This Row],[STATUS]]="CONCLUÍDO",tblCalculo[[#This Row],[VALOR_TOTAL]],"")</f>
        <v/>
      </c>
    </row>
    <row r="884" spans="1:16" x14ac:dyDescent="0.25">
      <c r="A884" t="str">
        <f>tblVendas[[#This Row],[NR_SIMULACAO]]</f>
        <v>SIM1874</v>
      </c>
      <c r="B884" s="34" t="str">
        <f>_xlfn.XLOOKUP(A884,tblVendas[[#This Row],[NR_SIMULACAO]],tblVendas[[#This Row],[NR_CNPJ]],"")</f>
        <v>69.647.266/0001-94</v>
      </c>
      <c r="C884" t="str">
        <f>_xlfn.XLOOKUP(A884,tblVendas[[#This Row],[NR_SIMULACAO]],tblVendas[[#This Row],[STATUS]],"")</f>
        <v>PERDIDO</v>
      </c>
      <c r="D884" t="str">
        <f>_xlfn.XLOOKUP(A884,tblVendas[[#This Row],[NR_SIMULACAO]],tblVendas[[#This Row],[MES]],"")</f>
        <v>Março</v>
      </c>
      <c r="E884">
        <f>SUM(_xlfn.XLOOKUP(tblCalculo[[#This Row],[NR_SIMULACAO]],tblVendas[[#This Row],[NR_SIMULACAO]],tblVendas[[#This Row],[VALOR_MOVEL]],""):_xlfn.XLOOKUP(tblCalculo[[#This Row],[NR_SIMULACAO]],tblVendas[[#This Row],[NR_SIMULACAO]],tblVendas[[#This Row],[VALOR_APARELHO]],""))</f>
        <v>1978.29</v>
      </c>
      <c r="F884">
        <f>IF(tblCalculo[[#This Row],[STATUS]]="CONCLUÍDO",_xlfn.XLOOKUP(tblCalculo[[#This Row],[NR_SIMULACAO]],tblVendas[[#This Row],[NR_SIMULACAO]],tblVendas[[#This Row],[VALOR_MOVEL]],""),0)</f>
        <v>0</v>
      </c>
      <c r="G884">
        <f>IF(tblCalculo[[#This Row],[STATUS]]="CONCLUÍDO",_xlfn.XLOOKUP(tblCalculo[[#This Row],[NR_SIMULACAO]],tblVendas[[#This Row],[NR_SIMULACAO]],tblVendas[[#This Row],[VALOR_AVANCADO]],""),0)</f>
        <v>0</v>
      </c>
      <c r="H884">
        <f>IF(tblCalculo[[#This Row],[STATUS]]="CONCLUÍDO",_xlfn.XLOOKUP(tblCalculo[[#This Row],[NR_SIMULACAO]],tblVendas[[#This Row],[NR_SIMULACAO]],tblVendas[[#This Row],[VALOR_FIXABASICA]],""),0)</f>
        <v>0</v>
      </c>
      <c r="I884">
        <f>IF(tblCalculo[[#This Row],[STATUS]]="CONCLUÍDO",_xlfn.XLOOKUP(tblCalculo[[#This Row],[NR_SIMULACAO]],tblVendas[[#This Row],[NR_SIMULACAO]],tblVendas[[#This Row],[VALOR_TI]],""),0)</f>
        <v>0</v>
      </c>
      <c r="J884">
        <f>IF(tblCalculo[[#This Row],[STATUS]]="CONCLUÍDO",_xlfn.XLOOKUP(tblCalculo[[#This Row],[NR_SIMULACAO]],tblVendas[[#This Row],[NR_SIMULACAO]],tblVendas[[#This Row],[VALOR_APARELHO]],""),0)</f>
        <v>0</v>
      </c>
      <c r="K884" t="str">
        <f>IF(tblCalculo[[#This Row],[STATUS]]="NEGOCIANDO",tblCalculo[[#This Row],[VALOR_TOTAL]],"")</f>
        <v/>
      </c>
      <c r="L884" t="str">
        <f>IF(tblCalculo[[#This Row],[STATUS]]="ALÇADA",tblCalculo[[#This Row],[VALOR_TOTAL]],"")</f>
        <v/>
      </c>
      <c r="M884" t="str">
        <f>IF(tblCalculo[[#This Row],[STATUS]]="EM ANÁLISE",tblCalculo[[#This Row],[VALOR_TOTAL]],"")</f>
        <v/>
      </c>
      <c r="N884" t="str">
        <f>IF(tblCalculo[[#This Row],[STATUS]]="TRAMITANDO",tblCalculo[[#This Row],[VALOR_TOTAL]],"")</f>
        <v/>
      </c>
      <c r="O884">
        <f>IF(tblCalculo[[#This Row],[STATUS]]="PERDIDO",tblCalculo[[#This Row],[VALOR_TOTAL]],"")</f>
        <v>1978.29</v>
      </c>
      <c r="P884" t="str">
        <f>IF(tblCalculo[[#This Row],[STATUS]]="CONCLUÍDO",tblCalculo[[#This Row],[VALOR_TOTAL]],"")</f>
        <v/>
      </c>
    </row>
    <row r="885" spans="1:16" x14ac:dyDescent="0.25">
      <c r="A885" t="str">
        <f>tblVendas[[#This Row],[NR_SIMULACAO]]</f>
        <v>SIM1875</v>
      </c>
      <c r="B885" s="34" t="str">
        <f>_xlfn.XLOOKUP(A885,tblVendas[[#This Row],[NR_SIMULACAO]],tblVendas[[#This Row],[NR_CNPJ]],"")</f>
        <v>99.533.262/0001-35</v>
      </c>
      <c r="C885" t="str">
        <f>_xlfn.XLOOKUP(A885,tblVendas[[#This Row],[NR_SIMULACAO]],tblVendas[[#This Row],[STATUS]],"")</f>
        <v>ALÇADA</v>
      </c>
      <c r="D885" t="str">
        <f>_xlfn.XLOOKUP(A885,tblVendas[[#This Row],[NR_SIMULACAO]],tblVendas[[#This Row],[MES]],"")</f>
        <v>Dezembro</v>
      </c>
      <c r="E885">
        <f>SUM(_xlfn.XLOOKUP(tblCalculo[[#This Row],[NR_SIMULACAO]],tblVendas[[#This Row],[NR_SIMULACAO]],tblVendas[[#This Row],[VALOR_MOVEL]],""):_xlfn.XLOOKUP(tblCalculo[[#This Row],[NR_SIMULACAO]],tblVendas[[#This Row],[NR_SIMULACAO]],tblVendas[[#This Row],[VALOR_APARELHO]],""))</f>
        <v>2085.2600000000002</v>
      </c>
      <c r="F885">
        <f>IF(tblCalculo[[#This Row],[STATUS]]="CONCLUÍDO",_xlfn.XLOOKUP(tblCalculo[[#This Row],[NR_SIMULACAO]],tblVendas[[#This Row],[NR_SIMULACAO]],tblVendas[[#This Row],[VALOR_MOVEL]],""),0)</f>
        <v>0</v>
      </c>
      <c r="G885">
        <f>IF(tblCalculo[[#This Row],[STATUS]]="CONCLUÍDO",_xlfn.XLOOKUP(tblCalculo[[#This Row],[NR_SIMULACAO]],tblVendas[[#This Row],[NR_SIMULACAO]],tblVendas[[#This Row],[VALOR_AVANCADO]],""),0)</f>
        <v>0</v>
      </c>
      <c r="H885">
        <f>IF(tblCalculo[[#This Row],[STATUS]]="CONCLUÍDO",_xlfn.XLOOKUP(tblCalculo[[#This Row],[NR_SIMULACAO]],tblVendas[[#This Row],[NR_SIMULACAO]],tblVendas[[#This Row],[VALOR_FIXABASICA]],""),0)</f>
        <v>0</v>
      </c>
      <c r="I885">
        <f>IF(tblCalculo[[#This Row],[STATUS]]="CONCLUÍDO",_xlfn.XLOOKUP(tblCalculo[[#This Row],[NR_SIMULACAO]],tblVendas[[#This Row],[NR_SIMULACAO]],tblVendas[[#This Row],[VALOR_TI]],""),0)</f>
        <v>0</v>
      </c>
      <c r="J885">
        <f>IF(tblCalculo[[#This Row],[STATUS]]="CONCLUÍDO",_xlfn.XLOOKUP(tblCalculo[[#This Row],[NR_SIMULACAO]],tblVendas[[#This Row],[NR_SIMULACAO]],tblVendas[[#This Row],[VALOR_APARELHO]],""),0)</f>
        <v>0</v>
      </c>
      <c r="K885" t="str">
        <f>IF(tblCalculo[[#This Row],[STATUS]]="NEGOCIANDO",tblCalculo[[#This Row],[VALOR_TOTAL]],"")</f>
        <v/>
      </c>
      <c r="L885">
        <f>IF(tblCalculo[[#This Row],[STATUS]]="ALÇADA",tblCalculo[[#This Row],[VALOR_TOTAL]],"")</f>
        <v>2085.2600000000002</v>
      </c>
      <c r="M885" t="str">
        <f>IF(tblCalculo[[#This Row],[STATUS]]="EM ANÁLISE",tblCalculo[[#This Row],[VALOR_TOTAL]],"")</f>
        <v/>
      </c>
      <c r="N885" t="str">
        <f>IF(tblCalculo[[#This Row],[STATUS]]="TRAMITANDO",tblCalculo[[#This Row],[VALOR_TOTAL]],"")</f>
        <v/>
      </c>
      <c r="O885" t="str">
        <f>IF(tblCalculo[[#This Row],[STATUS]]="PERDIDO",tblCalculo[[#This Row],[VALOR_TOTAL]],"")</f>
        <v/>
      </c>
      <c r="P885" t="str">
        <f>IF(tblCalculo[[#This Row],[STATUS]]="CONCLUÍDO",tblCalculo[[#This Row],[VALOR_TOTAL]],"")</f>
        <v/>
      </c>
    </row>
    <row r="886" spans="1:16" x14ac:dyDescent="0.25">
      <c r="A886" t="str">
        <f>tblVendas[[#This Row],[NR_SIMULACAO]]</f>
        <v>SIM1876</v>
      </c>
      <c r="B886" s="34" t="str">
        <f>_xlfn.XLOOKUP(A886,tblVendas[[#This Row],[NR_SIMULACAO]],tblVendas[[#This Row],[NR_CNPJ]],"")</f>
        <v>14.835.909/0001-32</v>
      </c>
      <c r="C886" t="str">
        <f>_xlfn.XLOOKUP(A886,tblVendas[[#This Row],[NR_SIMULACAO]],tblVendas[[#This Row],[STATUS]],"")</f>
        <v>PERDIDO</v>
      </c>
      <c r="D886" t="str">
        <f>_xlfn.XLOOKUP(A886,tblVendas[[#This Row],[NR_SIMULACAO]],tblVendas[[#This Row],[MES]],"")</f>
        <v>Agosto</v>
      </c>
      <c r="E886">
        <f>SUM(_xlfn.XLOOKUP(tblCalculo[[#This Row],[NR_SIMULACAO]],tblVendas[[#This Row],[NR_SIMULACAO]],tblVendas[[#This Row],[VALOR_MOVEL]],""):_xlfn.XLOOKUP(tblCalculo[[#This Row],[NR_SIMULACAO]],tblVendas[[#This Row],[NR_SIMULACAO]],tblVendas[[#This Row],[VALOR_APARELHO]],""))</f>
        <v>11970.189999999999</v>
      </c>
      <c r="F886">
        <f>IF(tblCalculo[[#This Row],[STATUS]]="CONCLUÍDO",_xlfn.XLOOKUP(tblCalculo[[#This Row],[NR_SIMULACAO]],tblVendas[[#This Row],[NR_SIMULACAO]],tblVendas[[#This Row],[VALOR_MOVEL]],""),0)</f>
        <v>0</v>
      </c>
      <c r="G886">
        <f>IF(tblCalculo[[#This Row],[STATUS]]="CONCLUÍDO",_xlfn.XLOOKUP(tblCalculo[[#This Row],[NR_SIMULACAO]],tblVendas[[#This Row],[NR_SIMULACAO]],tblVendas[[#This Row],[VALOR_AVANCADO]],""),0)</f>
        <v>0</v>
      </c>
      <c r="H886">
        <f>IF(tblCalculo[[#This Row],[STATUS]]="CONCLUÍDO",_xlfn.XLOOKUP(tblCalculo[[#This Row],[NR_SIMULACAO]],tblVendas[[#This Row],[NR_SIMULACAO]],tblVendas[[#This Row],[VALOR_FIXABASICA]],""),0)</f>
        <v>0</v>
      </c>
      <c r="I886">
        <f>IF(tblCalculo[[#This Row],[STATUS]]="CONCLUÍDO",_xlfn.XLOOKUP(tblCalculo[[#This Row],[NR_SIMULACAO]],tblVendas[[#This Row],[NR_SIMULACAO]],tblVendas[[#This Row],[VALOR_TI]],""),0)</f>
        <v>0</v>
      </c>
      <c r="J886">
        <f>IF(tblCalculo[[#This Row],[STATUS]]="CONCLUÍDO",_xlfn.XLOOKUP(tblCalculo[[#This Row],[NR_SIMULACAO]],tblVendas[[#This Row],[NR_SIMULACAO]],tblVendas[[#This Row],[VALOR_APARELHO]],""),0)</f>
        <v>0</v>
      </c>
      <c r="K886" t="str">
        <f>IF(tblCalculo[[#This Row],[STATUS]]="NEGOCIANDO",tblCalculo[[#This Row],[VALOR_TOTAL]],"")</f>
        <v/>
      </c>
      <c r="L886" t="str">
        <f>IF(tblCalculo[[#This Row],[STATUS]]="ALÇADA",tblCalculo[[#This Row],[VALOR_TOTAL]],"")</f>
        <v/>
      </c>
      <c r="M886" t="str">
        <f>IF(tblCalculo[[#This Row],[STATUS]]="EM ANÁLISE",tblCalculo[[#This Row],[VALOR_TOTAL]],"")</f>
        <v/>
      </c>
      <c r="N886" t="str">
        <f>IF(tblCalculo[[#This Row],[STATUS]]="TRAMITANDO",tblCalculo[[#This Row],[VALOR_TOTAL]],"")</f>
        <v/>
      </c>
      <c r="O886">
        <f>IF(tblCalculo[[#This Row],[STATUS]]="PERDIDO",tblCalculo[[#This Row],[VALOR_TOTAL]],"")</f>
        <v>11970.189999999999</v>
      </c>
      <c r="P886" t="str">
        <f>IF(tblCalculo[[#This Row],[STATUS]]="CONCLUÍDO",tblCalculo[[#This Row],[VALOR_TOTAL]],"")</f>
        <v/>
      </c>
    </row>
    <row r="887" spans="1:16" x14ac:dyDescent="0.25">
      <c r="A887" t="str">
        <f>tblVendas[[#This Row],[NR_SIMULACAO]]</f>
        <v>SIM1877</v>
      </c>
      <c r="B887" s="34" t="str">
        <f>_xlfn.XLOOKUP(A887,tblVendas[[#This Row],[NR_SIMULACAO]],tblVendas[[#This Row],[NR_CNPJ]],"")</f>
        <v>31.210.281/0001-25</v>
      </c>
      <c r="C887" t="str">
        <f>_xlfn.XLOOKUP(A887,tblVendas[[#This Row],[NR_SIMULACAO]],tblVendas[[#This Row],[STATUS]],"")</f>
        <v>ALÇADA</v>
      </c>
      <c r="D887" t="str">
        <f>_xlfn.XLOOKUP(A887,tblVendas[[#This Row],[NR_SIMULACAO]],tblVendas[[#This Row],[MES]],"")</f>
        <v>Julho</v>
      </c>
      <c r="E887">
        <f>SUM(_xlfn.XLOOKUP(tblCalculo[[#This Row],[NR_SIMULACAO]],tblVendas[[#This Row],[NR_SIMULACAO]],tblVendas[[#This Row],[VALOR_MOVEL]],""):_xlfn.XLOOKUP(tblCalculo[[#This Row],[NR_SIMULACAO]],tblVendas[[#This Row],[NR_SIMULACAO]],tblVendas[[#This Row],[VALOR_APARELHO]],""))</f>
        <v>6382.37</v>
      </c>
      <c r="F887">
        <f>IF(tblCalculo[[#This Row],[STATUS]]="CONCLUÍDO",_xlfn.XLOOKUP(tblCalculo[[#This Row],[NR_SIMULACAO]],tblVendas[[#This Row],[NR_SIMULACAO]],tblVendas[[#This Row],[VALOR_MOVEL]],""),0)</f>
        <v>0</v>
      </c>
      <c r="G887">
        <f>IF(tblCalculo[[#This Row],[STATUS]]="CONCLUÍDO",_xlfn.XLOOKUP(tblCalculo[[#This Row],[NR_SIMULACAO]],tblVendas[[#This Row],[NR_SIMULACAO]],tblVendas[[#This Row],[VALOR_AVANCADO]],""),0)</f>
        <v>0</v>
      </c>
      <c r="H887">
        <f>IF(tblCalculo[[#This Row],[STATUS]]="CONCLUÍDO",_xlfn.XLOOKUP(tblCalculo[[#This Row],[NR_SIMULACAO]],tblVendas[[#This Row],[NR_SIMULACAO]],tblVendas[[#This Row],[VALOR_FIXABASICA]],""),0)</f>
        <v>0</v>
      </c>
      <c r="I887">
        <f>IF(tblCalculo[[#This Row],[STATUS]]="CONCLUÍDO",_xlfn.XLOOKUP(tblCalculo[[#This Row],[NR_SIMULACAO]],tblVendas[[#This Row],[NR_SIMULACAO]],tblVendas[[#This Row],[VALOR_TI]],""),0)</f>
        <v>0</v>
      </c>
      <c r="J887">
        <f>IF(tblCalculo[[#This Row],[STATUS]]="CONCLUÍDO",_xlfn.XLOOKUP(tblCalculo[[#This Row],[NR_SIMULACAO]],tblVendas[[#This Row],[NR_SIMULACAO]],tblVendas[[#This Row],[VALOR_APARELHO]],""),0)</f>
        <v>0</v>
      </c>
      <c r="K887" t="str">
        <f>IF(tblCalculo[[#This Row],[STATUS]]="NEGOCIANDO",tblCalculo[[#This Row],[VALOR_TOTAL]],"")</f>
        <v/>
      </c>
      <c r="L887">
        <f>IF(tblCalculo[[#This Row],[STATUS]]="ALÇADA",tblCalculo[[#This Row],[VALOR_TOTAL]],"")</f>
        <v>6382.37</v>
      </c>
      <c r="M887" t="str">
        <f>IF(tblCalculo[[#This Row],[STATUS]]="EM ANÁLISE",tblCalculo[[#This Row],[VALOR_TOTAL]],"")</f>
        <v/>
      </c>
      <c r="N887" t="str">
        <f>IF(tblCalculo[[#This Row],[STATUS]]="TRAMITANDO",tblCalculo[[#This Row],[VALOR_TOTAL]],"")</f>
        <v/>
      </c>
      <c r="O887" t="str">
        <f>IF(tblCalculo[[#This Row],[STATUS]]="PERDIDO",tblCalculo[[#This Row],[VALOR_TOTAL]],"")</f>
        <v/>
      </c>
      <c r="P887" t="str">
        <f>IF(tblCalculo[[#This Row],[STATUS]]="CONCLUÍDO",tblCalculo[[#This Row],[VALOR_TOTAL]],"")</f>
        <v/>
      </c>
    </row>
    <row r="888" spans="1:16" x14ac:dyDescent="0.25">
      <c r="A888" t="str">
        <f>tblVendas[[#This Row],[NR_SIMULACAO]]</f>
        <v>SIM1878</v>
      </c>
      <c r="B888" s="34" t="str">
        <f>_xlfn.XLOOKUP(A888,tblVendas[[#This Row],[NR_SIMULACAO]],tblVendas[[#This Row],[NR_CNPJ]],"")</f>
        <v>66.891.692/0001-13</v>
      </c>
      <c r="C888" t="str">
        <f>_xlfn.XLOOKUP(A888,tblVendas[[#This Row],[NR_SIMULACAO]],tblVendas[[#This Row],[STATUS]],"")</f>
        <v>TRAMITANDO</v>
      </c>
      <c r="D888" t="str">
        <f>_xlfn.XLOOKUP(A888,tblVendas[[#This Row],[NR_SIMULACAO]],tblVendas[[#This Row],[MES]],"")</f>
        <v>Junho</v>
      </c>
      <c r="E888">
        <f>SUM(_xlfn.XLOOKUP(tblCalculo[[#This Row],[NR_SIMULACAO]],tblVendas[[#This Row],[NR_SIMULACAO]],tblVendas[[#This Row],[VALOR_MOVEL]],""):_xlfn.XLOOKUP(tblCalculo[[#This Row],[NR_SIMULACAO]],tblVendas[[#This Row],[NR_SIMULACAO]],tblVendas[[#This Row],[VALOR_APARELHO]],""))</f>
        <v>7289.78</v>
      </c>
      <c r="F888">
        <f>IF(tblCalculo[[#This Row],[STATUS]]="CONCLUÍDO",_xlfn.XLOOKUP(tblCalculo[[#This Row],[NR_SIMULACAO]],tblVendas[[#This Row],[NR_SIMULACAO]],tblVendas[[#This Row],[VALOR_MOVEL]],""),0)</f>
        <v>0</v>
      </c>
      <c r="G888">
        <f>IF(tblCalculo[[#This Row],[STATUS]]="CONCLUÍDO",_xlfn.XLOOKUP(tblCalculo[[#This Row],[NR_SIMULACAO]],tblVendas[[#This Row],[NR_SIMULACAO]],tblVendas[[#This Row],[VALOR_AVANCADO]],""),0)</f>
        <v>0</v>
      </c>
      <c r="H888">
        <f>IF(tblCalculo[[#This Row],[STATUS]]="CONCLUÍDO",_xlfn.XLOOKUP(tblCalculo[[#This Row],[NR_SIMULACAO]],tblVendas[[#This Row],[NR_SIMULACAO]],tblVendas[[#This Row],[VALOR_FIXABASICA]],""),0)</f>
        <v>0</v>
      </c>
      <c r="I888">
        <f>IF(tblCalculo[[#This Row],[STATUS]]="CONCLUÍDO",_xlfn.XLOOKUP(tblCalculo[[#This Row],[NR_SIMULACAO]],tblVendas[[#This Row],[NR_SIMULACAO]],tblVendas[[#This Row],[VALOR_TI]],""),0)</f>
        <v>0</v>
      </c>
      <c r="J888">
        <f>IF(tblCalculo[[#This Row],[STATUS]]="CONCLUÍDO",_xlfn.XLOOKUP(tblCalculo[[#This Row],[NR_SIMULACAO]],tblVendas[[#This Row],[NR_SIMULACAO]],tblVendas[[#This Row],[VALOR_APARELHO]],""),0)</f>
        <v>0</v>
      </c>
      <c r="K888" t="str">
        <f>IF(tblCalculo[[#This Row],[STATUS]]="NEGOCIANDO",tblCalculo[[#This Row],[VALOR_TOTAL]],"")</f>
        <v/>
      </c>
      <c r="L888" t="str">
        <f>IF(tblCalculo[[#This Row],[STATUS]]="ALÇADA",tblCalculo[[#This Row],[VALOR_TOTAL]],"")</f>
        <v/>
      </c>
      <c r="M888" t="str">
        <f>IF(tblCalculo[[#This Row],[STATUS]]="EM ANÁLISE",tblCalculo[[#This Row],[VALOR_TOTAL]],"")</f>
        <v/>
      </c>
      <c r="N888">
        <f>IF(tblCalculo[[#This Row],[STATUS]]="TRAMITANDO",tblCalculo[[#This Row],[VALOR_TOTAL]],"")</f>
        <v>7289.78</v>
      </c>
      <c r="O888" t="str">
        <f>IF(tblCalculo[[#This Row],[STATUS]]="PERDIDO",tblCalculo[[#This Row],[VALOR_TOTAL]],"")</f>
        <v/>
      </c>
      <c r="P888" t="str">
        <f>IF(tblCalculo[[#This Row],[STATUS]]="CONCLUÍDO",tblCalculo[[#This Row],[VALOR_TOTAL]],"")</f>
        <v/>
      </c>
    </row>
    <row r="889" spans="1:16" x14ac:dyDescent="0.25">
      <c r="A889" t="str">
        <f>tblVendas[[#This Row],[NR_SIMULACAO]]</f>
        <v>SIM1879</v>
      </c>
      <c r="B889" s="34" t="str">
        <f>_xlfn.XLOOKUP(A889,tblVendas[[#This Row],[NR_SIMULACAO]],tblVendas[[#This Row],[NR_CNPJ]],"")</f>
        <v>17.385.478/0001-22</v>
      </c>
      <c r="C889" t="str">
        <f>_xlfn.XLOOKUP(A889,tblVendas[[#This Row],[NR_SIMULACAO]],tblVendas[[#This Row],[STATUS]],"")</f>
        <v>EM ANÁLISE</v>
      </c>
      <c r="D889" t="str">
        <f>_xlfn.XLOOKUP(A889,tblVendas[[#This Row],[NR_SIMULACAO]],tblVendas[[#This Row],[MES]],"")</f>
        <v>Novembro</v>
      </c>
      <c r="E889">
        <f>SUM(_xlfn.XLOOKUP(tblCalculo[[#This Row],[NR_SIMULACAO]],tblVendas[[#This Row],[NR_SIMULACAO]],tblVendas[[#This Row],[VALOR_MOVEL]],""):_xlfn.XLOOKUP(tblCalculo[[#This Row],[NR_SIMULACAO]],tblVendas[[#This Row],[NR_SIMULACAO]],tblVendas[[#This Row],[VALOR_APARELHO]],""))</f>
        <v>12931.06</v>
      </c>
      <c r="F889">
        <f>IF(tblCalculo[[#This Row],[STATUS]]="CONCLUÍDO",_xlfn.XLOOKUP(tblCalculo[[#This Row],[NR_SIMULACAO]],tblVendas[[#This Row],[NR_SIMULACAO]],tblVendas[[#This Row],[VALOR_MOVEL]],""),0)</f>
        <v>0</v>
      </c>
      <c r="G889">
        <f>IF(tblCalculo[[#This Row],[STATUS]]="CONCLUÍDO",_xlfn.XLOOKUP(tblCalculo[[#This Row],[NR_SIMULACAO]],tblVendas[[#This Row],[NR_SIMULACAO]],tblVendas[[#This Row],[VALOR_AVANCADO]],""),0)</f>
        <v>0</v>
      </c>
      <c r="H889">
        <f>IF(tblCalculo[[#This Row],[STATUS]]="CONCLUÍDO",_xlfn.XLOOKUP(tblCalculo[[#This Row],[NR_SIMULACAO]],tblVendas[[#This Row],[NR_SIMULACAO]],tblVendas[[#This Row],[VALOR_FIXABASICA]],""),0)</f>
        <v>0</v>
      </c>
      <c r="I889">
        <f>IF(tblCalculo[[#This Row],[STATUS]]="CONCLUÍDO",_xlfn.XLOOKUP(tblCalculo[[#This Row],[NR_SIMULACAO]],tblVendas[[#This Row],[NR_SIMULACAO]],tblVendas[[#This Row],[VALOR_TI]],""),0)</f>
        <v>0</v>
      </c>
      <c r="J889">
        <f>IF(tblCalculo[[#This Row],[STATUS]]="CONCLUÍDO",_xlfn.XLOOKUP(tblCalculo[[#This Row],[NR_SIMULACAO]],tblVendas[[#This Row],[NR_SIMULACAO]],tblVendas[[#This Row],[VALOR_APARELHO]],""),0)</f>
        <v>0</v>
      </c>
      <c r="K889" t="str">
        <f>IF(tblCalculo[[#This Row],[STATUS]]="NEGOCIANDO",tblCalculo[[#This Row],[VALOR_TOTAL]],"")</f>
        <v/>
      </c>
      <c r="L889" t="str">
        <f>IF(tblCalculo[[#This Row],[STATUS]]="ALÇADA",tblCalculo[[#This Row],[VALOR_TOTAL]],"")</f>
        <v/>
      </c>
      <c r="M889">
        <f>IF(tblCalculo[[#This Row],[STATUS]]="EM ANÁLISE",tblCalculo[[#This Row],[VALOR_TOTAL]],"")</f>
        <v>12931.06</v>
      </c>
      <c r="N889" t="str">
        <f>IF(tblCalculo[[#This Row],[STATUS]]="TRAMITANDO",tblCalculo[[#This Row],[VALOR_TOTAL]],"")</f>
        <v/>
      </c>
      <c r="O889" t="str">
        <f>IF(tblCalculo[[#This Row],[STATUS]]="PERDIDO",tblCalculo[[#This Row],[VALOR_TOTAL]],"")</f>
        <v/>
      </c>
      <c r="P889" t="str">
        <f>IF(tblCalculo[[#This Row],[STATUS]]="CONCLUÍDO",tblCalculo[[#This Row],[VALOR_TOTAL]],"")</f>
        <v/>
      </c>
    </row>
    <row r="890" spans="1:16" x14ac:dyDescent="0.25">
      <c r="A890" t="str">
        <f>tblVendas[[#This Row],[NR_SIMULACAO]]</f>
        <v>SIM1880</v>
      </c>
      <c r="B890" s="34" t="str">
        <f>_xlfn.XLOOKUP(A890,tblVendas[[#This Row],[NR_SIMULACAO]],tblVendas[[#This Row],[NR_CNPJ]],"")</f>
        <v>10.971.443/0001-72</v>
      </c>
      <c r="C890" t="str">
        <f>_xlfn.XLOOKUP(A890,tblVendas[[#This Row],[NR_SIMULACAO]],tblVendas[[#This Row],[STATUS]],"")</f>
        <v>ALÇADA</v>
      </c>
      <c r="D890" t="str">
        <f>_xlfn.XLOOKUP(A890,tblVendas[[#This Row],[NR_SIMULACAO]],tblVendas[[#This Row],[MES]],"")</f>
        <v>Setembro</v>
      </c>
      <c r="E890">
        <f>SUM(_xlfn.XLOOKUP(tblCalculo[[#This Row],[NR_SIMULACAO]],tblVendas[[#This Row],[NR_SIMULACAO]],tblVendas[[#This Row],[VALOR_MOVEL]],""):_xlfn.XLOOKUP(tblCalculo[[#This Row],[NR_SIMULACAO]],tblVendas[[#This Row],[NR_SIMULACAO]],tblVendas[[#This Row],[VALOR_APARELHO]],""))</f>
        <v>12286.6</v>
      </c>
      <c r="F890">
        <f>IF(tblCalculo[[#This Row],[STATUS]]="CONCLUÍDO",_xlfn.XLOOKUP(tblCalculo[[#This Row],[NR_SIMULACAO]],tblVendas[[#This Row],[NR_SIMULACAO]],tblVendas[[#This Row],[VALOR_MOVEL]],""),0)</f>
        <v>0</v>
      </c>
      <c r="G890">
        <f>IF(tblCalculo[[#This Row],[STATUS]]="CONCLUÍDO",_xlfn.XLOOKUP(tblCalculo[[#This Row],[NR_SIMULACAO]],tblVendas[[#This Row],[NR_SIMULACAO]],tblVendas[[#This Row],[VALOR_AVANCADO]],""),0)</f>
        <v>0</v>
      </c>
      <c r="H890">
        <f>IF(tblCalculo[[#This Row],[STATUS]]="CONCLUÍDO",_xlfn.XLOOKUP(tblCalculo[[#This Row],[NR_SIMULACAO]],tblVendas[[#This Row],[NR_SIMULACAO]],tblVendas[[#This Row],[VALOR_FIXABASICA]],""),0)</f>
        <v>0</v>
      </c>
      <c r="I890">
        <f>IF(tblCalculo[[#This Row],[STATUS]]="CONCLUÍDO",_xlfn.XLOOKUP(tblCalculo[[#This Row],[NR_SIMULACAO]],tblVendas[[#This Row],[NR_SIMULACAO]],tblVendas[[#This Row],[VALOR_TI]],""),0)</f>
        <v>0</v>
      </c>
      <c r="J890">
        <f>IF(tblCalculo[[#This Row],[STATUS]]="CONCLUÍDO",_xlfn.XLOOKUP(tblCalculo[[#This Row],[NR_SIMULACAO]],tblVendas[[#This Row],[NR_SIMULACAO]],tblVendas[[#This Row],[VALOR_APARELHO]],""),0)</f>
        <v>0</v>
      </c>
      <c r="K890" t="str">
        <f>IF(tblCalculo[[#This Row],[STATUS]]="NEGOCIANDO",tblCalculo[[#This Row],[VALOR_TOTAL]],"")</f>
        <v/>
      </c>
      <c r="L890">
        <f>IF(tblCalculo[[#This Row],[STATUS]]="ALÇADA",tblCalculo[[#This Row],[VALOR_TOTAL]],"")</f>
        <v>12286.6</v>
      </c>
      <c r="M890" t="str">
        <f>IF(tblCalculo[[#This Row],[STATUS]]="EM ANÁLISE",tblCalculo[[#This Row],[VALOR_TOTAL]],"")</f>
        <v/>
      </c>
      <c r="N890" t="str">
        <f>IF(tblCalculo[[#This Row],[STATUS]]="TRAMITANDO",tblCalculo[[#This Row],[VALOR_TOTAL]],"")</f>
        <v/>
      </c>
      <c r="O890" t="str">
        <f>IF(tblCalculo[[#This Row],[STATUS]]="PERDIDO",tblCalculo[[#This Row],[VALOR_TOTAL]],"")</f>
        <v/>
      </c>
      <c r="P890" t="str">
        <f>IF(tblCalculo[[#This Row],[STATUS]]="CONCLUÍDO",tblCalculo[[#This Row],[VALOR_TOTAL]],"")</f>
        <v/>
      </c>
    </row>
    <row r="891" spans="1:16" x14ac:dyDescent="0.25">
      <c r="A891" t="str">
        <f>tblVendas[[#This Row],[NR_SIMULACAO]]</f>
        <v>SIM1881</v>
      </c>
      <c r="B891" s="34" t="str">
        <f>_xlfn.XLOOKUP(A891,tblVendas[[#This Row],[NR_SIMULACAO]],tblVendas[[#This Row],[NR_CNPJ]],"")</f>
        <v>10.441.963/0001-12</v>
      </c>
      <c r="C891" t="str">
        <f>_xlfn.XLOOKUP(A891,tblVendas[[#This Row],[NR_SIMULACAO]],tblVendas[[#This Row],[STATUS]],"")</f>
        <v>CONCLUÍDO</v>
      </c>
      <c r="D891" t="str">
        <f>_xlfn.XLOOKUP(A891,tblVendas[[#This Row],[NR_SIMULACAO]],tblVendas[[#This Row],[MES]],"")</f>
        <v>Janeiro</v>
      </c>
      <c r="E891">
        <f>SUM(_xlfn.XLOOKUP(tblCalculo[[#This Row],[NR_SIMULACAO]],tblVendas[[#This Row],[NR_SIMULACAO]],tblVendas[[#This Row],[VALOR_MOVEL]],""):_xlfn.XLOOKUP(tblCalculo[[#This Row],[NR_SIMULACAO]],tblVendas[[#This Row],[NR_SIMULACAO]],tblVendas[[#This Row],[VALOR_APARELHO]],""))</f>
        <v>4336.33</v>
      </c>
      <c r="F891">
        <f>IF(tblCalculo[[#This Row],[STATUS]]="CONCLUÍDO",_xlfn.XLOOKUP(tblCalculo[[#This Row],[NR_SIMULACAO]],tblVendas[[#This Row],[NR_SIMULACAO]],tblVendas[[#This Row],[VALOR_MOVEL]],""),0)</f>
        <v>0</v>
      </c>
      <c r="G891">
        <f>IF(tblCalculo[[#This Row],[STATUS]]="CONCLUÍDO",_xlfn.XLOOKUP(tblCalculo[[#This Row],[NR_SIMULACAO]],tblVendas[[#This Row],[NR_SIMULACAO]],tblVendas[[#This Row],[VALOR_AVANCADO]],""),0)</f>
        <v>0</v>
      </c>
      <c r="H891">
        <f>IF(tblCalculo[[#This Row],[STATUS]]="CONCLUÍDO",_xlfn.XLOOKUP(tblCalculo[[#This Row],[NR_SIMULACAO]],tblVendas[[#This Row],[NR_SIMULACAO]],tblVendas[[#This Row],[VALOR_FIXABASICA]],""),0)</f>
        <v>0</v>
      </c>
      <c r="I891">
        <f>IF(tblCalculo[[#This Row],[STATUS]]="CONCLUÍDO",_xlfn.XLOOKUP(tblCalculo[[#This Row],[NR_SIMULACAO]],tblVendas[[#This Row],[NR_SIMULACAO]],tblVendas[[#This Row],[VALOR_TI]],""),0)</f>
        <v>0</v>
      </c>
      <c r="J891">
        <f>IF(tblCalculo[[#This Row],[STATUS]]="CONCLUÍDO",_xlfn.XLOOKUP(tblCalculo[[#This Row],[NR_SIMULACAO]],tblVendas[[#This Row],[NR_SIMULACAO]],tblVendas[[#This Row],[VALOR_APARELHO]],""),0)</f>
        <v>4336.33</v>
      </c>
      <c r="K891" t="str">
        <f>IF(tblCalculo[[#This Row],[STATUS]]="NEGOCIANDO",tblCalculo[[#This Row],[VALOR_TOTAL]],"")</f>
        <v/>
      </c>
      <c r="L891" t="str">
        <f>IF(tblCalculo[[#This Row],[STATUS]]="ALÇADA",tblCalculo[[#This Row],[VALOR_TOTAL]],"")</f>
        <v/>
      </c>
      <c r="M891" t="str">
        <f>IF(tblCalculo[[#This Row],[STATUS]]="EM ANÁLISE",tblCalculo[[#This Row],[VALOR_TOTAL]],"")</f>
        <v/>
      </c>
      <c r="N891" t="str">
        <f>IF(tblCalculo[[#This Row],[STATUS]]="TRAMITANDO",tblCalculo[[#This Row],[VALOR_TOTAL]],"")</f>
        <v/>
      </c>
      <c r="O891" t="str">
        <f>IF(tblCalculo[[#This Row],[STATUS]]="PERDIDO",tblCalculo[[#This Row],[VALOR_TOTAL]],"")</f>
        <v/>
      </c>
      <c r="P891">
        <f>IF(tblCalculo[[#This Row],[STATUS]]="CONCLUÍDO",tblCalculo[[#This Row],[VALOR_TOTAL]],"")</f>
        <v>4336.33</v>
      </c>
    </row>
    <row r="892" spans="1:16" x14ac:dyDescent="0.25">
      <c r="A892" t="str">
        <f>tblVendas[[#This Row],[NR_SIMULACAO]]</f>
        <v>SIM1882</v>
      </c>
      <c r="B892" s="34" t="str">
        <f>_xlfn.XLOOKUP(A892,tblVendas[[#This Row],[NR_SIMULACAO]],tblVendas[[#This Row],[NR_CNPJ]],"")</f>
        <v>30.670.977/0001-89</v>
      </c>
      <c r="C892" t="str">
        <f>_xlfn.XLOOKUP(A892,tblVendas[[#This Row],[NR_SIMULACAO]],tblVendas[[#This Row],[STATUS]],"")</f>
        <v>NEGOCIANDO</v>
      </c>
      <c r="D892" t="str">
        <f>_xlfn.XLOOKUP(A892,tblVendas[[#This Row],[NR_SIMULACAO]],tblVendas[[#This Row],[MES]],"")</f>
        <v>Julho</v>
      </c>
      <c r="E892">
        <f>SUM(_xlfn.XLOOKUP(tblCalculo[[#This Row],[NR_SIMULACAO]],tblVendas[[#This Row],[NR_SIMULACAO]],tblVendas[[#This Row],[VALOR_MOVEL]],""):_xlfn.XLOOKUP(tblCalculo[[#This Row],[NR_SIMULACAO]],tblVendas[[#This Row],[NR_SIMULACAO]],tblVendas[[#This Row],[VALOR_APARELHO]],""))</f>
        <v>6684.23</v>
      </c>
      <c r="F892">
        <f>IF(tblCalculo[[#This Row],[STATUS]]="CONCLUÍDO",_xlfn.XLOOKUP(tblCalculo[[#This Row],[NR_SIMULACAO]],tblVendas[[#This Row],[NR_SIMULACAO]],tblVendas[[#This Row],[VALOR_MOVEL]],""),0)</f>
        <v>0</v>
      </c>
      <c r="G892">
        <f>IF(tblCalculo[[#This Row],[STATUS]]="CONCLUÍDO",_xlfn.XLOOKUP(tblCalculo[[#This Row],[NR_SIMULACAO]],tblVendas[[#This Row],[NR_SIMULACAO]],tblVendas[[#This Row],[VALOR_AVANCADO]],""),0)</f>
        <v>0</v>
      </c>
      <c r="H892">
        <f>IF(tblCalculo[[#This Row],[STATUS]]="CONCLUÍDO",_xlfn.XLOOKUP(tblCalculo[[#This Row],[NR_SIMULACAO]],tblVendas[[#This Row],[NR_SIMULACAO]],tblVendas[[#This Row],[VALOR_FIXABASICA]],""),0)</f>
        <v>0</v>
      </c>
      <c r="I892">
        <f>IF(tblCalculo[[#This Row],[STATUS]]="CONCLUÍDO",_xlfn.XLOOKUP(tblCalculo[[#This Row],[NR_SIMULACAO]],tblVendas[[#This Row],[NR_SIMULACAO]],tblVendas[[#This Row],[VALOR_TI]],""),0)</f>
        <v>0</v>
      </c>
      <c r="J892">
        <f>IF(tblCalculo[[#This Row],[STATUS]]="CONCLUÍDO",_xlfn.XLOOKUP(tblCalculo[[#This Row],[NR_SIMULACAO]],tblVendas[[#This Row],[NR_SIMULACAO]],tblVendas[[#This Row],[VALOR_APARELHO]],""),0)</f>
        <v>0</v>
      </c>
      <c r="K892">
        <f>IF(tblCalculo[[#This Row],[STATUS]]="NEGOCIANDO",tblCalculo[[#This Row],[VALOR_TOTAL]],"")</f>
        <v>6684.23</v>
      </c>
      <c r="L892" t="str">
        <f>IF(tblCalculo[[#This Row],[STATUS]]="ALÇADA",tblCalculo[[#This Row],[VALOR_TOTAL]],"")</f>
        <v/>
      </c>
      <c r="M892" t="str">
        <f>IF(tblCalculo[[#This Row],[STATUS]]="EM ANÁLISE",tblCalculo[[#This Row],[VALOR_TOTAL]],"")</f>
        <v/>
      </c>
      <c r="N892" t="str">
        <f>IF(tblCalculo[[#This Row],[STATUS]]="TRAMITANDO",tblCalculo[[#This Row],[VALOR_TOTAL]],"")</f>
        <v/>
      </c>
      <c r="O892" t="str">
        <f>IF(tblCalculo[[#This Row],[STATUS]]="PERDIDO",tblCalculo[[#This Row],[VALOR_TOTAL]],"")</f>
        <v/>
      </c>
      <c r="P892" t="str">
        <f>IF(tblCalculo[[#This Row],[STATUS]]="CONCLUÍDO",tblCalculo[[#This Row],[VALOR_TOTAL]],"")</f>
        <v/>
      </c>
    </row>
    <row r="893" spans="1:16" x14ac:dyDescent="0.25">
      <c r="A893" t="str">
        <f>tblVendas[[#This Row],[NR_SIMULACAO]]</f>
        <v>SIM1883</v>
      </c>
      <c r="B893" s="34" t="str">
        <f>_xlfn.XLOOKUP(A893,tblVendas[[#This Row],[NR_SIMULACAO]],tblVendas[[#This Row],[NR_CNPJ]],"")</f>
        <v>73.247.875/0001-37</v>
      </c>
      <c r="C893" t="str">
        <f>_xlfn.XLOOKUP(A893,tblVendas[[#This Row],[NR_SIMULACAO]],tblVendas[[#This Row],[STATUS]],"")</f>
        <v>CONCLUÍDO</v>
      </c>
      <c r="D893" t="str">
        <f>_xlfn.XLOOKUP(A893,tblVendas[[#This Row],[NR_SIMULACAO]],tblVendas[[#This Row],[MES]],"")</f>
        <v>Fevereiro</v>
      </c>
      <c r="E893">
        <f>SUM(_xlfn.XLOOKUP(tblCalculo[[#This Row],[NR_SIMULACAO]],tblVendas[[#This Row],[NR_SIMULACAO]],tblVendas[[#This Row],[VALOR_MOVEL]],""):_xlfn.XLOOKUP(tblCalculo[[#This Row],[NR_SIMULACAO]],tblVendas[[#This Row],[NR_SIMULACAO]],tblVendas[[#This Row],[VALOR_APARELHO]],""))</f>
        <v>10891.15</v>
      </c>
      <c r="F893">
        <f>IF(tblCalculo[[#This Row],[STATUS]]="CONCLUÍDO",_xlfn.XLOOKUP(tblCalculo[[#This Row],[NR_SIMULACAO]],tblVendas[[#This Row],[NR_SIMULACAO]],tblVendas[[#This Row],[VALOR_MOVEL]],""),0)</f>
        <v>0</v>
      </c>
      <c r="G893">
        <f>IF(tblCalculo[[#This Row],[STATUS]]="CONCLUÍDO",_xlfn.XLOOKUP(tblCalculo[[#This Row],[NR_SIMULACAO]],tblVendas[[#This Row],[NR_SIMULACAO]],tblVendas[[#This Row],[VALOR_AVANCADO]],""),0)</f>
        <v>1222.5999999999999</v>
      </c>
      <c r="H893">
        <f>IF(tblCalculo[[#This Row],[STATUS]]="CONCLUÍDO",_xlfn.XLOOKUP(tblCalculo[[#This Row],[NR_SIMULACAO]],tblVendas[[#This Row],[NR_SIMULACAO]],tblVendas[[#This Row],[VALOR_FIXABASICA]],""),0)</f>
        <v>2801.94</v>
      </c>
      <c r="I893">
        <f>IF(tblCalculo[[#This Row],[STATUS]]="CONCLUÍDO",_xlfn.XLOOKUP(tblCalculo[[#This Row],[NR_SIMULACAO]],tblVendas[[#This Row],[NR_SIMULACAO]],tblVendas[[#This Row],[VALOR_TI]],""),0)</f>
        <v>6866.61</v>
      </c>
      <c r="J893">
        <f>IF(tblCalculo[[#This Row],[STATUS]]="CONCLUÍDO",_xlfn.XLOOKUP(tblCalculo[[#This Row],[NR_SIMULACAO]],tblVendas[[#This Row],[NR_SIMULACAO]],tblVendas[[#This Row],[VALOR_APARELHO]],""),0)</f>
        <v>0</v>
      </c>
      <c r="K893" t="str">
        <f>IF(tblCalculo[[#This Row],[STATUS]]="NEGOCIANDO",tblCalculo[[#This Row],[VALOR_TOTAL]],"")</f>
        <v/>
      </c>
      <c r="L893" t="str">
        <f>IF(tblCalculo[[#This Row],[STATUS]]="ALÇADA",tblCalculo[[#This Row],[VALOR_TOTAL]],"")</f>
        <v/>
      </c>
      <c r="M893" t="str">
        <f>IF(tblCalculo[[#This Row],[STATUS]]="EM ANÁLISE",tblCalculo[[#This Row],[VALOR_TOTAL]],"")</f>
        <v/>
      </c>
      <c r="N893" t="str">
        <f>IF(tblCalculo[[#This Row],[STATUS]]="TRAMITANDO",tblCalculo[[#This Row],[VALOR_TOTAL]],"")</f>
        <v/>
      </c>
      <c r="O893" t="str">
        <f>IF(tblCalculo[[#This Row],[STATUS]]="PERDIDO",tblCalculo[[#This Row],[VALOR_TOTAL]],"")</f>
        <v/>
      </c>
      <c r="P893">
        <f>IF(tblCalculo[[#This Row],[STATUS]]="CONCLUÍDO",tblCalculo[[#This Row],[VALOR_TOTAL]],"")</f>
        <v>10891.15</v>
      </c>
    </row>
    <row r="894" spans="1:16" x14ac:dyDescent="0.25">
      <c r="A894" t="str">
        <f>tblVendas[[#This Row],[NR_SIMULACAO]]</f>
        <v>SIM1884</v>
      </c>
      <c r="B894" s="34" t="str">
        <f>_xlfn.XLOOKUP(A894,tblVendas[[#This Row],[NR_SIMULACAO]],tblVendas[[#This Row],[NR_CNPJ]],"")</f>
        <v>91.240.792/0001-86</v>
      </c>
      <c r="C894" t="str">
        <f>_xlfn.XLOOKUP(A894,tblVendas[[#This Row],[NR_SIMULACAO]],tblVendas[[#This Row],[STATUS]],"")</f>
        <v>EM ANÁLISE</v>
      </c>
      <c r="D894" t="str">
        <f>_xlfn.XLOOKUP(A894,tblVendas[[#This Row],[NR_SIMULACAO]],tblVendas[[#This Row],[MES]],"")</f>
        <v>Agosto</v>
      </c>
      <c r="E894">
        <f>SUM(_xlfn.XLOOKUP(tblCalculo[[#This Row],[NR_SIMULACAO]],tblVendas[[#This Row],[NR_SIMULACAO]],tblVendas[[#This Row],[VALOR_MOVEL]],""):_xlfn.XLOOKUP(tblCalculo[[#This Row],[NR_SIMULACAO]],tblVendas[[#This Row],[NR_SIMULACAO]],tblVendas[[#This Row],[VALOR_APARELHO]],""))</f>
        <v>13343.05</v>
      </c>
      <c r="F894">
        <f>IF(tblCalculo[[#This Row],[STATUS]]="CONCLUÍDO",_xlfn.XLOOKUP(tblCalculo[[#This Row],[NR_SIMULACAO]],tblVendas[[#This Row],[NR_SIMULACAO]],tblVendas[[#This Row],[VALOR_MOVEL]],""),0)</f>
        <v>0</v>
      </c>
      <c r="G894">
        <f>IF(tblCalculo[[#This Row],[STATUS]]="CONCLUÍDO",_xlfn.XLOOKUP(tblCalculo[[#This Row],[NR_SIMULACAO]],tblVendas[[#This Row],[NR_SIMULACAO]],tblVendas[[#This Row],[VALOR_AVANCADO]],""),0)</f>
        <v>0</v>
      </c>
      <c r="H894">
        <f>IF(tblCalculo[[#This Row],[STATUS]]="CONCLUÍDO",_xlfn.XLOOKUP(tblCalculo[[#This Row],[NR_SIMULACAO]],tblVendas[[#This Row],[NR_SIMULACAO]],tblVendas[[#This Row],[VALOR_FIXABASICA]],""),0)</f>
        <v>0</v>
      </c>
      <c r="I894">
        <f>IF(tblCalculo[[#This Row],[STATUS]]="CONCLUÍDO",_xlfn.XLOOKUP(tblCalculo[[#This Row],[NR_SIMULACAO]],tblVendas[[#This Row],[NR_SIMULACAO]],tblVendas[[#This Row],[VALOR_TI]],""),0)</f>
        <v>0</v>
      </c>
      <c r="J894">
        <f>IF(tblCalculo[[#This Row],[STATUS]]="CONCLUÍDO",_xlfn.XLOOKUP(tblCalculo[[#This Row],[NR_SIMULACAO]],tblVendas[[#This Row],[NR_SIMULACAO]],tblVendas[[#This Row],[VALOR_APARELHO]],""),0)</f>
        <v>0</v>
      </c>
      <c r="K894" t="str">
        <f>IF(tblCalculo[[#This Row],[STATUS]]="NEGOCIANDO",tblCalculo[[#This Row],[VALOR_TOTAL]],"")</f>
        <v/>
      </c>
      <c r="L894" t="str">
        <f>IF(tblCalculo[[#This Row],[STATUS]]="ALÇADA",tblCalculo[[#This Row],[VALOR_TOTAL]],"")</f>
        <v/>
      </c>
      <c r="M894">
        <f>IF(tblCalculo[[#This Row],[STATUS]]="EM ANÁLISE",tblCalculo[[#This Row],[VALOR_TOTAL]],"")</f>
        <v>13343.05</v>
      </c>
      <c r="N894" t="str">
        <f>IF(tblCalculo[[#This Row],[STATUS]]="TRAMITANDO",tblCalculo[[#This Row],[VALOR_TOTAL]],"")</f>
        <v/>
      </c>
      <c r="O894" t="str">
        <f>IF(tblCalculo[[#This Row],[STATUS]]="PERDIDO",tblCalculo[[#This Row],[VALOR_TOTAL]],"")</f>
        <v/>
      </c>
      <c r="P894" t="str">
        <f>IF(tblCalculo[[#This Row],[STATUS]]="CONCLUÍDO",tblCalculo[[#This Row],[VALOR_TOTAL]],"")</f>
        <v/>
      </c>
    </row>
    <row r="895" spans="1:16" x14ac:dyDescent="0.25">
      <c r="A895" t="str">
        <f>tblVendas[[#This Row],[NR_SIMULACAO]]</f>
        <v>SIM1885</v>
      </c>
      <c r="B895" s="34" t="str">
        <f>_xlfn.XLOOKUP(A895,tblVendas[[#This Row],[NR_SIMULACAO]],tblVendas[[#This Row],[NR_CNPJ]],"")</f>
        <v>28.553.729/0001-86</v>
      </c>
      <c r="C895" t="str">
        <f>_xlfn.XLOOKUP(A895,tblVendas[[#This Row],[NR_SIMULACAO]],tblVendas[[#This Row],[STATUS]],"")</f>
        <v>PERDIDO</v>
      </c>
      <c r="D895" t="str">
        <f>_xlfn.XLOOKUP(A895,tblVendas[[#This Row],[NR_SIMULACAO]],tblVendas[[#This Row],[MES]],"")</f>
        <v>Novembro</v>
      </c>
      <c r="E895">
        <f>SUM(_xlfn.XLOOKUP(tblCalculo[[#This Row],[NR_SIMULACAO]],tblVendas[[#This Row],[NR_SIMULACAO]],tblVendas[[#This Row],[VALOR_MOVEL]],""):_xlfn.XLOOKUP(tblCalculo[[#This Row],[NR_SIMULACAO]],tblVendas[[#This Row],[NR_SIMULACAO]],tblVendas[[#This Row],[VALOR_APARELHO]],""))</f>
        <v>2260.64</v>
      </c>
      <c r="F895">
        <f>IF(tblCalculo[[#This Row],[STATUS]]="CONCLUÍDO",_xlfn.XLOOKUP(tblCalculo[[#This Row],[NR_SIMULACAO]],tblVendas[[#This Row],[NR_SIMULACAO]],tblVendas[[#This Row],[VALOR_MOVEL]],""),0)</f>
        <v>0</v>
      </c>
      <c r="G895">
        <f>IF(tblCalculo[[#This Row],[STATUS]]="CONCLUÍDO",_xlfn.XLOOKUP(tblCalculo[[#This Row],[NR_SIMULACAO]],tblVendas[[#This Row],[NR_SIMULACAO]],tblVendas[[#This Row],[VALOR_AVANCADO]],""),0)</f>
        <v>0</v>
      </c>
      <c r="H895">
        <f>IF(tblCalculo[[#This Row],[STATUS]]="CONCLUÍDO",_xlfn.XLOOKUP(tblCalculo[[#This Row],[NR_SIMULACAO]],tblVendas[[#This Row],[NR_SIMULACAO]],tblVendas[[#This Row],[VALOR_FIXABASICA]],""),0)</f>
        <v>0</v>
      </c>
      <c r="I895">
        <f>IF(tblCalculo[[#This Row],[STATUS]]="CONCLUÍDO",_xlfn.XLOOKUP(tblCalculo[[#This Row],[NR_SIMULACAO]],tblVendas[[#This Row],[NR_SIMULACAO]],tblVendas[[#This Row],[VALOR_TI]],""),0)</f>
        <v>0</v>
      </c>
      <c r="J895">
        <f>IF(tblCalculo[[#This Row],[STATUS]]="CONCLUÍDO",_xlfn.XLOOKUP(tblCalculo[[#This Row],[NR_SIMULACAO]],tblVendas[[#This Row],[NR_SIMULACAO]],tblVendas[[#This Row],[VALOR_APARELHO]],""),0)</f>
        <v>0</v>
      </c>
      <c r="K895" t="str">
        <f>IF(tblCalculo[[#This Row],[STATUS]]="NEGOCIANDO",tblCalculo[[#This Row],[VALOR_TOTAL]],"")</f>
        <v/>
      </c>
      <c r="L895" t="str">
        <f>IF(tblCalculo[[#This Row],[STATUS]]="ALÇADA",tblCalculo[[#This Row],[VALOR_TOTAL]],"")</f>
        <v/>
      </c>
      <c r="M895" t="str">
        <f>IF(tblCalculo[[#This Row],[STATUS]]="EM ANÁLISE",tblCalculo[[#This Row],[VALOR_TOTAL]],"")</f>
        <v/>
      </c>
      <c r="N895" t="str">
        <f>IF(tblCalculo[[#This Row],[STATUS]]="TRAMITANDO",tblCalculo[[#This Row],[VALOR_TOTAL]],"")</f>
        <v/>
      </c>
      <c r="O895">
        <f>IF(tblCalculo[[#This Row],[STATUS]]="PERDIDO",tblCalculo[[#This Row],[VALOR_TOTAL]],"")</f>
        <v>2260.64</v>
      </c>
      <c r="P895" t="str">
        <f>IF(tblCalculo[[#This Row],[STATUS]]="CONCLUÍDO",tblCalculo[[#This Row],[VALOR_TOTAL]],"")</f>
        <v/>
      </c>
    </row>
    <row r="896" spans="1:16" x14ac:dyDescent="0.25">
      <c r="A896" t="str">
        <f>tblVendas[[#This Row],[NR_SIMULACAO]]</f>
        <v>SIM1886</v>
      </c>
      <c r="B896" s="34" t="str">
        <f>_xlfn.XLOOKUP(A896,tblVendas[[#This Row],[NR_SIMULACAO]],tblVendas[[#This Row],[NR_CNPJ]],"")</f>
        <v>43.590.805/0001-79</v>
      </c>
      <c r="C896" t="str">
        <f>_xlfn.XLOOKUP(A896,tblVendas[[#This Row],[NR_SIMULACAO]],tblVendas[[#This Row],[STATUS]],"")</f>
        <v>NEGOCIANDO</v>
      </c>
      <c r="D896" t="str">
        <f>_xlfn.XLOOKUP(A896,tblVendas[[#This Row],[NR_SIMULACAO]],tblVendas[[#This Row],[MES]],"")</f>
        <v>Janeiro</v>
      </c>
      <c r="E896">
        <f>SUM(_xlfn.XLOOKUP(tblCalculo[[#This Row],[NR_SIMULACAO]],tblVendas[[#This Row],[NR_SIMULACAO]],tblVendas[[#This Row],[VALOR_MOVEL]],""):_xlfn.XLOOKUP(tblCalculo[[#This Row],[NR_SIMULACAO]],tblVendas[[#This Row],[NR_SIMULACAO]],tblVendas[[#This Row],[VALOR_APARELHO]],""))</f>
        <v>6296.12</v>
      </c>
      <c r="F896">
        <f>IF(tblCalculo[[#This Row],[STATUS]]="CONCLUÍDO",_xlfn.XLOOKUP(tblCalculo[[#This Row],[NR_SIMULACAO]],tblVendas[[#This Row],[NR_SIMULACAO]],tblVendas[[#This Row],[VALOR_MOVEL]],""),0)</f>
        <v>0</v>
      </c>
      <c r="G896">
        <f>IF(tblCalculo[[#This Row],[STATUS]]="CONCLUÍDO",_xlfn.XLOOKUP(tblCalculo[[#This Row],[NR_SIMULACAO]],tblVendas[[#This Row],[NR_SIMULACAO]],tblVendas[[#This Row],[VALOR_AVANCADO]],""),0)</f>
        <v>0</v>
      </c>
      <c r="H896">
        <f>IF(tblCalculo[[#This Row],[STATUS]]="CONCLUÍDO",_xlfn.XLOOKUP(tblCalculo[[#This Row],[NR_SIMULACAO]],tblVendas[[#This Row],[NR_SIMULACAO]],tblVendas[[#This Row],[VALOR_FIXABASICA]],""),0)</f>
        <v>0</v>
      </c>
      <c r="I896">
        <f>IF(tblCalculo[[#This Row],[STATUS]]="CONCLUÍDO",_xlfn.XLOOKUP(tblCalculo[[#This Row],[NR_SIMULACAO]],tblVendas[[#This Row],[NR_SIMULACAO]],tblVendas[[#This Row],[VALOR_TI]],""),0)</f>
        <v>0</v>
      </c>
      <c r="J896">
        <f>IF(tblCalculo[[#This Row],[STATUS]]="CONCLUÍDO",_xlfn.XLOOKUP(tblCalculo[[#This Row],[NR_SIMULACAO]],tblVendas[[#This Row],[NR_SIMULACAO]],tblVendas[[#This Row],[VALOR_APARELHO]],""),0)</f>
        <v>0</v>
      </c>
      <c r="K896">
        <f>IF(tblCalculo[[#This Row],[STATUS]]="NEGOCIANDO",tblCalculo[[#This Row],[VALOR_TOTAL]],"")</f>
        <v>6296.12</v>
      </c>
      <c r="L896" t="str">
        <f>IF(tblCalculo[[#This Row],[STATUS]]="ALÇADA",tblCalculo[[#This Row],[VALOR_TOTAL]],"")</f>
        <v/>
      </c>
      <c r="M896" t="str">
        <f>IF(tblCalculo[[#This Row],[STATUS]]="EM ANÁLISE",tblCalculo[[#This Row],[VALOR_TOTAL]],"")</f>
        <v/>
      </c>
      <c r="N896" t="str">
        <f>IF(tblCalculo[[#This Row],[STATUS]]="TRAMITANDO",tblCalculo[[#This Row],[VALOR_TOTAL]],"")</f>
        <v/>
      </c>
      <c r="O896" t="str">
        <f>IF(tblCalculo[[#This Row],[STATUS]]="PERDIDO",tblCalculo[[#This Row],[VALOR_TOTAL]],"")</f>
        <v/>
      </c>
      <c r="P896" t="str">
        <f>IF(tblCalculo[[#This Row],[STATUS]]="CONCLUÍDO",tblCalculo[[#This Row],[VALOR_TOTAL]],"")</f>
        <v/>
      </c>
    </row>
    <row r="897" spans="1:16" x14ac:dyDescent="0.25">
      <c r="A897" t="str">
        <f>tblVendas[[#This Row],[NR_SIMULACAO]]</f>
        <v>SIM1887</v>
      </c>
      <c r="B897" s="34" t="str">
        <f>_xlfn.XLOOKUP(A897,tblVendas[[#This Row],[NR_SIMULACAO]],tblVendas[[#This Row],[NR_CNPJ]],"")</f>
        <v>81.751.291/0001-14</v>
      </c>
      <c r="C897" t="str">
        <f>_xlfn.XLOOKUP(A897,tblVendas[[#This Row],[NR_SIMULACAO]],tblVendas[[#This Row],[STATUS]],"")</f>
        <v>ALÇADA</v>
      </c>
      <c r="D897" t="str">
        <f>_xlfn.XLOOKUP(A897,tblVendas[[#This Row],[NR_SIMULACAO]],tblVendas[[#This Row],[MES]],"")</f>
        <v>Junho</v>
      </c>
      <c r="E897">
        <f>SUM(_xlfn.XLOOKUP(tblCalculo[[#This Row],[NR_SIMULACAO]],tblVendas[[#This Row],[NR_SIMULACAO]],tblVendas[[#This Row],[VALOR_MOVEL]],""):_xlfn.XLOOKUP(tblCalculo[[#This Row],[NR_SIMULACAO]],tblVendas[[#This Row],[NR_SIMULACAO]],tblVendas[[#This Row],[VALOR_APARELHO]],""))</f>
        <v>6407.9699999999993</v>
      </c>
      <c r="F897">
        <f>IF(tblCalculo[[#This Row],[STATUS]]="CONCLUÍDO",_xlfn.XLOOKUP(tblCalculo[[#This Row],[NR_SIMULACAO]],tblVendas[[#This Row],[NR_SIMULACAO]],tblVendas[[#This Row],[VALOR_MOVEL]],""),0)</f>
        <v>0</v>
      </c>
      <c r="G897">
        <f>IF(tblCalculo[[#This Row],[STATUS]]="CONCLUÍDO",_xlfn.XLOOKUP(tblCalculo[[#This Row],[NR_SIMULACAO]],tblVendas[[#This Row],[NR_SIMULACAO]],tblVendas[[#This Row],[VALOR_AVANCADO]],""),0)</f>
        <v>0</v>
      </c>
      <c r="H897">
        <f>IF(tblCalculo[[#This Row],[STATUS]]="CONCLUÍDO",_xlfn.XLOOKUP(tblCalculo[[#This Row],[NR_SIMULACAO]],tblVendas[[#This Row],[NR_SIMULACAO]],tblVendas[[#This Row],[VALOR_FIXABASICA]],""),0)</f>
        <v>0</v>
      </c>
      <c r="I897">
        <f>IF(tblCalculo[[#This Row],[STATUS]]="CONCLUÍDO",_xlfn.XLOOKUP(tblCalculo[[#This Row],[NR_SIMULACAO]],tblVendas[[#This Row],[NR_SIMULACAO]],tblVendas[[#This Row],[VALOR_TI]],""),0)</f>
        <v>0</v>
      </c>
      <c r="J897">
        <f>IF(tblCalculo[[#This Row],[STATUS]]="CONCLUÍDO",_xlfn.XLOOKUP(tblCalculo[[#This Row],[NR_SIMULACAO]],tblVendas[[#This Row],[NR_SIMULACAO]],tblVendas[[#This Row],[VALOR_APARELHO]],""),0)</f>
        <v>0</v>
      </c>
      <c r="K897" t="str">
        <f>IF(tblCalculo[[#This Row],[STATUS]]="NEGOCIANDO",tblCalculo[[#This Row],[VALOR_TOTAL]],"")</f>
        <v/>
      </c>
      <c r="L897">
        <f>IF(tblCalculo[[#This Row],[STATUS]]="ALÇADA",tblCalculo[[#This Row],[VALOR_TOTAL]],"")</f>
        <v>6407.9699999999993</v>
      </c>
      <c r="M897" t="str">
        <f>IF(tblCalculo[[#This Row],[STATUS]]="EM ANÁLISE",tblCalculo[[#This Row],[VALOR_TOTAL]],"")</f>
        <v/>
      </c>
      <c r="N897" t="str">
        <f>IF(tblCalculo[[#This Row],[STATUS]]="TRAMITANDO",tblCalculo[[#This Row],[VALOR_TOTAL]],"")</f>
        <v/>
      </c>
      <c r="O897" t="str">
        <f>IF(tblCalculo[[#This Row],[STATUS]]="PERDIDO",tblCalculo[[#This Row],[VALOR_TOTAL]],"")</f>
        <v/>
      </c>
      <c r="P897" t="str">
        <f>IF(tblCalculo[[#This Row],[STATUS]]="CONCLUÍDO",tblCalculo[[#This Row],[VALOR_TOTAL]],"")</f>
        <v/>
      </c>
    </row>
    <row r="898" spans="1:16" x14ac:dyDescent="0.25">
      <c r="A898" t="str">
        <f>tblVendas[[#This Row],[NR_SIMULACAO]]</f>
        <v>SIM1888</v>
      </c>
      <c r="B898" s="34" t="str">
        <f>_xlfn.XLOOKUP(A898,tblVendas[[#This Row],[NR_SIMULACAO]],tblVendas[[#This Row],[NR_CNPJ]],"")</f>
        <v>21.525.872/0001-14</v>
      </c>
      <c r="C898" t="str">
        <f>_xlfn.XLOOKUP(A898,tblVendas[[#This Row],[NR_SIMULACAO]],tblVendas[[#This Row],[STATUS]],"")</f>
        <v>NEGOCIANDO</v>
      </c>
      <c r="D898" t="str">
        <f>_xlfn.XLOOKUP(A898,tblVendas[[#This Row],[NR_SIMULACAO]],tblVendas[[#This Row],[MES]],"")</f>
        <v>Dezembro</v>
      </c>
      <c r="E898">
        <f>SUM(_xlfn.XLOOKUP(tblCalculo[[#This Row],[NR_SIMULACAO]],tblVendas[[#This Row],[NR_SIMULACAO]],tblVendas[[#This Row],[VALOR_MOVEL]],""):_xlfn.XLOOKUP(tblCalculo[[#This Row],[NR_SIMULACAO]],tblVendas[[#This Row],[NR_SIMULACAO]],tblVendas[[#This Row],[VALOR_APARELHO]],""))</f>
        <v>2113.0300000000002</v>
      </c>
      <c r="F898">
        <f>IF(tblCalculo[[#This Row],[STATUS]]="CONCLUÍDO",_xlfn.XLOOKUP(tblCalculo[[#This Row],[NR_SIMULACAO]],tblVendas[[#This Row],[NR_SIMULACAO]],tblVendas[[#This Row],[VALOR_MOVEL]],""),0)</f>
        <v>0</v>
      </c>
      <c r="G898">
        <f>IF(tblCalculo[[#This Row],[STATUS]]="CONCLUÍDO",_xlfn.XLOOKUP(tblCalculo[[#This Row],[NR_SIMULACAO]],tblVendas[[#This Row],[NR_SIMULACAO]],tblVendas[[#This Row],[VALOR_AVANCADO]],""),0)</f>
        <v>0</v>
      </c>
      <c r="H898">
        <f>IF(tblCalculo[[#This Row],[STATUS]]="CONCLUÍDO",_xlfn.XLOOKUP(tblCalculo[[#This Row],[NR_SIMULACAO]],tblVendas[[#This Row],[NR_SIMULACAO]],tblVendas[[#This Row],[VALOR_FIXABASICA]],""),0)</f>
        <v>0</v>
      </c>
      <c r="I898">
        <f>IF(tblCalculo[[#This Row],[STATUS]]="CONCLUÍDO",_xlfn.XLOOKUP(tblCalculo[[#This Row],[NR_SIMULACAO]],tblVendas[[#This Row],[NR_SIMULACAO]],tblVendas[[#This Row],[VALOR_TI]],""),0)</f>
        <v>0</v>
      </c>
      <c r="J898">
        <f>IF(tblCalculo[[#This Row],[STATUS]]="CONCLUÍDO",_xlfn.XLOOKUP(tblCalculo[[#This Row],[NR_SIMULACAO]],tblVendas[[#This Row],[NR_SIMULACAO]],tblVendas[[#This Row],[VALOR_APARELHO]],""),0)</f>
        <v>0</v>
      </c>
      <c r="K898">
        <f>IF(tblCalculo[[#This Row],[STATUS]]="NEGOCIANDO",tblCalculo[[#This Row],[VALOR_TOTAL]],"")</f>
        <v>2113.0300000000002</v>
      </c>
      <c r="L898" t="str">
        <f>IF(tblCalculo[[#This Row],[STATUS]]="ALÇADA",tblCalculo[[#This Row],[VALOR_TOTAL]],"")</f>
        <v/>
      </c>
      <c r="M898" t="str">
        <f>IF(tblCalculo[[#This Row],[STATUS]]="EM ANÁLISE",tblCalculo[[#This Row],[VALOR_TOTAL]],"")</f>
        <v/>
      </c>
      <c r="N898" t="str">
        <f>IF(tblCalculo[[#This Row],[STATUS]]="TRAMITANDO",tblCalculo[[#This Row],[VALOR_TOTAL]],"")</f>
        <v/>
      </c>
      <c r="O898" t="str">
        <f>IF(tblCalculo[[#This Row],[STATUS]]="PERDIDO",tblCalculo[[#This Row],[VALOR_TOTAL]],"")</f>
        <v/>
      </c>
      <c r="P898" t="str">
        <f>IF(tblCalculo[[#This Row],[STATUS]]="CONCLUÍDO",tblCalculo[[#This Row],[VALOR_TOTAL]],"")</f>
        <v/>
      </c>
    </row>
    <row r="899" spans="1:16" x14ac:dyDescent="0.25">
      <c r="A899" t="str">
        <f>tblVendas[[#This Row],[NR_SIMULACAO]]</f>
        <v>SIM1889</v>
      </c>
      <c r="B899" s="34" t="str">
        <f>_xlfn.XLOOKUP(A899,tblVendas[[#This Row],[NR_SIMULACAO]],tblVendas[[#This Row],[NR_CNPJ]],"")</f>
        <v>60.153.628/0001-94</v>
      </c>
      <c r="C899" t="str">
        <f>_xlfn.XLOOKUP(A899,tblVendas[[#This Row],[NR_SIMULACAO]],tblVendas[[#This Row],[STATUS]],"")</f>
        <v>CONCLUÍDO</v>
      </c>
      <c r="D899" t="str">
        <f>_xlfn.XLOOKUP(A899,tblVendas[[#This Row],[NR_SIMULACAO]],tblVendas[[#This Row],[MES]],"")</f>
        <v>Março</v>
      </c>
      <c r="E899">
        <f>SUM(_xlfn.XLOOKUP(tblCalculo[[#This Row],[NR_SIMULACAO]],tblVendas[[#This Row],[NR_SIMULACAO]],tblVendas[[#This Row],[VALOR_MOVEL]],""):_xlfn.XLOOKUP(tblCalculo[[#This Row],[NR_SIMULACAO]],tblVendas[[#This Row],[NR_SIMULACAO]],tblVendas[[#This Row],[VALOR_APARELHO]],""))</f>
        <v>13663.79</v>
      </c>
      <c r="F899">
        <f>IF(tblCalculo[[#This Row],[STATUS]]="CONCLUÍDO",_xlfn.XLOOKUP(tblCalculo[[#This Row],[NR_SIMULACAO]],tblVendas[[#This Row],[NR_SIMULACAO]],tblVendas[[#This Row],[VALOR_MOVEL]],""),0)</f>
        <v>7806.12</v>
      </c>
      <c r="G899">
        <f>IF(tblCalculo[[#This Row],[STATUS]]="CONCLUÍDO",_xlfn.XLOOKUP(tblCalculo[[#This Row],[NR_SIMULACAO]],tblVendas[[#This Row],[NR_SIMULACAO]],tblVendas[[#This Row],[VALOR_AVANCADO]],""),0)</f>
        <v>0</v>
      </c>
      <c r="H899">
        <f>IF(tblCalculo[[#This Row],[STATUS]]="CONCLUÍDO",_xlfn.XLOOKUP(tblCalculo[[#This Row],[NR_SIMULACAO]],tblVendas[[#This Row],[NR_SIMULACAO]],tblVendas[[#This Row],[VALOR_FIXABASICA]],""),0)</f>
        <v>0</v>
      </c>
      <c r="I899">
        <f>IF(tblCalculo[[#This Row],[STATUS]]="CONCLUÍDO",_xlfn.XLOOKUP(tblCalculo[[#This Row],[NR_SIMULACAO]],tblVendas[[#This Row],[NR_SIMULACAO]],tblVendas[[#This Row],[VALOR_TI]],""),0)</f>
        <v>0</v>
      </c>
      <c r="J899">
        <f>IF(tblCalculo[[#This Row],[STATUS]]="CONCLUÍDO",_xlfn.XLOOKUP(tblCalculo[[#This Row],[NR_SIMULACAO]],tblVendas[[#This Row],[NR_SIMULACAO]],tblVendas[[#This Row],[VALOR_APARELHO]],""),0)</f>
        <v>5857.67</v>
      </c>
      <c r="K899" t="str">
        <f>IF(tblCalculo[[#This Row],[STATUS]]="NEGOCIANDO",tblCalculo[[#This Row],[VALOR_TOTAL]],"")</f>
        <v/>
      </c>
      <c r="L899" t="str">
        <f>IF(tblCalculo[[#This Row],[STATUS]]="ALÇADA",tblCalculo[[#This Row],[VALOR_TOTAL]],"")</f>
        <v/>
      </c>
      <c r="M899" t="str">
        <f>IF(tblCalculo[[#This Row],[STATUS]]="EM ANÁLISE",tblCalculo[[#This Row],[VALOR_TOTAL]],"")</f>
        <v/>
      </c>
      <c r="N899" t="str">
        <f>IF(tblCalculo[[#This Row],[STATUS]]="TRAMITANDO",tblCalculo[[#This Row],[VALOR_TOTAL]],"")</f>
        <v/>
      </c>
      <c r="O899" t="str">
        <f>IF(tblCalculo[[#This Row],[STATUS]]="PERDIDO",tblCalculo[[#This Row],[VALOR_TOTAL]],"")</f>
        <v/>
      </c>
      <c r="P899">
        <f>IF(tblCalculo[[#This Row],[STATUS]]="CONCLUÍDO",tblCalculo[[#This Row],[VALOR_TOTAL]],"")</f>
        <v>13663.79</v>
      </c>
    </row>
    <row r="900" spans="1:16" x14ac:dyDescent="0.25">
      <c r="A900" t="str">
        <f>tblVendas[[#This Row],[NR_SIMULACAO]]</f>
        <v>SIM1890</v>
      </c>
      <c r="B900" s="34" t="str">
        <f>_xlfn.XLOOKUP(A900,tblVendas[[#This Row],[NR_SIMULACAO]],tblVendas[[#This Row],[NR_CNPJ]],"")</f>
        <v>77.418.581/0001-96</v>
      </c>
      <c r="C900" t="str">
        <f>_xlfn.XLOOKUP(A900,tblVendas[[#This Row],[NR_SIMULACAO]],tblVendas[[#This Row],[STATUS]],"")</f>
        <v>EM ANÁLISE</v>
      </c>
      <c r="D900" t="str">
        <f>_xlfn.XLOOKUP(A900,tblVendas[[#This Row],[NR_SIMULACAO]],tblVendas[[#This Row],[MES]],"")</f>
        <v>Fevereiro</v>
      </c>
      <c r="E900">
        <f>SUM(_xlfn.XLOOKUP(tblCalculo[[#This Row],[NR_SIMULACAO]],tblVendas[[#This Row],[NR_SIMULACAO]],tblVendas[[#This Row],[VALOR_MOVEL]],""):_xlfn.XLOOKUP(tblCalculo[[#This Row],[NR_SIMULACAO]],tblVendas[[#This Row],[NR_SIMULACAO]],tblVendas[[#This Row],[VALOR_APARELHO]],""))</f>
        <v>2767.62</v>
      </c>
      <c r="F900">
        <f>IF(tblCalculo[[#This Row],[STATUS]]="CONCLUÍDO",_xlfn.XLOOKUP(tblCalculo[[#This Row],[NR_SIMULACAO]],tblVendas[[#This Row],[NR_SIMULACAO]],tblVendas[[#This Row],[VALOR_MOVEL]],""),0)</f>
        <v>0</v>
      </c>
      <c r="G900">
        <f>IF(tblCalculo[[#This Row],[STATUS]]="CONCLUÍDO",_xlfn.XLOOKUP(tblCalculo[[#This Row],[NR_SIMULACAO]],tblVendas[[#This Row],[NR_SIMULACAO]],tblVendas[[#This Row],[VALOR_AVANCADO]],""),0)</f>
        <v>0</v>
      </c>
      <c r="H900">
        <f>IF(tblCalculo[[#This Row],[STATUS]]="CONCLUÍDO",_xlfn.XLOOKUP(tblCalculo[[#This Row],[NR_SIMULACAO]],tblVendas[[#This Row],[NR_SIMULACAO]],tblVendas[[#This Row],[VALOR_FIXABASICA]],""),0)</f>
        <v>0</v>
      </c>
      <c r="I900">
        <f>IF(tblCalculo[[#This Row],[STATUS]]="CONCLUÍDO",_xlfn.XLOOKUP(tblCalculo[[#This Row],[NR_SIMULACAO]],tblVendas[[#This Row],[NR_SIMULACAO]],tblVendas[[#This Row],[VALOR_TI]],""),0)</f>
        <v>0</v>
      </c>
      <c r="J900">
        <f>IF(tblCalculo[[#This Row],[STATUS]]="CONCLUÍDO",_xlfn.XLOOKUP(tblCalculo[[#This Row],[NR_SIMULACAO]],tblVendas[[#This Row],[NR_SIMULACAO]],tblVendas[[#This Row],[VALOR_APARELHO]],""),0)</f>
        <v>0</v>
      </c>
      <c r="K900" t="str">
        <f>IF(tblCalculo[[#This Row],[STATUS]]="NEGOCIANDO",tblCalculo[[#This Row],[VALOR_TOTAL]],"")</f>
        <v/>
      </c>
      <c r="L900" t="str">
        <f>IF(tblCalculo[[#This Row],[STATUS]]="ALÇADA",tblCalculo[[#This Row],[VALOR_TOTAL]],"")</f>
        <v/>
      </c>
      <c r="M900">
        <f>IF(tblCalculo[[#This Row],[STATUS]]="EM ANÁLISE",tblCalculo[[#This Row],[VALOR_TOTAL]],"")</f>
        <v>2767.62</v>
      </c>
      <c r="N900" t="str">
        <f>IF(tblCalculo[[#This Row],[STATUS]]="TRAMITANDO",tblCalculo[[#This Row],[VALOR_TOTAL]],"")</f>
        <v/>
      </c>
      <c r="O900" t="str">
        <f>IF(tblCalculo[[#This Row],[STATUS]]="PERDIDO",tblCalculo[[#This Row],[VALOR_TOTAL]],"")</f>
        <v/>
      </c>
      <c r="P900" t="str">
        <f>IF(tblCalculo[[#This Row],[STATUS]]="CONCLUÍDO",tblCalculo[[#This Row],[VALOR_TOTAL]],"")</f>
        <v/>
      </c>
    </row>
    <row r="901" spans="1:16" x14ac:dyDescent="0.25">
      <c r="A901" t="str">
        <f>tblVendas[[#This Row],[NR_SIMULACAO]]</f>
        <v>SIM1891</v>
      </c>
      <c r="B901" s="34" t="str">
        <f>_xlfn.XLOOKUP(A901,tblVendas[[#This Row],[NR_SIMULACAO]],tblVendas[[#This Row],[NR_CNPJ]],"")</f>
        <v>83.439.984/0001-15</v>
      </c>
      <c r="C901" t="str">
        <f>_xlfn.XLOOKUP(A901,tblVendas[[#This Row],[NR_SIMULACAO]],tblVendas[[#This Row],[STATUS]],"")</f>
        <v>EM ANÁLISE</v>
      </c>
      <c r="D901" t="str">
        <f>_xlfn.XLOOKUP(A901,tblVendas[[#This Row],[NR_SIMULACAO]],tblVendas[[#This Row],[MES]],"")</f>
        <v>Junho</v>
      </c>
      <c r="E901">
        <f>SUM(_xlfn.XLOOKUP(tblCalculo[[#This Row],[NR_SIMULACAO]],tblVendas[[#This Row],[NR_SIMULACAO]],tblVendas[[#This Row],[VALOR_MOVEL]],""):_xlfn.XLOOKUP(tblCalculo[[#This Row],[NR_SIMULACAO]],tblVendas[[#This Row],[NR_SIMULACAO]],tblVendas[[#This Row],[VALOR_APARELHO]],""))</f>
        <v>23140.010000000002</v>
      </c>
      <c r="F901">
        <f>IF(tblCalculo[[#This Row],[STATUS]]="CONCLUÍDO",_xlfn.XLOOKUP(tblCalculo[[#This Row],[NR_SIMULACAO]],tblVendas[[#This Row],[NR_SIMULACAO]],tblVendas[[#This Row],[VALOR_MOVEL]],""),0)</f>
        <v>0</v>
      </c>
      <c r="G901">
        <f>IF(tblCalculo[[#This Row],[STATUS]]="CONCLUÍDO",_xlfn.XLOOKUP(tblCalculo[[#This Row],[NR_SIMULACAO]],tblVendas[[#This Row],[NR_SIMULACAO]],tblVendas[[#This Row],[VALOR_AVANCADO]],""),0)</f>
        <v>0</v>
      </c>
      <c r="H901">
        <f>IF(tblCalculo[[#This Row],[STATUS]]="CONCLUÍDO",_xlfn.XLOOKUP(tblCalculo[[#This Row],[NR_SIMULACAO]],tblVendas[[#This Row],[NR_SIMULACAO]],tblVendas[[#This Row],[VALOR_FIXABASICA]],""),0)</f>
        <v>0</v>
      </c>
      <c r="I901">
        <f>IF(tblCalculo[[#This Row],[STATUS]]="CONCLUÍDO",_xlfn.XLOOKUP(tblCalculo[[#This Row],[NR_SIMULACAO]],tblVendas[[#This Row],[NR_SIMULACAO]],tblVendas[[#This Row],[VALOR_TI]],""),0)</f>
        <v>0</v>
      </c>
      <c r="J901">
        <f>IF(tblCalculo[[#This Row],[STATUS]]="CONCLUÍDO",_xlfn.XLOOKUP(tblCalculo[[#This Row],[NR_SIMULACAO]],tblVendas[[#This Row],[NR_SIMULACAO]],tblVendas[[#This Row],[VALOR_APARELHO]],""),0)</f>
        <v>0</v>
      </c>
      <c r="K901" t="str">
        <f>IF(tblCalculo[[#This Row],[STATUS]]="NEGOCIANDO",tblCalculo[[#This Row],[VALOR_TOTAL]],"")</f>
        <v/>
      </c>
      <c r="L901" t="str">
        <f>IF(tblCalculo[[#This Row],[STATUS]]="ALÇADA",tblCalculo[[#This Row],[VALOR_TOTAL]],"")</f>
        <v/>
      </c>
      <c r="M901">
        <f>IF(tblCalculo[[#This Row],[STATUS]]="EM ANÁLISE",tblCalculo[[#This Row],[VALOR_TOTAL]],"")</f>
        <v>23140.010000000002</v>
      </c>
      <c r="N901" t="str">
        <f>IF(tblCalculo[[#This Row],[STATUS]]="TRAMITANDO",tblCalculo[[#This Row],[VALOR_TOTAL]],"")</f>
        <v/>
      </c>
      <c r="O901" t="str">
        <f>IF(tblCalculo[[#This Row],[STATUS]]="PERDIDO",tblCalculo[[#This Row],[VALOR_TOTAL]],"")</f>
        <v/>
      </c>
      <c r="P901" t="str">
        <f>IF(tblCalculo[[#This Row],[STATUS]]="CONCLUÍDO",tblCalculo[[#This Row],[VALOR_TOTAL]],"")</f>
        <v/>
      </c>
    </row>
    <row r="902" spans="1:16" x14ac:dyDescent="0.25">
      <c r="A902" t="str">
        <f>tblVendas[[#This Row],[NR_SIMULACAO]]</f>
        <v>SIM1892</v>
      </c>
      <c r="B902" s="34" t="str">
        <f>_xlfn.XLOOKUP(A902,tblVendas[[#This Row],[NR_SIMULACAO]],tblVendas[[#This Row],[NR_CNPJ]],"")</f>
        <v>28.550.648/0001-31</v>
      </c>
      <c r="C902" t="str">
        <f>_xlfn.XLOOKUP(A902,tblVendas[[#This Row],[NR_SIMULACAO]],tblVendas[[#This Row],[STATUS]],"")</f>
        <v>NEGOCIANDO</v>
      </c>
      <c r="D902" t="str">
        <f>_xlfn.XLOOKUP(A902,tblVendas[[#This Row],[NR_SIMULACAO]],tblVendas[[#This Row],[MES]],"")</f>
        <v>Julho</v>
      </c>
      <c r="E902">
        <f>SUM(_xlfn.XLOOKUP(tblCalculo[[#This Row],[NR_SIMULACAO]],tblVendas[[#This Row],[NR_SIMULACAO]],tblVendas[[#This Row],[VALOR_MOVEL]],""):_xlfn.XLOOKUP(tblCalculo[[#This Row],[NR_SIMULACAO]],tblVendas[[#This Row],[NR_SIMULACAO]],tblVendas[[#This Row],[VALOR_APARELHO]],""))</f>
        <v>6689.1500000000005</v>
      </c>
      <c r="F902">
        <f>IF(tblCalculo[[#This Row],[STATUS]]="CONCLUÍDO",_xlfn.XLOOKUP(tblCalculo[[#This Row],[NR_SIMULACAO]],tblVendas[[#This Row],[NR_SIMULACAO]],tblVendas[[#This Row],[VALOR_MOVEL]],""),0)</f>
        <v>0</v>
      </c>
      <c r="G902">
        <f>IF(tblCalculo[[#This Row],[STATUS]]="CONCLUÍDO",_xlfn.XLOOKUP(tblCalculo[[#This Row],[NR_SIMULACAO]],tblVendas[[#This Row],[NR_SIMULACAO]],tblVendas[[#This Row],[VALOR_AVANCADO]],""),0)</f>
        <v>0</v>
      </c>
      <c r="H902">
        <f>IF(tblCalculo[[#This Row],[STATUS]]="CONCLUÍDO",_xlfn.XLOOKUP(tblCalculo[[#This Row],[NR_SIMULACAO]],tblVendas[[#This Row],[NR_SIMULACAO]],tblVendas[[#This Row],[VALOR_FIXABASICA]],""),0)</f>
        <v>0</v>
      </c>
      <c r="I902">
        <f>IF(tblCalculo[[#This Row],[STATUS]]="CONCLUÍDO",_xlfn.XLOOKUP(tblCalculo[[#This Row],[NR_SIMULACAO]],tblVendas[[#This Row],[NR_SIMULACAO]],tblVendas[[#This Row],[VALOR_TI]],""),0)</f>
        <v>0</v>
      </c>
      <c r="J902">
        <f>IF(tblCalculo[[#This Row],[STATUS]]="CONCLUÍDO",_xlfn.XLOOKUP(tblCalculo[[#This Row],[NR_SIMULACAO]],tblVendas[[#This Row],[NR_SIMULACAO]],tblVendas[[#This Row],[VALOR_APARELHO]],""),0)</f>
        <v>0</v>
      </c>
      <c r="K902">
        <f>IF(tblCalculo[[#This Row],[STATUS]]="NEGOCIANDO",tblCalculo[[#This Row],[VALOR_TOTAL]],"")</f>
        <v>6689.1500000000005</v>
      </c>
      <c r="L902" t="str">
        <f>IF(tblCalculo[[#This Row],[STATUS]]="ALÇADA",tblCalculo[[#This Row],[VALOR_TOTAL]],"")</f>
        <v/>
      </c>
      <c r="M902" t="str">
        <f>IF(tblCalculo[[#This Row],[STATUS]]="EM ANÁLISE",tblCalculo[[#This Row],[VALOR_TOTAL]],"")</f>
        <v/>
      </c>
      <c r="N902" t="str">
        <f>IF(tblCalculo[[#This Row],[STATUS]]="TRAMITANDO",tblCalculo[[#This Row],[VALOR_TOTAL]],"")</f>
        <v/>
      </c>
      <c r="O902" t="str">
        <f>IF(tblCalculo[[#This Row],[STATUS]]="PERDIDO",tblCalculo[[#This Row],[VALOR_TOTAL]],"")</f>
        <v/>
      </c>
      <c r="P902" t="str">
        <f>IF(tblCalculo[[#This Row],[STATUS]]="CONCLUÍDO",tblCalculo[[#This Row],[VALOR_TOTAL]],"")</f>
        <v/>
      </c>
    </row>
    <row r="903" spans="1:16" x14ac:dyDescent="0.25">
      <c r="A903" t="str">
        <f>tblVendas[[#This Row],[NR_SIMULACAO]]</f>
        <v>SIM1893</v>
      </c>
      <c r="B903" s="34" t="str">
        <f>_xlfn.XLOOKUP(A903,tblVendas[[#This Row],[NR_SIMULACAO]],tblVendas[[#This Row],[NR_CNPJ]],"")</f>
        <v>57.620.876/0001-88</v>
      </c>
      <c r="C903" t="str">
        <f>_xlfn.XLOOKUP(A903,tblVendas[[#This Row],[NR_SIMULACAO]],tblVendas[[#This Row],[STATUS]],"")</f>
        <v>EM ANÁLISE</v>
      </c>
      <c r="D903" t="str">
        <f>_xlfn.XLOOKUP(A903,tblVendas[[#This Row],[NR_SIMULACAO]],tblVendas[[#This Row],[MES]],"")</f>
        <v>Agosto</v>
      </c>
      <c r="E903">
        <f>SUM(_xlfn.XLOOKUP(tblCalculo[[#This Row],[NR_SIMULACAO]],tblVendas[[#This Row],[NR_SIMULACAO]],tblVendas[[#This Row],[VALOR_MOVEL]],""):_xlfn.XLOOKUP(tblCalculo[[#This Row],[NR_SIMULACAO]],tblVendas[[#This Row],[NR_SIMULACAO]],tblVendas[[#This Row],[VALOR_APARELHO]],""))</f>
        <v>15832.77</v>
      </c>
      <c r="F903">
        <f>IF(tblCalculo[[#This Row],[STATUS]]="CONCLUÍDO",_xlfn.XLOOKUP(tblCalculo[[#This Row],[NR_SIMULACAO]],tblVendas[[#This Row],[NR_SIMULACAO]],tblVendas[[#This Row],[VALOR_MOVEL]],""),0)</f>
        <v>0</v>
      </c>
      <c r="G903">
        <f>IF(tblCalculo[[#This Row],[STATUS]]="CONCLUÍDO",_xlfn.XLOOKUP(tblCalculo[[#This Row],[NR_SIMULACAO]],tblVendas[[#This Row],[NR_SIMULACAO]],tblVendas[[#This Row],[VALOR_AVANCADO]],""),0)</f>
        <v>0</v>
      </c>
      <c r="H903">
        <f>IF(tblCalculo[[#This Row],[STATUS]]="CONCLUÍDO",_xlfn.XLOOKUP(tblCalculo[[#This Row],[NR_SIMULACAO]],tblVendas[[#This Row],[NR_SIMULACAO]],tblVendas[[#This Row],[VALOR_FIXABASICA]],""),0)</f>
        <v>0</v>
      </c>
      <c r="I903">
        <f>IF(tblCalculo[[#This Row],[STATUS]]="CONCLUÍDO",_xlfn.XLOOKUP(tblCalculo[[#This Row],[NR_SIMULACAO]],tblVendas[[#This Row],[NR_SIMULACAO]],tblVendas[[#This Row],[VALOR_TI]],""),0)</f>
        <v>0</v>
      </c>
      <c r="J903">
        <f>IF(tblCalculo[[#This Row],[STATUS]]="CONCLUÍDO",_xlfn.XLOOKUP(tblCalculo[[#This Row],[NR_SIMULACAO]],tblVendas[[#This Row],[NR_SIMULACAO]],tblVendas[[#This Row],[VALOR_APARELHO]],""),0)</f>
        <v>0</v>
      </c>
      <c r="K903" t="str">
        <f>IF(tblCalculo[[#This Row],[STATUS]]="NEGOCIANDO",tblCalculo[[#This Row],[VALOR_TOTAL]],"")</f>
        <v/>
      </c>
      <c r="L903" t="str">
        <f>IF(tblCalculo[[#This Row],[STATUS]]="ALÇADA",tblCalculo[[#This Row],[VALOR_TOTAL]],"")</f>
        <v/>
      </c>
      <c r="M903">
        <f>IF(tblCalculo[[#This Row],[STATUS]]="EM ANÁLISE",tblCalculo[[#This Row],[VALOR_TOTAL]],"")</f>
        <v>15832.77</v>
      </c>
      <c r="N903" t="str">
        <f>IF(tblCalculo[[#This Row],[STATUS]]="TRAMITANDO",tblCalculo[[#This Row],[VALOR_TOTAL]],"")</f>
        <v/>
      </c>
      <c r="O903" t="str">
        <f>IF(tblCalculo[[#This Row],[STATUS]]="PERDIDO",tblCalculo[[#This Row],[VALOR_TOTAL]],"")</f>
        <v/>
      </c>
      <c r="P903" t="str">
        <f>IF(tblCalculo[[#This Row],[STATUS]]="CONCLUÍDO",tblCalculo[[#This Row],[VALOR_TOTAL]],"")</f>
        <v/>
      </c>
    </row>
    <row r="904" spans="1:16" x14ac:dyDescent="0.25">
      <c r="A904" t="str">
        <f>tblVendas[[#This Row],[NR_SIMULACAO]]</f>
        <v>SIM1894</v>
      </c>
      <c r="B904" s="34" t="str">
        <f>_xlfn.XLOOKUP(A904,tblVendas[[#This Row],[NR_SIMULACAO]],tblVendas[[#This Row],[NR_CNPJ]],"")</f>
        <v>85.602.783/0001-27</v>
      </c>
      <c r="C904" t="str">
        <f>_xlfn.XLOOKUP(A904,tblVendas[[#This Row],[NR_SIMULACAO]],tblVendas[[#This Row],[STATUS]],"")</f>
        <v>PERDIDO</v>
      </c>
      <c r="D904" t="str">
        <f>_xlfn.XLOOKUP(A904,tblVendas[[#This Row],[NR_SIMULACAO]],tblVendas[[#This Row],[MES]],"")</f>
        <v>Novembro</v>
      </c>
      <c r="E904">
        <f>SUM(_xlfn.XLOOKUP(tblCalculo[[#This Row],[NR_SIMULACAO]],tblVendas[[#This Row],[NR_SIMULACAO]],tblVendas[[#This Row],[VALOR_MOVEL]],""):_xlfn.XLOOKUP(tblCalculo[[#This Row],[NR_SIMULACAO]],tblVendas[[#This Row],[NR_SIMULACAO]],tblVendas[[#This Row],[VALOR_APARELHO]],""))</f>
        <v>4175.29</v>
      </c>
      <c r="F904">
        <f>IF(tblCalculo[[#This Row],[STATUS]]="CONCLUÍDO",_xlfn.XLOOKUP(tblCalculo[[#This Row],[NR_SIMULACAO]],tblVendas[[#This Row],[NR_SIMULACAO]],tblVendas[[#This Row],[VALOR_MOVEL]],""),0)</f>
        <v>0</v>
      </c>
      <c r="G904">
        <f>IF(tblCalculo[[#This Row],[STATUS]]="CONCLUÍDO",_xlfn.XLOOKUP(tblCalculo[[#This Row],[NR_SIMULACAO]],tblVendas[[#This Row],[NR_SIMULACAO]],tblVendas[[#This Row],[VALOR_AVANCADO]],""),0)</f>
        <v>0</v>
      </c>
      <c r="H904">
        <f>IF(tblCalculo[[#This Row],[STATUS]]="CONCLUÍDO",_xlfn.XLOOKUP(tblCalculo[[#This Row],[NR_SIMULACAO]],tblVendas[[#This Row],[NR_SIMULACAO]],tblVendas[[#This Row],[VALOR_FIXABASICA]],""),0)</f>
        <v>0</v>
      </c>
      <c r="I904">
        <f>IF(tblCalculo[[#This Row],[STATUS]]="CONCLUÍDO",_xlfn.XLOOKUP(tblCalculo[[#This Row],[NR_SIMULACAO]],tblVendas[[#This Row],[NR_SIMULACAO]],tblVendas[[#This Row],[VALOR_TI]],""),0)</f>
        <v>0</v>
      </c>
      <c r="J904">
        <f>IF(tblCalculo[[#This Row],[STATUS]]="CONCLUÍDO",_xlfn.XLOOKUP(tblCalculo[[#This Row],[NR_SIMULACAO]],tblVendas[[#This Row],[NR_SIMULACAO]],tblVendas[[#This Row],[VALOR_APARELHO]],""),0)</f>
        <v>0</v>
      </c>
      <c r="K904" t="str">
        <f>IF(tblCalculo[[#This Row],[STATUS]]="NEGOCIANDO",tblCalculo[[#This Row],[VALOR_TOTAL]],"")</f>
        <v/>
      </c>
      <c r="L904" t="str">
        <f>IF(tblCalculo[[#This Row],[STATUS]]="ALÇADA",tblCalculo[[#This Row],[VALOR_TOTAL]],"")</f>
        <v/>
      </c>
      <c r="M904" t="str">
        <f>IF(tblCalculo[[#This Row],[STATUS]]="EM ANÁLISE",tblCalculo[[#This Row],[VALOR_TOTAL]],"")</f>
        <v/>
      </c>
      <c r="N904" t="str">
        <f>IF(tblCalculo[[#This Row],[STATUS]]="TRAMITANDO",tblCalculo[[#This Row],[VALOR_TOTAL]],"")</f>
        <v/>
      </c>
      <c r="O904">
        <f>IF(tblCalculo[[#This Row],[STATUS]]="PERDIDO",tblCalculo[[#This Row],[VALOR_TOTAL]],"")</f>
        <v>4175.29</v>
      </c>
      <c r="P904" t="str">
        <f>IF(tblCalculo[[#This Row],[STATUS]]="CONCLUÍDO",tblCalculo[[#This Row],[VALOR_TOTAL]],"")</f>
        <v/>
      </c>
    </row>
    <row r="905" spans="1:16" x14ac:dyDescent="0.25">
      <c r="A905" t="str">
        <f>tblVendas[[#This Row],[NR_SIMULACAO]]</f>
        <v>SIM1895</v>
      </c>
      <c r="B905" s="34" t="str">
        <f>_xlfn.XLOOKUP(A905,tblVendas[[#This Row],[NR_SIMULACAO]],tblVendas[[#This Row],[NR_CNPJ]],"")</f>
        <v>52.287.762/0001-11</v>
      </c>
      <c r="C905" t="str">
        <f>_xlfn.XLOOKUP(A905,tblVendas[[#This Row],[NR_SIMULACAO]],tblVendas[[#This Row],[STATUS]],"")</f>
        <v>EM ANÁLISE</v>
      </c>
      <c r="D905" t="str">
        <f>_xlfn.XLOOKUP(A905,tblVendas[[#This Row],[NR_SIMULACAO]],tblVendas[[#This Row],[MES]],"")</f>
        <v>Maio</v>
      </c>
      <c r="E905">
        <f>SUM(_xlfn.XLOOKUP(tblCalculo[[#This Row],[NR_SIMULACAO]],tblVendas[[#This Row],[NR_SIMULACAO]],tblVendas[[#This Row],[VALOR_MOVEL]],""):_xlfn.XLOOKUP(tblCalculo[[#This Row],[NR_SIMULACAO]],tblVendas[[#This Row],[NR_SIMULACAO]],tblVendas[[#This Row],[VALOR_APARELHO]],""))</f>
        <v>8723.16</v>
      </c>
      <c r="F905">
        <f>IF(tblCalculo[[#This Row],[STATUS]]="CONCLUÍDO",_xlfn.XLOOKUP(tblCalculo[[#This Row],[NR_SIMULACAO]],tblVendas[[#This Row],[NR_SIMULACAO]],tblVendas[[#This Row],[VALOR_MOVEL]],""),0)</f>
        <v>0</v>
      </c>
      <c r="G905">
        <f>IF(tblCalculo[[#This Row],[STATUS]]="CONCLUÍDO",_xlfn.XLOOKUP(tblCalculo[[#This Row],[NR_SIMULACAO]],tblVendas[[#This Row],[NR_SIMULACAO]],tblVendas[[#This Row],[VALOR_AVANCADO]],""),0)</f>
        <v>0</v>
      </c>
      <c r="H905">
        <f>IF(tblCalculo[[#This Row],[STATUS]]="CONCLUÍDO",_xlfn.XLOOKUP(tblCalculo[[#This Row],[NR_SIMULACAO]],tblVendas[[#This Row],[NR_SIMULACAO]],tblVendas[[#This Row],[VALOR_FIXABASICA]],""),0)</f>
        <v>0</v>
      </c>
      <c r="I905">
        <f>IF(tblCalculo[[#This Row],[STATUS]]="CONCLUÍDO",_xlfn.XLOOKUP(tblCalculo[[#This Row],[NR_SIMULACAO]],tblVendas[[#This Row],[NR_SIMULACAO]],tblVendas[[#This Row],[VALOR_TI]],""),0)</f>
        <v>0</v>
      </c>
      <c r="J905">
        <f>IF(tblCalculo[[#This Row],[STATUS]]="CONCLUÍDO",_xlfn.XLOOKUP(tblCalculo[[#This Row],[NR_SIMULACAO]],tblVendas[[#This Row],[NR_SIMULACAO]],tblVendas[[#This Row],[VALOR_APARELHO]],""),0)</f>
        <v>0</v>
      </c>
      <c r="K905" t="str">
        <f>IF(tblCalculo[[#This Row],[STATUS]]="NEGOCIANDO",tblCalculo[[#This Row],[VALOR_TOTAL]],"")</f>
        <v/>
      </c>
      <c r="L905" t="str">
        <f>IF(tblCalculo[[#This Row],[STATUS]]="ALÇADA",tblCalculo[[#This Row],[VALOR_TOTAL]],"")</f>
        <v/>
      </c>
      <c r="M905">
        <f>IF(tblCalculo[[#This Row],[STATUS]]="EM ANÁLISE",tblCalculo[[#This Row],[VALOR_TOTAL]],"")</f>
        <v>8723.16</v>
      </c>
      <c r="N905" t="str">
        <f>IF(tblCalculo[[#This Row],[STATUS]]="TRAMITANDO",tblCalculo[[#This Row],[VALOR_TOTAL]],"")</f>
        <v/>
      </c>
      <c r="O905" t="str">
        <f>IF(tblCalculo[[#This Row],[STATUS]]="PERDIDO",tblCalculo[[#This Row],[VALOR_TOTAL]],"")</f>
        <v/>
      </c>
      <c r="P905" t="str">
        <f>IF(tblCalculo[[#This Row],[STATUS]]="CONCLUÍDO",tblCalculo[[#This Row],[VALOR_TOTAL]],"")</f>
        <v/>
      </c>
    </row>
    <row r="906" spans="1:16" x14ac:dyDescent="0.25">
      <c r="A906" t="str">
        <f>tblVendas[[#This Row],[NR_SIMULACAO]]</f>
        <v>SIM1896</v>
      </c>
      <c r="B906" s="34" t="str">
        <f>_xlfn.XLOOKUP(A906,tblVendas[[#This Row],[NR_SIMULACAO]],tblVendas[[#This Row],[NR_CNPJ]],"")</f>
        <v>88.372.979/0001-65</v>
      </c>
      <c r="C906" t="str">
        <f>_xlfn.XLOOKUP(A906,tblVendas[[#This Row],[NR_SIMULACAO]],tblVendas[[#This Row],[STATUS]],"")</f>
        <v>NEGOCIANDO</v>
      </c>
      <c r="D906" t="str">
        <f>_xlfn.XLOOKUP(A906,tblVendas[[#This Row],[NR_SIMULACAO]],tblVendas[[#This Row],[MES]],"")</f>
        <v>Outubro</v>
      </c>
      <c r="E906">
        <f>SUM(_xlfn.XLOOKUP(tblCalculo[[#This Row],[NR_SIMULACAO]],tblVendas[[#This Row],[NR_SIMULACAO]],tblVendas[[#This Row],[VALOR_MOVEL]],""):_xlfn.XLOOKUP(tblCalculo[[#This Row],[NR_SIMULACAO]],tblVendas[[#This Row],[NR_SIMULACAO]],tblVendas[[#This Row],[VALOR_APARELHO]],""))</f>
        <v>4724.1400000000003</v>
      </c>
      <c r="F906">
        <f>IF(tblCalculo[[#This Row],[STATUS]]="CONCLUÍDO",_xlfn.XLOOKUP(tblCalculo[[#This Row],[NR_SIMULACAO]],tblVendas[[#This Row],[NR_SIMULACAO]],tblVendas[[#This Row],[VALOR_MOVEL]],""),0)</f>
        <v>0</v>
      </c>
      <c r="G906">
        <f>IF(tblCalculo[[#This Row],[STATUS]]="CONCLUÍDO",_xlfn.XLOOKUP(tblCalculo[[#This Row],[NR_SIMULACAO]],tblVendas[[#This Row],[NR_SIMULACAO]],tblVendas[[#This Row],[VALOR_AVANCADO]],""),0)</f>
        <v>0</v>
      </c>
      <c r="H906">
        <f>IF(tblCalculo[[#This Row],[STATUS]]="CONCLUÍDO",_xlfn.XLOOKUP(tblCalculo[[#This Row],[NR_SIMULACAO]],tblVendas[[#This Row],[NR_SIMULACAO]],tblVendas[[#This Row],[VALOR_FIXABASICA]],""),0)</f>
        <v>0</v>
      </c>
      <c r="I906">
        <f>IF(tblCalculo[[#This Row],[STATUS]]="CONCLUÍDO",_xlfn.XLOOKUP(tblCalculo[[#This Row],[NR_SIMULACAO]],tblVendas[[#This Row],[NR_SIMULACAO]],tblVendas[[#This Row],[VALOR_TI]],""),0)</f>
        <v>0</v>
      </c>
      <c r="J906">
        <f>IF(tblCalculo[[#This Row],[STATUS]]="CONCLUÍDO",_xlfn.XLOOKUP(tblCalculo[[#This Row],[NR_SIMULACAO]],tblVendas[[#This Row],[NR_SIMULACAO]],tblVendas[[#This Row],[VALOR_APARELHO]],""),0)</f>
        <v>0</v>
      </c>
      <c r="K906">
        <f>IF(tblCalculo[[#This Row],[STATUS]]="NEGOCIANDO",tblCalculo[[#This Row],[VALOR_TOTAL]],"")</f>
        <v>4724.1400000000003</v>
      </c>
      <c r="L906" t="str">
        <f>IF(tblCalculo[[#This Row],[STATUS]]="ALÇADA",tblCalculo[[#This Row],[VALOR_TOTAL]],"")</f>
        <v/>
      </c>
      <c r="M906" t="str">
        <f>IF(tblCalculo[[#This Row],[STATUS]]="EM ANÁLISE",tblCalculo[[#This Row],[VALOR_TOTAL]],"")</f>
        <v/>
      </c>
      <c r="N906" t="str">
        <f>IF(tblCalculo[[#This Row],[STATUS]]="TRAMITANDO",tblCalculo[[#This Row],[VALOR_TOTAL]],"")</f>
        <v/>
      </c>
      <c r="O906" t="str">
        <f>IF(tblCalculo[[#This Row],[STATUS]]="PERDIDO",tblCalculo[[#This Row],[VALOR_TOTAL]],"")</f>
        <v/>
      </c>
      <c r="P906" t="str">
        <f>IF(tblCalculo[[#This Row],[STATUS]]="CONCLUÍDO",tblCalculo[[#This Row],[VALOR_TOTAL]],"")</f>
        <v/>
      </c>
    </row>
    <row r="907" spans="1:16" x14ac:dyDescent="0.25">
      <c r="A907" t="str">
        <f>tblVendas[[#This Row],[NR_SIMULACAO]]</f>
        <v>SIM1897</v>
      </c>
      <c r="B907" s="34" t="str">
        <f>_xlfn.XLOOKUP(A907,tblVendas[[#This Row],[NR_SIMULACAO]],tblVendas[[#This Row],[NR_CNPJ]],"")</f>
        <v>44.700.697/0001-40</v>
      </c>
      <c r="C907" t="str">
        <f>_xlfn.XLOOKUP(A907,tblVendas[[#This Row],[NR_SIMULACAO]],tblVendas[[#This Row],[STATUS]],"")</f>
        <v>NEGOCIANDO</v>
      </c>
      <c r="D907" t="str">
        <f>_xlfn.XLOOKUP(A907,tblVendas[[#This Row],[NR_SIMULACAO]],tblVendas[[#This Row],[MES]],"")</f>
        <v>Novembro</v>
      </c>
      <c r="E907">
        <f>SUM(_xlfn.XLOOKUP(tblCalculo[[#This Row],[NR_SIMULACAO]],tblVendas[[#This Row],[NR_SIMULACAO]],tblVendas[[#This Row],[VALOR_MOVEL]],""):_xlfn.XLOOKUP(tblCalculo[[#This Row],[NR_SIMULACAO]],tblVendas[[#This Row],[NR_SIMULACAO]],tblVendas[[#This Row],[VALOR_APARELHO]],""))</f>
        <v>1926.52</v>
      </c>
      <c r="F907">
        <f>IF(tblCalculo[[#This Row],[STATUS]]="CONCLUÍDO",_xlfn.XLOOKUP(tblCalculo[[#This Row],[NR_SIMULACAO]],tblVendas[[#This Row],[NR_SIMULACAO]],tblVendas[[#This Row],[VALOR_MOVEL]],""),0)</f>
        <v>0</v>
      </c>
      <c r="G907">
        <f>IF(tblCalculo[[#This Row],[STATUS]]="CONCLUÍDO",_xlfn.XLOOKUP(tblCalculo[[#This Row],[NR_SIMULACAO]],tblVendas[[#This Row],[NR_SIMULACAO]],tblVendas[[#This Row],[VALOR_AVANCADO]],""),0)</f>
        <v>0</v>
      </c>
      <c r="H907">
        <f>IF(tblCalculo[[#This Row],[STATUS]]="CONCLUÍDO",_xlfn.XLOOKUP(tblCalculo[[#This Row],[NR_SIMULACAO]],tblVendas[[#This Row],[NR_SIMULACAO]],tblVendas[[#This Row],[VALOR_FIXABASICA]],""),0)</f>
        <v>0</v>
      </c>
      <c r="I907">
        <f>IF(tblCalculo[[#This Row],[STATUS]]="CONCLUÍDO",_xlfn.XLOOKUP(tblCalculo[[#This Row],[NR_SIMULACAO]],tblVendas[[#This Row],[NR_SIMULACAO]],tblVendas[[#This Row],[VALOR_TI]],""),0)</f>
        <v>0</v>
      </c>
      <c r="J907">
        <f>IF(tblCalculo[[#This Row],[STATUS]]="CONCLUÍDO",_xlfn.XLOOKUP(tblCalculo[[#This Row],[NR_SIMULACAO]],tblVendas[[#This Row],[NR_SIMULACAO]],tblVendas[[#This Row],[VALOR_APARELHO]],""),0)</f>
        <v>0</v>
      </c>
      <c r="K907">
        <f>IF(tblCalculo[[#This Row],[STATUS]]="NEGOCIANDO",tblCalculo[[#This Row],[VALOR_TOTAL]],"")</f>
        <v>1926.52</v>
      </c>
      <c r="L907" t="str">
        <f>IF(tblCalculo[[#This Row],[STATUS]]="ALÇADA",tblCalculo[[#This Row],[VALOR_TOTAL]],"")</f>
        <v/>
      </c>
      <c r="M907" t="str">
        <f>IF(tblCalculo[[#This Row],[STATUS]]="EM ANÁLISE",tblCalculo[[#This Row],[VALOR_TOTAL]],"")</f>
        <v/>
      </c>
      <c r="N907" t="str">
        <f>IF(tblCalculo[[#This Row],[STATUS]]="TRAMITANDO",tblCalculo[[#This Row],[VALOR_TOTAL]],"")</f>
        <v/>
      </c>
      <c r="O907" t="str">
        <f>IF(tblCalculo[[#This Row],[STATUS]]="PERDIDO",tblCalculo[[#This Row],[VALOR_TOTAL]],"")</f>
        <v/>
      </c>
      <c r="P907" t="str">
        <f>IF(tblCalculo[[#This Row],[STATUS]]="CONCLUÍDO",tblCalculo[[#This Row],[VALOR_TOTAL]],"")</f>
        <v/>
      </c>
    </row>
    <row r="908" spans="1:16" x14ac:dyDescent="0.25">
      <c r="A908" t="str">
        <f>tblVendas[[#This Row],[NR_SIMULACAO]]</f>
        <v>SIM1898</v>
      </c>
      <c r="B908" s="34" t="str">
        <f>_xlfn.XLOOKUP(A908,tblVendas[[#This Row],[NR_SIMULACAO]],tblVendas[[#This Row],[NR_CNPJ]],"")</f>
        <v>11.263.605/0001-74</v>
      </c>
      <c r="C908" t="str">
        <f>_xlfn.XLOOKUP(A908,tblVendas[[#This Row],[NR_SIMULACAO]],tblVendas[[#This Row],[STATUS]],"")</f>
        <v>EM ANÁLISE</v>
      </c>
      <c r="D908" t="str">
        <f>_xlfn.XLOOKUP(A908,tblVendas[[#This Row],[NR_SIMULACAO]],tblVendas[[#This Row],[MES]],"")</f>
        <v>Dezembro</v>
      </c>
      <c r="E908">
        <f>SUM(_xlfn.XLOOKUP(tblCalculo[[#This Row],[NR_SIMULACAO]],tblVendas[[#This Row],[NR_SIMULACAO]],tblVendas[[#This Row],[VALOR_MOVEL]],""):_xlfn.XLOOKUP(tblCalculo[[#This Row],[NR_SIMULACAO]],tblVendas[[#This Row],[NR_SIMULACAO]],tblVendas[[#This Row],[VALOR_APARELHO]],""))</f>
        <v>14612.490000000002</v>
      </c>
      <c r="F908">
        <f>IF(tblCalculo[[#This Row],[STATUS]]="CONCLUÍDO",_xlfn.XLOOKUP(tblCalculo[[#This Row],[NR_SIMULACAO]],tblVendas[[#This Row],[NR_SIMULACAO]],tblVendas[[#This Row],[VALOR_MOVEL]],""),0)</f>
        <v>0</v>
      </c>
      <c r="G908">
        <f>IF(tblCalculo[[#This Row],[STATUS]]="CONCLUÍDO",_xlfn.XLOOKUP(tblCalculo[[#This Row],[NR_SIMULACAO]],tblVendas[[#This Row],[NR_SIMULACAO]],tblVendas[[#This Row],[VALOR_AVANCADO]],""),0)</f>
        <v>0</v>
      </c>
      <c r="H908">
        <f>IF(tblCalculo[[#This Row],[STATUS]]="CONCLUÍDO",_xlfn.XLOOKUP(tblCalculo[[#This Row],[NR_SIMULACAO]],tblVendas[[#This Row],[NR_SIMULACAO]],tblVendas[[#This Row],[VALOR_FIXABASICA]],""),0)</f>
        <v>0</v>
      </c>
      <c r="I908">
        <f>IF(tblCalculo[[#This Row],[STATUS]]="CONCLUÍDO",_xlfn.XLOOKUP(tblCalculo[[#This Row],[NR_SIMULACAO]],tblVendas[[#This Row],[NR_SIMULACAO]],tblVendas[[#This Row],[VALOR_TI]],""),0)</f>
        <v>0</v>
      </c>
      <c r="J908">
        <f>IF(tblCalculo[[#This Row],[STATUS]]="CONCLUÍDO",_xlfn.XLOOKUP(tblCalculo[[#This Row],[NR_SIMULACAO]],tblVendas[[#This Row],[NR_SIMULACAO]],tblVendas[[#This Row],[VALOR_APARELHO]],""),0)</f>
        <v>0</v>
      </c>
      <c r="K908" t="str">
        <f>IF(tblCalculo[[#This Row],[STATUS]]="NEGOCIANDO",tblCalculo[[#This Row],[VALOR_TOTAL]],"")</f>
        <v/>
      </c>
      <c r="L908" t="str">
        <f>IF(tblCalculo[[#This Row],[STATUS]]="ALÇADA",tblCalculo[[#This Row],[VALOR_TOTAL]],"")</f>
        <v/>
      </c>
      <c r="M908">
        <f>IF(tblCalculo[[#This Row],[STATUS]]="EM ANÁLISE",tblCalculo[[#This Row],[VALOR_TOTAL]],"")</f>
        <v>14612.490000000002</v>
      </c>
      <c r="N908" t="str">
        <f>IF(tblCalculo[[#This Row],[STATUS]]="TRAMITANDO",tblCalculo[[#This Row],[VALOR_TOTAL]],"")</f>
        <v/>
      </c>
      <c r="O908" t="str">
        <f>IF(tblCalculo[[#This Row],[STATUS]]="PERDIDO",tblCalculo[[#This Row],[VALOR_TOTAL]],"")</f>
        <v/>
      </c>
      <c r="P908" t="str">
        <f>IF(tblCalculo[[#This Row],[STATUS]]="CONCLUÍDO",tblCalculo[[#This Row],[VALOR_TOTAL]],"")</f>
        <v/>
      </c>
    </row>
    <row r="909" spans="1:16" x14ac:dyDescent="0.25">
      <c r="A909" t="str">
        <f>tblVendas[[#This Row],[NR_SIMULACAO]]</f>
        <v>SIM1899</v>
      </c>
      <c r="B909" s="34" t="str">
        <f>_xlfn.XLOOKUP(A909,tblVendas[[#This Row],[NR_SIMULACAO]],tblVendas[[#This Row],[NR_CNPJ]],"")</f>
        <v>29.857.449/0001-82</v>
      </c>
      <c r="C909" t="str">
        <f>_xlfn.XLOOKUP(A909,tblVendas[[#This Row],[NR_SIMULACAO]],tblVendas[[#This Row],[STATUS]],"")</f>
        <v>ALÇADA</v>
      </c>
      <c r="D909" t="str">
        <f>_xlfn.XLOOKUP(A909,tblVendas[[#This Row],[NR_SIMULACAO]],tblVendas[[#This Row],[MES]],"")</f>
        <v>Abril</v>
      </c>
      <c r="E909">
        <f>SUM(_xlfn.XLOOKUP(tblCalculo[[#This Row],[NR_SIMULACAO]],tblVendas[[#This Row],[NR_SIMULACAO]],tblVendas[[#This Row],[VALOR_MOVEL]],""):_xlfn.XLOOKUP(tblCalculo[[#This Row],[NR_SIMULACAO]],tblVendas[[#This Row],[NR_SIMULACAO]],tblVendas[[#This Row],[VALOR_APARELHO]],""))</f>
        <v>2785.92</v>
      </c>
      <c r="F909">
        <f>IF(tblCalculo[[#This Row],[STATUS]]="CONCLUÍDO",_xlfn.XLOOKUP(tblCalculo[[#This Row],[NR_SIMULACAO]],tblVendas[[#This Row],[NR_SIMULACAO]],tblVendas[[#This Row],[VALOR_MOVEL]],""),0)</f>
        <v>0</v>
      </c>
      <c r="G909">
        <f>IF(tblCalculo[[#This Row],[STATUS]]="CONCLUÍDO",_xlfn.XLOOKUP(tblCalculo[[#This Row],[NR_SIMULACAO]],tblVendas[[#This Row],[NR_SIMULACAO]],tblVendas[[#This Row],[VALOR_AVANCADO]],""),0)</f>
        <v>0</v>
      </c>
      <c r="H909">
        <f>IF(tblCalculo[[#This Row],[STATUS]]="CONCLUÍDO",_xlfn.XLOOKUP(tblCalculo[[#This Row],[NR_SIMULACAO]],tblVendas[[#This Row],[NR_SIMULACAO]],tblVendas[[#This Row],[VALOR_FIXABASICA]],""),0)</f>
        <v>0</v>
      </c>
      <c r="I909">
        <f>IF(tblCalculo[[#This Row],[STATUS]]="CONCLUÍDO",_xlfn.XLOOKUP(tblCalculo[[#This Row],[NR_SIMULACAO]],tblVendas[[#This Row],[NR_SIMULACAO]],tblVendas[[#This Row],[VALOR_TI]],""),0)</f>
        <v>0</v>
      </c>
      <c r="J909">
        <f>IF(tblCalculo[[#This Row],[STATUS]]="CONCLUÍDO",_xlfn.XLOOKUP(tblCalculo[[#This Row],[NR_SIMULACAO]],tblVendas[[#This Row],[NR_SIMULACAO]],tblVendas[[#This Row],[VALOR_APARELHO]],""),0)</f>
        <v>0</v>
      </c>
      <c r="K909" t="str">
        <f>IF(tblCalculo[[#This Row],[STATUS]]="NEGOCIANDO",tblCalculo[[#This Row],[VALOR_TOTAL]],"")</f>
        <v/>
      </c>
      <c r="L909">
        <f>IF(tblCalculo[[#This Row],[STATUS]]="ALÇADA",tblCalculo[[#This Row],[VALOR_TOTAL]],"")</f>
        <v>2785.92</v>
      </c>
      <c r="M909" t="str">
        <f>IF(tblCalculo[[#This Row],[STATUS]]="EM ANÁLISE",tblCalculo[[#This Row],[VALOR_TOTAL]],"")</f>
        <v/>
      </c>
      <c r="N909" t="str">
        <f>IF(tblCalculo[[#This Row],[STATUS]]="TRAMITANDO",tblCalculo[[#This Row],[VALOR_TOTAL]],"")</f>
        <v/>
      </c>
      <c r="O909" t="str">
        <f>IF(tblCalculo[[#This Row],[STATUS]]="PERDIDO",tblCalculo[[#This Row],[VALOR_TOTAL]],"")</f>
        <v/>
      </c>
      <c r="P909" t="str">
        <f>IF(tblCalculo[[#This Row],[STATUS]]="CONCLUÍDO",tblCalculo[[#This Row],[VALOR_TOTAL]],"")</f>
        <v/>
      </c>
    </row>
    <row r="910" spans="1:16" x14ac:dyDescent="0.25">
      <c r="A910" t="str">
        <f>tblVendas[[#This Row],[NR_SIMULACAO]]</f>
        <v>SIM1900</v>
      </c>
      <c r="B910" s="34" t="str">
        <f>_xlfn.XLOOKUP(A910,tblVendas[[#This Row],[NR_SIMULACAO]],tblVendas[[#This Row],[NR_CNPJ]],"")</f>
        <v>74.529.291/0001-52</v>
      </c>
      <c r="C910" t="str">
        <f>_xlfn.XLOOKUP(A910,tblVendas[[#This Row],[NR_SIMULACAO]],tblVendas[[#This Row],[STATUS]],"")</f>
        <v>PERDIDO</v>
      </c>
      <c r="D910" t="str">
        <f>_xlfn.XLOOKUP(A910,tblVendas[[#This Row],[NR_SIMULACAO]],tblVendas[[#This Row],[MES]],"")</f>
        <v>Outubro</v>
      </c>
      <c r="E910">
        <f>SUM(_xlfn.XLOOKUP(tblCalculo[[#This Row],[NR_SIMULACAO]],tblVendas[[#This Row],[NR_SIMULACAO]],tblVendas[[#This Row],[VALOR_MOVEL]],""):_xlfn.XLOOKUP(tblCalculo[[#This Row],[NR_SIMULACAO]],tblVendas[[#This Row],[NR_SIMULACAO]],tblVendas[[#This Row],[VALOR_APARELHO]],""))</f>
        <v>11935.289999999999</v>
      </c>
      <c r="F910">
        <f>IF(tblCalculo[[#This Row],[STATUS]]="CONCLUÍDO",_xlfn.XLOOKUP(tblCalculo[[#This Row],[NR_SIMULACAO]],tblVendas[[#This Row],[NR_SIMULACAO]],tblVendas[[#This Row],[VALOR_MOVEL]],""),0)</f>
        <v>0</v>
      </c>
      <c r="G910">
        <f>IF(tblCalculo[[#This Row],[STATUS]]="CONCLUÍDO",_xlfn.XLOOKUP(tblCalculo[[#This Row],[NR_SIMULACAO]],tblVendas[[#This Row],[NR_SIMULACAO]],tblVendas[[#This Row],[VALOR_AVANCADO]],""),0)</f>
        <v>0</v>
      </c>
      <c r="H910">
        <f>IF(tblCalculo[[#This Row],[STATUS]]="CONCLUÍDO",_xlfn.XLOOKUP(tblCalculo[[#This Row],[NR_SIMULACAO]],tblVendas[[#This Row],[NR_SIMULACAO]],tblVendas[[#This Row],[VALOR_FIXABASICA]],""),0)</f>
        <v>0</v>
      </c>
      <c r="I910">
        <f>IF(tblCalculo[[#This Row],[STATUS]]="CONCLUÍDO",_xlfn.XLOOKUP(tblCalculo[[#This Row],[NR_SIMULACAO]],tblVendas[[#This Row],[NR_SIMULACAO]],tblVendas[[#This Row],[VALOR_TI]],""),0)</f>
        <v>0</v>
      </c>
      <c r="J910">
        <f>IF(tblCalculo[[#This Row],[STATUS]]="CONCLUÍDO",_xlfn.XLOOKUP(tblCalculo[[#This Row],[NR_SIMULACAO]],tblVendas[[#This Row],[NR_SIMULACAO]],tblVendas[[#This Row],[VALOR_APARELHO]],""),0)</f>
        <v>0</v>
      </c>
      <c r="K910" t="str">
        <f>IF(tblCalculo[[#This Row],[STATUS]]="NEGOCIANDO",tblCalculo[[#This Row],[VALOR_TOTAL]],"")</f>
        <v/>
      </c>
      <c r="L910" t="str">
        <f>IF(tblCalculo[[#This Row],[STATUS]]="ALÇADA",tblCalculo[[#This Row],[VALOR_TOTAL]],"")</f>
        <v/>
      </c>
      <c r="M910" t="str">
        <f>IF(tblCalculo[[#This Row],[STATUS]]="EM ANÁLISE",tblCalculo[[#This Row],[VALOR_TOTAL]],"")</f>
        <v/>
      </c>
      <c r="N910" t="str">
        <f>IF(tblCalculo[[#This Row],[STATUS]]="TRAMITANDO",tblCalculo[[#This Row],[VALOR_TOTAL]],"")</f>
        <v/>
      </c>
      <c r="O910">
        <f>IF(tblCalculo[[#This Row],[STATUS]]="PERDIDO",tblCalculo[[#This Row],[VALOR_TOTAL]],"")</f>
        <v>11935.289999999999</v>
      </c>
      <c r="P910" t="str">
        <f>IF(tblCalculo[[#This Row],[STATUS]]="CONCLUÍDO",tblCalculo[[#This Row],[VALOR_TOTAL]],"")</f>
        <v/>
      </c>
    </row>
    <row r="911" spans="1:16" x14ac:dyDescent="0.25">
      <c r="A911" t="str">
        <f>tblVendas[[#This Row],[NR_SIMULACAO]]</f>
        <v>SIM1901</v>
      </c>
      <c r="B911" s="34" t="str">
        <f>_xlfn.XLOOKUP(A911,tblVendas[[#This Row],[NR_SIMULACAO]],tblVendas[[#This Row],[NR_CNPJ]],"")</f>
        <v>59.674.670/0001-53</v>
      </c>
      <c r="C911" t="str">
        <f>_xlfn.XLOOKUP(A911,tblVendas[[#This Row],[NR_SIMULACAO]],tblVendas[[#This Row],[STATUS]],"")</f>
        <v>PERDIDO</v>
      </c>
      <c r="D911" t="str">
        <f>_xlfn.XLOOKUP(A911,tblVendas[[#This Row],[NR_SIMULACAO]],tblVendas[[#This Row],[MES]],"")</f>
        <v>Novembro</v>
      </c>
      <c r="E911">
        <f>SUM(_xlfn.XLOOKUP(tblCalculo[[#This Row],[NR_SIMULACAO]],tblVendas[[#This Row],[NR_SIMULACAO]],tblVendas[[#This Row],[VALOR_MOVEL]],""):_xlfn.XLOOKUP(tblCalculo[[#This Row],[NR_SIMULACAO]],tblVendas[[#This Row],[NR_SIMULACAO]],tblVendas[[#This Row],[VALOR_APARELHO]],""))</f>
        <v>2383.4499999999998</v>
      </c>
      <c r="F911">
        <f>IF(tblCalculo[[#This Row],[STATUS]]="CONCLUÍDO",_xlfn.XLOOKUP(tblCalculo[[#This Row],[NR_SIMULACAO]],tblVendas[[#This Row],[NR_SIMULACAO]],tblVendas[[#This Row],[VALOR_MOVEL]],""),0)</f>
        <v>0</v>
      </c>
      <c r="G911">
        <f>IF(tblCalculo[[#This Row],[STATUS]]="CONCLUÍDO",_xlfn.XLOOKUP(tblCalculo[[#This Row],[NR_SIMULACAO]],tblVendas[[#This Row],[NR_SIMULACAO]],tblVendas[[#This Row],[VALOR_AVANCADO]],""),0)</f>
        <v>0</v>
      </c>
      <c r="H911">
        <f>IF(tblCalculo[[#This Row],[STATUS]]="CONCLUÍDO",_xlfn.XLOOKUP(tblCalculo[[#This Row],[NR_SIMULACAO]],tblVendas[[#This Row],[NR_SIMULACAO]],tblVendas[[#This Row],[VALOR_FIXABASICA]],""),0)</f>
        <v>0</v>
      </c>
      <c r="I911">
        <f>IF(tblCalculo[[#This Row],[STATUS]]="CONCLUÍDO",_xlfn.XLOOKUP(tblCalculo[[#This Row],[NR_SIMULACAO]],tblVendas[[#This Row],[NR_SIMULACAO]],tblVendas[[#This Row],[VALOR_TI]],""),0)</f>
        <v>0</v>
      </c>
      <c r="J911">
        <f>IF(tblCalculo[[#This Row],[STATUS]]="CONCLUÍDO",_xlfn.XLOOKUP(tblCalculo[[#This Row],[NR_SIMULACAO]],tblVendas[[#This Row],[NR_SIMULACAO]],tblVendas[[#This Row],[VALOR_APARELHO]],""),0)</f>
        <v>0</v>
      </c>
      <c r="K911" t="str">
        <f>IF(tblCalculo[[#This Row],[STATUS]]="NEGOCIANDO",tblCalculo[[#This Row],[VALOR_TOTAL]],"")</f>
        <v/>
      </c>
      <c r="L911" t="str">
        <f>IF(tblCalculo[[#This Row],[STATUS]]="ALÇADA",tblCalculo[[#This Row],[VALOR_TOTAL]],"")</f>
        <v/>
      </c>
      <c r="M911" t="str">
        <f>IF(tblCalculo[[#This Row],[STATUS]]="EM ANÁLISE",tblCalculo[[#This Row],[VALOR_TOTAL]],"")</f>
        <v/>
      </c>
      <c r="N911" t="str">
        <f>IF(tblCalculo[[#This Row],[STATUS]]="TRAMITANDO",tblCalculo[[#This Row],[VALOR_TOTAL]],"")</f>
        <v/>
      </c>
      <c r="O911">
        <f>IF(tblCalculo[[#This Row],[STATUS]]="PERDIDO",tblCalculo[[#This Row],[VALOR_TOTAL]],"")</f>
        <v>2383.4499999999998</v>
      </c>
      <c r="P911" t="str">
        <f>IF(tblCalculo[[#This Row],[STATUS]]="CONCLUÍDO",tblCalculo[[#This Row],[VALOR_TOTAL]],"")</f>
        <v/>
      </c>
    </row>
    <row r="912" spans="1:16" x14ac:dyDescent="0.25">
      <c r="A912" t="str">
        <f>tblVendas[[#This Row],[NR_SIMULACAO]]</f>
        <v>SIM1902</v>
      </c>
      <c r="B912" s="34" t="str">
        <f>_xlfn.XLOOKUP(A912,tblVendas[[#This Row],[NR_SIMULACAO]],tblVendas[[#This Row],[NR_CNPJ]],"")</f>
        <v>77.200.522/0001-41</v>
      </c>
      <c r="C912" t="str">
        <f>_xlfn.XLOOKUP(A912,tblVendas[[#This Row],[NR_SIMULACAO]],tblVendas[[#This Row],[STATUS]],"")</f>
        <v>ALÇADA</v>
      </c>
      <c r="D912" t="str">
        <f>_xlfn.XLOOKUP(A912,tblVendas[[#This Row],[NR_SIMULACAO]],tblVendas[[#This Row],[MES]],"")</f>
        <v>Junho</v>
      </c>
      <c r="E912">
        <f>SUM(_xlfn.XLOOKUP(tblCalculo[[#This Row],[NR_SIMULACAO]],tblVendas[[#This Row],[NR_SIMULACAO]],tblVendas[[#This Row],[VALOR_MOVEL]],""):_xlfn.XLOOKUP(tblCalculo[[#This Row],[NR_SIMULACAO]],tblVendas[[#This Row],[NR_SIMULACAO]],tblVendas[[#This Row],[VALOR_APARELHO]],""))</f>
        <v>2245.67</v>
      </c>
      <c r="F912">
        <f>IF(tblCalculo[[#This Row],[STATUS]]="CONCLUÍDO",_xlfn.XLOOKUP(tblCalculo[[#This Row],[NR_SIMULACAO]],tblVendas[[#This Row],[NR_SIMULACAO]],tblVendas[[#This Row],[VALOR_MOVEL]],""),0)</f>
        <v>0</v>
      </c>
      <c r="G912">
        <f>IF(tblCalculo[[#This Row],[STATUS]]="CONCLUÍDO",_xlfn.XLOOKUP(tblCalculo[[#This Row],[NR_SIMULACAO]],tblVendas[[#This Row],[NR_SIMULACAO]],tblVendas[[#This Row],[VALOR_AVANCADO]],""),0)</f>
        <v>0</v>
      </c>
      <c r="H912">
        <f>IF(tblCalculo[[#This Row],[STATUS]]="CONCLUÍDO",_xlfn.XLOOKUP(tblCalculo[[#This Row],[NR_SIMULACAO]],tblVendas[[#This Row],[NR_SIMULACAO]],tblVendas[[#This Row],[VALOR_FIXABASICA]],""),0)</f>
        <v>0</v>
      </c>
      <c r="I912">
        <f>IF(tblCalculo[[#This Row],[STATUS]]="CONCLUÍDO",_xlfn.XLOOKUP(tblCalculo[[#This Row],[NR_SIMULACAO]],tblVendas[[#This Row],[NR_SIMULACAO]],tblVendas[[#This Row],[VALOR_TI]],""),0)</f>
        <v>0</v>
      </c>
      <c r="J912">
        <f>IF(tblCalculo[[#This Row],[STATUS]]="CONCLUÍDO",_xlfn.XLOOKUP(tblCalculo[[#This Row],[NR_SIMULACAO]],tblVendas[[#This Row],[NR_SIMULACAO]],tblVendas[[#This Row],[VALOR_APARELHO]],""),0)</f>
        <v>0</v>
      </c>
      <c r="K912" t="str">
        <f>IF(tblCalculo[[#This Row],[STATUS]]="NEGOCIANDO",tblCalculo[[#This Row],[VALOR_TOTAL]],"")</f>
        <v/>
      </c>
      <c r="L912">
        <f>IF(tblCalculo[[#This Row],[STATUS]]="ALÇADA",tblCalculo[[#This Row],[VALOR_TOTAL]],"")</f>
        <v>2245.67</v>
      </c>
      <c r="M912" t="str">
        <f>IF(tblCalculo[[#This Row],[STATUS]]="EM ANÁLISE",tblCalculo[[#This Row],[VALOR_TOTAL]],"")</f>
        <v/>
      </c>
      <c r="N912" t="str">
        <f>IF(tblCalculo[[#This Row],[STATUS]]="TRAMITANDO",tblCalculo[[#This Row],[VALOR_TOTAL]],"")</f>
        <v/>
      </c>
      <c r="O912" t="str">
        <f>IF(tblCalculo[[#This Row],[STATUS]]="PERDIDO",tblCalculo[[#This Row],[VALOR_TOTAL]],"")</f>
        <v/>
      </c>
      <c r="P912" t="str">
        <f>IF(tblCalculo[[#This Row],[STATUS]]="CONCLUÍDO",tblCalculo[[#This Row],[VALOR_TOTAL]],"")</f>
        <v/>
      </c>
    </row>
    <row r="913" spans="1:16" x14ac:dyDescent="0.25">
      <c r="A913" t="str">
        <f>tblVendas[[#This Row],[NR_SIMULACAO]]</f>
        <v>SIM1903</v>
      </c>
      <c r="B913" s="34" t="str">
        <f>_xlfn.XLOOKUP(A913,tblVendas[[#This Row],[NR_SIMULACAO]],tblVendas[[#This Row],[NR_CNPJ]],"")</f>
        <v>26.206.725/0001-96</v>
      </c>
      <c r="C913" t="str">
        <f>_xlfn.XLOOKUP(A913,tblVendas[[#This Row],[NR_SIMULACAO]],tblVendas[[#This Row],[STATUS]],"")</f>
        <v>NEGOCIANDO</v>
      </c>
      <c r="D913" t="str">
        <f>_xlfn.XLOOKUP(A913,tblVendas[[#This Row],[NR_SIMULACAO]],tblVendas[[#This Row],[MES]],"")</f>
        <v>Junho</v>
      </c>
      <c r="E913">
        <f>SUM(_xlfn.XLOOKUP(tblCalculo[[#This Row],[NR_SIMULACAO]],tblVendas[[#This Row],[NR_SIMULACAO]],tblVendas[[#This Row],[VALOR_MOVEL]],""):_xlfn.XLOOKUP(tblCalculo[[#This Row],[NR_SIMULACAO]],tblVendas[[#This Row],[NR_SIMULACAO]],tblVendas[[#This Row],[VALOR_APARELHO]],""))</f>
        <v>19504.29</v>
      </c>
      <c r="F913">
        <f>IF(tblCalculo[[#This Row],[STATUS]]="CONCLUÍDO",_xlfn.XLOOKUP(tblCalculo[[#This Row],[NR_SIMULACAO]],tblVendas[[#This Row],[NR_SIMULACAO]],tblVendas[[#This Row],[VALOR_MOVEL]],""),0)</f>
        <v>0</v>
      </c>
      <c r="G913">
        <f>IF(tblCalculo[[#This Row],[STATUS]]="CONCLUÍDO",_xlfn.XLOOKUP(tblCalculo[[#This Row],[NR_SIMULACAO]],tblVendas[[#This Row],[NR_SIMULACAO]],tblVendas[[#This Row],[VALOR_AVANCADO]],""),0)</f>
        <v>0</v>
      </c>
      <c r="H913">
        <f>IF(tblCalculo[[#This Row],[STATUS]]="CONCLUÍDO",_xlfn.XLOOKUP(tblCalculo[[#This Row],[NR_SIMULACAO]],tblVendas[[#This Row],[NR_SIMULACAO]],tblVendas[[#This Row],[VALOR_FIXABASICA]],""),0)</f>
        <v>0</v>
      </c>
      <c r="I913">
        <f>IF(tblCalculo[[#This Row],[STATUS]]="CONCLUÍDO",_xlfn.XLOOKUP(tblCalculo[[#This Row],[NR_SIMULACAO]],tblVendas[[#This Row],[NR_SIMULACAO]],tblVendas[[#This Row],[VALOR_TI]],""),0)</f>
        <v>0</v>
      </c>
      <c r="J913">
        <f>IF(tblCalculo[[#This Row],[STATUS]]="CONCLUÍDO",_xlfn.XLOOKUP(tblCalculo[[#This Row],[NR_SIMULACAO]],tblVendas[[#This Row],[NR_SIMULACAO]],tblVendas[[#This Row],[VALOR_APARELHO]],""),0)</f>
        <v>0</v>
      </c>
      <c r="K913">
        <f>IF(tblCalculo[[#This Row],[STATUS]]="NEGOCIANDO",tblCalculo[[#This Row],[VALOR_TOTAL]],"")</f>
        <v>19504.29</v>
      </c>
      <c r="L913" t="str">
        <f>IF(tblCalculo[[#This Row],[STATUS]]="ALÇADA",tblCalculo[[#This Row],[VALOR_TOTAL]],"")</f>
        <v/>
      </c>
      <c r="M913" t="str">
        <f>IF(tblCalculo[[#This Row],[STATUS]]="EM ANÁLISE",tblCalculo[[#This Row],[VALOR_TOTAL]],"")</f>
        <v/>
      </c>
      <c r="N913" t="str">
        <f>IF(tblCalculo[[#This Row],[STATUS]]="TRAMITANDO",tblCalculo[[#This Row],[VALOR_TOTAL]],"")</f>
        <v/>
      </c>
      <c r="O913" t="str">
        <f>IF(tblCalculo[[#This Row],[STATUS]]="PERDIDO",tblCalculo[[#This Row],[VALOR_TOTAL]],"")</f>
        <v/>
      </c>
      <c r="P913" t="str">
        <f>IF(tblCalculo[[#This Row],[STATUS]]="CONCLUÍDO",tblCalculo[[#This Row],[VALOR_TOTAL]],"")</f>
        <v/>
      </c>
    </row>
    <row r="914" spans="1:16" x14ac:dyDescent="0.25">
      <c r="A914" t="str">
        <f>tblVendas[[#This Row],[NR_SIMULACAO]]</f>
        <v>SIM1904</v>
      </c>
      <c r="B914" s="34" t="str">
        <f>_xlfn.XLOOKUP(A914,tblVendas[[#This Row],[NR_SIMULACAO]],tblVendas[[#This Row],[NR_CNPJ]],"")</f>
        <v>59.521.165/0001-83</v>
      </c>
      <c r="C914" t="str">
        <f>_xlfn.XLOOKUP(A914,tblVendas[[#This Row],[NR_SIMULACAO]],tblVendas[[#This Row],[STATUS]],"")</f>
        <v>TRAMITANDO</v>
      </c>
      <c r="D914" t="str">
        <f>_xlfn.XLOOKUP(A914,tblVendas[[#This Row],[NR_SIMULACAO]],tblVendas[[#This Row],[MES]],"")</f>
        <v>Junho</v>
      </c>
      <c r="E914">
        <f>SUM(_xlfn.XLOOKUP(tblCalculo[[#This Row],[NR_SIMULACAO]],tblVendas[[#This Row],[NR_SIMULACAO]],tblVendas[[#This Row],[VALOR_MOVEL]],""):_xlfn.XLOOKUP(tblCalculo[[#This Row],[NR_SIMULACAO]],tblVendas[[#This Row],[NR_SIMULACAO]],tblVendas[[#This Row],[VALOR_APARELHO]],""))</f>
        <v>12802.76</v>
      </c>
      <c r="F914">
        <f>IF(tblCalculo[[#This Row],[STATUS]]="CONCLUÍDO",_xlfn.XLOOKUP(tblCalculo[[#This Row],[NR_SIMULACAO]],tblVendas[[#This Row],[NR_SIMULACAO]],tblVendas[[#This Row],[VALOR_MOVEL]],""),0)</f>
        <v>0</v>
      </c>
      <c r="G914">
        <f>IF(tblCalculo[[#This Row],[STATUS]]="CONCLUÍDO",_xlfn.XLOOKUP(tblCalculo[[#This Row],[NR_SIMULACAO]],tblVendas[[#This Row],[NR_SIMULACAO]],tblVendas[[#This Row],[VALOR_AVANCADO]],""),0)</f>
        <v>0</v>
      </c>
      <c r="H914">
        <f>IF(tblCalculo[[#This Row],[STATUS]]="CONCLUÍDO",_xlfn.XLOOKUP(tblCalculo[[#This Row],[NR_SIMULACAO]],tblVendas[[#This Row],[NR_SIMULACAO]],tblVendas[[#This Row],[VALOR_FIXABASICA]],""),0)</f>
        <v>0</v>
      </c>
      <c r="I914">
        <f>IF(tblCalculo[[#This Row],[STATUS]]="CONCLUÍDO",_xlfn.XLOOKUP(tblCalculo[[#This Row],[NR_SIMULACAO]],tblVendas[[#This Row],[NR_SIMULACAO]],tblVendas[[#This Row],[VALOR_TI]],""),0)</f>
        <v>0</v>
      </c>
      <c r="J914">
        <f>IF(tblCalculo[[#This Row],[STATUS]]="CONCLUÍDO",_xlfn.XLOOKUP(tblCalculo[[#This Row],[NR_SIMULACAO]],tblVendas[[#This Row],[NR_SIMULACAO]],tblVendas[[#This Row],[VALOR_APARELHO]],""),0)</f>
        <v>0</v>
      </c>
      <c r="K914" t="str">
        <f>IF(tblCalculo[[#This Row],[STATUS]]="NEGOCIANDO",tblCalculo[[#This Row],[VALOR_TOTAL]],"")</f>
        <v/>
      </c>
      <c r="L914" t="str">
        <f>IF(tblCalculo[[#This Row],[STATUS]]="ALÇADA",tblCalculo[[#This Row],[VALOR_TOTAL]],"")</f>
        <v/>
      </c>
      <c r="M914" t="str">
        <f>IF(tblCalculo[[#This Row],[STATUS]]="EM ANÁLISE",tblCalculo[[#This Row],[VALOR_TOTAL]],"")</f>
        <v/>
      </c>
      <c r="N914">
        <f>IF(tblCalculo[[#This Row],[STATUS]]="TRAMITANDO",tblCalculo[[#This Row],[VALOR_TOTAL]],"")</f>
        <v>12802.76</v>
      </c>
      <c r="O914" t="str">
        <f>IF(tblCalculo[[#This Row],[STATUS]]="PERDIDO",tblCalculo[[#This Row],[VALOR_TOTAL]],"")</f>
        <v/>
      </c>
      <c r="P914" t="str">
        <f>IF(tblCalculo[[#This Row],[STATUS]]="CONCLUÍDO",tblCalculo[[#This Row],[VALOR_TOTAL]],"")</f>
        <v/>
      </c>
    </row>
    <row r="915" spans="1:16" x14ac:dyDescent="0.25">
      <c r="A915" t="str">
        <f>tblVendas[[#This Row],[NR_SIMULACAO]]</f>
        <v>SIM1905</v>
      </c>
      <c r="B915" s="34" t="str">
        <f>_xlfn.XLOOKUP(A915,tblVendas[[#This Row],[NR_SIMULACAO]],tblVendas[[#This Row],[NR_CNPJ]],"")</f>
        <v>93.669.630/0001-61</v>
      </c>
      <c r="C915" t="str">
        <f>_xlfn.XLOOKUP(A915,tblVendas[[#This Row],[NR_SIMULACAO]],tblVendas[[#This Row],[STATUS]],"")</f>
        <v>ALÇADA</v>
      </c>
      <c r="D915" t="str">
        <f>_xlfn.XLOOKUP(A915,tblVendas[[#This Row],[NR_SIMULACAO]],tblVendas[[#This Row],[MES]],"")</f>
        <v>Setembro</v>
      </c>
      <c r="E915">
        <f>SUM(_xlfn.XLOOKUP(tblCalculo[[#This Row],[NR_SIMULACAO]],tblVendas[[#This Row],[NR_SIMULACAO]],tblVendas[[#This Row],[VALOR_MOVEL]],""):_xlfn.XLOOKUP(tblCalculo[[#This Row],[NR_SIMULACAO]],tblVendas[[#This Row],[NR_SIMULACAO]],tblVendas[[#This Row],[VALOR_APARELHO]],""))</f>
        <v>6714.28</v>
      </c>
      <c r="F915">
        <f>IF(tblCalculo[[#This Row],[STATUS]]="CONCLUÍDO",_xlfn.XLOOKUP(tblCalculo[[#This Row],[NR_SIMULACAO]],tblVendas[[#This Row],[NR_SIMULACAO]],tblVendas[[#This Row],[VALOR_MOVEL]],""),0)</f>
        <v>0</v>
      </c>
      <c r="G915">
        <f>IF(tblCalculo[[#This Row],[STATUS]]="CONCLUÍDO",_xlfn.XLOOKUP(tblCalculo[[#This Row],[NR_SIMULACAO]],tblVendas[[#This Row],[NR_SIMULACAO]],tblVendas[[#This Row],[VALOR_AVANCADO]],""),0)</f>
        <v>0</v>
      </c>
      <c r="H915">
        <f>IF(tblCalculo[[#This Row],[STATUS]]="CONCLUÍDO",_xlfn.XLOOKUP(tblCalculo[[#This Row],[NR_SIMULACAO]],tblVendas[[#This Row],[NR_SIMULACAO]],tblVendas[[#This Row],[VALOR_FIXABASICA]],""),0)</f>
        <v>0</v>
      </c>
      <c r="I915">
        <f>IF(tblCalculo[[#This Row],[STATUS]]="CONCLUÍDO",_xlfn.XLOOKUP(tblCalculo[[#This Row],[NR_SIMULACAO]],tblVendas[[#This Row],[NR_SIMULACAO]],tblVendas[[#This Row],[VALOR_TI]],""),0)</f>
        <v>0</v>
      </c>
      <c r="J915">
        <f>IF(tblCalculo[[#This Row],[STATUS]]="CONCLUÍDO",_xlfn.XLOOKUP(tblCalculo[[#This Row],[NR_SIMULACAO]],tblVendas[[#This Row],[NR_SIMULACAO]],tblVendas[[#This Row],[VALOR_APARELHO]],""),0)</f>
        <v>0</v>
      </c>
      <c r="K915" t="str">
        <f>IF(tblCalculo[[#This Row],[STATUS]]="NEGOCIANDO",tblCalculo[[#This Row],[VALOR_TOTAL]],"")</f>
        <v/>
      </c>
      <c r="L915">
        <f>IF(tblCalculo[[#This Row],[STATUS]]="ALÇADA",tblCalculo[[#This Row],[VALOR_TOTAL]],"")</f>
        <v>6714.28</v>
      </c>
      <c r="M915" t="str">
        <f>IF(tblCalculo[[#This Row],[STATUS]]="EM ANÁLISE",tblCalculo[[#This Row],[VALOR_TOTAL]],"")</f>
        <v/>
      </c>
      <c r="N915" t="str">
        <f>IF(tblCalculo[[#This Row],[STATUS]]="TRAMITANDO",tblCalculo[[#This Row],[VALOR_TOTAL]],"")</f>
        <v/>
      </c>
      <c r="O915" t="str">
        <f>IF(tblCalculo[[#This Row],[STATUS]]="PERDIDO",tblCalculo[[#This Row],[VALOR_TOTAL]],"")</f>
        <v/>
      </c>
      <c r="P915" t="str">
        <f>IF(tblCalculo[[#This Row],[STATUS]]="CONCLUÍDO",tblCalculo[[#This Row],[VALOR_TOTAL]],"")</f>
        <v/>
      </c>
    </row>
    <row r="916" spans="1:16" x14ac:dyDescent="0.25">
      <c r="A916" t="str">
        <f>tblVendas[[#This Row],[NR_SIMULACAO]]</f>
        <v>SIM1906</v>
      </c>
      <c r="B916" s="34" t="str">
        <f>_xlfn.XLOOKUP(A916,tblVendas[[#This Row],[NR_SIMULACAO]],tblVendas[[#This Row],[NR_CNPJ]],"")</f>
        <v>46.298.984/0001-76</v>
      </c>
      <c r="C916" t="str">
        <f>_xlfn.XLOOKUP(A916,tblVendas[[#This Row],[NR_SIMULACAO]],tblVendas[[#This Row],[STATUS]],"")</f>
        <v>EM ANÁLISE</v>
      </c>
      <c r="D916" t="str">
        <f>_xlfn.XLOOKUP(A916,tblVendas[[#This Row],[NR_SIMULACAO]],tblVendas[[#This Row],[MES]],"")</f>
        <v>Dezembro</v>
      </c>
      <c r="E916">
        <f>SUM(_xlfn.XLOOKUP(tblCalculo[[#This Row],[NR_SIMULACAO]],tblVendas[[#This Row],[NR_SIMULACAO]],tblVendas[[#This Row],[VALOR_MOVEL]],""):_xlfn.XLOOKUP(tblCalculo[[#This Row],[NR_SIMULACAO]],tblVendas[[#This Row],[NR_SIMULACAO]],tblVendas[[#This Row],[VALOR_APARELHO]],""))</f>
        <v>8764.43</v>
      </c>
      <c r="F916">
        <f>IF(tblCalculo[[#This Row],[STATUS]]="CONCLUÍDO",_xlfn.XLOOKUP(tblCalculo[[#This Row],[NR_SIMULACAO]],tblVendas[[#This Row],[NR_SIMULACAO]],tblVendas[[#This Row],[VALOR_MOVEL]],""),0)</f>
        <v>0</v>
      </c>
      <c r="G916">
        <f>IF(tblCalculo[[#This Row],[STATUS]]="CONCLUÍDO",_xlfn.XLOOKUP(tblCalculo[[#This Row],[NR_SIMULACAO]],tblVendas[[#This Row],[NR_SIMULACAO]],tblVendas[[#This Row],[VALOR_AVANCADO]],""),0)</f>
        <v>0</v>
      </c>
      <c r="H916">
        <f>IF(tblCalculo[[#This Row],[STATUS]]="CONCLUÍDO",_xlfn.XLOOKUP(tblCalculo[[#This Row],[NR_SIMULACAO]],tblVendas[[#This Row],[NR_SIMULACAO]],tblVendas[[#This Row],[VALOR_FIXABASICA]],""),0)</f>
        <v>0</v>
      </c>
      <c r="I916">
        <f>IF(tblCalculo[[#This Row],[STATUS]]="CONCLUÍDO",_xlfn.XLOOKUP(tblCalculo[[#This Row],[NR_SIMULACAO]],tblVendas[[#This Row],[NR_SIMULACAO]],tblVendas[[#This Row],[VALOR_TI]],""),0)</f>
        <v>0</v>
      </c>
      <c r="J916">
        <f>IF(tblCalculo[[#This Row],[STATUS]]="CONCLUÍDO",_xlfn.XLOOKUP(tblCalculo[[#This Row],[NR_SIMULACAO]],tblVendas[[#This Row],[NR_SIMULACAO]],tblVendas[[#This Row],[VALOR_APARELHO]],""),0)</f>
        <v>0</v>
      </c>
      <c r="K916" t="str">
        <f>IF(tblCalculo[[#This Row],[STATUS]]="NEGOCIANDO",tblCalculo[[#This Row],[VALOR_TOTAL]],"")</f>
        <v/>
      </c>
      <c r="L916" t="str">
        <f>IF(tblCalculo[[#This Row],[STATUS]]="ALÇADA",tblCalculo[[#This Row],[VALOR_TOTAL]],"")</f>
        <v/>
      </c>
      <c r="M916">
        <f>IF(tblCalculo[[#This Row],[STATUS]]="EM ANÁLISE",tblCalculo[[#This Row],[VALOR_TOTAL]],"")</f>
        <v>8764.43</v>
      </c>
      <c r="N916" t="str">
        <f>IF(tblCalculo[[#This Row],[STATUS]]="TRAMITANDO",tblCalculo[[#This Row],[VALOR_TOTAL]],"")</f>
        <v/>
      </c>
      <c r="O916" t="str">
        <f>IF(tblCalculo[[#This Row],[STATUS]]="PERDIDO",tblCalculo[[#This Row],[VALOR_TOTAL]],"")</f>
        <v/>
      </c>
      <c r="P916" t="str">
        <f>IF(tblCalculo[[#This Row],[STATUS]]="CONCLUÍDO",tblCalculo[[#This Row],[VALOR_TOTAL]],"")</f>
        <v/>
      </c>
    </row>
    <row r="917" spans="1:16" x14ac:dyDescent="0.25">
      <c r="A917" t="str">
        <f>tblVendas[[#This Row],[NR_SIMULACAO]]</f>
        <v>SIM1907</v>
      </c>
      <c r="B917" s="34" t="str">
        <f>_xlfn.XLOOKUP(A917,tblVendas[[#This Row],[NR_SIMULACAO]],tblVendas[[#This Row],[NR_CNPJ]],"")</f>
        <v>76.978.643/0001-76</v>
      </c>
      <c r="C917" t="str">
        <f>_xlfn.XLOOKUP(A917,tblVendas[[#This Row],[NR_SIMULACAO]],tblVendas[[#This Row],[STATUS]],"")</f>
        <v>ALÇADA</v>
      </c>
      <c r="D917" t="str">
        <f>_xlfn.XLOOKUP(A917,tblVendas[[#This Row],[NR_SIMULACAO]],tblVendas[[#This Row],[MES]],"")</f>
        <v>Janeiro</v>
      </c>
      <c r="E917">
        <f>SUM(_xlfn.XLOOKUP(tblCalculo[[#This Row],[NR_SIMULACAO]],tblVendas[[#This Row],[NR_SIMULACAO]],tblVendas[[#This Row],[VALOR_MOVEL]],""):_xlfn.XLOOKUP(tblCalculo[[#This Row],[NR_SIMULACAO]],tblVendas[[#This Row],[NR_SIMULACAO]],tblVendas[[#This Row],[VALOR_APARELHO]],""))</f>
        <v>1067.02</v>
      </c>
      <c r="F917">
        <f>IF(tblCalculo[[#This Row],[STATUS]]="CONCLUÍDO",_xlfn.XLOOKUP(tblCalculo[[#This Row],[NR_SIMULACAO]],tblVendas[[#This Row],[NR_SIMULACAO]],tblVendas[[#This Row],[VALOR_MOVEL]],""),0)</f>
        <v>0</v>
      </c>
      <c r="G917">
        <f>IF(tblCalculo[[#This Row],[STATUS]]="CONCLUÍDO",_xlfn.XLOOKUP(tblCalculo[[#This Row],[NR_SIMULACAO]],tblVendas[[#This Row],[NR_SIMULACAO]],tblVendas[[#This Row],[VALOR_AVANCADO]],""),0)</f>
        <v>0</v>
      </c>
      <c r="H917">
        <f>IF(tblCalculo[[#This Row],[STATUS]]="CONCLUÍDO",_xlfn.XLOOKUP(tblCalculo[[#This Row],[NR_SIMULACAO]],tblVendas[[#This Row],[NR_SIMULACAO]],tblVendas[[#This Row],[VALOR_FIXABASICA]],""),0)</f>
        <v>0</v>
      </c>
      <c r="I917">
        <f>IF(tblCalculo[[#This Row],[STATUS]]="CONCLUÍDO",_xlfn.XLOOKUP(tblCalculo[[#This Row],[NR_SIMULACAO]],tblVendas[[#This Row],[NR_SIMULACAO]],tblVendas[[#This Row],[VALOR_TI]],""),0)</f>
        <v>0</v>
      </c>
      <c r="J917">
        <f>IF(tblCalculo[[#This Row],[STATUS]]="CONCLUÍDO",_xlfn.XLOOKUP(tblCalculo[[#This Row],[NR_SIMULACAO]],tblVendas[[#This Row],[NR_SIMULACAO]],tblVendas[[#This Row],[VALOR_APARELHO]],""),0)</f>
        <v>0</v>
      </c>
      <c r="K917" t="str">
        <f>IF(tblCalculo[[#This Row],[STATUS]]="NEGOCIANDO",tblCalculo[[#This Row],[VALOR_TOTAL]],"")</f>
        <v/>
      </c>
      <c r="L917">
        <f>IF(tblCalculo[[#This Row],[STATUS]]="ALÇADA",tblCalculo[[#This Row],[VALOR_TOTAL]],"")</f>
        <v>1067.02</v>
      </c>
      <c r="M917" t="str">
        <f>IF(tblCalculo[[#This Row],[STATUS]]="EM ANÁLISE",tblCalculo[[#This Row],[VALOR_TOTAL]],"")</f>
        <v/>
      </c>
      <c r="N917" t="str">
        <f>IF(tblCalculo[[#This Row],[STATUS]]="TRAMITANDO",tblCalculo[[#This Row],[VALOR_TOTAL]],"")</f>
        <v/>
      </c>
      <c r="O917" t="str">
        <f>IF(tblCalculo[[#This Row],[STATUS]]="PERDIDO",tblCalculo[[#This Row],[VALOR_TOTAL]],"")</f>
        <v/>
      </c>
      <c r="P917" t="str">
        <f>IF(tblCalculo[[#This Row],[STATUS]]="CONCLUÍDO",tblCalculo[[#This Row],[VALOR_TOTAL]],"")</f>
        <v/>
      </c>
    </row>
    <row r="918" spans="1:16" x14ac:dyDescent="0.25">
      <c r="A918" t="str">
        <f>tblVendas[[#This Row],[NR_SIMULACAO]]</f>
        <v>SIM1908</v>
      </c>
      <c r="B918" s="34" t="str">
        <f>_xlfn.XLOOKUP(A918,tblVendas[[#This Row],[NR_SIMULACAO]],tblVendas[[#This Row],[NR_CNPJ]],"")</f>
        <v>34.459.204/0001-80</v>
      </c>
      <c r="C918" t="str">
        <f>_xlfn.XLOOKUP(A918,tblVendas[[#This Row],[NR_SIMULACAO]],tblVendas[[#This Row],[STATUS]],"")</f>
        <v>CONCLUÍDO</v>
      </c>
      <c r="D918" t="str">
        <f>_xlfn.XLOOKUP(A918,tblVendas[[#This Row],[NR_SIMULACAO]],tblVendas[[#This Row],[MES]],"")</f>
        <v>Abril</v>
      </c>
      <c r="E918">
        <f>SUM(_xlfn.XLOOKUP(tblCalculo[[#This Row],[NR_SIMULACAO]],tblVendas[[#This Row],[NR_SIMULACAO]],tblVendas[[#This Row],[VALOR_MOVEL]],""):_xlfn.XLOOKUP(tblCalculo[[#This Row],[NR_SIMULACAO]],tblVendas[[#This Row],[NR_SIMULACAO]],tblVendas[[#This Row],[VALOR_APARELHO]],""))</f>
        <v>13455.15</v>
      </c>
      <c r="F918">
        <f>IF(tblCalculo[[#This Row],[STATUS]]="CONCLUÍDO",_xlfn.XLOOKUP(tblCalculo[[#This Row],[NR_SIMULACAO]],tblVendas[[#This Row],[NR_SIMULACAO]],tblVendas[[#This Row],[VALOR_MOVEL]],""),0)</f>
        <v>132.12</v>
      </c>
      <c r="G918">
        <f>IF(tblCalculo[[#This Row],[STATUS]]="CONCLUÍDO",_xlfn.XLOOKUP(tblCalculo[[#This Row],[NR_SIMULACAO]],tblVendas[[#This Row],[NR_SIMULACAO]],tblVendas[[#This Row],[VALOR_AVANCADO]],""),0)</f>
        <v>710.47</v>
      </c>
      <c r="H918">
        <f>IF(tblCalculo[[#This Row],[STATUS]]="CONCLUÍDO",_xlfn.XLOOKUP(tblCalculo[[#This Row],[NR_SIMULACAO]],tblVendas[[#This Row],[NR_SIMULACAO]],tblVendas[[#This Row],[VALOR_FIXABASICA]],""),0)</f>
        <v>2221.89</v>
      </c>
      <c r="I918">
        <f>IF(tblCalculo[[#This Row],[STATUS]]="CONCLUÍDO",_xlfn.XLOOKUP(tblCalculo[[#This Row],[NR_SIMULACAO]],tblVendas[[#This Row],[NR_SIMULACAO]],tblVendas[[#This Row],[VALOR_TI]],""),0)</f>
        <v>10390.67</v>
      </c>
      <c r="J918">
        <f>IF(tblCalculo[[#This Row],[STATUS]]="CONCLUÍDO",_xlfn.XLOOKUP(tblCalculo[[#This Row],[NR_SIMULACAO]],tblVendas[[#This Row],[NR_SIMULACAO]],tblVendas[[#This Row],[VALOR_APARELHO]],""),0)</f>
        <v>0</v>
      </c>
      <c r="K918" t="str">
        <f>IF(tblCalculo[[#This Row],[STATUS]]="NEGOCIANDO",tblCalculo[[#This Row],[VALOR_TOTAL]],"")</f>
        <v/>
      </c>
      <c r="L918" t="str">
        <f>IF(tblCalculo[[#This Row],[STATUS]]="ALÇADA",tblCalculo[[#This Row],[VALOR_TOTAL]],"")</f>
        <v/>
      </c>
      <c r="M918" t="str">
        <f>IF(tblCalculo[[#This Row],[STATUS]]="EM ANÁLISE",tblCalculo[[#This Row],[VALOR_TOTAL]],"")</f>
        <v/>
      </c>
      <c r="N918" t="str">
        <f>IF(tblCalculo[[#This Row],[STATUS]]="TRAMITANDO",tblCalculo[[#This Row],[VALOR_TOTAL]],"")</f>
        <v/>
      </c>
      <c r="O918" t="str">
        <f>IF(tblCalculo[[#This Row],[STATUS]]="PERDIDO",tblCalculo[[#This Row],[VALOR_TOTAL]],"")</f>
        <v/>
      </c>
      <c r="P918">
        <f>IF(tblCalculo[[#This Row],[STATUS]]="CONCLUÍDO",tblCalculo[[#This Row],[VALOR_TOTAL]],"")</f>
        <v>13455.15</v>
      </c>
    </row>
    <row r="919" spans="1:16" x14ac:dyDescent="0.25">
      <c r="A919" t="str">
        <f>tblVendas[[#This Row],[NR_SIMULACAO]]</f>
        <v>SIM1909</v>
      </c>
      <c r="B919" s="34" t="str">
        <f>_xlfn.XLOOKUP(A919,tblVendas[[#This Row],[NR_SIMULACAO]],tblVendas[[#This Row],[NR_CNPJ]],"")</f>
        <v>14.383.495/0001-99</v>
      </c>
      <c r="C919" t="str">
        <f>_xlfn.XLOOKUP(A919,tblVendas[[#This Row],[NR_SIMULACAO]],tblVendas[[#This Row],[STATUS]],"")</f>
        <v>CONCLUÍDO</v>
      </c>
      <c r="D919" t="str">
        <f>_xlfn.XLOOKUP(A919,tblVendas[[#This Row],[NR_SIMULACAO]],tblVendas[[#This Row],[MES]],"")</f>
        <v>Maio</v>
      </c>
      <c r="E919">
        <f>SUM(_xlfn.XLOOKUP(tblCalculo[[#This Row],[NR_SIMULACAO]],tblVendas[[#This Row],[NR_SIMULACAO]],tblVendas[[#This Row],[VALOR_MOVEL]],""):_xlfn.XLOOKUP(tblCalculo[[#This Row],[NR_SIMULACAO]],tblVendas[[#This Row],[NR_SIMULACAO]],tblVendas[[#This Row],[VALOR_APARELHO]],""))</f>
        <v>5002.51</v>
      </c>
      <c r="F919">
        <f>IF(tblCalculo[[#This Row],[STATUS]]="CONCLUÍDO",_xlfn.XLOOKUP(tblCalculo[[#This Row],[NR_SIMULACAO]],tblVendas[[#This Row],[NR_SIMULACAO]],tblVendas[[#This Row],[VALOR_MOVEL]],""),0)</f>
        <v>5002.51</v>
      </c>
      <c r="G919">
        <f>IF(tblCalculo[[#This Row],[STATUS]]="CONCLUÍDO",_xlfn.XLOOKUP(tblCalculo[[#This Row],[NR_SIMULACAO]],tblVendas[[#This Row],[NR_SIMULACAO]],tblVendas[[#This Row],[VALOR_AVANCADO]],""),0)</f>
        <v>0</v>
      </c>
      <c r="H919">
        <f>IF(tblCalculo[[#This Row],[STATUS]]="CONCLUÍDO",_xlfn.XLOOKUP(tblCalculo[[#This Row],[NR_SIMULACAO]],tblVendas[[#This Row],[NR_SIMULACAO]],tblVendas[[#This Row],[VALOR_FIXABASICA]],""),0)</f>
        <v>0</v>
      </c>
      <c r="I919">
        <f>IF(tblCalculo[[#This Row],[STATUS]]="CONCLUÍDO",_xlfn.XLOOKUP(tblCalculo[[#This Row],[NR_SIMULACAO]],tblVendas[[#This Row],[NR_SIMULACAO]],tblVendas[[#This Row],[VALOR_TI]],""),0)</f>
        <v>0</v>
      </c>
      <c r="J919">
        <f>IF(tblCalculo[[#This Row],[STATUS]]="CONCLUÍDO",_xlfn.XLOOKUP(tblCalculo[[#This Row],[NR_SIMULACAO]],tblVendas[[#This Row],[NR_SIMULACAO]],tblVendas[[#This Row],[VALOR_APARELHO]],""),0)</f>
        <v>0</v>
      </c>
      <c r="K919" t="str">
        <f>IF(tblCalculo[[#This Row],[STATUS]]="NEGOCIANDO",tblCalculo[[#This Row],[VALOR_TOTAL]],"")</f>
        <v/>
      </c>
      <c r="L919" t="str">
        <f>IF(tblCalculo[[#This Row],[STATUS]]="ALÇADA",tblCalculo[[#This Row],[VALOR_TOTAL]],"")</f>
        <v/>
      </c>
      <c r="M919" t="str">
        <f>IF(tblCalculo[[#This Row],[STATUS]]="EM ANÁLISE",tblCalculo[[#This Row],[VALOR_TOTAL]],"")</f>
        <v/>
      </c>
      <c r="N919" t="str">
        <f>IF(tblCalculo[[#This Row],[STATUS]]="TRAMITANDO",tblCalculo[[#This Row],[VALOR_TOTAL]],"")</f>
        <v/>
      </c>
      <c r="O919" t="str">
        <f>IF(tblCalculo[[#This Row],[STATUS]]="PERDIDO",tblCalculo[[#This Row],[VALOR_TOTAL]],"")</f>
        <v/>
      </c>
      <c r="P919">
        <f>IF(tblCalculo[[#This Row],[STATUS]]="CONCLUÍDO",tblCalculo[[#This Row],[VALOR_TOTAL]],"")</f>
        <v>5002.51</v>
      </c>
    </row>
    <row r="920" spans="1:16" x14ac:dyDescent="0.25">
      <c r="A920" t="str">
        <f>tblVendas[[#This Row],[NR_SIMULACAO]]</f>
        <v>SIM1910</v>
      </c>
      <c r="B920" s="34" t="str">
        <f>_xlfn.XLOOKUP(A920,tblVendas[[#This Row],[NR_SIMULACAO]],tblVendas[[#This Row],[NR_CNPJ]],"")</f>
        <v>76.836.909/0001-54</v>
      </c>
      <c r="C920" t="str">
        <f>_xlfn.XLOOKUP(A920,tblVendas[[#This Row],[NR_SIMULACAO]],tblVendas[[#This Row],[STATUS]],"")</f>
        <v>EM ANÁLISE</v>
      </c>
      <c r="D920" t="str">
        <f>_xlfn.XLOOKUP(A920,tblVendas[[#This Row],[NR_SIMULACAO]],tblVendas[[#This Row],[MES]],"")</f>
        <v>Agosto</v>
      </c>
      <c r="E920">
        <f>SUM(_xlfn.XLOOKUP(tblCalculo[[#This Row],[NR_SIMULACAO]],tblVendas[[#This Row],[NR_SIMULACAO]],tblVendas[[#This Row],[VALOR_MOVEL]],""):_xlfn.XLOOKUP(tblCalculo[[#This Row],[NR_SIMULACAO]],tblVendas[[#This Row],[NR_SIMULACAO]],tblVendas[[#This Row],[VALOR_APARELHO]],""))</f>
        <v>12941.32</v>
      </c>
      <c r="F920">
        <f>IF(tblCalculo[[#This Row],[STATUS]]="CONCLUÍDO",_xlfn.XLOOKUP(tblCalculo[[#This Row],[NR_SIMULACAO]],tblVendas[[#This Row],[NR_SIMULACAO]],tblVendas[[#This Row],[VALOR_MOVEL]],""),0)</f>
        <v>0</v>
      </c>
      <c r="G920">
        <f>IF(tblCalculo[[#This Row],[STATUS]]="CONCLUÍDO",_xlfn.XLOOKUP(tblCalculo[[#This Row],[NR_SIMULACAO]],tblVendas[[#This Row],[NR_SIMULACAO]],tblVendas[[#This Row],[VALOR_AVANCADO]],""),0)</f>
        <v>0</v>
      </c>
      <c r="H920">
        <f>IF(tblCalculo[[#This Row],[STATUS]]="CONCLUÍDO",_xlfn.XLOOKUP(tblCalculo[[#This Row],[NR_SIMULACAO]],tblVendas[[#This Row],[NR_SIMULACAO]],tblVendas[[#This Row],[VALOR_FIXABASICA]],""),0)</f>
        <v>0</v>
      </c>
      <c r="I920">
        <f>IF(tblCalculo[[#This Row],[STATUS]]="CONCLUÍDO",_xlfn.XLOOKUP(tblCalculo[[#This Row],[NR_SIMULACAO]],tblVendas[[#This Row],[NR_SIMULACAO]],tblVendas[[#This Row],[VALOR_TI]],""),0)</f>
        <v>0</v>
      </c>
      <c r="J920">
        <f>IF(tblCalculo[[#This Row],[STATUS]]="CONCLUÍDO",_xlfn.XLOOKUP(tblCalculo[[#This Row],[NR_SIMULACAO]],tblVendas[[#This Row],[NR_SIMULACAO]],tblVendas[[#This Row],[VALOR_APARELHO]],""),0)</f>
        <v>0</v>
      </c>
      <c r="K920" t="str">
        <f>IF(tblCalculo[[#This Row],[STATUS]]="NEGOCIANDO",tblCalculo[[#This Row],[VALOR_TOTAL]],"")</f>
        <v/>
      </c>
      <c r="L920" t="str">
        <f>IF(tblCalculo[[#This Row],[STATUS]]="ALÇADA",tblCalculo[[#This Row],[VALOR_TOTAL]],"")</f>
        <v/>
      </c>
      <c r="M920">
        <f>IF(tblCalculo[[#This Row],[STATUS]]="EM ANÁLISE",tblCalculo[[#This Row],[VALOR_TOTAL]],"")</f>
        <v>12941.32</v>
      </c>
      <c r="N920" t="str">
        <f>IF(tblCalculo[[#This Row],[STATUS]]="TRAMITANDO",tblCalculo[[#This Row],[VALOR_TOTAL]],"")</f>
        <v/>
      </c>
      <c r="O920" t="str">
        <f>IF(tblCalculo[[#This Row],[STATUS]]="PERDIDO",tblCalculo[[#This Row],[VALOR_TOTAL]],"")</f>
        <v/>
      </c>
      <c r="P920" t="str">
        <f>IF(tblCalculo[[#This Row],[STATUS]]="CONCLUÍDO",tblCalculo[[#This Row],[VALOR_TOTAL]],"")</f>
        <v/>
      </c>
    </row>
    <row r="921" spans="1:16" x14ac:dyDescent="0.25">
      <c r="A921" t="str">
        <f>tblVendas[[#This Row],[NR_SIMULACAO]]</f>
        <v>SIM1911</v>
      </c>
      <c r="B921" s="34" t="str">
        <f>_xlfn.XLOOKUP(A921,tblVendas[[#This Row],[NR_SIMULACAO]],tblVendas[[#This Row],[NR_CNPJ]],"")</f>
        <v>40.153.641/0001-80</v>
      </c>
      <c r="C921" t="str">
        <f>_xlfn.XLOOKUP(A921,tblVendas[[#This Row],[NR_SIMULACAO]],tblVendas[[#This Row],[STATUS]],"")</f>
        <v>NEGOCIANDO</v>
      </c>
      <c r="D921" t="str">
        <f>_xlfn.XLOOKUP(A921,tblVendas[[#This Row],[NR_SIMULACAO]],tblVendas[[#This Row],[MES]],"")</f>
        <v>Abril</v>
      </c>
      <c r="E921">
        <f>SUM(_xlfn.XLOOKUP(tblCalculo[[#This Row],[NR_SIMULACAO]],tblVendas[[#This Row],[NR_SIMULACAO]],tblVendas[[#This Row],[VALOR_MOVEL]],""):_xlfn.XLOOKUP(tblCalculo[[#This Row],[NR_SIMULACAO]],tblVendas[[#This Row],[NR_SIMULACAO]],tblVendas[[#This Row],[VALOR_APARELHO]],""))</f>
        <v>18724.239999999998</v>
      </c>
      <c r="F921">
        <f>IF(tblCalculo[[#This Row],[STATUS]]="CONCLUÍDO",_xlfn.XLOOKUP(tblCalculo[[#This Row],[NR_SIMULACAO]],tblVendas[[#This Row],[NR_SIMULACAO]],tblVendas[[#This Row],[VALOR_MOVEL]],""),0)</f>
        <v>0</v>
      </c>
      <c r="G921">
        <f>IF(tblCalculo[[#This Row],[STATUS]]="CONCLUÍDO",_xlfn.XLOOKUP(tblCalculo[[#This Row],[NR_SIMULACAO]],tblVendas[[#This Row],[NR_SIMULACAO]],tblVendas[[#This Row],[VALOR_AVANCADO]],""),0)</f>
        <v>0</v>
      </c>
      <c r="H921">
        <f>IF(tblCalculo[[#This Row],[STATUS]]="CONCLUÍDO",_xlfn.XLOOKUP(tblCalculo[[#This Row],[NR_SIMULACAO]],tblVendas[[#This Row],[NR_SIMULACAO]],tblVendas[[#This Row],[VALOR_FIXABASICA]],""),0)</f>
        <v>0</v>
      </c>
      <c r="I921">
        <f>IF(tblCalculo[[#This Row],[STATUS]]="CONCLUÍDO",_xlfn.XLOOKUP(tblCalculo[[#This Row],[NR_SIMULACAO]],tblVendas[[#This Row],[NR_SIMULACAO]],tblVendas[[#This Row],[VALOR_TI]],""),0)</f>
        <v>0</v>
      </c>
      <c r="J921">
        <f>IF(tblCalculo[[#This Row],[STATUS]]="CONCLUÍDO",_xlfn.XLOOKUP(tblCalculo[[#This Row],[NR_SIMULACAO]],tblVendas[[#This Row],[NR_SIMULACAO]],tblVendas[[#This Row],[VALOR_APARELHO]],""),0)</f>
        <v>0</v>
      </c>
      <c r="K921">
        <f>IF(tblCalculo[[#This Row],[STATUS]]="NEGOCIANDO",tblCalculo[[#This Row],[VALOR_TOTAL]],"")</f>
        <v>18724.239999999998</v>
      </c>
      <c r="L921" t="str">
        <f>IF(tblCalculo[[#This Row],[STATUS]]="ALÇADA",tblCalculo[[#This Row],[VALOR_TOTAL]],"")</f>
        <v/>
      </c>
      <c r="M921" t="str">
        <f>IF(tblCalculo[[#This Row],[STATUS]]="EM ANÁLISE",tblCalculo[[#This Row],[VALOR_TOTAL]],"")</f>
        <v/>
      </c>
      <c r="N921" t="str">
        <f>IF(tblCalculo[[#This Row],[STATUS]]="TRAMITANDO",tblCalculo[[#This Row],[VALOR_TOTAL]],"")</f>
        <v/>
      </c>
      <c r="O921" t="str">
        <f>IF(tblCalculo[[#This Row],[STATUS]]="PERDIDO",tblCalculo[[#This Row],[VALOR_TOTAL]],"")</f>
        <v/>
      </c>
      <c r="P921" t="str">
        <f>IF(tblCalculo[[#This Row],[STATUS]]="CONCLUÍDO",tblCalculo[[#This Row],[VALOR_TOTAL]],"")</f>
        <v/>
      </c>
    </row>
    <row r="922" spans="1:16" x14ac:dyDescent="0.25">
      <c r="A922" t="str">
        <f>tblVendas[[#This Row],[NR_SIMULACAO]]</f>
        <v>SIM1912</v>
      </c>
      <c r="B922" s="34" t="str">
        <f>_xlfn.XLOOKUP(A922,tblVendas[[#This Row],[NR_SIMULACAO]],tblVendas[[#This Row],[NR_CNPJ]],"")</f>
        <v>77.335.275/0001-61</v>
      </c>
      <c r="C922" t="str">
        <f>_xlfn.XLOOKUP(A922,tblVendas[[#This Row],[NR_SIMULACAO]],tblVendas[[#This Row],[STATUS]],"")</f>
        <v>NEGOCIANDO</v>
      </c>
      <c r="D922" t="str">
        <f>_xlfn.XLOOKUP(A922,tblVendas[[#This Row],[NR_SIMULACAO]],tblVendas[[#This Row],[MES]],"")</f>
        <v>Dezembro</v>
      </c>
      <c r="E922">
        <f>SUM(_xlfn.XLOOKUP(tblCalculo[[#This Row],[NR_SIMULACAO]],tblVendas[[#This Row],[NR_SIMULACAO]],tblVendas[[#This Row],[VALOR_MOVEL]],""):_xlfn.XLOOKUP(tblCalculo[[#This Row],[NR_SIMULACAO]],tblVendas[[#This Row],[NR_SIMULACAO]],tblVendas[[#This Row],[VALOR_APARELHO]],""))</f>
        <v>13091.52</v>
      </c>
      <c r="F922">
        <f>IF(tblCalculo[[#This Row],[STATUS]]="CONCLUÍDO",_xlfn.XLOOKUP(tblCalculo[[#This Row],[NR_SIMULACAO]],tblVendas[[#This Row],[NR_SIMULACAO]],tblVendas[[#This Row],[VALOR_MOVEL]],""),0)</f>
        <v>0</v>
      </c>
      <c r="G922">
        <f>IF(tblCalculo[[#This Row],[STATUS]]="CONCLUÍDO",_xlfn.XLOOKUP(tblCalculo[[#This Row],[NR_SIMULACAO]],tblVendas[[#This Row],[NR_SIMULACAO]],tblVendas[[#This Row],[VALOR_AVANCADO]],""),0)</f>
        <v>0</v>
      </c>
      <c r="H922">
        <f>IF(tblCalculo[[#This Row],[STATUS]]="CONCLUÍDO",_xlfn.XLOOKUP(tblCalculo[[#This Row],[NR_SIMULACAO]],tblVendas[[#This Row],[NR_SIMULACAO]],tblVendas[[#This Row],[VALOR_FIXABASICA]],""),0)</f>
        <v>0</v>
      </c>
      <c r="I922">
        <f>IF(tblCalculo[[#This Row],[STATUS]]="CONCLUÍDO",_xlfn.XLOOKUP(tblCalculo[[#This Row],[NR_SIMULACAO]],tblVendas[[#This Row],[NR_SIMULACAO]],tblVendas[[#This Row],[VALOR_TI]],""),0)</f>
        <v>0</v>
      </c>
      <c r="J922">
        <f>IF(tblCalculo[[#This Row],[STATUS]]="CONCLUÍDO",_xlfn.XLOOKUP(tblCalculo[[#This Row],[NR_SIMULACAO]],tblVendas[[#This Row],[NR_SIMULACAO]],tblVendas[[#This Row],[VALOR_APARELHO]],""),0)</f>
        <v>0</v>
      </c>
      <c r="K922">
        <f>IF(tblCalculo[[#This Row],[STATUS]]="NEGOCIANDO",tblCalculo[[#This Row],[VALOR_TOTAL]],"")</f>
        <v>13091.52</v>
      </c>
      <c r="L922" t="str">
        <f>IF(tblCalculo[[#This Row],[STATUS]]="ALÇADA",tblCalculo[[#This Row],[VALOR_TOTAL]],"")</f>
        <v/>
      </c>
      <c r="M922" t="str">
        <f>IF(tblCalculo[[#This Row],[STATUS]]="EM ANÁLISE",tblCalculo[[#This Row],[VALOR_TOTAL]],"")</f>
        <v/>
      </c>
      <c r="N922" t="str">
        <f>IF(tblCalculo[[#This Row],[STATUS]]="TRAMITANDO",tblCalculo[[#This Row],[VALOR_TOTAL]],"")</f>
        <v/>
      </c>
      <c r="O922" t="str">
        <f>IF(tblCalculo[[#This Row],[STATUS]]="PERDIDO",tblCalculo[[#This Row],[VALOR_TOTAL]],"")</f>
        <v/>
      </c>
      <c r="P922" t="str">
        <f>IF(tblCalculo[[#This Row],[STATUS]]="CONCLUÍDO",tblCalculo[[#This Row],[VALOR_TOTAL]],"")</f>
        <v/>
      </c>
    </row>
    <row r="923" spans="1:16" x14ac:dyDescent="0.25">
      <c r="A923" t="str">
        <f>tblVendas[[#This Row],[NR_SIMULACAO]]</f>
        <v>SIM1913</v>
      </c>
      <c r="B923" s="34" t="str">
        <f>_xlfn.XLOOKUP(A923,tblVendas[[#This Row],[NR_SIMULACAO]],tblVendas[[#This Row],[NR_CNPJ]],"")</f>
        <v>47.686.172/0001-80</v>
      </c>
      <c r="C923" t="str">
        <f>_xlfn.XLOOKUP(A923,tblVendas[[#This Row],[NR_SIMULACAO]],tblVendas[[#This Row],[STATUS]],"")</f>
        <v>NEGOCIANDO</v>
      </c>
      <c r="D923" t="str">
        <f>_xlfn.XLOOKUP(A923,tblVendas[[#This Row],[NR_SIMULACAO]],tblVendas[[#This Row],[MES]],"")</f>
        <v>Janeiro</v>
      </c>
      <c r="E923">
        <f>SUM(_xlfn.XLOOKUP(tblCalculo[[#This Row],[NR_SIMULACAO]],tblVendas[[#This Row],[NR_SIMULACAO]],tblVendas[[#This Row],[VALOR_MOVEL]],""):_xlfn.XLOOKUP(tblCalculo[[#This Row],[NR_SIMULACAO]],tblVendas[[#This Row],[NR_SIMULACAO]],tblVendas[[#This Row],[VALOR_APARELHO]],""))</f>
        <v>12712.65</v>
      </c>
      <c r="F923">
        <f>IF(tblCalculo[[#This Row],[STATUS]]="CONCLUÍDO",_xlfn.XLOOKUP(tblCalculo[[#This Row],[NR_SIMULACAO]],tblVendas[[#This Row],[NR_SIMULACAO]],tblVendas[[#This Row],[VALOR_MOVEL]],""),0)</f>
        <v>0</v>
      </c>
      <c r="G923">
        <f>IF(tblCalculo[[#This Row],[STATUS]]="CONCLUÍDO",_xlfn.XLOOKUP(tblCalculo[[#This Row],[NR_SIMULACAO]],tblVendas[[#This Row],[NR_SIMULACAO]],tblVendas[[#This Row],[VALOR_AVANCADO]],""),0)</f>
        <v>0</v>
      </c>
      <c r="H923">
        <f>IF(tblCalculo[[#This Row],[STATUS]]="CONCLUÍDO",_xlfn.XLOOKUP(tblCalculo[[#This Row],[NR_SIMULACAO]],tblVendas[[#This Row],[NR_SIMULACAO]],tblVendas[[#This Row],[VALOR_FIXABASICA]],""),0)</f>
        <v>0</v>
      </c>
      <c r="I923">
        <f>IF(tblCalculo[[#This Row],[STATUS]]="CONCLUÍDO",_xlfn.XLOOKUP(tblCalculo[[#This Row],[NR_SIMULACAO]],tblVendas[[#This Row],[NR_SIMULACAO]],tblVendas[[#This Row],[VALOR_TI]],""),0)</f>
        <v>0</v>
      </c>
      <c r="J923">
        <f>IF(tblCalculo[[#This Row],[STATUS]]="CONCLUÍDO",_xlfn.XLOOKUP(tblCalculo[[#This Row],[NR_SIMULACAO]],tblVendas[[#This Row],[NR_SIMULACAO]],tblVendas[[#This Row],[VALOR_APARELHO]],""),0)</f>
        <v>0</v>
      </c>
      <c r="K923">
        <f>IF(tblCalculo[[#This Row],[STATUS]]="NEGOCIANDO",tblCalculo[[#This Row],[VALOR_TOTAL]],"")</f>
        <v>12712.65</v>
      </c>
      <c r="L923" t="str">
        <f>IF(tblCalculo[[#This Row],[STATUS]]="ALÇADA",tblCalculo[[#This Row],[VALOR_TOTAL]],"")</f>
        <v/>
      </c>
      <c r="M923" t="str">
        <f>IF(tblCalculo[[#This Row],[STATUS]]="EM ANÁLISE",tblCalculo[[#This Row],[VALOR_TOTAL]],"")</f>
        <v/>
      </c>
      <c r="N923" t="str">
        <f>IF(tblCalculo[[#This Row],[STATUS]]="TRAMITANDO",tblCalculo[[#This Row],[VALOR_TOTAL]],"")</f>
        <v/>
      </c>
      <c r="O923" t="str">
        <f>IF(tblCalculo[[#This Row],[STATUS]]="PERDIDO",tblCalculo[[#This Row],[VALOR_TOTAL]],"")</f>
        <v/>
      </c>
      <c r="P923" t="str">
        <f>IF(tblCalculo[[#This Row],[STATUS]]="CONCLUÍDO",tblCalculo[[#This Row],[VALOR_TOTAL]],"")</f>
        <v/>
      </c>
    </row>
    <row r="924" spans="1:16" x14ac:dyDescent="0.25">
      <c r="A924" t="str">
        <f>tblVendas[[#This Row],[NR_SIMULACAO]]</f>
        <v>SIM1914</v>
      </c>
      <c r="B924" s="34" t="str">
        <f>_xlfn.XLOOKUP(A924,tblVendas[[#This Row],[NR_SIMULACAO]],tblVendas[[#This Row],[NR_CNPJ]],"")</f>
        <v>88.165.630/0001-51</v>
      </c>
      <c r="C924" t="str">
        <f>_xlfn.XLOOKUP(A924,tblVendas[[#This Row],[NR_SIMULACAO]],tblVendas[[#This Row],[STATUS]],"")</f>
        <v>ALÇADA</v>
      </c>
      <c r="D924" t="str">
        <f>_xlfn.XLOOKUP(A924,tblVendas[[#This Row],[NR_SIMULACAO]],tblVendas[[#This Row],[MES]],"")</f>
        <v>Janeiro</v>
      </c>
      <c r="E924">
        <f>SUM(_xlfn.XLOOKUP(tblCalculo[[#This Row],[NR_SIMULACAO]],tblVendas[[#This Row],[NR_SIMULACAO]],tblVendas[[#This Row],[VALOR_MOVEL]],""):_xlfn.XLOOKUP(tblCalculo[[#This Row],[NR_SIMULACAO]],tblVendas[[#This Row],[NR_SIMULACAO]],tblVendas[[#This Row],[VALOR_APARELHO]],""))</f>
        <v>11914.470000000001</v>
      </c>
      <c r="F924">
        <f>IF(tblCalculo[[#This Row],[STATUS]]="CONCLUÍDO",_xlfn.XLOOKUP(tblCalculo[[#This Row],[NR_SIMULACAO]],tblVendas[[#This Row],[NR_SIMULACAO]],tblVendas[[#This Row],[VALOR_MOVEL]],""),0)</f>
        <v>0</v>
      </c>
      <c r="G924">
        <f>IF(tblCalculo[[#This Row],[STATUS]]="CONCLUÍDO",_xlfn.XLOOKUP(tblCalculo[[#This Row],[NR_SIMULACAO]],tblVendas[[#This Row],[NR_SIMULACAO]],tblVendas[[#This Row],[VALOR_AVANCADO]],""),0)</f>
        <v>0</v>
      </c>
      <c r="H924">
        <f>IF(tblCalculo[[#This Row],[STATUS]]="CONCLUÍDO",_xlfn.XLOOKUP(tblCalculo[[#This Row],[NR_SIMULACAO]],tblVendas[[#This Row],[NR_SIMULACAO]],tblVendas[[#This Row],[VALOR_FIXABASICA]],""),0)</f>
        <v>0</v>
      </c>
      <c r="I924">
        <f>IF(tblCalculo[[#This Row],[STATUS]]="CONCLUÍDO",_xlfn.XLOOKUP(tblCalculo[[#This Row],[NR_SIMULACAO]],tblVendas[[#This Row],[NR_SIMULACAO]],tblVendas[[#This Row],[VALOR_TI]],""),0)</f>
        <v>0</v>
      </c>
      <c r="J924">
        <f>IF(tblCalculo[[#This Row],[STATUS]]="CONCLUÍDO",_xlfn.XLOOKUP(tblCalculo[[#This Row],[NR_SIMULACAO]],tblVendas[[#This Row],[NR_SIMULACAO]],tblVendas[[#This Row],[VALOR_APARELHO]],""),0)</f>
        <v>0</v>
      </c>
      <c r="K924" t="str">
        <f>IF(tblCalculo[[#This Row],[STATUS]]="NEGOCIANDO",tblCalculo[[#This Row],[VALOR_TOTAL]],"")</f>
        <v/>
      </c>
      <c r="L924">
        <f>IF(tblCalculo[[#This Row],[STATUS]]="ALÇADA",tblCalculo[[#This Row],[VALOR_TOTAL]],"")</f>
        <v>11914.470000000001</v>
      </c>
      <c r="M924" t="str">
        <f>IF(tblCalculo[[#This Row],[STATUS]]="EM ANÁLISE",tblCalculo[[#This Row],[VALOR_TOTAL]],"")</f>
        <v/>
      </c>
      <c r="N924" t="str">
        <f>IF(tblCalculo[[#This Row],[STATUS]]="TRAMITANDO",tblCalculo[[#This Row],[VALOR_TOTAL]],"")</f>
        <v/>
      </c>
      <c r="O924" t="str">
        <f>IF(tblCalculo[[#This Row],[STATUS]]="PERDIDO",tblCalculo[[#This Row],[VALOR_TOTAL]],"")</f>
        <v/>
      </c>
      <c r="P924" t="str">
        <f>IF(tblCalculo[[#This Row],[STATUS]]="CONCLUÍDO",tblCalculo[[#This Row],[VALOR_TOTAL]],"")</f>
        <v/>
      </c>
    </row>
    <row r="925" spans="1:16" x14ac:dyDescent="0.25">
      <c r="A925" t="str">
        <f>tblVendas[[#This Row],[NR_SIMULACAO]]</f>
        <v>SIM1915</v>
      </c>
      <c r="B925" s="34" t="str">
        <f>_xlfn.XLOOKUP(A925,tblVendas[[#This Row],[NR_SIMULACAO]],tblVendas[[#This Row],[NR_CNPJ]],"")</f>
        <v>19.887.630/0001-11</v>
      </c>
      <c r="C925" t="str">
        <f>_xlfn.XLOOKUP(A925,tblVendas[[#This Row],[NR_SIMULACAO]],tblVendas[[#This Row],[STATUS]],"")</f>
        <v>TRAMITANDO</v>
      </c>
      <c r="D925" t="str">
        <f>_xlfn.XLOOKUP(A925,tblVendas[[#This Row],[NR_SIMULACAO]],tblVendas[[#This Row],[MES]],"")</f>
        <v>Fevereiro</v>
      </c>
      <c r="E925">
        <f>SUM(_xlfn.XLOOKUP(tblCalculo[[#This Row],[NR_SIMULACAO]],tblVendas[[#This Row],[NR_SIMULACAO]],tblVendas[[#This Row],[VALOR_MOVEL]],""):_xlfn.XLOOKUP(tblCalculo[[#This Row],[NR_SIMULACAO]],tblVendas[[#This Row],[NR_SIMULACAO]],tblVendas[[#This Row],[VALOR_APARELHO]],""))</f>
        <v>4434.74</v>
      </c>
      <c r="F925">
        <f>IF(tblCalculo[[#This Row],[STATUS]]="CONCLUÍDO",_xlfn.XLOOKUP(tblCalculo[[#This Row],[NR_SIMULACAO]],tblVendas[[#This Row],[NR_SIMULACAO]],tblVendas[[#This Row],[VALOR_MOVEL]],""),0)</f>
        <v>0</v>
      </c>
      <c r="G925">
        <f>IF(tblCalculo[[#This Row],[STATUS]]="CONCLUÍDO",_xlfn.XLOOKUP(tblCalculo[[#This Row],[NR_SIMULACAO]],tblVendas[[#This Row],[NR_SIMULACAO]],tblVendas[[#This Row],[VALOR_AVANCADO]],""),0)</f>
        <v>0</v>
      </c>
      <c r="H925">
        <f>IF(tblCalculo[[#This Row],[STATUS]]="CONCLUÍDO",_xlfn.XLOOKUP(tblCalculo[[#This Row],[NR_SIMULACAO]],tblVendas[[#This Row],[NR_SIMULACAO]],tblVendas[[#This Row],[VALOR_FIXABASICA]],""),0)</f>
        <v>0</v>
      </c>
      <c r="I925">
        <f>IF(tblCalculo[[#This Row],[STATUS]]="CONCLUÍDO",_xlfn.XLOOKUP(tblCalculo[[#This Row],[NR_SIMULACAO]],tblVendas[[#This Row],[NR_SIMULACAO]],tblVendas[[#This Row],[VALOR_TI]],""),0)</f>
        <v>0</v>
      </c>
      <c r="J925">
        <f>IF(tblCalculo[[#This Row],[STATUS]]="CONCLUÍDO",_xlfn.XLOOKUP(tblCalculo[[#This Row],[NR_SIMULACAO]],tblVendas[[#This Row],[NR_SIMULACAO]],tblVendas[[#This Row],[VALOR_APARELHO]],""),0)</f>
        <v>0</v>
      </c>
      <c r="K925" t="str">
        <f>IF(tblCalculo[[#This Row],[STATUS]]="NEGOCIANDO",tblCalculo[[#This Row],[VALOR_TOTAL]],"")</f>
        <v/>
      </c>
      <c r="L925" t="str">
        <f>IF(tblCalculo[[#This Row],[STATUS]]="ALÇADA",tblCalculo[[#This Row],[VALOR_TOTAL]],"")</f>
        <v/>
      </c>
      <c r="M925" t="str">
        <f>IF(tblCalculo[[#This Row],[STATUS]]="EM ANÁLISE",tblCalculo[[#This Row],[VALOR_TOTAL]],"")</f>
        <v/>
      </c>
      <c r="N925">
        <f>IF(tblCalculo[[#This Row],[STATUS]]="TRAMITANDO",tblCalculo[[#This Row],[VALOR_TOTAL]],"")</f>
        <v>4434.74</v>
      </c>
      <c r="O925" t="str">
        <f>IF(tblCalculo[[#This Row],[STATUS]]="PERDIDO",tblCalculo[[#This Row],[VALOR_TOTAL]],"")</f>
        <v/>
      </c>
      <c r="P925" t="str">
        <f>IF(tblCalculo[[#This Row],[STATUS]]="CONCLUÍDO",tblCalculo[[#This Row],[VALOR_TOTAL]],"")</f>
        <v/>
      </c>
    </row>
    <row r="926" spans="1:16" x14ac:dyDescent="0.25">
      <c r="A926" t="str">
        <f>tblVendas[[#This Row],[NR_SIMULACAO]]</f>
        <v>SIM1916</v>
      </c>
      <c r="B926" s="34" t="str">
        <f>_xlfn.XLOOKUP(A926,tblVendas[[#This Row],[NR_SIMULACAO]],tblVendas[[#This Row],[NR_CNPJ]],"")</f>
        <v>52.977.810/0001-71</v>
      </c>
      <c r="C926" t="str">
        <f>_xlfn.XLOOKUP(A926,tblVendas[[#This Row],[NR_SIMULACAO]],tblVendas[[#This Row],[STATUS]],"")</f>
        <v>PERDIDO</v>
      </c>
      <c r="D926" t="str">
        <f>_xlfn.XLOOKUP(A926,tblVendas[[#This Row],[NR_SIMULACAO]],tblVendas[[#This Row],[MES]],"")</f>
        <v>Março</v>
      </c>
      <c r="E926">
        <f>SUM(_xlfn.XLOOKUP(tblCalculo[[#This Row],[NR_SIMULACAO]],tblVendas[[#This Row],[NR_SIMULACAO]],tblVendas[[#This Row],[VALOR_MOVEL]],""):_xlfn.XLOOKUP(tblCalculo[[#This Row],[NR_SIMULACAO]],tblVendas[[#This Row],[NR_SIMULACAO]],tblVendas[[#This Row],[VALOR_APARELHO]],""))</f>
        <v>4938.2900000000009</v>
      </c>
      <c r="F926">
        <f>IF(tblCalculo[[#This Row],[STATUS]]="CONCLUÍDO",_xlfn.XLOOKUP(tblCalculo[[#This Row],[NR_SIMULACAO]],tblVendas[[#This Row],[NR_SIMULACAO]],tblVendas[[#This Row],[VALOR_MOVEL]],""),0)</f>
        <v>0</v>
      </c>
      <c r="G926">
        <f>IF(tblCalculo[[#This Row],[STATUS]]="CONCLUÍDO",_xlfn.XLOOKUP(tblCalculo[[#This Row],[NR_SIMULACAO]],tblVendas[[#This Row],[NR_SIMULACAO]],tblVendas[[#This Row],[VALOR_AVANCADO]],""),0)</f>
        <v>0</v>
      </c>
      <c r="H926">
        <f>IF(tblCalculo[[#This Row],[STATUS]]="CONCLUÍDO",_xlfn.XLOOKUP(tblCalculo[[#This Row],[NR_SIMULACAO]],tblVendas[[#This Row],[NR_SIMULACAO]],tblVendas[[#This Row],[VALOR_FIXABASICA]],""),0)</f>
        <v>0</v>
      </c>
      <c r="I926">
        <f>IF(tblCalculo[[#This Row],[STATUS]]="CONCLUÍDO",_xlfn.XLOOKUP(tblCalculo[[#This Row],[NR_SIMULACAO]],tblVendas[[#This Row],[NR_SIMULACAO]],tblVendas[[#This Row],[VALOR_TI]],""),0)</f>
        <v>0</v>
      </c>
      <c r="J926">
        <f>IF(tblCalculo[[#This Row],[STATUS]]="CONCLUÍDO",_xlfn.XLOOKUP(tblCalculo[[#This Row],[NR_SIMULACAO]],tblVendas[[#This Row],[NR_SIMULACAO]],tblVendas[[#This Row],[VALOR_APARELHO]],""),0)</f>
        <v>0</v>
      </c>
      <c r="K926" t="str">
        <f>IF(tblCalculo[[#This Row],[STATUS]]="NEGOCIANDO",tblCalculo[[#This Row],[VALOR_TOTAL]],"")</f>
        <v/>
      </c>
      <c r="L926" t="str">
        <f>IF(tblCalculo[[#This Row],[STATUS]]="ALÇADA",tblCalculo[[#This Row],[VALOR_TOTAL]],"")</f>
        <v/>
      </c>
      <c r="M926" t="str">
        <f>IF(tblCalculo[[#This Row],[STATUS]]="EM ANÁLISE",tblCalculo[[#This Row],[VALOR_TOTAL]],"")</f>
        <v/>
      </c>
      <c r="N926" t="str">
        <f>IF(tblCalculo[[#This Row],[STATUS]]="TRAMITANDO",tblCalculo[[#This Row],[VALOR_TOTAL]],"")</f>
        <v/>
      </c>
      <c r="O926">
        <f>IF(tblCalculo[[#This Row],[STATUS]]="PERDIDO",tblCalculo[[#This Row],[VALOR_TOTAL]],"")</f>
        <v>4938.2900000000009</v>
      </c>
      <c r="P926" t="str">
        <f>IF(tblCalculo[[#This Row],[STATUS]]="CONCLUÍDO",tblCalculo[[#This Row],[VALOR_TOTAL]],"")</f>
        <v/>
      </c>
    </row>
    <row r="927" spans="1:16" x14ac:dyDescent="0.25">
      <c r="A927" t="str">
        <f>tblVendas[[#This Row],[NR_SIMULACAO]]</f>
        <v>SIM1917</v>
      </c>
      <c r="B927" s="34" t="str">
        <f>_xlfn.XLOOKUP(A927,tblVendas[[#This Row],[NR_SIMULACAO]],tblVendas[[#This Row],[NR_CNPJ]],"")</f>
        <v>95.317.209/0001-58</v>
      </c>
      <c r="C927" t="str">
        <f>_xlfn.XLOOKUP(A927,tblVendas[[#This Row],[NR_SIMULACAO]],tblVendas[[#This Row],[STATUS]],"")</f>
        <v>EM ANÁLISE</v>
      </c>
      <c r="D927" t="str">
        <f>_xlfn.XLOOKUP(A927,tblVendas[[#This Row],[NR_SIMULACAO]],tblVendas[[#This Row],[MES]],"")</f>
        <v>Julho</v>
      </c>
      <c r="E927">
        <f>SUM(_xlfn.XLOOKUP(tblCalculo[[#This Row],[NR_SIMULACAO]],tblVendas[[#This Row],[NR_SIMULACAO]],tblVendas[[#This Row],[VALOR_MOVEL]],""):_xlfn.XLOOKUP(tblCalculo[[#This Row],[NR_SIMULACAO]],tblVendas[[#This Row],[NR_SIMULACAO]],tblVendas[[#This Row],[VALOR_APARELHO]],""))</f>
        <v>5588.1</v>
      </c>
      <c r="F927">
        <f>IF(tblCalculo[[#This Row],[STATUS]]="CONCLUÍDO",_xlfn.XLOOKUP(tblCalculo[[#This Row],[NR_SIMULACAO]],tblVendas[[#This Row],[NR_SIMULACAO]],tblVendas[[#This Row],[VALOR_MOVEL]],""),0)</f>
        <v>0</v>
      </c>
      <c r="G927">
        <f>IF(tblCalculo[[#This Row],[STATUS]]="CONCLUÍDO",_xlfn.XLOOKUP(tblCalculo[[#This Row],[NR_SIMULACAO]],tblVendas[[#This Row],[NR_SIMULACAO]],tblVendas[[#This Row],[VALOR_AVANCADO]],""),0)</f>
        <v>0</v>
      </c>
      <c r="H927">
        <f>IF(tblCalculo[[#This Row],[STATUS]]="CONCLUÍDO",_xlfn.XLOOKUP(tblCalculo[[#This Row],[NR_SIMULACAO]],tblVendas[[#This Row],[NR_SIMULACAO]],tblVendas[[#This Row],[VALOR_FIXABASICA]],""),0)</f>
        <v>0</v>
      </c>
      <c r="I927">
        <f>IF(tblCalculo[[#This Row],[STATUS]]="CONCLUÍDO",_xlfn.XLOOKUP(tblCalculo[[#This Row],[NR_SIMULACAO]],tblVendas[[#This Row],[NR_SIMULACAO]],tblVendas[[#This Row],[VALOR_TI]],""),0)</f>
        <v>0</v>
      </c>
      <c r="J927">
        <f>IF(tblCalculo[[#This Row],[STATUS]]="CONCLUÍDO",_xlfn.XLOOKUP(tblCalculo[[#This Row],[NR_SIMULACAO]],tblVendas[[#This Row],[NR_SIMULACAO]],tblVendas[[#This Row],[VALOR_APARELHO]],""),0)</f>
        <v>0</v>
      </c>
      <c r="K927" t="str">
        <f>IF(tblCalculo[[#This Row],[STATUS]]="NEGOCIANDO",tblCalculo[[#This Row],[VALOR_TOTAL]],"")</f>
        <v/>
      </c>
      <c r="L927" t="str">
        <f>IF(tblCalculo[[#This Row],[STATUS]]="ALÇADA",tblCalculo[[#This Row],[VALOR_TOTAL]],"")</f>
        <v/>
      </c>
      <c r="M927">
        <f>IF(tblCalculo[[#This Row],[STATUS]]="EM ANÁLISE",tblCalculo[[#This Row],[VALOR_TOTAL]],"")</f>
        <v>5588.1</v>
      </c>
      <c r="N927" t="str">
        <f>IF(tblCalculo[[#This Row],[STATUS]]="TRAMITANDO",tblCalculo[[#This Row],[VALOR_TOTAL]],"")</f>
        <v/>
      </c>
      <c r="O927" t="str">
        <f>IF(tblCalculo[[#This Row],[STATUS]]="PERDIDO",tblCalculo[[#This Row],[VALOR_TOTAL]],"")</f>
        <v/>
      </c>
      <c r="P927" t="str">
        <f>IF(tblCalculo[[#This Row],[STATUS]]="CONCLUÍDO",tblCalculo[[#This Row],[VALOR_TOTAL]],"")</f>
        <v/>
      </c>
    </row>
    <row r="928" spans="1:16" x14ac:dyDescent="0.25">
      <c r="A928" t="str">
        <f>tblVendas[[#This Row],[NR_SIMULACAO]]</f>
        <v>SIM1918</v>
      </c>
      <c r="B928" s="34" t="str">
        <f>_xlfn.XLOOKUP(A928,tblVendas[[#This Row],[NR_SIMULACAO]],tblVendas[[#This Row],[NR_CNPJ]],"")</f>
        <v>18.936.938/0001-33</v>
      </c>
      <c r="C928" t="str">
        <f>_xlfn.XLOOKUP(A928,tblVendas[[#This Row],[NR_SIMULACAO]],tblVendas[[#This Row],[STATUS]],"")</f>
        <v>ALÇADA</v>
      </c>
      <c r="D928" t="str">
        <f>_xlfn.XLOOKUP(A928,tblVendas[[#This Row],[NR_SIMULACAO]],tblVendas[[#This Row],[MES]],"")</f>
        <v>Julho</v>
      </c>
      <c r="E928">
        <f>SUM(_xlfn.XLOOKUP(tblCalculo[[#This Row],[NR_SIMULACAO]],tblVendas[[#This Row],[NR_SIMULACAO]],tblVendas[[#This Row],[VALOR_MOVEL]],""):_xlfn.XLOOKUP(tblCalculo[[#This Row],[NR_SIMULACAO]],tblVendas[[#This Row],[NR_SIMULACAO]],tblVendas[[#This Row],[VALOR_APARELHO]],""))</f>
        <v>2860.98</v>
      </c>
      <c r="F928">
        <f>IF(tblCalculo[[#This Row],[STATUS]]="CONCLUÍDO",_xlfn.XLOOKUP(tblCalculo[[#This Row],[NR_SIMULACAO]],tblVendas[[#This Row],[NR_SIMULACAO]],tblVendas[[#This Row],[VALOR_MOVEL]],""),0)</f>
        <v>0</v>
      </c>
      <c r="G928">
        <f>IF(tblCalculo[[#This Row],[STATUS]]="CONCLUÍDO",_xlfn.XLOOKUP(tblCalculo[[#This Row],[NR_SIMULACAO]],tblVendas[[#This Row],[NR_SIMULACAO]],tblVendas[[#This Row],[VALOR_AVANCADO]],""),0)</f>
        <v>0</v>
      </c>
      <c r="H928">
        <f>IF(tblCalculo[[#This Row],[STATUS]]="CONCLUÍDO",_xlfn.XLOOKUP(tblCalculo[[#This Row],[NR_SIMULACAO]],tblVendas[[#This Row],[NR_SIMULACAO]],tblVendas[[#This Row],[VALOR_FIXABASICA]],""),0)</f>
        <v>0</v>
      </c>
      <c r="I928">
        <f>IF(tblCalculo[[#This Row],[STATUS]]="CONCLUÍDO",_xlfn.XLOOKUP(tblCalculo[[#This Row],[NR_SIMULACAO]],tblVendas[[#This Row],[NR_SIMULACAO]],tblVendas[[#This Row],[VALOR_TI]],""),0)</f>
        <v>0</v>
      </c>
      <c r="J928">
        <f>IF(tblCalculo[[#This Row],[STATUS]]="CONCLUÍDO",_xlfn.XLOOKUP(tblCalculo[[#This Row],[NR_SIMULACAO]],tblVendas[[#This Row],[NR_SIMULACAO]],tblVendas[[#This Row],[VALOR_APARELHO]],""),0)</f>
        <v>0</v>
      </c>
      <c r="K928" t="str">
        <f>IF(tblCalculo[[#This Row],[STATUS]]="NEGOCIANDO",tblCalculo[[#This Row],[VALOR_TOTAL]],"")</f>
        <v/>
      </c>
      <c r="L928">
        <f>IF(tblCalculo[[#This Row],[STATUS]]="ALÇADA",tblCalculo[[#This Row],[VALOR_TOTAL]],"")</f>
        <v>2860.98</v>
      </c>
      <c r="M928" t="str">
        <f>IF(tblCalculo[[#This Row],[STATUS]]="EM ANÁLISE",tblCalculo[[#This Row],[VALOR_TOTAL]],"")</f>
        <v/>
      </c>
      <c r="N928" t="str">
        <f>IF(tblCalculo[[#This Row],[STATUS]]="TRAMITANDO",tblCalculo[[#This Row],[VALOR_TOTAL]],"")</f>
        <v/>
      </c>
      <c r="O928" t="str">
        <f>IF(tblCalculo[[#This Row],[STATUS]]="PERDIDO",tblCalculo[[#This Row],[VALOR_TOTAL]],"")</f>
        <v/>
      </c>
      <c r="P928" t="str">
        <f>IF(tblCalculo[[#This Row],[STATUS]]="CONCLUÍDO",tblCalculo[[#This Row],[VALOR_TOTAL]],"")</f>
        <v/>
      </c>
    </row>
    <row r="929" spans="1:16" x14ac:dyDescent="0.25">
      <c r="A929" t="str">
        <f>tblVendas[[#This Row],[NR_SIMULACAO]]</f>
        <v>SIM1919</v>
      </c>
      <c r="B929" s="34" t="str">
        <f>_xlfn.XLOOKUP(A929,tblVendas[[#This Row],[NR_SIMULACAO]],tblVendas[[#This Row],[NR_CNPJ]],"")</f>
        <v>47.312.369/0001-19</v>
      </c>
      <c r="C929" t="str">
        <f>_xlfn.XLOOKUP(A929,tblVendas[[#This Row],[NR_SIMULACAO]],tblVendas[[#This Row],[STATUS]],"")</f>
        <v>EM ANÁLISE</v>
      </c>
      <c r="D929" t="str">
        <f>_xlfn.XLOOKUP(A929,tblVendas[[#This Row],[NR_SIMULACAO]],tblVendas[[#This Row],[MES]],"")</f>
        <v>Janeiro</v>
      </c>
      <c r="E929">
        <f>SUM(_xlfn.XLOOKUP(tblCalculo[[#This Row],[NR_SIMULACAO]],tblVendas[[#This Row],[NR_SIMULACAO]],tblVendas[[#This Row],[VALOR_MOVEL]],""):_xlfn.XLOOKUP(tblCalculo[[#This Row],[NR_SIMULACAO]],tblVendas[[#This Row],[NR_SIMULACAO]],tblVendas[[#This Row],[VALOR_APARELHO]],""))</f>
        <v>36244.36</v>
      </c>
      <c r="F929">
        <f>IF(tblCalculo[[#This Row],[STATUS]]="CONCLUÍDO",_xlfn.XLOOKUP(tblCalculo[[#This Row],[NR_SIMULACAO]],tblVendas[[#This Row],[NR_SIMULACAO]],tblVendas[[#This Row],[VALOR_MOVEL]],""),0)</f>
        <v>0</v>
      </c>
      <c r="G929">
        <f>IF(tblCalculo[[#This Row],[STATUS]]="CONCLUÍDO",_xlfn.XLOOKUP(tblCalculo[[#This Row],[NR_SIMULACAO]],tblVendas[[#This Row],[NR_SIMULACAO]],tblVendas[[#This Row],[VALOR_AVANCADO]],""),0)</f>
        <v>0</v>
      </c>
      <c r="H929">
        <f>IF(tblCalculo[[#This Row],[STATUS]]="CONCLUÍDO",_xlfn.XLOOKUP(tblCalculo[[#This Row],[NR_SIMULACAO]],tblVendas[[#This Row],[NR_SIMULACAO]],tblVendas[[#This Row],[VALOR_FIXABASICA]],""),0)</f>
        <v>0</v>
      </c>
      <c r="I929">
        <f>IF(tblCalculo[[#This Row],[STATUS]]="CONCLUÍDO",_xlfn.XLOOKUP(tblCalculo[[#This Row],[NR_SIMULACAO]],tblVendas[[#This Row],[NR_SIMULACAO]],tblVendas[[#This Row],[VALOR_TI]],""),0)</f>
        <v>0</v>
      </c>
      <c r="J929">
        <f>IF(tblCalculo[[#This Row],[STATUS]]="CONCLUÍDO",_xlfn.XLOOKUP(tblCalculo[[#This Row],[NR_SIMULACAO]],tblVendas[[#This Row],[NR_SIMULACAO]],tblVendas[[#This Row],[VALOR_APARELHO]],""),0)</f>
        <v>0</v>
      </c>
      <c r="K929" t="str">
        <f>IF(tblCalculo[[#This Row],[STATUS]]="NEGOCIANDO",tblCalculo[[#This Row],[VALOR_TOTAL]],"")</f>
        <v/>
      </c>
      <c r="L929" t="str">
        <f>IF(tblCalculo[[#This Row],[STATUS]]="ALÇADA",tblCalculo[[#This Row],[VALOR_TOTAL]],"")</f>
        <v/>
      </c>
      <c r="M929">
        <f>IF(tblCalculo[[#This Row],[STATUS]]="EM ANÁLISE",tblCalculo[[#This Row],[VALOR_TOTAL]],"")</f>
        <v>36244.36</v>
      </c>
      <c r="N929" t="str">
        <f>IF(tblCalculo[[#This Row],[STATUS]]="TRAMITANDO",tblCalculo[[#This Row],[VALOR_TOTAL]],"")</f>
        <v/>
      </c>
      <c r="O929" t="str">
        <f>IF(tblCalculo[[#This Row],[STATUS]]="PERDIDO",tblCalculo[[#This Row],[VALOR_TOTAL]],"")</f>
        <v/>
      </c>
      <c r="P929" t="str">
        <f>IF(tblCalculo[[#This Row],[STATUS]]="CONCLUÍDO",tblCalculo[[#This Row],[VALOR_TOTAL]],"")</f>
        <v/>
      </c>
    </row>
    <row r="930" spans="1:16" x14ac:dyDescent="0.25">
      <c r="A930" t="str">
        <f>tblVendas[[#This Row],[NR_SIMULACAO]]</f>
        <v>SIM1920</v>
      </c>
      <c r="B930" s="34" t="str">
        <f>_xlfn.XLOOKUP(A930,tblVendas[[#This Row],[NR_SIMULACAO]],tblVendas[[#This Row],[NR_CNPJ]],"")</f>
        <v>71.902.991/0001-14</v>
      </c>
      <c r="C930" t="str">
        <f>_xlfn.XLOOKUP(A930,tblVendas[[#This Row],[NR_SIMULACAO]],tblVendas[[#This Row],[STATUS]],"")</f>
        <v>ALÇADA</v>
      </c>
      <c r="D930" t="str">
        <f>_xlfn.XLOOKUP(A930,tblVendas[[#This Row],[NR_SIMULACAO]],tblVendas[[#This Row],[MES]],"")</f>
        <v>Maio</v>
      </c>
      <c r="E930">
        <f>SUM(_xlfn.XLOOKUP(tblCalculo[[#This Row],[NR_SIMULACAO]],tblVendas[[#This Row],[NR_SIMULACAO]],tblVendas[[#This Row],[VALOR_MOVEL]],""):_xlfn.XLOOKUP(tblCalculo[[#This Row],[NR_SIMULACAO]],tblVendas[[#This Row],[NR_SIMULACAO]],tblVendas[[#This Row],[VALOR_APARELHO]],""))</f>
        <v>10781.14</v>
      </c>
      <c r="F930">
        <f>IF(tblCalculo[[#This Row],[STATUS]]="CONCLUÍDO",_xlfn.XLOOKUP(tblCalculo[[#This Row],[NR_SIMULACAO]],tblVendas[[#This Row],[NR_SIMULACAO]],tblVendas[[#This Row],[VALOR_MOVEL]],""),0)</f>
        <v>0</v>
      </c>
      <c r="G930">
        <f>IF(tblCalculo[[#This Row],[STATUS]]="CONCLUÍDO",_xlfn.XLOOKUP(tblCalculo[[#This Row],[NR_SIMULACAO]],tblVendas[[#This Row],[NR_SIMULACAO]],tblVendas[[#This Row],[VALOR_AVANCADO]],""),0)</f>
        <v>0</v>
      </c>
      <c r="H930">
        <f>IF(tblCalculo[[#This Row],[STATUS]]="CONCLUÍDO",_xlfn.XLOOKUP(tblCalculo[[#This Row],[NR_SIMULACAO]],tblVendas[[#This Row],[NR_SIMULACAO]],tblVendas[[#This Row],[VALOR_FIXABASICA]],""),0)</f>
        <v>0</v>
      </c>
      <c r="I930">
        <f>IF(tblCalculo[[#This Row],[STATUS]]="CONCLUÍDO",_xlfn.XLOOKUP(tblCalculo[[#This Row],[NR_SIMULACAO]],tblVendas[[#This Row],[NR_SIMULACAO]],tblVendas[[#This Row],[VALOR_TI]],""),0)</f>
        <v>0</v>
      </c>
      <c r="J930">
        <f>IF(tblCalculo[[#This Row],[STATUS]]="CONCLUÍDO",_xlfn.XLOOKUP(tblCalculo[[#This Row],[NR_SIMULACAO]],tblVendas[[#This Row],[NR_SIMULACAO]],tblVendas[[#This Row],[VALOR_APARELHO]],""),0)</f>
        <v>0</v>
      </c>
      <c r="K930" t="str">
        <f>IF(tblCalculo[[#This Row],[STATUS]]="NEGOCIANDO",tblCalculo[[#This Row],[VALOR_TOTAL]],"")</f>
        <v/>
      </c>
      <c r="L930">
        <f>IF(tblCalculo[[#This Row],[STATUS]]="ALÇADA",tblCalculo[[#This Row],[VALOR_TOTAL]],"")</f>
        <v>10781.14</v>
      </c>
      <c r="M930" t="str">
        <f>IF(tblCalculo[[#This Row],[STATUS]]="EM ANÁLISE",tblCalculo[[#This Row],[VALOR_TOTAL]],"")</f>
        <v/>
      </c>
      <c r="N930" t="str">
        <f>IF(tblCalculo[[#This Row],[STATUS]]="TRAMITANDO",tblCalculo[[#This Row],[VALOR_TOTAL]],"")</f>
        <v/>
      </c>
      <c r="O930" t="str">
        <f>IF(tblCalculo[[#This Row],[STATUS]]="PERDIDO",tblCalculo[[#This Row],[VALOR_TOTAL]],"")</f>
        <v/>
      </c>
      <c r="P930" t="str">
        <f>IF(tblCalculo[[#This Row],[STATUS]]="CONCLUÍDO",tblCalculo[[#This Row],[VALOR_TOTAL]],"")</f>
        <v/>
      </c>
    </row>
    <row r="931" spans="1:16" x14ac:dyDescent="0.25">
      <c r="A931" t="str">
        <f>tblVendas[[#This Row],[NR_SIMULACAO]]</f>
        <v>SIM1921</v>
      </c>
      <c r="B931" s="34" t="str">
        <f>_xlfn.XLOOKUP(A931,tblVendas[[#This Row],[NR_SIMULACAO]],tblVendas[[#This Row],[NR_CNPJ]],"")</f>
        <v>49.114.303/0001-49</v>
      </c>
      <c r="C931" t="str">
        <f>_xlfn.XLOOKUP(A931,tblVendas[[#This Row],[NR_SIMULACAO]],tblVendas[[#This Row],[STATUS]],"")</f>
        <v>CONCLUÍDO</v>
      </c>
      <c r="D931" t="str">
        <f>_xlfn.XLOOKUP(A931,tblVendas[[#This Row],[NR_SIMULACAO]],tblVendas[[#This Row],[MES]],"")</f>
        <v>Janeiro</v>
      </c>
      <c r="E931">
        <f>SUM(_xlfn.XLOOKUP(tblCalculo[[#This Row],[NR_SIMULACAO]],tblVendas[[#This Row],[NR_SIMULACAO]],tblVendas[[#This Row],[VALOR_MOVEL]],""):_xlfn.XLOOKUP(tblCalculo[[#This Row],[NR_SIMULACAO]],tblVendas[[#This Row],[NR_SIMULACAO]],tblVendas[[#This Row],[VALOR_APARELHO]],""))</f>
        <v>6393.24</v>
      </c>
      <c r="F931">
        <f>IF(tblCalculo[[#This Row],[STATUS]]="CONCLUÍDO",_xlfn.XLOOKUP(tblCalculo[[#This Row],[NR_SIMULACAO]],tblVendas[[#This Row],[NR_SIMULACAO]],tblVendas[[#This Row],[VALOR_MOVEL]],""),0)</f>
        <v>6393.24</v>
      </c>
      <c r="G931">
        <f>IF(tblCalculo[[#This Row],[STATUS]]="CONCLUÍDO",_xlfn.XLOOKUP(tblCalculo[[#This Row],[NR_SIMULACAO]],tblVendas[[#This Row],[NR_SIMULACAO]],tblVendas[[#This Row],[VALOR_AVANCADO]],""),0)</f>
        <v>0</v>
      </c>
      <c r="H931">
        <f>IF(tblCalculo[[#This Row],[STATUS]]="CONCLUÍDO",_xlfn.XLOOKUP(tblCalculo[[#This Row],[NR_SIMULACAO]],tblVendas[[#This Row],[NR_SIMULACAO]],tblVendas[[#This Row],[VALOR_FIXABASICA]],""),0)</f>
        <v>0</v>
      </c>
      <c r="I931">
        <f>IF(tblCalculo[[#This Row],[STATUS]]="CONCLUÍDO",_xlfn.XLOOKUP(tblCalculo[[#This Row],[NR_SIMULACAO]],tblVendas[[#This Row],[NR_SIMULACAO]],tblVendas[[#This Row],[VALOR_TI]],""),0)</f>
        <v>0</v>
      </c>
      <c r="J931">
        <f>IF(tblCalculo[[#This Row],[STATUS]]="CONCLUÍDO",_xlfn.XLOOKUP(tblCalculo[[#This Row],[NR_SIMULACAO]],tblVendas[[#This Row],[NR_SIMULACAO]],tblVendas[[#This Row],[VALOR_APARELHO]],""),0)</f>
        <v>0</v>
      </c>
      <c r="K931" t="str">
        <f>IF(tblCalculo[[#This Row],[STATUS]]="NEGOCIANDO",tblCalculo[[#This Row],[VALOR_TOTAL]],"")</f>
        <v/>
      </c>
      <c r="L931" t="str">
        <f>IF(tblCalculo[[#This Row],[STATUS]]="ALÇADA",tblCalculo[[#This Row],[VALOR_TOTAL]],"")</f>
        <v/>
      </c>
      <c r="M931" t="str">
        <f>IF(tblCalculo[[#This Row],[STATUS]]="EM ANÁLISE",tblCalculo[[#This Row],[VALOR_TOTAL]],"")</f>
        <v/>
      </c>
      <c r="N931" t="str">
        <f>IF(tblCalculo[[#This Row],[STATUS]]="TRAMITANDO",tblCalculo[[#This Row],[VALOR_TOTAL]],"")</f>
        <v/>
      </c>
      <c r="O931" t="str">
        <f>IF(tblCalculo[[#This Row],[STATUS]]="PERDIDO",tblCalculo[[#This Row],[VALOR_TOTAL]],"")</f>
        <v/>
      </c>
      <c r="P931">
        <f>IF(tblCalculo[[#This Row],[STATUS]]="CONCLUÍDO",tblCalculo[[#This Row],[VALOR_TOTAL]],"")</f>
        <v>6393.24</v>
      </c>
    </row>
    <row r="932" spans="1:16" x14ac:dyDescent="0.25">
      <c r="A932" t="str">
        <f>tblVendas[[#This Row],[NR_SIMULACAO]]</f>
        <v>SIM1922</v>
      </c>
      <c r="B932" s="34" t="str">
        <f>_xlfn.XLOOKUP(A932,tblVendas[[#This Row],[NR_SIMULACAO]],tblVendas[[#This Row],[NR_CNPJ]],"")</f>
        <v>14.861.594/0001-97</v>
      </c>
      <c r="C932" t="str">
        <f>_xlfn.XLOOKUP(A932,tblVendas[[#This Row],[NR_SIMULACAO]],tblVendas[[#This Row],[STATUS]],"")</f>
        <v>CONCLUÍDO</v>
      </c>
      <c r="D932" t="str">
        <f>_xlfn.XLOOKUP(A932,tblVendas[[#This Row],[NR_SIMULACAO]],tblVendas[[#This Row],[MES]],"")</f>
        <v>Janeiro</v>
      </c>
      <c r="E932">
        <f>SUM(_xlfn.XLOOKUP(tblCalculo[[#This Row],[NR_SIMULACAO]],tblVendas[[#This Row],[NR_SIMULACAO]],tblVendas[[#This Row],[VALOR_MOVEL]],""):_xlfn.XLOOKUP(tblCalculo[[#This Row],[NR_SIMULACAO]],tblVendas[[#This Row],[NR_SIMULACAO]],tblVendas[[#This Row],[VALOR_APARELHO]],""))</f>
        <v>6373.63</v>
      </c>
      <c r="F932">
        <f>IF(tblCalculo[[#This Row],[STATUS]]="CONCLUÍDO",_xlfn.XLOOKUP(tblCalculo[[#This Row],[NR_SIMULACAO]],tblVendas[[#This Row],[NR_SIMULACAO]],tblVendas[[#This Row],[VALOR_MOVEL]],""),0)</f>
        <v>2127.04</v>
      </c>
      <c r="G932">
        <f>IF(tblCalculo[[#This Row],[STATUS]]="CONCLUÍDO",_xlfn.XLOOKUP(tblCalculo[[#This Row],[NR_SIMULACAO]],tblVendas[[#This Row],[NR_SIMULACAO]],tblVendas[[#This Row],[VALOR_AVANCADO]],""),0)</f>
        <v>2505.37</v>
      </c>
      <c r="H932">
        <f>IF(tblCalculo[[#This Row],[STATUS]]="CONCLUÍDO",_xlfn.XLOOKUP(tblCalculo[[#This Row],[NR_SIMULACAO]],tblVendas[[#This Row],[NR_SIMULACAO]],tblVendas[[#This Row],[VALOR_FIXABASICA]],""),0)</f>
        <v>1741.22</v>
      </c>
      <c r="I932">
        <f>IF(tblCalculo[[#This Row],[STATUS]]="CONCLUÍDO",_xlfn.XLOOKUP(tblCalculo[[#This Row],[NR_SIMULACAO]],tblVendas[[#This Row],[NR_SIMULACAO]],tblVendas[[#This Row],[VALOR_TI]],""),0)</f>
        <v>0</v>
      </c>
      <c r="J932">
        <f>IF(tblCalculo[[#This Row],[STATUS]]="CONCLUÍDO",_xlfn.XLOOKUP(tblCalculo[[#This Row],[NR_SIMULACAO]],tblVendas[[#This Row],[NR_SIMULACAO]],tblVendas[[#This Row],[VALOR_APARELHO]],""),0)</f>
        <v>0</v>
      </c>
      <c r="K932" t="str">
        <f>IF(tblCalculo[[#This Row],[STATUS]]="NEGOCIANDO",tblCalculo[[#This Row],[VALOR_TOTAL]],"")</f>
        <v/>
      </c>
      <c r="L932" t="str">
        <f>IF(tblCalculo[[#This Row],[STATUS]]="ALÇADA",tblCalculo[[#This Row],[VALOR_TOTAL]],"")</f>
        <v/>
      </c>
      <c r="M932" t="str">
        <f>IF(tblCalculo[[#This Row],[STATUS]]="EM ANÁLISE",tblCalculo[[#This Row],[VALOR_TOTAL]],"")</f>
        <v/>
      </c>
      <c r="N932" t="str">
        <f>IF(tblCalculo[[#This Row],[STATUS]]="TRAMITANDO",tblCalculo[[#This Row],[VALOR_TOTAL]],"")</f>
        <v/>
      </c>
      <c r="O932" t="str">
        <f>IF(tblCalculo[[#This Row],[STATUS]]="PERDIDO",tblCalculo[[#This Row],[VALOR_TOTAL]],"")</f>
        <v/>
      </c>
      <c r="P932">
        <f>IF(tblCalculo[[#This Row],[STATUS]]="CONCLUÍDO",tblCalculo[[#This Row],[VALOR_TOTAL]],"")</f>
        <v>6373.63</v>
      </c>
    </row>
    <row r="933" spans="1:16" x14ac:dyDescent="0.25">
      <c r="A933" t="str">
        <f>tblVendas[[#This Row],[NR_SIMULACAO]]</f>
        <v>SIM1923</v>
      </c>
      <c r="B933" s="34" t="str">
        <f>_xlfn.XLOOKUP(A933,tblVendas[[#This Row],[NR_SIMULACAO]],tblVendas[[#This Row],[NR_CNPJ]],"")</f>
        <v>10.264.484/0001-45</v>
      </c>
      <c r="C933" t="str">
        <f>_xlfn.XLOOKUP(A933,tblVendas[[#This Row],[NR_SIMULACAO]],tblVendas[[#This Row],[STATUS]],"")</f>
        <v>CONCLUÍDO</v>
      </c>
      <c r="D933" t="str">
        <f>_xlfn.XLOOKUP(A933,tblVendas[[#This Row],[NR_SIMULACAO]],tblVendas[[#This Row],[MES]],"")</f>
        <v>Junho</v>
      </c>
      <c r="E933">
        <f>SUM(_xlfn.XLOOKUP(tblCalculo[[#This Row],[NR_SIMULACAO]],tblVendas[[#This Row],[NR_SIMULACAO]],tblVendas[[#This Row],[VALOR_MOVEL]],""):_xlfn.XLOOKUP(tblCalculo[[#This Row],[NR_SIMULACAO]],tblVendas[[#This Row],[NR_SIMULACAO]],tblVendas[[#This Row],[VALOR_APARELHO]],""))</f>
        <v>19522.29</v>
      </c>
      <c r="F933">
        <f>IF(tblCalculo[[#This Row],[STATUS]]="CONCLUÍDO",_xlfn.XLOOKUP(tblCalculo[[#This Row],[NR_SIMULACAO]],tblVendas[[#This Row],[NR_SIMULACAO]],tblVendas[[#This Row],[VALOR_MOVEL]],""),0)</f>
        <v>0</v>
      </c>
      <c r="G933">
        <f>IF(tblCalculo[[#This Row],[STATUS]]="CONCLUÍDO",_xlfn.XLOOKUP(tblCalculo[[#This Row],[NR_SIMULACAO]],tblVendas[[#This Row],[NR_SIMULACAO]],tblVendas[[#This Row],[VALOR_AVANCADO]],""),0)</f>
        <v>0</v>
      </c>
      <c r="H933">
        <f>IF(tblCalculo[[#This Row],[STATUS]]="CONCLUÍDO",_xlfn.XLOOKUP(tblCalculo[[#This Row],[NR_SIMULACAO]],tblVendas[[#This Row],[NR_SIMULACAO]],tblVendas[[#This Row],[VALOR_FIXABASICA]],""),0)</f>
        <v>0</v>
      </c>
      <c r="I933">
        <f>IF(tblCalculo[[#This Row],[STATUS]]="CONCLUÍDO",_xlfn.XLOOKUP(tblCalculo[[#This Row],[NR_SIMULACAO]],tblVendas[[#This Row],[NR_SIMULACAO]],tblVendas[[#This Row],[VALOR_TI]],""),0)</f>
        <v>7370.69</v>
      </c>
      <c r="J933">
        <f>IF(tblCalculo[[#This Row],[STATUS]]="CONCLUÍDO",_xlfn.XLOOKUP(tblCalculo[[#This Row],[NR_SIMULACAO]],tblVendas[[#This Row],[NR_SIMULACAO]],tblVendas[[#This Row],[VALOR_APARELHO]],""),0)</f>
        <v>12151.6</v>
      </c>
      <c r="K933" t="str">
        <f>IF(tblCalculo[[#This Row],[STATUS]]="NEGOCIANDO",tblCalculo[[#This Row],[VALOR_TOTAL]],"")</f>
        <v/>
      </c>
      <c r="L933" t="str">
        <f>IF(tblCalculo[[#This Row],[STATUS]]="ALÇADA",tblCalculo[[#This Row],[VALOR_TOTAL]],"")</f>
        <v/>
      </c>
      <c r="M933" t="str">
        <f>IF(tblCalculo[[#This Row],[STATUS]]="EM ANÁLISE",tblCalculo[[#This Row],[VALOR_TOTAL]],"")</f>
        <v/>
      </c>
      <c r="N933" t="str">
        <f>IF(tblCalculo[[#This Row],[STATUS]]="TRAMITANDO",tblCalculo[[#This Row],[VALOR_TOTAL]],"")</f>
        <v/>
      </c>
      <c r="O933" t="str">
        <f>IF(tblCalculo[[#This Row],[STATUS]]="PERDIDO",tblCalculo[[#This Row],[VALOR_TOTAL]],"")</f>
        <v/>
      </c>
      <c r="P933">
        <f>IF(tblCalculo[[#This Row],[STATUS]]="CONCLUÍDO",tblCalculo[[#This Row],[VALOR_TOTAL]],"")</f>
        <v>19522.29</v>
      </c>
    </row>
    <row r="934" spans="1:16" x14ac:dyDescent="0.25">
      <c r="A934" t="str">
        <f>tblVendas[[#This Row],[NR_SIMULACAO]]</f>
        <v>SIM1924</v>
      </c>
      <c r="B934" s="34" t="str">
        <f>_xlfn.XLOOKUP(A934,tblVendas[[#This Row],[NR_SIMULACAO]],tblVendas[[#This Row],[NR_CNPJ]],"")</f>
        <v>63.224.228/0001-23</v>
      </c>
      <c r="C934" t="str">
        <f>_xlfn.XLOOKUP(A934,tblVendas[[#This Row],[NR_SIMULACAO]],tblVendas[[#This Row],[STATUS]],"")</f>
        <v>EM ANÁLISE</v>
      </c>
      <c r="D934" t="str">
        <f>_xlfn.XLOOKUP(A934,tblVendas[[#This Row],[NR_SIMULACAO]],tblVendas[[#This Row],[MES]],"")</f>
        <v>Abril</v>
      </c>
      <c r="E934">
        <f>SUM(_xlfn.XLOOKUP(tblCalculo[[#This Row],[NR_SIMULACAO]],tblVendas[[#This Row],[NR_SIMULACAO]],tblVendas[[#This Row],[VALOR_MOVEL]],""):_xlfn.XLOOKUP(tblCalculo[[#This Row],[NR_SIMULACAO]],tblVendas[[#This Row],[NR_SIMULACAO]],tblVendas[[#This Row],[VALOR_APARELHO]],""))</f>
        <v>1314.53</v>
      </c>
      <c r="F934">
        <f>IF(tblCalculo[[#This Row],[STATUS]]="CONCLUÍDO",_xlfn.XLOOKUP(tblCalculo[[#This Row],[NR_SIMULACAO]],tblVendas[[#This Row],[NR_SIMULACAO]],tblVendas[[#This Row],[VALOR_MOVEL]],""),0)</f>
        <v>0</v>
      </c>
      <c r="G934">
        <f>IF(tblCalculo[[#This Row],[STATUS]]="CONCLUÍDO",_xlfn.XLOOKUP(tblCalculo[[#This Row],[NR_SIMULACAO]],tblVendas[[#This Row],[NR_SIMULACAO]],tblVendas[[#This Row],[VALOR_AVANCADO]],""),0)</f>
        <v>0</v>
      </c>
      <c r="H934">
        <f>IF(tblCalculo[[#This Row],[STATUS]]="CONCLUÍDO",_xlfn.XLOOKUP(tblCalculo[[#This Row],[NR_SIMULACAO]],tblVendas[[#This Row],[NR_SIMULACAO]],tblVendas[[#This Row],[VALOR_FIXABASICA]],""),0)</f>
        <v>0</v>
      </c>
      <c r="I934">
        <f>IF(tblCalculo[[#This Row],[STATUS]]="CONCLUÍDO",_xlfn.XLOOKUP(tblCalculo[[#This Row],[NR_SIMULACAO]],tblVendas[[#This Row],[NR_SIMULACAO]],tblVendas[[#This Row],[VALOR_TI]],""),0)</f>
        <v>0</v>
      </c>
      <c r="J934">
        <f>IF(tblCalculo[[#This Row],[STATUS]]="CONCLUÍDO",_xlfn.XLOOKUP(tblCalculo[[#This Row],[NR_SIMULACAO]],tblVendas[[#This Row],[NR_SIMULACAO]],tblVendas[[#This Row],[VALOR_APARELHO]],""),0)</f>
        <v>0</v>
      </c>
      <c r="K934" t="str">
        <f>IF(tblCalculo[[#This Row],[STATUS]]="NEGOCIANDO",tblCalculo[[#This Row],[VALOR_TOTAL]],"")</f>
        <v/>
      </c>
      <c r="L934" t="str">
        <f>IF(tblCalculo[[#This Row],[STATUS]]="ALÇADA",tblCalculo[[#This Row],[VALOR_TOTAL]],"")</f>
        <v/>
      </c>
      <c r="M934">
        <f>IF(tblCalculo[[#This Row],[STATUS]]="EM ANÁLISE",tblCalculo[[#This Row],[VALOR_TOTAL]],"")</f>
        <v>1314.53</v>
      </c>
      <c r="N934" t="str">
        <f>IF(tblCalculo[[#This Row],[STATUS]]="TRAMITANDO",tblCalculo[[#This Row],[VALOR_TOTAL]],"")</f>
        <v/>
      </c>
      <c r="O934" t="str">
        <f>IF(tblCalculo[[#This Row],[STATUS]]="PERDIDO",tblCalculo[[#This Row],[VALOR_TOTAL]],"")</f>
        <v/>
      </c>
      <c r="P934" t="str">
        <f>IF(tblCalculo[[#This Row],[STATUS]]="CONCLUÍDO",tblCalculo[[#This Row],[VALOR_TOTAL]],"")</f>
        <v/>
      </c>
    </row>
    <row r="935" spans="1:16" x14ac:dyDescent="0.25">
      <c r="A935" t="str">
        <f>tblVendas[[#This Row],[NR_SIMULACAO]]</f>
        <v>SIM1925</v>
      </c>
      <c r="B935" s="34" t="str">
        <f>_xlfn.XLOOKUP(A935,tblVendas[[#This Row],[NR_SIMULACAO]],tblVendas[[#This Row],[NR_CNPJ]],"")</f>
        <v>42.350.466/0001-11</v>
      </c>
      <c r="C935" t="str">
        <f>_xlfn.XLOOKUP(A935,tblVendas[[#This Row],[NR_SIMULACAO]],tblVendas[[#This Row],[STATUS]],"")</f>
        <v>EM ANÁLISE</v>
      </c>
      <c r="D935" t="str">
        <f>_xlfn.XLOOKUP(A935,tblVendas[[#This Row],[NR_SIMULACAO]],tblVendas[[#This Row],[MES]],"")</f>
        <v>Julho</v>
      </c>
      <c r="E935">
        <f>SUM(_xlfn.XLOOKUP(tblCalculo[[#This Row],[NR_SIMULACAO]],tblVendas[[#This Row],[NR_SIMULACAO]],tblVendas[[#This Row],[VALOR_MOVEL]],""):_xlfn.XLOOKUP(tblCalculo[[#This Row],[NR_SIMULACAO]],tblVendas[[#This Row],[NR_SIMULACAO]],tblVendas[[#This Row],[VALOR_APARELHO]],""))</f>
        <v>20912.82</v>
      </c>
      <c r="F935">
        <f>IF(tblCalculo[[#This Row],[STATUS]]="CONCLUÍDO",_xlfn.XLOOKUP(tblCalculo[[#This Row],[NR_SIMULACAO]],tblVendas[[#This Row],[NR_SIMULACAO]],tblVendas[[#This Row],[VALOR_MOVEL]],""),0)</f>
        <v>0</v>
      </c>
      <c r="G935">
        <f>IF(tblCalculo[[#This Row],[STATUS]]="CONCLUÍDO",_xlfn.XLOOKUP(tblCalculo[[#This Row],[NR_SIMULACAO]],tblVendas[[#This Row],[NR_SIMULACAO]],tblVendas[[#This Row],[VALOR_AVANCADO]],""),0)</f>
        <v>0</v>
      </c>
      <c r="H935">
        <f>IF(tblCalculo[[#This Row],[STATUS]]="CONCLUÍDO",_xlfn.XLOOKUP(tblCalculo[[#This Row],[NR_SIMULACAO]],tblVendas[[#This Row],[NR_SIMULACAO]],tblVendas[[#This Row],[VALOR_FIXABASICA]],""),0)</f>
        <v>0</v>
      </c>
      <c r="I935">
        <f>IF(tblCalculo[[#This Row],[STATUS]]="CONCLUÍDO",_xlfn.XLOOKUP(tblCalculo[[#This Row],[NR_SIMULACAO]],tblVendas[[#This Row],[NR_SIMULACAO]],tblVendas[[#This Row],[VALOR_TI]],""),0)</f>
        <v>0</v>
      </c>
      <c r="J935">
        <f>IF(tblCalculo[[#This Row],[STATUS]]="CONCLUÍDO",_xlfn.XLOOKUP(tblCalculo[[#This Row],[NR_SIMULACAO]],tblVendas[[#This Row],[NR_SIMULACAO]],tblVendas[[#This Row],[VALOR_APARELHO]],""),0)</f>
        <v>0</v>
      </c>
      <c r="K935" t="str">
        <f>IF(tblCalculo[[#This Row],[STATUS]]="NEGOCIANDO",tblCalculo[[#This Row],[VALOR_TOTAL]],"")</f>
        <v/>
      </c>
      <c r="L935" t="str">
        <f>IF(tblCalculo[[#This Row],[STATUS]]="ALÇADA",tblCalculo[[#This Row],[VALOR_TOTAL]],"")</f>
        <v/>
      </c>
      <c r="M935">
        <f>IF(tblCalculo[[#This Row],[STATUS]]="EM ANÁLISE",tblCalculo[[#This Row],[VALOR_TOTAL]],"")</f>
        <v>20912.82</v>
      </c>
      <c r="N935" t="str">
        <f>IF(tblCalculo[[#This Row],[STATUS]]="TRAMITANDO",tblCalculo[[#This Row],[VALOR_TOTAL]],"")</f>
        <v/>
      </c>
      <c r="O935" t="str">
        <f>IF(tblCalculo[[#This Row],[STATUS]]="PERDIDO",tblCalculo[[#This Row],[VALOR_TOTAL]],"")</f>
        <v/>
      </c>
      <c r="P935" t="str">
        <f>IF(tblCalculo[[#This Row],[STATUS]]="CONCLUÍDO",tblCalculo[[#This Row],[VALOR_TOTAL]],"")</f>
        <v/>
      </c>
    </row>
    <row r="936" spans="1:16" x14ac:dyDescent="0.25">
      <c r="A936" t="str">
        <f>tblVendas[[#This Row],[NR_SIMULACAO]]</f>
        <v>SIM1926</v>
      </c>
      <c r="B936" s="34" t="str">
        <f>_xlfn.XLOOKUP(A936,tblVendas[[#This Row],[NR_SIMULACAO]],tblVendas[[#This Row],[NR_CNPJ]],"")</f>
        <v>22.326.442/0001-34</v>
      </c>
      <c r="C936" t="str">
        <f>_xlfn.XLOOKUP(A936,tblVendas[[#This Row],[NR_SIMULACAO]],tblVendas[[#This Row],[STATUS]],"")</f>
        <v>TRAMITANDO</v>
      </c>
      <c r="D936" t="str">
        <f>_xlfn.XLOOKUP(A936,tblVendas[[#This Row],[NR_SIMULACAO]],tblVendas[[#This Row],[MES]],"")</f>
        <v>Dezembro</v>
      </c>
      <c r="E936">
        <f>SUM(_xlfn.XLOOKUP(tblCalculo[[#This Row],[NR_SIMULACAO]],tblVendas[[#This Row],[NR_SIMULACAO]],tblVendas[[#This Row],[VALOR_MOVEL]],""):_xlfn.XLOOKUP(tblCalculo[[#This Row],[NR_SIMULACAO]],tblVendas[[#This Row],[NR_SIMULACAO]],tblVendas[[#This Row],[VALOR_APARELHO]],""))</f>
        <v>5982.59</v>
      </c>
      <c r="F936">
        <f>IF(tblCalculo[[#This Row],[STATUS]]="CONCLUÍDO",_xlfn.XLOOKUP(tblCalculo[[#This Row],[NR_SIMULACAO]],tblVendas[[#This Row],[NR_SIMULACAO]],tblVendas[[#This Row],[VALOR_MOVEL]],""),0)</f>
        <v>0</v>
      </c>
      <c r="G936">
        <f>IF(tblCalculo[[#This Row],[STATUS]]="CONCLUÍDO",_xlfn.XLOOKUP(tblCalculo[[#This Row],[NR_SIMULACAO]],tblVendas[[#This Row],[NR_SIMULACAO]],tblVendas[[#This Row],[VALOR_AVANCADO]],""),0)</f>
        <v>0</v>
      </c>
      <c r="H936">
        <f>IF(tblCalculo[[#This Row],[STATUS]]="CONCLUÍDO",_xlfn.XLOOKUP(tblCalculo[[#This Row],[NR_SIMULACAO]],tblVendas[[#This Row],[NR_SIMULACAO]],tblVendas[[#This Row],[VALOR_FIXABASICA]],""),0)</f>
        <v>0</v>
      </c>
      <c r="I936">
        <f>IF(tblCalculo[[#This Row],[STATUS]]="CONCLUÍDO",_xlfn.XLOOKUP(tblCalculo[[#This Row],[NR_SIMULACAO]],tblVendas[[#This Row],[NR_SIMULACAO]],tblVendas[[#This Row],[VALOR_TI]],""),0)</f>
        <v>0</v>
      </c>
      <c r="J936">
        <f>IF(tblCalculo[[#This Row],[STATUS]]="CONCLUÍDO",_xlfn.XLOOKUP(tblCalculo[[#This Row],[NR_SIMULACAO]],tblVendas[[#This Row],[NR_SIMULACAO]],tblVendas[[#This Row],[VALOR_APARELHO]],""),0)</f>
        <v>0</v>
      </c>
      <c r="K936" t="str">
        <f>IF(tblCalculo[[#This Row],[STATUS]]="NEGOCIANDO",tblCalculo[[#This Row],[VALOR_TOTAL]],"")</f>
        <v/>
      </c>
      <c r="L936" t="str">
        <f>IF(tblCalculo[[#This Row],[STATUS]]="ALÇADA",tblCalculo[[#This Row],[VALOR_TOTAL]],"")</f>
        <v/>
      </c>
      <c r="M936" t="str">
        <f>IF(tblCalculo[[#This Row],[STATUS]]="EM ANÁLISE",tblCalculo[[#This Row],[VALOR_TOTAL]],"")</f>
        <v/>
      </c>
      <c r="N936">
        <f>IF(tblCalculo[[#This Row],[STATUS]]="TRAMITANDO",tblCalculo[[#This Row],[VALOR_TOTAL]],"")</f>
        <v>5982.59</v>
      </c>
      <c r="O936" t="str">
        <f>IF(tblCalculo[[#This Row],[STATUS]]="PERDIDO",tblCalculo[[#This Row],[VALOR_TOTAL]],"")</f>
        <v/>
      </c>
      <c r="P936" t="str">
        <f>IF(tblCalculo[[#This Row],[STATUS]]="CONCLUÍDO",tblCalculo[[#This Row],[VALOR_TOTAL]],"")</f>
        <v/>
      </c>
    </row>
    <row r="937" spans="1:16" x14ac:dyDescent="0.25">
      <c r="A937" t="str">
        <f>tblVendas[[#This Row],[NR_SIMULACAO]]</f>
        <v>SIM1927</v>
      </c>
      <c r="B937" s="34" t="str">
        <f>_xlfn.XLOOKUP(A937,tblVendas[[#This Row],[NR_SIMULACAO]],tblVendas[[#This Row],[NR_CNPJ]],"")</f>
        <v>88.608.687/0001-13</v>
      </c>
      <c r="C937" t="str">
        <f>_xlfn.XLOOKUP(A937,tblVendas[[#This Row],[NR_SIMULACAO]],tblVendas[[#This Row],[STATUS]],"")</f>
        <v>CONCLUÍDO</v>
      </c>
      <c r="D937" t="str">
        <f>_xlfn.XLOOKUP(A937,tblVendas[[#This Row],[NR_SIMULACAO]],tblVendas[[#This Row],[MES]],"")</f>
        <v>Junho</v>
      </c>
      <c r="E937">
        <f>SUM(_xlfn.XLOOKUP(tblCalculo[[#This Row],[NR_SIMULACAO]],tblVendas[[#This Row],[NR_SIMULACAO]],tblVendas[[#This Row],[VALOR_MOVEL]],""):_xlfn.XLOOKUP(tblCalculo[[#This Row],[NR_SIMULACAO]],tblVendas[[#This Row],[NR_SIMULACAO]],tblVendas[[#This Row],[VALOR_APARELHO]],""))</f>
        <v>2491.27</v>
      </c>
      <c r="F937">
        <f>IF(tblCalculo[[#This Row],[STATUS]]="CONCLUÍDO",_xlfn.XLOOKUP(tblCalculo[[#This Row],[NR_SIMULACAO]],tblVendas[[#This Row],[NR_SIMULACAO]],tblVendas[[#This Row],[VALOR_MOVEL]],""),0)</f>
        <v>2066.15</v>
      </c>
      <c r="G937">
        <f>IF(tblCalculo[[#This Row],[STATUS]]="CONCLUÍDO",_xlfn.XLOOKUP(tblCalculo[[#This Row],[NR_SIMULACAO]],tblVendas[[#This Row],[NR_SIMULACAO]],tblVendas[[#This Row],[VALOR_AVANCADO]],""),0)</f>
        <v>425.12</v>
      </c>
      <c r="H937">
        <f>IF(tblCalculo[[#This Row],[STATUS]]="CONCLUÍDO",_xlfn.XLOOKUP(tblCalculo[[#This Row],[NR_SIMULACAO]],tblVendas[[#This Row],[NR_SIMULACAO]],tblVendas[[#This Row],[VALOR_FIXABASICA]],""),0)</f>
        <v>0</v>
      </c>
      <c r="I937">
        <f>IF(tblCalculo[[#This Row],[STATUS]]="CONCLUÍDO",_xlfn.XLOOKUP(tblCalculo[[#This Row],[NR_SIMULACAO]],tblVendas[[#This Row],[NR_SIMULACAO]],tblVendas[[#This Row],[VALOR_TI]],""),0)</f>
        <v>0</v>
      </c>
      <c r="J937">
        <f>IF(tblCalculo[[#This Row],[STATUS]]="CONCLUÍDO",_xlfn.XLOOKUP(tblCalculo[[#This Row],[NR_SIMULACAO]],tblVendas[[#This Row],[NR_SIMULACAO]],tblVendas[[#This Row],[VALOR_APARELHO]],""),0)</f>
        <v>0</v>
      </c>
      <c r="K937" t="str">
        <f>IF(tblCalculo[[#This Row],[STATUS]]="NEGOCIANDO",tblCalculo[[#This Row],[VALOR_TOTAL]],"")</f>
        <v/>
      </c>
      <c r="L937" t="str">
        <f>IF(tblCalculo[[#This Row],[STATUS]]="ALÇADA",tblCalculo[[#This Row],[VALOR_TOTAL]],"")</f>
        <v/>
      </c>
      <c r="M937" t="str">
        <f>IF(tblCalculo[[#This Row],[STATUS]]="EM ANÁLISE",tblCalculo[[#This Row],[VALOR_TOTAL]],"")</f>
        <v/>
      </c>
      <c r="N937" t="str">
        <f>IF(tblCalculo[[#This Row],[STATUS]]="TRAMITANDO",tblCalculo[[#This Row],[VALOR_TOTAL]],"")</f>
        <v/>
      </c>
      <c r="O937" t="str">
        <f>IF(tblCalculo[[#This Row],[STATUS]]="PERDIDO",tblCalculo[[#This Row],[VALOR_TOTAL]],"")</f>
        <v/>
      </c>
      <c r="P937">
        <f>IF(tblCalculo[[#This Row],[STATUS]]="CONCLUÍDO",tblCalculo[[#This Row],[VALOR_TOTAL]],"")</f>
        <v>2491.27</v>
      </c>
    </row>
    <row r="938" spans="1:16" x14ac:dyDescent="0.25">
      <c r="A938" t="str">
        <f>tblVendas[[#This Row],[NR_SIMULACAO]]</f>
        <v>SIM1928</v>
      </c>
      <c r="B938" s="34" t="str">
        <f>_xlfn.XLOOKUP(A938,tblVendas[[#This Row],[NR_SIMULACAO]],tblVendas[[#This Row],[NR_CNPJ]],"")</f>
        <v>21.785.448/0001-18</v>
      </c>
      <c r="C938" t="str">
        <f>_xlfn.XLOOKUP(A938,tblVendas[[#This Row],[NR_SIMULACAO]],tblVendas[[#This Row],[STATUS]],"")</f>
        <v>EM ANÁLISE</v>
      </c>
      <c r="D938" t="str">
        <f>_xlfn.XLOOKUP(A938,tblVendas[[#This Row],[NR_SIMULACAO]],tblVendas[[#This Row],[MES]],"")</f>
        <v>Dezembro</v>
      </c>
      <c r="E938">
        <f>SUM(_xlfn.XLOOKUP(tblCalculo[[#This Row],[NR_SIMULACAO]],tblVendas[[#This Row],[NR_SIMULACAO]],tblVendas[[#This Row],[VALOR_MOVEL]],""):_xlfn.XLOOKUP(tblCalculo[[#This Row],[NR_SIMULACAO]],tblVendas[[#This Row],[NR_SIMULACAO]],tblVendas[[#This Row],[VALOR_APARELHO]],""))</f>
        <v>5025.17</v>
      </c>
      <c r="F938">
        <f>IF(tblCalculo[[#This Row],[STATUS]]="CONCLUÍDO",_xlfn.XLOOKUP(tblCalculo[[#This Row],[NR_SIMULACAO]],tblVendas[[#This Row],[NR_SIMULACAO]],tblVendas[[#This Row],[VALOR_MOVEL]],""),0)</f>
        <v>0</v>
      </c>
      <c r="G938">
        <f>IF(tblCalculo[[#This Row],[STATUS]]="CONCLUÍDO",_xlfn.XLOOKUP(tblCalculo[[#This Row],[NR_SIMULACAO]],tblVendas[[#This Row],[NR_SIMULACAO]],tblVendas[[#This Row],[VALOR_AVANCADO]],""),0)</f>
        <v>0</v>
      </c>
      <c r="H938">
        <f>IF(tblCalculo[[#This Row],[STATUS]]="CONCLUÍDO",_xlfn.XLOOKUP(tblCalculo[[#This Row],[NR_SIMULACAO]],tblVendas[[#This Row],[NR_SIMULACAO]],tblVendas[[#This Row],[VALOR_FIXABASICA]],""),0)</f>
        <v>0</v>
      </c>
      <c r="I938">
        <f>IF(tblCalculo[[#This Row],[STATUS]]="CONCLUÍDO",_xlfn.XLOOKUP(tblCalculo[[#This Row],[NR_SIMULACAO]],tblVendas[[#This Row],[NR_SIMULACAO]],tblVendas[[#This Row],[VALOR_TI]],""),0)</f>
        <v>0</v>
      </c>
      <c r="J938">
        <f>IF(tblCalculo[[#This Row],[STATUS]]="CONCLUÍDO",_xlfn.XLOOKUP(tblCalculo[[#This Row],[NR_SIMULACAO]],tblVendas[[#This Row],[NR_SIMULACAO]],tblVendas[[#This Row],[VALOR_APARELHO]],""),0)</f>
        <v>0</v>
      </c>
      <c r="K938" t="str">
        <f>IF(tblCalculo[[#This Row],[STATUS]]="NEGOCIANDO",tblCalculo[[#This Row],[VALOR_TOTAL]],"")</f>
        <v/>
      </c>
      <c r="L938" t="str">
        <f>IF(tblCalculo[[#This Row],[STATUS]]="ALÇADA",tblCalculo[[#This Row],[VALOR_TOTAL]],"")</f>
        <v/>
      </c>
      <c r="M938">
        <f>IF(tblCalculo[[#This Row],[STATUS]]="EM ANÁLISE",tblCalculo[[#This Row],[VALOR_TOTAL]],"")</f>
        <v>5025.17</v>
      </c>
      <c r="N938" t="str">
        <f>IF(tblCalculo[[#This Row],[STATUS]]="TRAMITANDO",tblCalculo[[#This Row],[VALOR_TOTAL]],"")</f>
        <v/>
      </c>
      <c r="O938" t="str">
        <f>IF(tblCalculo[[#This Row],[STATUS]]="PERDIDO",tblCalculo[[#This Row],[VALOR_TOTAL]],"")</f>
        <v/>
      </c>
      <c r="P938" t="str">
        <f>IF(tblCalculo[[#This Row],[STATUS]]="CONCLUÍDO",tblCalculo[[#This Row],[VALOR_TOTAL]],"")</f>
        <v/>
      </c>
    </row>
    <row r="939" spans="1:16" x14ac:dyDescent="0.25">
      <c r="A939" t="str">
        <f>tblVendas[[#This Row],[NR_SIMULACAO]]</f>
        <v>SIM1929</v>
      </c>
      <c r="B939" s="34" t="str">
        <f>_xlfn.XLOOKUP(A939,tblVendas[[#This Row],[NR_SIMULACAO]],tblVendas[[#This Row],[NR_CNPJ]],"")</f>
        <v>58.467.733/0001-44</v>
      </c>
      <c r="C939" t="str">
        <f>_xlfn.XLOOKUP(A939,tblVendas[[#This Row],[NR_SIMULACAO]],tblVendas[[#This Row],[STATUS]],"")</f>
        <v>ALÇADA</v>
      </c>
      <c r="D939" t="str">
        <f>_xlfn.XLOOKUP(A939,tblVendas[[#This Row],[NR_SIMULACAO]],tblVendas[[#This Row],[MES]],"")</f>
        <v>Setembro</v>
      </c>
      <c r="E939">
        <f>SUM(_xlfn.XLOOKUP(tblCalculo[[#This Row],[NR_SIMULACAO]],tblVendas[[#This Row],[NR_SIMULACAO]],tblVendas[[#This Row],[VALOR_MOVEL]],""):_xlfn.XLOOKUP(tblCalculo[[#This Row],[NR_SIMULACAO]],tblVendas[[#This Row],[NR_SIMULACAO]],tblVendas[[#This Row],[VALOR_APARELHO]],""))</f>
        <v>14091.720000000001</v>
      </c>
      <c r="F939">
        <f>IF(tblCalculo[[#This Row],[STATUS]]="CONCLUÍDO",_xlfn.XLOOKUP(tblCalculo[[#This Row],[NR_SIMULACAO]],tblVendas[[#This Row],[NR_SIMULACAO]],tblVendas[[#This Row],[VALOR_MOVEL]],""),0)</f>
        <v>0</v>
      </c>
      <c r="G939">
        <f>IF(tblCalculo[[#This Row],[STATUS]]="CONCLUÍDO",_xlfn.XLOOKUP(tblCalculo[[#This Row],[NR_SIMULACAO]],tblVendas[[#This Row],[NR_SIMULACAO]],tblVendas[[#This Row],[VALOR_AVANCADO]],""),0)</f>
        <v>0</v>
      </c>
      <c r="H939">
        <f>IF(tblCalculo[[#This Row],[STATUS]]="CONCLUÍDO",_xlfn.XLOOKUP(tblCalculo[[#This Row],[NR_SIMULACAO]],tblVendas[[#This Row],[NR_SIMULACAO]],tblVendas[[#This Row],[VALOR_FIXABASICA]],""),0)</f>
        <v>0</v>
      </c>
      <c r="I939">
        <f>IF(tblCalculo[[#This Row],[STATUS]]="CONCLUÍDO",_xlfn.XLOOKUP(tblCalculo[[#This Row],[NR_SIMULACAO]],tblVendas[[#This Row],[NR_SIMULACAO]],tblVendas[[#This Row],[VALOR_TI]],""),0)</f>
        <v>0</v>
      </c>
      <c r="J939">
        <f>IF(tblCalculo[[#This Row],[STATUS]]="CONCLUÍDO",_xlfn.XLOOKUP(tblCalculo[[#This Row],[NR_SIMULACAO]],tblVendas[[#This Row],[NR_SIMULACAO]],tblVendas[[#This Row],[VALOR_APARELHO]],""),0)</f>
        <v>0</v>
      </c>
      <c r="K939" t="str">
        <f>IF(tblCalculo[[#This Row],[STATUS]]="NEGOCIANDO",tblCalculo[[#This Row],[VALOR_TOTAL]],"")</f>
        <v/>
      </c>
      <c r="L939">
        <f>IF(tblCalculo[[#This Row],[STATUS]]="ALÇADA",tblCalculo[[#This Row],[VALOR_TOTAL]],"")</f>
        <v>14091.720000000001</v>
      </c>
      <c r="M939" t="str">
        <f>IF(tblCalculo[[#This Row],[STATUS]]="EM ANÁLISE",tblCalculo[[#This Row],[VALOR_TOTAL]],"")</f>
        <v/>
      </c>
      <c r="N939" t="str">
        <f>IF(tblCalculo[[#This Row],[STATUS]]="TRAMITANDO",tblCalculo[[#This Row],[VALOR_TOTAL]],"")</f>
        <v/>
      </c>
      <c r="O939" t="str">
        <f>IF(tblCalculo[[#This Row],[STATUS]]="PERDIDO",tblCalculo[[#This Row],[VALOR_TOTAL]],"")</f>
        <v/>
      </c>
      <c r="P939" t="str">
        <f>IF(tblCalculo[[#This Row],[STATUS]]="CONCLUÍDO",tblCalculo[[#This Row],[VALOR_TOTAL]],"")</f>
        <v/>
      </c>
    </row>
    <row r="940" spans="1:16" x14ac:dyDescent="0.25">
      <c r="A940" t="str">
        <f>tblVendas[[#This Row],[NR_SIMULACAO]]</f>
        <v>SIM1930</v>
      </c>
      <c r="B940" s="34" t="str">
        <f>_xlfn.XLOOKUP(A940,tblVendas[[#This Row],[NR_SIMULACAO]],tblVendas[[#This Row],[NR_CNPJ]],"")</f>
        <v>45.908.305/0001-36</v>
      </c>
      <c r="C940" t="str">
        <f>_xlfn.XLOOKUP(A940,tblVendas[[#This Row],[NR_SIMULACAO]],tblVendas[[#This Row],[STATUS]],"")</f>
        <v>EM ANÁLISE</v>
      </c>
      <c r="D940" t="str">
        <f>_xlfn.XLOOKUP(A940,tblVendas[[#This Row],[NR_SIMULACAO]],tblVendas[[#This Row],[MES]],"")</f>
        <v>Novembro</v>
      </c>
      <c r="E940">
        <f>SUM(_xlfn.XLOOKUP(tblCalculo[[#This Row],[NR_SIMULACAO]],tblVendas[[#This Row],[NR_SIMULACAO]],tblVendas[[#This Row],[VALOR_MOVEL]],""):_xlfn.XLOOKUP(tblCalculo[[#This Row],[NR_SIMULACAO]],tblVendas[[#This Row],[NR_SIMULACAO]],tblVendas[[#This Row],[VALOR_APARELHO]],""))</f>
        <v>3040.5</v>
      </c>
      <c r="F940">
        <f>IF(tblCalculo[[#This Row],[STATUS]]="CONCLUÍDO",_xlfn.XLOOKUP(tblCalculo[[#This Row],[NR_SIMULACAO]],tblVendas[[#This Row],[NR_SIMULACAO]],tblVendas[[#This Row],[VALOR_MOVEL]],""),0)</f>
        <v>0</v>
      </c>
      <c r="G940">
        <f>IF(tblCalculo[[#This Row],[STATUS]]="CONCLUÍDO",_xlfn.XLOOKUP(tblCalculo[[#This Row],[NR_SIMULACAO]],tblVendas[[#This Row],[NR_SIMULACAO]],tblVendas[[#This Row],[VALOR_AVANCADO]],""),0)</f>
        <v>0</v>
      </c>
      <c r="H940">
        <f>IF(tblCalculo[[#This Row],[STATUS]]="CONCLUÍDO",_xlfn.XLOOKUP(tblCalculo[[#This Row],[NR_SIMULACAO]],tblVendas[[#This Row],[NR_SIMULACAO]],tblVendas[[#This Row],[VALOR_FIXABASICA]],""),0)</f>
        <v>0</v>
      </c>
      <c r="I940">
        <f>IF(tblCalculo[[#This Row],[STATUS]]="CONCLUÍDO",_xlfn.XLOOKUP(tblCalculo[[#This Row],[NR_SIMULACAO]],tblVendas[[#This Row],[NR_SIMULACAO]],tblVendas[[#This Row],[VALOR_TI]],""),0)</f>
        <v>0</v>
      </c>
      <c r="J940">
        <f>IF(tblCalculo[[#This Row],[STATUS]]="CONCLUÍDO",_xlfn.XLOOKUP(tblCalculo[[#This Row],[NR_SIMULACAO]],tblVendas[[#This Row],[NR_SIMULACAO]],tblVendas[[#This Row],[VALOR_APARELHO]],""),0)</f>
        <v>0</v>
      </c>
      <c r="K940" t="str">
        <f>IF(tblCalculo[[#This Row],[STATUS]]="NEGOCIANDO",tblCalculo[[#This Row],[VALOR_TOTAL]],"")</f>
        <v/>
      </c>
      <c r="L940" t="str">
        <f>IF(tblCalculo[[#This Row],[STATUS]]="ALÇADA",tblCalculo[[#This Row],[VALOR_TOTAL]],"")</f>
        <v/>
      </c>
      <c r="M940">
        <f>IF(tblCalculo[[#This Row],[STATUS]]="EM ANÁLISE",tblCalculo[[#This Row],[VALOR_TOTAL]],"")</f>
        <v>3040.5</v>
      </c>
      <c r="N940" t="str">
        <f>IF(tblCalculo[[#This Row],[STATUS]]="TRAMITANDO",tblCalculo[[#This Row],[VALOR_TOTAL]],"")</f>
        <v/>
      </c>
      <c r="O940" t="str">
        <f>IF(tblCalculo[[#This Row],[STATUS]]="PERDIDO",tblCalculo[[#This Row],[VALOR_TOTAL]],"")</f>
        <v/>
      </c>
      <c r="P940" t="str">
        <f>IF(tblCalculo[[#This Row],[STATUS]]="CONCLUÍDO",tblCalculo[[#This Row],[VALOR_TOTAL]],"")</f>
        <v/>
      </c>
    </row>
    <row r="941" spans="1:16" x14ac:dyDescent="0.25">
      <c r="A941" t="str">
        <f>tblVendas[[#This Row],[NR_SIMULACAO]]</f>
        <v>SIM1931</v>
      </c>
      <c r="B941" s="34" t="str">
        <f>_xlfn.XLOOKUP(A941,tblVendas[[#This Row],[NR_SIMULACAO]],tblVendas[[#This Row],[NR_CNPJ]],"")</f>
        <v>52.775.564/0001-97</v>
      </c>
      <c r="C941" t="str">
        <f>_xlfn.XLOOKUP(A941,tblVendas[[#This Row],[NR_SIMULACAO]],tblVendas[[#This Row],[STATUS]],"")</f>
        <v>CONCLUÍDO</v>
      </c>
      <c r="D941" t="str">
        <f>_xlfn.XLOOKUP(A941,tblVendas[[#This Row],[NR_SIMULACAO]],tblVendas[[#This Row],[MES]],"")</f>
        <v>Novembro</v>
      </c>
      <c r="E941">
        <f>SUM(_xlfn.XLOOKUP(tblCalculo[[#This Row],[NR_SIMULACAO]],tblVendas[[#This Row],[NR_SIMULACAO]],tblVendas[[#This Row],[VALOR_MOVEL]],""):_xlfn.XLOOKUP(tblCalculo[[#This Row],[NR_SIMULACAO]],tblVendas[[#This Row],[NR_SIMULACAO]],tblVendas[[#This Row],[VALOR_APARELHO]],""))</f>
        <v>6653.53</v>
      </c>
      <c r="F941">
        <f>IF(tblCalculo[[#This Row],[STATUS]]="CONCLUÍDO",_xlfn.XLOOKUP(tblCalculo[[#This Row],[NR_SIMULACAO]],tblVendas[[#This Row],[NR_SIMULACAO]],tblVendas[[#This Row],[VALOR_MOVEL]],""),0)</f>
        <v>6653.53</v>
      </c>
      <c r="G941">
        <f>IF(tblCalculo[[#This Row],[STATUS]]="CONCLUÍDO",_xlfn.XLOOKUP(tblCalculo[[#This Row],[NR_SIMULACAO]],tblVendas[[#This Row],[NR_SIMULACAO]],tblVendas[[#This Row],[VALOR_AVANCADO]],""),0)</f>
        <v>0</v>
      </c>
      <c r="H941">
        <f>IF(tblCalculo[[#This Row],[STATUS]]="CONCLUÍDO",_xlfn.XLOOKUP(tblCalculo[[#This Row],[NR_SIMULACAO]],tblVendas[[#This Row],[NR_SIMULACAO]],tblVendas[[#This Row],[VALOR_FIXABASICA]],""),0)</f>
        <v>0</v>
      </c>
      <c r="I941">
        <f>IF(tblCalculo[[#This Row],[STATUS]]="CONCLUÍDO",_xlfn.XLOOKUP(tblCalculo[[#This Row],[NR_SIMULACAO]],tblVendas[[#This Row],[NR_SIMULACAO]],tblVendas[[#This Row],[VALOR_TI]],""),0)</f>
        <v>0</v>
      </c>
      <c r="J941">
        <f>IF(tblCalculo[[#This Row],[STATUS]]="CONCLUÍDO",_xlfn.XLOOKUP(tblCalculo[[#This Row],[NR_SIMULACAO]],tblVendas[[#This Row],[NR_SIMULACAO]],tblVendas[[#This Row],[VALOR_APARELHO]],""),0)</f>
        <v>0</v>
      </c>
      <c r="K941" t="str">
        <f>IF(tblCalculo[[#This Row],[STATUS]]="NEGOCIANDO",tblCalculo[[#This Row],[VALOR_TOTAL]],"")</f>
        <v/>
      </c>
      <c r="L941" t="str">
        <f>IF(tblCalculo[[#This Row],[STATUS]]="ALÇADA",tblCalculo[[#This Row],[VALOR_TOTAL]],"")</f>
        <v/>
      </c>
      <c r="M941" t="str">
        <f>IF(tblCalculo[[#This Row],[STATUS]]="EM ANÁLISE",tblCalculo[[#This Row],[VALOR_TOTAL]],"")</f>
        <v/>
      </c>
      <c r="N941" t="str">
        <f>IF(tblCalculo[[#This Row],[STATUS]]="TRAMITANDO",tblCalculo[[#This Row],[VALOR_TOTAL]],"")</f>
        <v/>
      </c>
      <c r="O941" t="str">
        <f>IF(tblCalculo[[#This Row],[STATUS]]="PERDIDO",tblCalculo[[#This Row],[VALOR_TOTAL]],"")</f>
        <v/>
      </c>
      <c r="P941">
        <f>IF(tblCalculo[[#This Row],[STATUS]]="CONCLUÍDO",tblCalculo[[#This Row],[VALOR_TOTAL]],"")</f>
        <v>6653.53</v>
      </c>
    </row>
    <row r="942" spans="1:16" x14ac:dyDescent="0.25">
      <c r="A942" t="str">
        <f>tblVendas[[#This Row],[NR_SIMULACAO]]</f>
        <v>SIM1932</v>
      </c>
      <c r="B942" s="34" t="str">
        <f>_xlfn.XLOOKUP(A942,tblVendas[[#This Row],[NR_SIMULACAO]],tblVendas[[#This Row],[NR_CNPJ]],"")</f>
        <v>12.641.210/0001-87</v>
      </c>
      <c r="C942" t="str">
        <f>_xlfn.XLOOKUP(A942,tblVendas[[#This Row],[NR_SIMULACAO]],tblVendas[[#This Row],[STATUS]],"")</f>
        <v>EM ANÁLISE</v>
      </c>
      <c r="D942" t="str">
        <f>_xlfn.XLOOKUP(A942,tblVendas[[#This Row],[NR_SIMULACAO]],tblVendas[[#This Row],[MES]],"")</f>
        <v>Julho</v>
      </c>
      <c r="E942">
        <f>SUM(_xlfn.XLOOKUP(tblCalculo[[#This Row],[NR_SIMULACAO]],tblVendas[[#This Row],[NR_SIMULACAO]],tblVendas[[#This Row],[VALOR_MOVEL]],""):_xlfn.XLOOKUP(tblCalculo[[#This Row],[NR_SIMULACAO]],tblVendas[[#This Row],[NR_SIMULACAO]],tblVendas[[#This Row],[VALOR_APARELHO]],""))</f>
        <v>12302.83</v>
      </c>
      <c r="F942">
        <f>IF(tblCalculo[[#This Row],[STATUS]]="CONCLUÍDO",_xlfn.XLOOKUP(tblCalculo[[#This Row],[NR_SIMULACAO]],tblVendas[[#This Row],[NR_SIMULACAO]],tblVendas[[#This Row],[VALOR_MOVEL]],""),0)</f>
        <v>0</v>
      </c>
      <c r="G942">
        <f>IF(tblCalculo[[#This Row],[STATUS]]="CONCLUÍDO",_xlfn.XLOOKUP(tblCalculo[[#This Row],[NR_SIMULACAO]],tblVendas[[#This Row],[NR_SIMULACAO]],tblVendas[[#This Row],[VALOR_AVANCADO]],""),0)</f>
        <v>0</v>
      </c>
      <c r="H942">
        <f>IF(tblCalculo[[#This Row],[STATUS]]="CONCLUÍDO",_xlfn.XLOOKUP(tblCalculo[[#This Row],[NR_SIMULACAO]],tblVendas[[#This Row],[NR_SIMULACAO]],tblVendas[[#This Row],[VALOR_FIXABASICA]],""),0)</f>
        <v>0</v>
      </c>
      <c r="I942">
        <f>IF(tblCalculo[[#This Row],[STATUS]]="CONCLUÍDO",_xlfn.XLOOKUP(tblCalculo[[#This Row],[NR_SIMULACAO]],tblVendas[[#This Row],[NR_SIMULACAO]],tblVendas[[#This Row],[VALOR_TI]],""),0)</f>
        <v>0</v>
      </c>
      <c r="J942">
        <f>IF(tblCalculo[[#This Row],[STATUS]]="CONCLUÍDO",_xlfn.XLOOKUP(tblCalculo[[#This Row],[NR_SIMULACAO]],tblVendas[[#This Row],[NR_SIMULACAO]],tblVendas[[#This Row],[VALOR_APARELHO]],""),0)</f>
        <v>0</v>
      </c>
      <c r="K942" t="str">
        <f>IF(tblCalculo[[#This Row],[STATUS]]="NEGOCIANDO",tblCalculo[[#This Row],[VALOR_TOTAL]],"")</f>
        <v/>
      </c>
      <c r="L942" t="str">
        <f>IF(tblCalculo[[#This Row],[STATUS]]="ALÇADA",tblCalculo[[#This Row],[VALOR_TOTAL]],"")</f>
        <v/>
      </c>
      <c r="M942">
        <f>IF(tblCalculo[[#This Row],[STATUS]]="EM ANÁLISE",tblCalculo[[#This Row],[VALOR_TOTAL]],"")</f>
        <v>12302.83</v>
      </c>
      <c r="N942" t="str">
        <f>IF(tblCalculo[[#This Row],[STATUS]]="TRAMITANDO",tblCalculo[[#This Row],[VALOR_TOTAL]],"")</f>
        <v/>
      </c>
      <c r="O942" t="str">
        <f>IF(tblCalculo[[#This Row],[STATUS]]="PERDIDO",tblCalculo[[#This Row],[VALOR_TOTAL]],"")</f>
        <v/>
      </c>
      <c r="P942" t="str">
        <f>IF(tblCalculo[[#This Row],[STATUS]]="CONCLUÍDO",tblCalculo[[#This Row],[VALOR_TOTAL]],"")</f>
        <v/>
      </c>
    </row>
    <row r="943" spans="1:16" x14ac:dyDescent="0.25">
      <c r="A943" t="str">
        <f>tblVendas[[#This Row],[NR_SIMULACAO]]</f>
        <v>SIM1933</v>
      </c>
      <c r="B943" s="34" t="str">
        <f>_xlfn.XLOOKUP(A943,tblVendas[[#This Row],[NR_SIMULACAO]],tblVendas[[#This Row],[NR_CNPJ]],"")</f>
        <v>16.157.909/0001-24</v>
      </c>
      <c r="C943" t="str">
        <f>_xlfn.XLOOKUP(A943,tblVendas[[#This Row],[NR_SIMULACAO]],tblVendas[[#This Row],[STATUS]],"")</f>
        <v>ALÇADA</v>
      </c>
      <c r="D943" t="str">
        <f>_xlfn.XLOOKUP(A943,tblVendas[[#This Row],[NR_SIMULACAO]],tblVendas[[#This Row],[MES]],"")</f>
        <v>Novembro</v>
      </c>
      <c r="E943">
        <f>SUM(_xlfn.XLOOKUP(tblCalculo[[#This Row],[NR_SIMULACAO]],tblVendas[[#This Row],[NR_SIMULACAO]],tblVendas[[#This Row],[VALOR_MOVEL]],""):_xlfn.XLOOKUP(tblCalculo[[#This Row],[NR_SIMULACAO]],tblVendas[[#This Row],[NR_SIMULACAO]],tblVendas[[#This Row],[VALOR_APARELHO]],""))</f>
        <v>3796.85</v>
      </c>
      <c r="F943">
        <f>IF(tblCalculo[[#This Row],[STATUS]]="CONCLUÍDO",_xlfn.XLOOKUP(tblCalculo[[#This Row],[NR_SIMULACAO]],tblVendas[[#This Row],[NR_SIMULACAO]],tblVendas[[#This Row],[VALOR_MOVEL]],""),0)</f>
        <v>0</v>
      </c>
      <c r="G943">
        <f>IF(tblCalculo[[#This Row],[STATUS]]="CONCLUÍDO",_xlfn.XLOOKUP(tblCalculo[[#This Row],[NR_SIMULACAO]],tblVendas[[#This Row],[NR_SIMULACAO]],tblVendas[[#This Row],[VALOR_AVANCADO]],""),0)</f>
        <v>0</v>
      </c>
      <c r="H943">
        <f>IF(tblCalculo[[#This Row],[STATUS]]="CONCLUÍDO",_xlfn.XLOOKUP(tblCalculo[[#This Row],[NR_SIMULACAO]],tblVendas[[#This Row],[NR_SIMULACAO]],tblVendas[[#This Row],[VALOR_FIXABASICA]],""),0)</f>
        <v>0</v>
      </c>
      <c r="I943">
        <f>IF(tblCalculo[[#This Row],[STATUS]]="CONCLUÍDO",_xlfn.XLOOKUP(tblCalculo[[#This Row],[NR_SIMULACAO]],tblVendas[[#This Row],[NR_SIMULACAO]],tblVendas[[#This Row],[VALOR_TI]],""),0)</f>
        <v>0</v>
      </c>
      <c r="J943">
        <f>IF(tblCalculo[[#This Row],[STATUS]]="CONCLUÍDO",_xlfn.XLOOKUP(tblCalculo[[#This Row],[NR_SIMULACAO]],tblVendas[[#This Row],[NR_SIMULACAO]],tblVendas[[#This Row],[VALOR_APARELHO]],""),0)</f>
        <v>0</v>
      </c>
      <c r="K943" t="str">
        <f>IF(tblCalculo[[#This Row],[STATUS]]="NEGOCIANDO",tblCalculo[[#This Row],[VALOR_TOTAL]],"")</f>
        <v/>
      </c>
      <c r="L943">
        <f>IF(tblCalculo[[#This Row],[STATUS]]="ALÇADA",tblCalculo[[#This Row],[VALOR_TOTAL]],"")</f>
        <v>3796.85</v>
      </c>
      <c r="M943" t="str">
        <f>IF(tblCalculo[[#This Row],[STATUS]]="EM ANÁLISE",tblCalculo[[#This Row],[VALOR_TOTAL]],"")</f>
        <v/>
      </c>
      <c r="N943" t="str">
        <f>IF(tblCalculo[[#This Row],[STATUS]]="TRAMITANDO",tblCalculo[[#This Row],[VALOR_TOTAL]],"")</f>
        <v/>
      </c>
      <c r="O943" t="str">
        <f>IF(tblCalculo[[#This Row],[STATUS]]="PERDIDO",tblCalculo[[#This Row],[VALOR_TOTAL]],"")</f>
        <v/>
      </c>
      <c r="P943" t="str">
        <f>IF(tblCalculo[[#This Row],[STATUS]]="CONCLUÍDO",tblCalculo[[#This Row],[VALOR_TOTAL]],"")</f>
        <v/>
      </c>
    </row>
    <row r="944" spans="1:16" x14ac:dyDescent="0.25">
      <c r="A944" t="str">
        <f>tblVendas[[#This Row],[NR_SIMULACAO]]</f>
        <v>SIM1934</v>
      </c>
      <c r="B944" s="34" t="str">
        <f>_xlfn.XLOOKUP(A944,tblVendas[[#This Row],[NR_SIMULACAO]],tblVendas[[#This Row],[NR_CNPJ]],"")</f>
        <v>88.598.120/0001-93</v>
      </c>
      <c r="C944" t="str">
        <f>_xlfn.XLOOKUP(A944,tblVendas[[#This Row],[NR_SIMULACAO]],tblVendas[[#This Row],[STATUS]],"")</f>
        <v>PERDIDO</v>
      </c>
      <c r="D944" t="str">
        <f>_xlfn.XLOOKUP(A944,tblVendas[[#This Row],[NR_SIMULACAO]],tblVendas[[#This Row],[MES]],"")</f>
        <v>Fevereiro</v>
      </c>
      <c r="E944">
        <f>SUM(_xlfn.XLOOKUP(tblCalculo[[#This Row],[NR_SIMULACAO]],tblVendas[[#This Row],[NR_SIMULACAO]],tblVendas[[#This Row],[VALOR_MOVEL]],""):_xlfn.XLOOKUP(tblCalculo[[#This Row],[NR_SIMULACAO]],tblVendas[[#This Row],[NR_SIMULACAO]],tblVendas[[#This Row],[VALOR_APARELHO]],""))</f>
        <v>7740.04</v>
      </c>
      <c r="F944">
        <f>IF(tblCalculo[[#This Row],[STATUS]]="CONCLUÍDO",_xlfn.XLOOKUP(tblCalculo[[#This Row],[NR_SIMULACAO]],tblVendas[[#This Row],[NR_SIMULACAO]],tblVendas[[#This Row],[VALOR_MOVEL]],""),0)</f>
        <v>0</v>
      </c>
      <c r="G944">
        <f>IF(tblCalculo[[#This Row],[STATUS]]="CONCLUÍDO",_xlfn.XLOOKUP(tblCalculo[[#This Row],[NR_SIMULACAO]],tblVendas[[#This Row],[NR_SIMULACAO]],tblVendas[[#This Row],[VALOR_AVANCADO]],""),0)</f>
        <v>0</v>
      </c>
      <c r="H944">
        <f>IF(tblCalculo[[#This Row],[STATUS]]="CONCLUÍDO",_xlfn.XLOOKUP(tblCalculo[[#This Row],[NR_SIMULACAO]],tblVendas[[#This Row],[NR_SIMULACAO]],tblVendas[[#This Row],[VALOR_FIXABASICA]],""),0)</f>
        <v>0</v>
      </c>
      <c r="I944">
        <f>IF(tblCalculo[[#This Row],[STATUS]]="CONCLUÍDO",_xlfn.XLOOKUP(tblCalculo[[#This Row],[NR_SIMULACAO]],tblVendas[[#This Row],[NR_SIMULACAO]],tblVendas[[#This Row],[VALOR_TI]],""),0)</f>
        <v>0</v>
      </c>
      <c r="J944">
        <f>IF(tblCalculo[[#This Row],[STATUS]]="CONCLUÍDO",_xlfn.XLOOKUP(tblCalculo[[#This Row],[NR_SIMULACAO]],tblVendas[[#This Row],[NR_SIMULACAO]],tblVendas[[#This Row],[VALOR_APARELHO]],""),0)</f>
        <v>0</v>
      </c>
      <c r="K944" t="str">
        <f>IF(tblCalculo[[#This Row],[STATUS]]="NEGOCIANDO",tblCalculo[[#This Row],[VALOR_TOTAL]],"")</f>
        <v/>
      </c>
      <c r="L944" t="str">
        <f>IF(tblCalculo[[#This Row],[STATUS]]="ALÇADA",tblCalculo[[#This Row],[VALOR_TOTAL]],"")</f>
        <v/>
      </c>
      <c r="M944" t="str">
        <f>IF(tblCalculo[[#This Row],[STATUS]]="EM ANÁLISE",tblCalculo[[#This Row],[VALOR_TOTAL]],"")</f>
        <v/>
      </c>
      <c r="N944" t="str">
        <f>IF(tblCalculo[[#This Row],[STATUS]]="TRAMITANDO",tblCalculo[[#This Row],[VALOR_TOTAL]],"")</f>
        <v/>
      </c>
      <c r="O944">
        <f>IF(tblCalculo[[#This Row],[STATUS]]="PERDIDO",tblCalculo[[#This Row],[VALOR_TOTAL]],"")</f>
        <v>7740.04</v>
      </c>
      <c r="P944" t="str">
        <f>IF(tblCalculo[[#This Row],[STATUS]]="CONCLUÍDO",tblCalculo[[#This Row],[VALOR_TOTAL]],"")</f>
        <v/>
      </c>
    </row>
    <row r="945" spans="1:16" x14ac:dyDescent="0.25">
      <c r="A945" t="str">
        <f>tblVendas[[#This Row],[NR_SIMULACAO]]</f>
        <v>SIM1935</v>
      </c>
      <c r="B945" s="34" t="str">
        <f>_xlfn.XLOOKUP(A945,tblVendas[[#This Row],[NR_SIMULACAO]],tblVendas[[#This Row],[NR_CNPJ]],"")</f>
        <v>50.614.886/0001-24</v>
      </c>
      <c r="C945" t="str">
        <f>_xlfn.XLOOKUP(A945,tblVendas[[#This Row],[NR_SIMULACAO]],tblVendas[[#This Row],[STATUS]],"")</f>
        <v>PERDIDO</v>
      </c>
      <c r="D945" t="str">
        <f>_xlfn.XLOOKUP(A945,tblVendas[[#This Row],[NR_SIMULACAO]],tblVendas[[#This Row],[MES]],"")</f>
        <v>Dezembro</v>
      </c>
      <c r="E945">
        <f>SUM(_xlfn.XLOOKUP(tblCalculo[[#This Row],[NR_SIMULACAO]],tblVendas[[#This Row],[NR_SIMULACAO]],tblVendas[[#This Row],[VALOR_MOVEL]],""):_xlfn.XLOOKUP(tblCalculo[[#This Row],[NR_SIMULACAO]],tblVendas[[#This Row],[NR_SIMULACAO]],tblVendas[[#This Row],[VALOR_APARELHO]],""))</f>
        <v>26122.339999999997</v>
      </c>
      <c r="F945">
        <f>IF(tblCalculo[[#This Row],[STATUS]]="CONCLUÍDO",_xlfn.XLOOKUP(tblCalculo[[#This Row],[NR_SIMULACAO]],tblVendas[[#This Row],[NR_SIMULACAO]],tblVendas[[#This Row],[VALOR_MOVEL]],""),0)</f>
        <v>0</v>
      </c>
      <c r="G945">
        <f>IF(tblCalculo[[#This Row],[STATUS]]="CONCLUÍDO",_xlfn.XLOOKUP(tblCalculo[[#This Row],[NR_SIMULACAO]],tblVendas[[#This Row],[NR_SIMULACAO]],tblVendas[[#This Row],[VALOR_AVANCADO]],""),0)</f>
        <v>0</v>
      </c>
      <c r="H945">
        <f>IF(tblCalculo[[#This Row],[STATUS]]="CONCLUÍDO",_xlfn.XLOOKUP(tblCalculo[[#This Row],[NR_SIMULACAO]],tblVendas[[#This Row],[NR_SIMULACAO]],tblVendas[[#This Row],[VALOR_FIXABASICA]],""),0)</f>
        <v>0</v>
      </c>
      <c r="I945">
        <f>IF(tblCalculo[[#This Row],[STATUS]]="CONCLUÍDO",_xlfn.XLOOKUP(tblCalculo[[#This Row],[NR_SIMULACAO]],tblVendas[[#This Row],[NR_SIMULACAO]],tblVendas[[#This Row],[VALOR_TI]],""),0)</f>
        <v>0</v>
      </c>
      <c r="J945">
        <f>IF(tblCalculo[[#This Row],[STATUS]]="CONCLUÍDO",_xlfn.XLOOKUP(tblCalculo[[#This Row],[NR_SIMULACAO]],tblVendas[[#This Row],[NR_SIMULACAO]],tblVendas[[#This Row],[VALOR_APARELHO]],""),0)</f>
        <v>0</v>
      </c>
      <c r="K945" t="str">
        <f>IF(tblCalculo[[#This Row],[STATUS]]="NEGOCIANDO",tblCalculo[[#This Row],[VALOR_TOTAL]],"")</f>
        <v/>
      </c>
      <c r="L945" t="str">
        <f>IF(tblCalculo[[#This Row],[STATUS]]="ALÇADA",tblCalculo[[#This Row],[VALOR_TOTAL]],"")</f>
        <v/>
      </c>
      <c r="M945" t="str">
        <f>IF(tblCalculo[[#This Row],[STATUS]]="EM ANÁLISE",tblCalculo[[#This Row],[VALOR_TOTAL]],"")</f>
        <v/>
      </c>
      <c r="N945" t="str">
        <f>IF(tblCalculo[[#This Row],[STATUS]]="TRAMITANDO",tblCalculo[[#This Row],[VALOR_TOTAL]],"")</f>
        <v/>
      </c>
      <c r="O945">
        <f>IF(tblCalculo[[#This Row],[STATUS]]="PERDIDO",tblCalculo[[#This Row],[VALOR_TOTAL]],"")</f>
        <v>26122.339999999997</v>
      </c>
      <c r="P945" t="str">
        <f>IF(tblCalculo[[#This Row],[STATUS]]="CONCLUÍDO",tblCalculo[[#This Row],[VALOR_TOTAL]],"")</f>
        <v/>
      </c>
    </row>
    <row r="946" spans="1:16" x14ac:dyDescent="0.25">
      <c r="A946" t="str">
        <f>tblVendas[[#This Row],[NR_SIMULACAO]]</f>
        <v>SIM1936</v>
      </c>
      <c r="B946" s="34" t="str">
        <f>_xlfn.XLOOKUP(A946,tblVendas[[#This Row],[NR_SIMULACAO]],tblVendas[[#This Row],[NR_CNPJ]],"")</f>
        <v>85.912.395/0001-17</v>
      </c>
      <c r="C946" t="str">
        <f>_xlfn.XLOOKUP(A946,tblVendas[[#This Row],[NR_SIMULACAO]],tblVendas[[#This Row],[STATUS]],"")</f>
        <v>TRAMITANDO</v>
      </c>
      <c r="D946" t="str">
        <f>_xlfn.XLOOKUP(A946,tblVendas[[#This Row],[NR_SIMULACAO]],tblVendas[[#This Row],[MES]],"")</f>
        <v>Maio</v>
      </c>
      <c r="E946">
        <f>SUM(_xlfn.XLOOKUP(tblCalculo[[#This Row],[NR_SIMULACAO]],tblVendas[[#This Row],[NR_SIMULACAO]],tblVendas[[#This Row],[VALOR_MOVEL]],""):_xlfn.XLOOKUP(tblCalculo[[#This Row],[NR_SIMULACAO]],tblVendas[[#This Row],[NR_SIMULACAO]],tblVendas[[#This Row],[VALOR_APARELHO]],""))</f>
        <v>2349.1</v>
      </c>
      <c r="F946">
        <f>IF(tblCalculo[[#This Row],[STATUS]]="CONCLUÍDO",_xlfn.XLOOKUP(tblCalculo[[#This Row],[NR_SIMULACAO]],tblVendas[[#This Row],[NR_SIMULACAO]],tblVendas[[#This Row],[VALOR_MOVEL]],""),0)</f>
        <v>0</v>
      </c>
      <c r="G946">
        <f>IF(tblCalculo[[#This Row],[STATUS]]="CONCLUÍDO",_xlfn.XLOOKUP(tblCalculo[[#This Row],[NR_SIMULACAO]],tblVendas[[#This Row],[NR_SIMULACAO]],tblVendas[[#This Row],[VALOR_AVANCADO]],""),0)</f>
        <v>0</v>
      </c>
      <c r="H946">
        <f>IF(tblCalculo[[#This Row],[STATUS]]="CONCLUÍDO",_xlfn.XLOOKUP(tblCalculo[[#This Row],[NR_SIMULACAO]],tblVendas[[#This Row],[NR_SIMULACAO]],tblVendas[[#This Row],[VALOR_FIXABASICA]],""),0)</f>
        <v>0</v>
      </c>
      <c r="I946">
        <f>IF(tblCalculo[[#This Row],[STATUS]]="CONCLUÍDO",_xlfn.XLOOKUP(tblCalculo[[#This Row],[NR_SIMULACAO]],tblVendas[[#This Row],[NR_SIMULACAO]],tblVendas[[#This Row],[VALOR_TI]],""),0)</f>
        <v>0</v>
      </c>
      <c r="J946">
        <f>IF(tblCalculo[[#This Row],[STATUS]]="CONCLUÍDO",_xlfn.XLOOKUP(tblCalculo[[#This Row],[NR_SIMULACAO]],tblVendas[[#This Row],[NR_SIMULACAO]],tblVendas[[#This Row],[VALOR_APARELHO]],""),0)</f>
        <v>0</v>
      </c>
      <c r="K946" t="str">
        <f>IF(tblCalculo[[#This Row],[STATUS]]="NEGOCIANDO",tblCalculo[[#This Row],[VALOR_TOTAL]],"")</f>
        <v/>
      </c>
      <c r="L946" t="str">
        <f>IF(tblCalculo[[#This Row],[STATUS]]="ALÇADA",tblCalculo[[#This Row],[VALOR_TOTAL]],"")</f>
        <v/>
      </c>
      <c r="M946" t="str">
        <f>IF(tblCalculo[[#This Row],[STATUS]]="EM ANÁLISE",tblCalculo[[#This Row],[VALOR_TOTAL]],"")</f>
        <v/>
      </c>
      <c r="N946">
        <f>IF(tblCalculo[[#This Row],[STATUS]]="TRAMITANDO",tblCalculo[[#This Row],[VALOR_TOTAL]],"")</f>
        <v>2349.1</v>
      </c>
      <c r="O946" t="str">
        <f>IF(tblCalculo[[#This Row],[STATUS]]="PERDIDO",tblCalculo[[#This Row],[VALOR_TOTAL]],"")</f>
        <v/>
      </c>
      <c r="P946" t="str">
        <f>IF(tblCalculo[[#This Row],[STATUS]]="CONCLUÍDO",tblCalculo[[#This Row],[VALOR_TOTAL]],"")</f>
        <v/>
      </c>
    </row>
    <row r="947" spans="1:16" x14ac:dyDescent="0.25">
      <c r="A947" t="str">
        <f>tblVendas[[#This Row],[NR_SIMULACAO]]</f>
        <v>SIM1937</v>
      </c>
      <c r="B947" s="34" t="str">
        <f>_xlfn.XLOOKUP(A947,tblVendas[[#This Row],[NR_SIMULACAO]],tblVendas[[#This Row],[NR_CNPJ]],"")</f>
        <v>81.821.655/0001-11</v>
      </c>
      <c r="C947" t="str">
        <f>_xlfn.XLOOKUP(A947,tblVendas[[#This Row],[NR_SIMULACAO]],tblVendas[[#This Row],[STATUS]],"")</f>
        <v>NEGOCIANDO</v>
      </c>
      <c r="D947" t="str">
        <f>_xlfn.XLOOKUP(A947,tblVendas[[#This Row],[NR_SIMULACAO]],tblVendas[[#This Row],[MES]],"")</f>
        <v>Outubro</v>
      </c>
      <c r="E947">
        <f>SUM(_xlfn.XLOOKUP(tblCalculo[[#This Row],[NR_SIMULACAO]],tblVendas[[#This Row],[NR_SIMULACAO]],tblVendas[[#This Row],[VALOR_MOVEL]],""):_xlfn.XLOOKUP(tblCalculo[[#This Row],[NR_SIMULACAO]],tblVendas[[#This Row],[NR_SIMULACAO]],tblVendas[[#This Row],[VALOR_APARELHO]],""))</f>
        <v>8728.65</v>
      </c>
      <c r="F947">
        <f>IF(tblCalculo[[#This Row],[STATUS]]="CONCLUÍDO",_xlfn.XLOOKUP(tblCalculo[[#This Row],[NR_SIMULACAO]],tblVendas[[#This Row],[NR_SIMULACAO]],tblVendas[[#This Row],[VALOR_MOVEL]],""),0)</f>
        <v>0</v>
      </c>
      <c r="G947">
        <f>IF(tblCalculo[[#This Row],[STATUS]]="CONCLUÍDO",_xlfn.XLOOKUP(tblCalculo[[#This Row],[NR_SIMULACAO]],tblVendas[[#This Row],[NR_SIMULACAO]],tblVendas[[#This Row],[VALOR_AVANCADO]],""),0)</f>
        <v>0</v>
      </c>
      <c r="H947">
        <f>IF(tblCalculo[[#This Row],[STATUS]]="CONCLUÍDO",_xlfn.XLOOKUP(tblCalculo[[#This Row],[NR_SIMULACAO]],tblVendas[[#This Row],[NR_SIMULACAO]],tblVendas[[#This Row],[VALOR_FIXABASICA]],""),0)</f>
        <v>0</v>
      </c>
      <c r="I947">
        <f>IF(tblCalculo[[#This Row],[STATUS]]="CONCLUÍDO",_xlfn.XLOOKUP(tblCalculo[[#This Row],[NR_SIMULACAO]],tblVendas[[#This Row],[NR_SIMULACAO]],tblVendas[[#This Row],[VALOR_TI]],""),0)</f>
        <v>0</v>
      </c>
      <c r="J947">
        <f>IF(tblCalculo[[#This Row],[STATUS]]="CONCLUÍDO",_xlfn.XLOOKUP(tblCalculo[[#This Row],[NR_SIMULACAO]],tblVendas[[#This Row],[NR_SIMULACAO]],tblVendas[[#This Row],[VALOR_APARELHO]],""),0)</f>
        <v>0</v>
      </c>
      <c r="K947">
        <f>IF(tblCalculo[[#This Row],[STATUS]]="NEGOCIANDO",tblCalculo[[#This Row],[VALOR_TOTAL]],"")</f>
        <v>8728.65</v>
      </c>
      <c r="L947" t="str">
        <f>IF(tblCalculo[[#This Row],[STATUS]]="ALÇADA",tblCalculo[[#This Row],[VALOR_TOTAL]],"")</f>
        <v/>
      </c>
      <c r="M947" t="str">
        <f>IF(tblCalculo[[#This Row],[STATUS]]="EM ANÁLISE",tblCalculo[[#This Row],[VALOR_TOTAL]],"")</f>
        <v/>
      </c>
      <c r="N947" t="str">
        <f>IF(tblCalculo[[#This Row],[STATUS]]="TRAMITANDO",tblCalculo[[#This Row],[VALOR_TOTAL]],"")</f>
        <v/>
      </c>
      <c r="O947" t="str">
        <f>IF(tblCalculo[[#This Row],[STATUS]]="PERDIDO",tblCalculo[[#This Row],[VALOR_TOTAL]],"")</f>
        <v/>
      </c>
      <c r="P947" t="str">
        <f>IF(tblCalculo[[#This Row],[STATUS]]="CONCLUÍDO",tblCalculo[[#This Row],[VALOR_TOTAL]],"")</f>
        <v/>
      </c>
    </row>
    <row r="948" spans="1:16" x14ac:dyDescent="0.25">
      <c r="A948" t="str">
        <f>tblVendas[[#This Row],[NR_SIMULACAO]]</f>
        <v>SIM1938</v>
      </c>
      <c r="B948" s="34" t="str">
        <f>_xlfn.XLOOKUP(A948,tblVendas[[#This Row],[NR_SIMULACAO]],tblVendas[[#This Row],[NR_CNPJ]],"")</f>
        <v>83.576.936/0001-82</v>
      </c>
      <c r="C948" t="str">
        <f>_xlfn.XLOOKUP(A948,tblVendas[[#This Row],[NR_SIMULACAO]],tblVendas[[#This Row],[STATUS]],"")</f>
        <v>EM ANÁLISE</v>
      </c>
      <c r="D948" t="str">
        <f>_xlfn.XLOOKUP(A948,tblVendas[[#This Row],[NR_SIMULACAO]],tblVendas[[#This Row],[MES]],"")</f>
        <v>Novembro</v>
      </c>
      <c r="E948">
        <f>SUM(_xlfn.XLOOKUP(tblCalculo[[#This Row],[NR_SIMULACAO]],tblVendas[[#This Row],[NR_SIMULACAO]],tblVendas[[#This Row],[VALOR_MOVEL]],""):_xlfn.XLOOKUP(tblCalculo[[#This Row],[NR_SIMULACAO]],tblVendas[[#This Row],[NR_SIMULACAO]],tblVendas[[#This Row],[VALOR_APARELHO]],""))</f>
        <v>4229.09</v>
      </c>
      <c r="F948">
        <f>IF(tblCalculo[[#This Row],[STATUS]]="CONCLUÍDO",_xlfn.XLOOKUP(tblCalculo[[#This Row],[NR_SIMULACAO]],tblVendas[[#This Row],[NR_SIMULACAO]],tblVendas[[#This Row],[VALOR_MOVEL]],""),0)</f>
        <v>0</v>
      </c>
      <c r="G948">
        <f>IF(tblCalculo[[#This Row],[STATUS]]="CONCLUÍDO",_xlfn.XLOOKUP(tblCalculo[[#This Row],[NR_SIMULACAO]],tblVendas[[#This Row],[NR_SIMULACAO]],tblVendas[[#This Row],[VALOR_AVANCADO]],""),0)</f>
        <v>0</v>
      </c>
      <c r="H948">
        <f>IF(tblCalculo[[#This Row],[STATUS]]="CONCLUÍDO",_xlfn.XLOOKUP(tblCalculo[[#This Row],[NR_SIMULACAO]],tblVendas[[#This Row],[NR_SIMULACAO]],tblVendas[[#This Row],[VALOR_FIXABASICA]],""),0)</f>
        <v>0</v>
      </c>
      <c r="I948">
        <f>IF(tblCalculo[[#This Row],[STATUS]]="CONCLUÍDO",_xlfn.XLOOKUP(tblCalculo[[#This Row],[NR_SIMULACAO]],tblVendas[[#This Row],[NR_SIMULACAO]],tblVendas[[#This Row],[VALOR_TI]],""),0)</f>
        <v>0</v>
      </c>
      <c r="J948">
        <f>IF(tblCalculo[[#This Row],[STATUS]]="CONCLUÍDO",_xlfn.XLOOKUP(tblCalculo[[#This Row],[NR_SIMULACAO]],tblVendas[[#This Row],[NR_SIMULACAO]],tblVendas[[#This Row],[VALOR_APARELHO]],""),0)</f>
        <v>0</v>
      </c>
      <c r="K948" t="str">
        <f>IF(tblCalculo[[#This Row],[STATUS]]="NEGOCIANDO",tblCalculo[[#This Row],[VALOR_TOTAL]],"")</f>
        <v/>
      </c>
      <c r="L948" t="str">
        <f>IF(tblCalculo[[#This Row],[STATUS]]="ALÇADA",tblCalculo[[#This Row],[VALOR_TOTAL]],"")</f>
        <v/>
      </c>
      <c r="M948">
        <f>IF(tblCalculo[[#This Row],[STATUS]]="EM ANÁLISE",tblCalculo[[#This Row],[VALOR_TOTAL]],"")</f>
        <v>4229.09</v>
      </c>
      <c r="N948" t="str">
        <f>IF(tblCalculo[[#This Row],[STATUS]]="TRAMITANDO",tblCalculo[[#This Row],[VALOR_TOTAL]],"")</f>
        <v/>
      </c>
      <c r="O948" t="str">
        <f>IF(tblCalculo[[#This Row],[STATUS]]="PERDIDO",tblCalculo[[#This Row],[VALOR_TOTAL]],"")</f>
        <v/>
      </c>
      <c r="P948" t="str">
        <f>IF(tblCalculo[[#This Row],[STATUS]]="CONCLUÍDO",tblCalculo[[#This Row],[VALOR_TOTAL]],"")</f>
        <v/>
      </c>
    </row>
    <row r="949" spans="1:16" x14ac:dyDescent="0.25">
      <c r="A949" t="str">
        <f>tblVendas[[#This Row],[NR_SIMULACAO]]</f>
        <v>SIM1939</v>
      </c>
      <c r="B949" s="34" t="str">
        <f>_xlfn.XLOOKUP(A949,tblVendas[[#This Row],[NR_SIMULACAO]],tblVendas[[#This Row],[NR_CNPJ]],"")</f>
        <v>39.201.610/0001-45</v>
      </c>
      <c r="C949" t="str">
        <f>_xlfn.XLOOKUP(A949,tblVendas[[#This Row],[NR_SIMULACAO]],tblVendas[[#This Row],[STATUS]],"")</f>
        <v>NEGOCIANDO</v>
      </c>
      <c r="D949" t="str">
        <f>_xlfn.XLOOKUP(A949,tblVendas[[#This Row],[NR_SIMULACAO]],tblVendas[[#This Row],[MES]],"")</f>
        <v>Junho</v>
      </c>
      <c r="E949">
        <f>SUM(_xlfn.XLOOKUP(tblCalculo[[#This Row],[NR_SIMULACAO]],tblVendas[[#This Row],[NR_SIMULACAO]],tblVendas[[#This Row],[VALOR_MOVEL]],""):_xlfn.XLOOKUP(tblCalculo[[#This Row],[NR_SIMULACAO]],tblVendas[[#This Row],[NR_SIMULACAO]],tblVendas[[#This Row],[VALOR_APARELHO]],""))</f>
        <v>13311.12</v>
      </c>
      <c r="F949">
        <f>IF(tblCalculo[[#This Row],[STATUS]]="CONCLUÍDO",_xlfn.XLOOKUP(tblCalculo[[#This Row],[NR_SIMULACAO]],tblVendas[[#This Row],[NR_SIMULACAO]],tblVendas[[#This Row],[VALOR_MOVEL]],""),0)</f>
        <v>0</v>
      </c>
      <c r="G949">
        <f>IF(tblCalculo[[#This Row],[STATUS]]="CONCLUÍDO",_xlfn.XLOOKUP(tblCalculo[[#This Row],[NR_SIMULACAO]],tblVendas[[#This Row],[NR_SIMULACAO]],tblVendas[[#This Row],[VALOR_AVANCADO]],""),0)</f>
        <v>0</v>
      </c>
      <c r="H949">
        <f>IF(tblCalculo[[#This Row],[STATUS]]="CONCLUÍDO",_xlfn.XLOOKUP(tblCalculo[[#This Row],[NR_SIMULACAO]],tblVendas[[#This Row],[NR_SIMULACAO]],tblVendas[[#This Row],[VALOR_FIXABASICA]],""),0)</f>
        <v>0</v>
      </c>
      <c r="I949">
        <f>IF(tblCalculo[[#This Row],[STATUS]]="CONCLUÍDO",_xlfn.XLOOKUP(tblCalculo[[#This Row],[NR_SIMULACAO]],tblVendas[[#This Row],[NR_SIMULACAO]],tblVendas[[#This Row],[VALOR_TI]],""),0)</f>
        <v>0</v>
      </c>
      <c r="J949">
        <f>IF(tblCalculo[[#This Row],[STATUS]]="CONCLUÍDO",_xlfn.XLOOKUP(tblCalculo[[#This Row],[NR_SIMULACAO]],tblVendas[[#This Row],[NR_SIMULACAO]],tblVendas[[#This Row],[VALOR_APARELHO]],""),0)</f>
        <v>0</v>
      </c>
      <c r="K949">
        <f>IF(tblCalculo[[#This Row],[STATUS]]="NEGOCIANDO",tblCalculo[[#This Row],[VALOR_TOTAL]],"")</f>
        <v>13311.12</v>
      </c>
      <c r="L949" t="str">
        <f>IF(tblCalculo[[#This Row],[STATUS]]="ALÇADA",tblCalculo[[#This Row],[VALOR_TOTAL]],"")</f>
        <v/>
      </c>
      <c r="M949" t="str">
        <f>IF(tblCalculo[[#This Row],[STATUS]]="EM ANÁLISE",tblCalculo[[#This Row],[VALOR_TOTAL]],"")</f>
        <v/>
      </c>
      <c r="N949" t="str">
        <f>IF(tblCalculo[[#This Row],[STATUS]]="TRAMITANDO",tblCalculo[[#This Row],[VALOR_TOTAL]],"")</f>
        <v/>
      </c>
      <c r="O949" t="str">
        <f>IF(tblCalculo[[#This Row],[STATUS]]="PERDIDO",tblCalculo[[#This Row],[VALOR_TOTAL]],"")</f>
        <v/>
      </c>
      <c r="P949" t="str">
        <f>IF(tblCalculo[[#This Row],[STATUS]]="CONCLUÍDO",tblCalculo[[#This Row],[VALOR_TOTAL]],"")</f>
        <v/>
      </c>
    </row>
    <row r="950" spans="1:16" x14ac:dyDescent="0.25">
      <c r="A950" t="str">
        <f>tblVendas[[#This Row],[NR_SIMULACAO]]</f>
        <v>SIM1940</v>
      </c>
      <c r="B950" s="34" t="str">
        <f>_xlfn.XLOOKUP(A950,tblVendas[[#This Row],[NR_SIMULACAO]],tblVendas[[#This Row],[NR_CNPJ]],"")</f>
        <v>78.458.120/0001-56</v>
      </c>
      <c r="C950" t="str">
        <f>_xlfn.XLOOKUP(A950,tblVendas[[#This Row],[NR_SIMULACAO]],tblVendas[[#This Row],[STATUS]],"")</f>
        <v>PERDIDO</v>
      </c>
      <c r="D950" t="str">
        <f>_xlfn.XLOOKUP(A950,tblVendas[[#This Row],[NR_SIMULACAO]],tblVendas[[#This Row],[MES]],"")</f>
        <v>Outubro</v>
      </c>
      <c r="E950">
        <f>SUM(_xlfn.XLOOKUP(tblCalculo[[#This Row],[NR_SIMULACAO]],tblVendas[[#This Row],[NR_SIMULACAO]],tblVendas[[#This Row],[VALOR_MOVEL]],""):_xlfn.XLOOKUP(tblCalculo[[#This Row],[NR_SIMULACAO]],tblVendas[[#This Row],[NR_SIMULACAO]],tblVendas[[#This Row],[VALOR_APARELHO]],""))</f>
        <v>8351.06</v>
      </c>
      <c r="F950">
        <f>IF(tblCalculo[[#This Row],[STATUS]]="CONCLUÍDO",_xlfn.XLOOKUP(tblCalculo[[#This Row],[NR_SIMULACAO]],tblVendas[[#This Row],[NR_SIMULACAO]],tblVendas[[#This Row],[VALOR_MOVEL]],""),0)</f>
        <v>0</v>
      </c>
      <c r="G950">
        <f>IF(tblCalculo[[#This Row],[STATUS]]="CONCLUÍDO",_xlfn.XLOOKUP(tblCalculo[[#This Row],[NR_SIMULACAO]],tblVendas[[#This Row],[NR_SIMULACAO]],tblVendas[[#This Row],[VALOR_AVANCADO]],""),0)</f>
        <v>0</v>
      </c>
      <c r="H950">
        <f>IF(tblCalculo[[#This Row],[STATUS]]="CONCLUÍDO",_xlfn.XLOOKUP(tblCalculo[[#This Row],[NR_SIMULACAO]],tblVendas[[#This Row],[NR_SIMULACAO]],tblVendas[[#This Row],[VALOR_FIXABASICA]],""),0)</f>
        <v>0</v>
      </c>
      <c r="I950">
        <f>IF(tblCalculo[[#This Row],[STATUS]]="CONCLUÍDO",_xlfn.XLOOKUP(tblCalculo[[#This Row],[NR_SIMULACAO]],tblVendas[[#This Row],[NR_SIMULACAO]],tblVendas[[#This Row],[VALOR_TI]],""),0)</f>
        <v>0</v>
      </c>
      <c r="J950">
        <f>IF(tblCalculo[[#This Row],[STATUS]]="CONCLUÍDO",_xlfn.XLOOKUP(tblCalculo[[#This Row],[NR_SIMULACAO]],tblVendas[[#This Row],[NR_SIMULACAO]],tblVendas[[#This Row],[VALOR_APARELHO]],""),0)</f>
        <v>0</v>
      </c>
      <c r="K950" t="str">
        <f>IF(tblCalculo[[#This Row],[STATUS]]="NEGOCIANDO",tblCalculo[[#This Row],[VALOR_TOTAL]],"")</f>
        <v/>
      </c>
      <c r="L950" t="str">
        <f>IF(tblCalculo[[#This Row],[STATUS]]="ALÇADA",tblCalculo[[#This Row],[VALOR_TOTAL]],"")</f>
        <v/>
      </c>
      <c r="M950" t="str">
        <f>IF(tblCalculo[[#This Row],[STATUS]]="EM ANÁLISE",tblCalculo[[#This Row],[VALOR_TOTAL]],"")</f>
        <v/>
      </c>
      <c r="N950" t="str">
        <f>IF(tblCalculo[[#This Row],[STATUS]]="TRAMITANDO",tblCalculo[[#This Row],[VALOR_TOTAL]],"")</f>
        <v/>
      </c>
      <c r="O950">
        <f>IF(tblCalculo[[#This Row],[STATUS]]="PERDIDO",tblCalculo[[#This Row],[VALOR_TOTAL]],"")</f>
        <v>8351.06</v>
      </c>
      <c r="P950" t="str">
        <f>IF(tblCalculo[[#This Row],[STATUS]]="CONCLUÍDO",tblCalculo[[#This Row],[VALOR_TOTAL]],"")</f>
        <v/>
      </c>
    </row>
    <row r="951" spans="1:16" x14ac:dyDescent="0.25">
      <c r="A951" t="str">
        <f>tblVendas[[#This Row],[NR_SIMULACAO]]</f>
        <v>SIM1941</v>
      </c>
      <c r="B951" s="34" t="str">
        <f>_xlfn.XLOOKUP(A951,tblVendas[[#This Row],[NR_SIMULACAO]],tblVendas[[#This Row],[NR_CNPJ]],"")</f>
        <v>62.410.904/0001-17</v>
      </c>
      <c r="C951" t="str">
        <f>_xlfn.XLOOKUP(A951,tblVendas[[#This Row],[NR_SIMULACAO]],tblVendas[[#This Row],[STATUS]],"")</f>
        <v>ALÇADA</v>
      </c>
      <c r="D951" t="str">
        <f>_xlfn.XLOOKUP(A951,tblVendas[[#This Row],[NR_SIMULACAO]],tblVendas[[#This Row],[MES]],"")</f>
        <v>Março</v>
      </c>
      <c r="E951">
        <f>SUM(_xlfn.XLOOKUP(tblCalculo[[#This Row],[NR_SIMULACAO]],tblVendas[[#This Row],[NR_SIMULACAO]],tblVendas[[#This Row],[VALOR_MOVEL]],""):_xlfn.XLOOKUP(tblCalculo[[#This Row],[NR_SIMULACAO]],tblVendas[[#This Row],[NR_SIMULACAO]],tblVendas[[#This Row],[VALOR_APARELHO]],""))</f>
        <v>6411.8600000000006</v>
      </c>
      <c r="F951">
        <f>IF(tblCalculo[[#This Row],[STATUS]]="CONCLUÍDO",_xlfn.XLOOKUP(tblCalculo[[#This Row],[NR_SIMULACAO]],tblVendas[[#This Row],[NR_SIMULACAO]],tblVendas[[#This Row],[VALOR_MOVEL]],""),0)</f>
        <v>0</v>
      </c>
      <c r="G951">
        <f>IF(tblCalculo[[#This Row],[STATUS]]="CONCLUÍDO",_xlfn.XLOOKUP(tblCalculo[[#This Row],[NR_SIMULACAO]],tblVendas[[#This Row],[NR_SIMULACAO]],tblVendas[[#This Row],[VALOR_AVANCADO]],""),0)</f>
        <v>0</v>
      </c>
      <c r="H951">
        <f>IF(tblCalculo[[#This Row],[STATUS]]="CONCLUÍDO",_xlfn.XLOOKUP(tblCalculo[[#This Row],[NR_SIMULACAO]],tblVendas[[#This Row],[NR_SIMULACAO]],tblVendas[[#This Row],[VALOR_FIXABASICA]],""),0)</f>
        <v>0</v>
      </c>
      <c r="I951">
        <f>IF(tblCalculo[[#This Row],[STATUS]]="CONCLUÍDO",_xlfn.XLOOKUP(tblCalculo[[#This Row],[NR_SIMULACAO]],tblVendas[[#This Row],[NR_SIMULACAO]],tblVendas[[#This Row],[VALOR_TI]],""),0)</f>
        <v>0</v>
      </c>
      <c r="J951">
        <f>IF(tblCalculo[[#This Row],[STATUS]]="CONCLUÍDO",_xlfn.XLOOKUP(tblCalculo[[#This Row],[NR_SIMULACAO]],tblVendas[[#This Row],[NR_SIMULACAO]],tblVendas[[#This Row],[VALOR_APARELHO]],""),0)</f>
        <v>0</v>
      </c>
      <c r="K951" t="str">
        <f>IF(tblCalculo[[#This Row],[STATUS]]="NEGOCIANDO",tblCalculo[[#This Row],[VALOR_TOTAL]],"")</f>
        <v/>
      </c>
      <c r="L951">
        <f>IF(tblCalculo[[#This Row],[STATUS]]="ALÇADA",tblCalculo[[#This Row],[VALOR_TOTAL]],"")</f>
        <v>6411.8600000000006</v>
      </c>
      <c r="M951" t="str">
        <f>IF(tblCalculo[[#This Row],[STATUS]]="EM ANÁLISE",tblCalculo[[#This Row],[VALOR_TOTAL]],"")</f>
        <v/>
      </c>
      <c r="N951" t="str">
        <f>IF(tblCalculo[[#This Row],[STATUS]]="TRAMITANDO",tblCalculo[[#This Row],[VALOR_TOTAL]],"")</f>
        <v/>
      </c>
      <c r="O951" t="str">
        <f>IF(tblCalculo[[#This Row],[STATUS]]="PERDIDO",tblCalculo[[#This Row],[VALOR_TOTAL]],"")</f>
        <v/>
      </c>
      <c r="P951" t="str">
        <f>IF(tblCalculo[[#This Row],[STATUS]]="CONCLUÍDO",tblCalculo[[#This Row],[VALOR_TOTAL]],"")</f>
        <v/>
      </c>
    </row>
    <row r="952" spans="1:16" x14ac:dyDescent="0.25">
      <c r="A952" t="str">
        <f>tblVendas[[#This Row],[NR_SIMULACAO]]</f>
        <v>SIM1942</v>
      </c>
      <c r="B952" s="34" t="str">
        <f>_xlfn.XLOOKUP(A952,tblVendas[[#This Row],[NR_SIMULACAO]],tblVendas[[#This Row],[NR_CNPJ]],"")</f>
        <v>48.837.316/0001-95</v>
      </c>
      <c r="C952" t="str">
        <f>_xlfn.XLOOKUP(A952,tblVendas[[#This Row],[NR_SIMULACAO]],tblVendas[[#This Row],[STATUS]],"")</f>
        <v>NEGOCIANDO</v>
      </c>
      <c r="D952" t="str">
        <f>_xlfn.XLOOKUP(A952,tblVendas[[#This Row],[NR_SIMULACAO]],tblVendas[[#This Row],[MES]],"")</f>
        <v>Outubro</v>
      </c>
      <c r="E952">
        <f>SUM(_xlfn.XLOOKUP(tblCalculo[[#This Row],[NR_SIMULACAO]],tblVendas[[#This Row],[NR_SIMULACAO]],tblVendas[[#This Row],[VALOR_MOVEL]],""):_xlfn.XLOOKUP(tblCalculo[[#This Row],[NR_SIMULACAO]],tblVendas[[#This Row],[NR_SIMULACAO]],tblVendas[[#This Row],[VALOR_APARELHO]],""))</f>
        <v>17189.14</v>
      </c>
      <c r="F952">
        <f>IF(tblCalculo[[#This Row],[STATUS]]="CONCLUÍDO",_xlfn.XLOOKUP(tblCalculo[[#This Row],[NR_SIMULACAO]],tblVendas[[#This Row],[NR_SIMULACAO]],tblVendas[[#This Row],[VALOR_MOVEL]],""),0)</f>
        <v>0</v>
      </c>
      <c r="G952">
        <f>IF(tblCalculo[[#This Row],[STATUS]]="CONCLUÍDO",_xlfn.XLOOKUP(tblCalculo[[#This Row],[NR_SIMULACAO]],tblVendas[[#This Row],[NR_SIMULACAO]],tblVendas[[#This Row],[VALOR_AVANCADO]],""),0)</f>
        <v>0</v>
      </c>
      <c r="H952">
        <f>IF(tblCalculo[[#This Row],[STATUS]]="CONCLUÍDO",_xlfn.XLOOKUP(tblCalculo[[#This Row],[NR_SIMULACAO]],tblVendas[[#This Row],[NR_SIMULACAO]],tblVendas[[#This Row],[VALOR_FIXABASICA]],""),0)</f>
        <v>0</v>
      </c>
      <c r="I952">
        <f>IF(tblCalculo[[#This Row],[STATUS]]="CONCLUÍDO",_xlfn.XLOOKUP(tblCalculo[[#This Row],[NR_SIMULACAO]],tblVendas[[#This Row],[NR_SIMULACAO]],tblVendas[[#This Row],[VALOR_TI]],""),0)</f>
        <v>0</v>
      </c>
      <c r="J952">
        <f>IF(tblCalculo[[#This Row],[STATUS]]="CONCLUÍDO",_xlfn.XLOOKUP(tblCalculo[[#This Row],[NR_SIMULACAO]],tblVendas[[#This Row],[NR_SIMULACAO]],tblVendas[[#This Row],[VALOR_APARELHO]],""),0)</f>
        <v>0</v>
      </c>
      <c r="K952">
        <f>IF(tblCalculo[[#This Row],[STATUS]]="NEGOCIANDO",tblCalculo[[#This Row],[VALOR_TOTAL]],"")</f>
        <v>17189.14</v>
      </c>
      <c r="L952" t="str">
        <f>IF(tblCalculo[[#This Row],[STATUS]]="ALÇADA",tblCalculo[[#This Row],[VALOR_TOTAL]],"")</f>
        <v/>
      </c>
      <c r="M952" t="str">
        <f>IF(tblCalculo[[#This Row],[STATUS]]="EM ANÁLISE",tblCalculo[[#This Row],[VALOR_TOTAL]],"")</f>
        <v/>
      </c>
      <c r="N952" t="str">
        <f>IF(tblCalculo[[#This Row],[STATUS]]="TRAMITANDO",tblCalculo[[#This Row],[VALOR_TOTAL]],"")</f>
        <v/>
      </c>
      <c r="O952" t="str">
        <f>IF(tblCalculo[[#This Row],[STATUS]]="PERDIDO",tblCalculo[[#This Row],[VALOR_TOTAL]],"")</f>
        <v/>
      </c>
      <c r="P952" t="str">
        <f>IF(tblCalculo[[#This Row],[STATUS]]="CONCLUÍDO",tblCalculo[[#This Row],[VALOR_TOTAL]],"")</f>
        <v/>
      </c>
    </row>
    <row r="953" spans="1:16" x14ac:dyDescent="0.25">
      <c r="A953" t="str">
        <f>tblVendas[[#This Row],[NR_SIMULACAO]]</f>
        <v>SIM1943</v>
      </c>
      <c r="B953" s="34" t="str">
        <f>_xlfn.XLOOKUP(A953,tblVendas[[#This Row],[NR_SIMULACAO]],tblVendas[[#This Row],[NR_CNPJ]],"")</f>
        <v>11.705.215/0001-21</v>
      </c>
      <c r="C953" t="str">
        <f>_xlfn.XLOOKUP(A953,tblVendas[[#This Row],[NR_SIMULACAO]],tblVendas[[#This Row],[STATUS]],"")</f>
        <v>PERDIDO</v>
      </c>
      <c r="D953" t="str">
        <f>_xlfn.XLOOKUP(A953,tblVendas[[#This Row],[NR_SIMULACAO]],tblVendas[[#This Row],[MES]],"")</f>
        <v>Setembro</v>
      </c>
      <c r="E953">
        <f>SUM(_xlfn.XLOOKUP(tblCalculo[[#This Row],[NR_SIMULACAO]],tblVendas[[#This Row],[NR_SIMULACAO]],tblVendas[[#This Row],[VALOR_MOVEL]],""):_xlfn.XLOOKUP(tblCalculo[[#This Row],[NR_SIMULACAO]],tblVendas[[#This Row],[NR_SIMULACAO]],tblVendas[[#This Row],[VALOR_APARELHO]],""))</f>
        <v>16259.02</v>
      </c>
      <c r="F953">
        <f>IF(tblCalculo[[#This Row],[STATUS]]="CONCLUÍDO",_xlfn.XLOOKUP(tblCalculo[[#This Row],[NR_SIMULACAO]],tblVendas[[#This Row],[NR_SIMULACAO]],tblVendas[[#This Row],[VALOR_MOVEL]],""),0)</f>
        <v>0</v>
      </c>
      <c r="G953">
        <f>IF(tblCalculo[[#This Row],[STATUS]]="CONCLUÍDO",_xlfn.XLOOKUP(tblCalculo[[#This Row],[NR_SIMULACAO]],tblVendas[[#This Row],[NR_SIMULACAO]],tblVendas[[#This Row],[VALOR_AVANCADO]],""),0)</f>
        <v>0</v>
      </c>
      <c r="H953">
        <f>IF(tblCalculo[[#This Row],[STATUS]]="CONCLUÍDO",_xlfn.XLOOKUP(tblCalculo[[#This Row],[NR_SIMULACAO]],tblVendas[[#This Row],[NR_SIMULACAO]],tblVendas[[#This Row],[VALOR_FIXABASICA]],""),0)</f>
        <v>0</v>
      </c>
      <c r="I953">
        <f>IF(tblCalculo[[#This Row],[STATUS]]="CONCLUÍDO",_xlfn.XLOOKUP(tblCalculo[[#This Row],[NR_SIMULACAO]],tblVendas[[#This Row],[NR_SIMULACAO]],tblVendas[[#This Row],[VALOR_TI]],""),0)</f>
        <v>0</v>
      </c>
      <c r="J953">
        <f>IF(tblCalculo[[#This Row],[STATUS]]="CONCLUÍDO",_xlfn.XLOOKUP(tblCalculo[[#This Row],[NR_SIMULACAO]],tblVendas[[#This Row],[NR_SIMULACAO]],tblVendas[[#This Row],[VALOR_APARELHO]],""),0)</f>
        <v>0</v>
      </c>
      <c r="K953" t="str">
        <f>IF(tblCalculo[[#This Row],[STATUS]]="NEGOCIANDO",tblCalculo[[#This Row],[VALOR_TOTAL]],"")</f>
        <v/>
      </c>
      <c r="L953" t="str">
        <f>IF(tblCalculo[[#This Row],[STATUS]]="ALÇADA",tblCalculo[[#This Row],[VALOR_TOTAL]],"")</f>
        <v/>
      </c>
      <c r="M953" t="str">
        <f>IF(tblCalculo[[#This Row],[STATUS]]="EM ANÁLISE",tblCalculo[[#This Row],[VALOR_TOTAL]],"")</f>
        <v/>
      </c>
      <c r="N953" t="str">
        <f>IF(tblCalculo[[#This Row],[STATUS]]="TRAMITANDO",tblCalculo[[#This Row],[VALOR_TOTAL]],"")</f>
        <v/>
      </c>
      <c r="O953">
        <f>IF(tblCalculo[[#This Row],[STATUS]]="PERDIDO",tblCalculo[[#This Row],[VALOR_TOTAL]],"")</f>
        <v>16259.02</v>
      </c>
      <c r="P953" t="str">
        <f>IF(tblCalculo[[#This Row],[STATUS]]="CONCLUÍDO",tblCalculo[[#This Row],[VALOR_TOTAL]],"")</f>
        <v/>
      </c>
    </row>
    <row r="954" spans="1:16" x14ac:dyDescent="0.25">
      <c r="A954" t="str">
        <f>tblVendas[[#This Row],[NR_SIMULACAO]]</f>
        <v>SIM1944</v>
      </c>
      <c r="B954" s="34" t="str">
        <f>_xlfn.XLOOKUP(A954,tblVendas[[#This Row],[NR_SIMULACAO]],tblVendas[[#This Row],[NR_CNPJ]],"")</f>
        <v>57.502.228/0001-17</v>
      </c>
      <c r="C954" t="str">
        <f>_xlfn.XLOOKUP(A954,tblVendas[[#This Row],[NR_SIMULACAO]],tblVendas[[#This Row],[STATUS]],"")</f>
        <v>PERDIDO</v>
      </c>
      <c r="D954" t="str">
        <f>_xlfn.XLOOKUP(A954,tblVendas[[#This Row],[NR_SIMULACAO]],tblVendas[[#This Row],[MES]],"")</f>
        <v>Fevereiro</v>
      </c>
      <c r="E954">
        <f>SUM(_xlfn.XLOOKUP(tblCalculo[[#This Row],[NR_SIMULACAO]],tblVendas[[#This Row],[NR_SIMULACAO]],tblVendas[[#This Row],[VALOR_MOVEL]],""):_xlfn.XLOOKUP(tblCalculo[[#This Row],[NR_SIMULACAO]],tblVendas[[#This Row],[NR_SIMULACAO]],tblVendas[[#This Row],[VALOR_APARELHO]],""))</f>
        <v>3155.68</v>
      </c>
      <c r="F954">
        <f>IF(tblCalculo[[#This Row],[STATUS]]="CONCLUÍDO",_xlfn.XLOOKUP(tblCalculo[[#This Row],[NR_SIMULACAO]],tblVendas[[#This Row],[NR_SIMULACAO]],tblVendas[[#This Row],[VALOR_MOVEL]],""),0)</f>
        <v>0</v>
      </c>
      <c r="G954">
        <f>IF(tblCalculo[[#This Row],[STATUS]]="CONCLUÍDO",_xlfn.XLOOKUP(tblCalculo[[#This Row],[NR_SIMULACAO]],tblVendas[[#This Row],[NR_SIMULACAO]],tblVendas[[#This Row],[VALOR_AVANCADO]],""),0)</f>
        <v>0</v>
      </c>
      <c r="H954">
        <f>IF(tblCalculo[[#This Row],[STATUS]]="CONCLUÍDO",_xlfn.XLOOKUP(tblCalculo[[#This Row],[NR_SIMULACAO]],tblVendas[[#This Row],[NR_SIMULACAO]],tblVendas[[#This Row],[VALOR_FIXABASICA]],""),0)</f>
        <v>0</v>
      </c>
      <c r="I954">
        <f>IF(tblCalculo[[#This Row],[STATUS]]="CONCLUÍDO",_xlfn.XLOOKUP(tblCalculo[[#This Row],[NR_SIMULACAO]],tblVendas[[#This Row],[NR_SIMULACAO]],tblVendas[[#This Row],[VALOR_TI]],""),0)</f>
        <v>0</v>
      </c>
      <c r="J954">
        <f>IF(tblCalculo[[#This Row],[STATUS]]="CONCLUÍDO",_xlfn.XLOOKUP(tblCalculo[[#This Row],[NR_SIMULACAO]],tblVendas[[#This Row],[NR_SIMULACAO]],tblVendas[[#This Row],[VALOR_APARELHO]],""),0)</f>
        <v>0</v>
      </c>
      <c r="K954" t="str">
        <f>IF(tblCalculo[[#This Row],[STATUS]]="NEGOCIANDO",tblCalculo[[#This Row],[VALOR_TOTAL]],"")</f>
        <v/>
      </c>
      <c r="L954" t="str">
        <f>IF(tblCalculo[[#This Row],[STATUS]]="ALÇADA",tblCalculo[[#This Row],[VALOR_TOTAL]],"")</f>
        <v/>
      </c>
      <c r="M954" t="str">
        <f>IF(tblCalculo[[#This Row],[STATUS]]="EM ANÁLISE",tblCalculo[[#This Row],[VALOR_TOTAL]],"")</f>
        <v/>
      </c>
      <c r="N954" t="str">
        <f>IF(tblCalculo[[#This Row],[STATUS]]="TRAMITANDO",tblCalculo[[#This Row],[VALOR_TOTAL]],"")</f>
        <v/>
      </c>
      <c r="O954">
        <f>IF(tblCalculo[[#This Row],[STATUS]]="PERDIDO",tblCalculo[[#This Row],[VALOR_TOTAL]],"")</f>
        <v>3155.68</v>
      </c>
      <c r="P954" t="str">
        <f>IF(tblCalculo[[#This Row],[STATUS]]="CONCLUÍDO",tblCalculo[[#This Row],[VALOR_TOTAL]],"")</f>
        <v/>
      </c>
    </row>
    <row r="955" spans="1:16" x14ac:dyDescent="0.25">
      <c r="A955" t="str">
        <f>tblVendas[[#This Row],[NR_SIMULACAO]]</f>
        <v>SIM1945</v>
      </c>
      <c r="B955" s="34" t="str">
        <f>_xlfn.XLOOKUP(A955,tblVendas[[#This Row],[NR_SIMULACAO]],tblVendas[[#This Row],[NR_CNPJ]],"")</f>
        <v>37.671.857/0001-94</v>
      </c>
      <c r="C955" t="str">
        <f>_xlfn.XLOOKUP(A955,tblVendas[[#This Row],[NR_SIMULACAO]],tblVendas[[#This Row],[STATUS]],"")</f>
        <v>PERDIDO</v>
      </c>
      <c r="D955" t="str">
        <f>_xlfn.XLOOKUP(A955,tblVendas[[#This Row],[NR_SIMULACAO]],tblVendas[[#This Row],[MES]],"")</f>
        <v>Julho</v>
      </c>
      <c r="E955">
        <f>SUM(_xlfn.XLOOKUP(tblCalculo[[#This Row],[NR_SIMULACAO]],tblVendas[[#This Row],[NR_SIMULACAO]],tblVendas[[#This Row],[VALOR_MOVEL]],""):_xlfn.XLOOKUP(tblCalculo[[#This Row],[NR_SIMULACAO]],tblVendas[[#This Row],[NR_SIMULACAO]],tblVendas[[#This Row],[VALOR_APARELHO]],""))</f>
        <v>17722.48</v>
      </c>
      <c r="F955">
        <f>IF(tblCalculo[[#This Row],[STATUS]]="CONCLUÍDO",_xlfn.XLOOKUP(tblCalculo[[#This Row],[NR_SIMULACAO]],tblVendas[[#This Row],[NR_SIMULACAO]],tblVendas[[#This Row],[VALOR_MOVEL]],""),0)</f>
        <v>0</v>
      </c>
      <c r="G955">
        <f>IF(tblCalculo[[#This Row],[STATUS]]="CONCLUÍDO",_xlfn.XLOOKUP(tblCalculo[[#This Row],[NR_SIMULACAO]],tblVendas[[#This Row],[NR_SIMULACAO]],tblVendas[[#This Row],[VALOR_AVANCADO]],""),0)</f>
        <v>0</v>
      </c>
      <c r="H955">
        <f>IF(tblCalculo[[#This Row],[STATUS]]="CONCLUÍDO",_xlfn.XLOOKUP(tblCalculo[[#This Row],[NR_SIMULACAO]],tblVendas[[#This Row],[NR_SIMULACAO]],tblVendas[[#This Row],[VALOR_FIXABASICA]],""),0)</f>
        <v>0</v>
      </c>
      <c r="I955">
        <f>IF(tblCalculo[[#This Row],[STATUS]]="CONCLUÍDO",_xlfn.XLOOKUP(tblCalculo[[#This Row],[NR_SIMULACAO]],tblVendas[[#This Row],[NR_SIMULACAO]],tblVendas[[#This Row],[VALOR_TI]],""),0)</f>
        <v>0</v>
      </c>
      <c r="J955">
        <f>IF(tblCalculo[[#This Row],[STATUS]]="CONCLUÍDO",_xlfn.XLOOKUP(tblCalculo[[#This Row],[NR_SIMULACAO]],tblVendas[[#This Row],[NR_SIMULACAO]],tblVendas[[#This Row],[VALOR_APARELHO]],""),0)</f>
        <v>0</v>
      </c>
      <c r="K955" t="str">
        <f>IF(tblCalculo[[#This Row],[STATUS]]="NEGOCIANDO",tblCalculo[[#This Row],[VALOR_TOTAL]],"")</f>
        <v/>
      </c>
      <c r="L955" t="str">
        <f>IF(tblCalculo[[#This Row],[STATUS]]="ALÇADA",tblCalculo[[#This Row],[VALOR_TOTAL]],"")</f>
        <v/>
      </c>
      <c r="M955" t="str">
        <f>IF(tblCalculo[[#This Row],[STATUS]]="EM ANÁLISE",tblCalculo[[#This Row],[VALOR_TOTAL]],"")</f>
        <v/>
      </c>
      <c r="N955" t="str">
        <f>IF(tblCalculo[[#This Row],[STATUS]]="TRAMITANDO",tblCalculo[[#This Row],[VALOR_TOTAL]],"")</f>
        <v/>
      </c>
      <c r="O955">
        <f>IF(tblCalculo[[#This Row],[STATUS]]="PERDIDO",tblCalculo[[#This Row],[VALOR_TOTAL]],"")</f>
        <v>17722.48</v>
      </c>
      <c r="P955" t="str">
        <f>IF(tblCalculo[[#This Row],[STATUS]]="CONCLUÍDO",tblCalculo[[#This Row],[VALOR_TOTAL]],"")</f>
        <v/>
      </c>
    </row>
    <row r="956" spans="1:16" x14ac:dyDescent="0.25">
      <c r="A956" t="str">
        <f>tblVendas[[#This Row],[NR_SIMULACAO]]</f>
        <v>SIM1946</v>
      </c>
      <c r="B956" s="34" t="str">
        <f>_xlfn.XLOOKUP(A956,tblVendas[[#This Row],[NR_SIMULACAO]],tblVendas[[#This Row],[NR_CNPJ]],"")</f>
        <v>28.550.658/0001-19</v>
      </c>
      <c r="C956" t="str">
        <f>_xlfn.XLOOKUP(A956,tblVendas[[#This Row],[NR_SIMULACAO]],tblVendas[[#This Row],[STATUS]],"")</f>
        <v>PERDIDO</v>
      </c>
      <c r="D956" t="str">
        <f>_xlfn.XLOOKUP(A956,tblVendas[[#This Row],[NR_SIMULACAO]],tblVendas[[#This Row],[MES]],"")</f>
        <v>Dezembro</v>
      </c>
      <c r="E956">
        <f>SUM(_xlfn.XLOOKUP(tblCalculo[[#This Row],[NR_SIMULACAO]],tblVendas[[#This Row],[NR_SIMULACAO]],tblVendas[[#This Row],[VALOR_MOVEL]],""):_xlfn.XLOOKUP(tblCalculo[[#This Row],[NR_SIMULACAO]],tblVendas[[#This Row],[NR_SIMULACAO]],tblVendas[[#This Row],[VALOR_APARELHO]],""))</f>
        <v>16132.04</v>
      </c>
      <c r="F956">
        <f>IF(tblCalculo[[#This Row],[STATUS]]="CONCLUÍDO",_xlfn.XLOOKUP(tblCalculo[[#This Row],[NR_SIMULACAO]],tblVendas[[#This Row],[NR_SIMULACAO]],tblVendas[[#This Row],[VALOR_MOVEL]],""),0)</f>
        <v>0</v>
      </c>
      <c r="G956">
        <f>IF(tblCalculo[[#This Row],[STATUS]]="CONCLUÍDO",_xlfn.XLOOKUP(tblCalculo[[#This Row],[NR_SIMULACAO]],tblVendas[[#This Row],[NR_SIMULACAO]],tblVendas[[#This Row],[VALOR_AVANCADO]],""),0)</f>
        <v>0</v>
      </c>
      <c r="H956">
        <f>IF(tblCalculo[[#This Row],[STATUS]]="CONCLUÍDO",_xlfn.XLOOKUP(tblCalculo[[#This Row],[NR_SIMULACAO]],tblVendas[[#This Row],[NR_SIMULACAO]],tblVendas[[#This Row],[VALOR_FIXABASICA]],""),0)</f>
        <v>0</v>
      </c>
      <c r="I956">
        <f>IF(tblCalculo[[#This Row],[STATUS]]="CONCLUÍDO",_xlfn.XLOOKUP(tblCalculo[[#This Row],[NR_SIMULACAO]],tblVendas[[#This Row],[NR_SIMULACAO]],tblVendas[[#This Row],[VALOR_TI]],""),0)</f>
        <v>0</v>
      </c>
      <c r="J956">
        <f>IF(tblCalculo[[#This Row],[STATUS]]="CONCLUÍDO",_xlfn.XLOOKUP(tblCalculo[[#This Row],[NR_SIMULACAO]],tblVendas[[#This Row],[NR_SIMULACAO]],tblVendas[[#This Row],[VALOR_APARELHO]],""),0)</f>
        <v>0</v>
      </c>
      <c r="K956" t="str">
        <f>IF(tblCalculo[[#This Row],[STATUS]]="NEGOCIANDO",tblCalculo[[#This Row],[VALOR_TOTAL]],"")</f>
        <v/>
      </c>
      <c r="L956" t="str">
        <f>IF(tblCalculo[[#This Row],[STATUS]]="ALÇADA",tblCalculo[[#This Row],[VALOR_TOTAL]],"")</f>
        <v/>
      </c>
      <c r="M956" t="str">
        <f>IF(tblCalculo[[#This Row],[STATUS]]="EM ANÁLISE",tblCalculo[[#This Row],[VALOR_TOTAL]],"")</f>
        <v/>
      </c>
      <c r="N956" t="str">
        <f>IF(tblCalculo[[#This Row],[STATUS]]="TRAMITANDO",tblCalculo[[#This Row],[VALOR_TOTAL]],"")</f>
        <v/>
      </c>
      <c r="O956">
        <f>IF(tblCalculo[[#This Row],[STATUS]]="PERDIDO",tblCalculo[[#This Row],[VALOR_TOTAL]],"")</f>
        <v>16132.04</v>
      </c>
      <c r="P956" t="str">
        <f>IF(tblCalculo[[#This Row],[STATUS]]="CONCLUÍDO",tblCalculo[[#This Row],[VALOR_TOTAL]],"")</f>
        <v/>
      </c>
    </row>
    <row r="957" spans="1:16" x14ac:dyDescent="0.25">
      <c r="A957" t="str">
        <f>tblVendas[[#This Row],[NR_SIMULACAO]]</f>
        <v>SIM1947</v>
      </c>
      <c r="B957" s="34" t="str">
        <f>_xlfn.XLOOKUP(A957,tblVendas[[#This Row],[NR_SIMULACAO]],tblVendas[[#This Row],[NR_CNPJ]],"")</f>
        <v>69.548.475/0001-57</v>
      </c>
      <c r="C957" t="str">
        <f>_xlfn.XLOOKUP(A957,tblVendas[[#This Row],[NR_SIMULACAO]],tblVendas[[#This Row],[STATUS]],"")</f>
        <v>NEGOCIANDO</v>
      </c>
      <c r="D957" t="str">
        <f>_xlfn.XLOOKUP(A957,tblVendas[[#This Row],[NR_SIMULACAO]],tblVendas[[#This Row],[MES]],"")</f>
        <v>Maio</v>
      </c>
      <c r="E957">
        <f>SUM(_xlfn.XLOOKUP(tblCalculo[[#This Row],[NR_SIMULACAO]],tblVendas[[#This Row],[NR_SIMULACAO]],tblVendas[[#This Row],[VALOR_MOVEL]],""):_xlfn.XLOOKUP(tblCalculo[[#This Row],[NR_SIMULACAO]],tblVendas[[#This Row],[NR_SIMULACAO]],tblVendas[[#This Row],[VALOR_APARELHO]],""))</f>
        <v>13615.010000000002</v>
      </c>
      <c r="F957">
        <f>IF(tblCalculo[[#This Row],[STATUS]]="CONCLUÍDO",_xlfn.XLOOKUP(tblCalculo[[#This Row],[NR_SIMULACAO]],tblVendas[[#This Row],[NR_SIMULACAO]],tblVendas[[#This Row],[VALOR_MOVEL]],""),0)</f>
        <v>0</v>
      </c>
      <c r="G957">
        <f>IF(tblCalculo[[#This Row],[STATUS]]="CONCLUÍDO",_xlfn.XLOOKUP(tblCalculo[[#This Row],[NR_SIMULACAO]],tblVendas[[#This Row],[NR_SIMULACAO]],tblVendas[[#This Row],[VALOR_AVANCADO]],""),0)</f>
        <v>0</v>
      </c>
      <c r="H957">
        <f>IF(tblCalculo[[#This Row],[STATUS]]="CONCLUÍDO",_xlfn.XLOOKUP(tblCalculo[[#This Row],[NR_SIMULACAO]],tblVendas[[#This Row],[NR_SIMULACAO]],tblVendas[[#This Row],[VALOR_FIXABASICA]],""),0)</f>
        <v>0</v>
      </c>
      <c r="I957">
        <f>IF(tblCalculo[[#This Row],[STATUS]]="CONCLUÍDO",_xlfn.XLOOKUP(tblCalculo[[#This Row],[NR_SIMULACAO]],tblVendas[[#This Row],[NR_SIMULACAO]],tblVendas[[#This Row],[VALOR_TI]],""),0)</f>
        <v>0</v>
      </c>
      <c r="J957">
        <f>IF(tblCalculo[[#This Row],[STATUS]]="CONCLUÍDO",_xlfn.XLOOKUP(tblCalculo[[#This Row],[NR_SIMULACAO]],tblVendas[[#This Row],[NR_SIMULACAO]],tblVendas[[#This Row],[VALOR_APARELHO]],""),0)</f>
        <v>0</v>
      </c>
      <c r="K957">
        <f>IF(tblCalculo[[#This Row],[STATUS]]="NEGOCIANDO",tblCalculo[[#This Row],[VALOR_TOTAL]],"")</f>
        <v>13615.010000000002</v>
      </c>
      <c r="L957" t="str">
        <f>IF(tblCalculo[[#This Row],[STATUS]]="ALÇADA",tblCalculo[[#This Row],[VALOR_TOTAL]],"")</f>
        <v/>
      </c>
      <c r="M957" t="str">
        <f>IF(tblCalculo[[#This Row],[STATUS]]="EM ANÁLISE",tblCalculo[[#This Row],[VALOR_TOTAL]],"")</f>
        <v/>
      </c>
      <c r="N957" t="str">
        <f>IF(tblCalculo[[#This Row],[STATUS]]="TRAMITANDO",tblCalculo[[#This Row],[VALOR_TOTAL]],"")</f>
        <v/>
      </c>
      <c r="O957" t="str">
        <f>IF(tblCalculo[[#This Row],[STATUS]]="PERDIDO",tblCalculo[[#This Row],[VALOR_TOTAL]],"")</f>
        <v/>
      </c>
      <c r="P957" t="str">
        <f>IF(tblCalculo[[#This Row],[STATUS]]="CONCLUÍDO",tblCalculo[[#This Row],[VALOR_TOTAL]],"")</f>
        <v/>
      </c>
    </row>
    <row r="958" spans="1:16" x14ac:dyDescent="0.25">
      <c r="A958" t="str">
        <f>tblVendas[[#This Row],[NR_SIMULACAO]]</f>
        <v>SIM1948</v>
      </c>
      <c r="B958" s="34" t="str">
        <f>_xlfn.XLOOKUP(A958,tblVendas[[#This Row],[NR_SIMULACAO]],tblVendas[[#This Row],[NR_CNPJ]],"")</f>
        <v>28.731.880/0001-74</v>
      </c>
      <c r="C958" t="str">
        <f>_xlfn.XLOOKUP(A958,tblVendas[[#This Row],[NR_SIMULACAO]],tblVendas[[#This Row],[STATUS]],"")</f>
        <v>ALÇADA</v>
      </c>
      <c r="D958" t="str">
        <f>_xlfn.XLOOKUP(A958,tblVendas[[#This Row],[NR_SIMULACAO]],tblVendas[[#This Row],[MES]],"")</f>
        <v>Dezembro</v>
      </c>
      <c r="E958">
        <f>SUM(_xlfn.XLOOKUP(tblCalculo[[#This Row],[NR_SIMULACAO]],tblVendas[[#This Row],[NR_SIMULACAO]],tblVendas[[#This Row],[VALOR_MOVEL]],""):_xlfn.XLOOKUP(tblCalculo[[#This Row],[NR_SIMULACAO]],tblVendas[[#This Row],[NR_SIMULACAO]],tblVendas[[#This Row],[VALOR_APARELHO]],""))</f>
        <v>7171.3200000000006</v>
      </c>
      <c r="F958">
        <f>IF(tblCalculo[[#This Row],[STATUS]]="CONCLUÍDO",_xlfn.XLOOKUP(tblCalculo[[#This Row],[NR_SIMULACAO]],tblVendas[[#This Row],[NR_SIMULACAO]],tblVendas[[#This Row],[VALOR_MOVEL]],""),0)</f>
        <v>0</v>
      </c>
      <c r="G958">
        <f>IF(tblCalculo[[#This Row],[STATUS]]="CONCLUÍDO",_xlfn.XLOOKUP(tblCalculo[[#This Row],[NR_SIMULACAO]],tblVendas[[#This Row],[NR_SIMULACAO]],tblVendas[[#This Row],[VALOR_AVANCADO]],""),0)</f>
        <v>0</v>
      </c>
      <c r="H958">
        <f>IF(tblCalculo[[#This Row],[STATUS]]="CONCLUÍDO",_xlfn.XLOOKUP(tblCalculo[[#This Row],[NR_SIMULACAO]],tblVendas[[#This Row],[NR_SIMULACAO]],tblVendas[[#This Row],[VALOR_FIXABASICA]],""),0)</f>
        <v>0</v>
      </c>
      <c r="I958">
        <f>IF(tblCalculo[[#This Row],[STATUS]]="CONCLUÍDO",_xlfn.XLOOKUP(tblCalculo[[#This Row],[NR_SIMULACAO]],tblVendas[[#This Row],[NR_SIMULACAO]],tblVendas[[#This Row],[VALOR_TI]],""),0)</f>
        <v>0</v>
      </c>
      <c r="J958">
        <f>IF(tblCalculo[[#This Row],[STATUS]]="CONCLUÍDO",_xlfn.XLOOKUP(tblCalculo[[#This Row],[NR_SIMULACAO]],tblVendas[[#This Row],[NR_SIMULACAO]],tblVendas[[#This Row],[VALOR_APARELHO]],""),0)</f>
        <v>0</v>
      </c>
      <c r="K958" t="str">
        <f>IF(tblCalculo[[#This Row],[STATUS]]="NEGOCIANDO",tblCalculo[[#This Row],[VALOR_TOTAL]],"")</f>
        <v/>
      </c>
      <c r="L958">
        <f>IF(tblCalculo[[#This Row],[STATUS]]="ALÇADA",tblCalculo[[#This Row],[VALOR_TOTAL]],"")</f>
        <v>7171.3200000000006</v>
      </c>
      <c r="M958" t="str">
        <f>IF(tblCalculo[[#This Row],[STATUS]]="EM ANÁLISE",tblCalculo[[#This Row],[VALOR_TOTAL]],"")</f>
        <v/>
      </c>
      <c r="N958" t="str">
        <f>IF(tblCalculo[[#This Row],[STATUS]]="TRAMITANDO",tblCalculo[[#This Row],[VALOR_TOTAL]],"")</f>
        <v/>
      </c>
      <c r="O958" t="str">
        <f>IF(tblCalculo[[#This Row],[STATUS]]="PERDIDO",tblCalculo[[#This Row],[VALOR_TOTAL]],"")</f>
        <v/>
      </c>
      <c r="P958" t="str">
        <f>IF(tblCalculo[[#This Row],[STATUS]]="CONCLUÍDO",tblCalculo[[#This Row],[VALOR_TOTAL]],"")</f>
        <v/>
      </c>
    </row>
    <row r="959" spans="1:16" x14ac:dyDescent="0.25">
      <c r="A959" t="str">
        <f>tblVendas[[#This Row],[NR_SIMULACAO]]</f>
        <v>SIM1949</v>
      </c>
      <c r="B959" s="34" t="str">
        <f>_xlfn.XLOOKUP(A959,tblVendas[[#This Row],[NR_SIMULACAO]],tblVendas[[#This Row],[NR_CNPJ]],"")</f>
        <v>33.522.995/0001-93</v>
      </c>
      <c r="C959" t="str">
        <f>_xlfn.XLOOKUP(A959,tblVendas[[#This Row],[NR_SIMULACAO]],tblVendas[[#This Row],[STATUS]],"")</f>
        <v>PERDIDO</v>
      </c>
      <c r="D959" t="str">
        <f>_xlfn.XLOOKUP(A959,tblVendas[[#This Row],[NR_SIMULACAO]],tblVendas[[#This Row],[MES]],"")</f>
        <v>Outubro</v>
      </c>
      <c r="E959">
        <f>SUM(_xlfn.XLOOKUP(tblCalculo[[#This Row],[NR_SIMULACAO]],tblVendas[[#This Row],[NR_SIMULACAO]],tblVendas[[#This Row],[VALOR_MOVEL]],""):_xlfn.XLOOKUP(tblCalculo[[#This Row],[NR_SIMULACAO]],tblVendas[[#This Row],[NR_SIMULACAO]],tblVendas[[#This Row],[VALOR_APARELHO]],""))</f>
        <v>7204.8700000000008</v>
      </c>
      <c r="F959">
        <f>IF(tblCalculo[[#This Row],[STATUS]]="CONCLUÍDO",_xlfn.XLOOKUP(tblCalculo[[#This Row],[NR_SIMULACAO]],tblVendas[[#This Row],[NR_SIMULACAO]],tblVendas[[#This Row],[VALOR_MOVEL]],""),0)</f>
        <v>0</v>
      </c>
      <c r="G959">
        <f>IF(tblCalculo[[#This Row],[STATUS]]="CONCLUÍDO",_xlfn.XLOOKUP(tblCalculo[[#This Row],[NR_SIMULACAO]],tblVendas[[#This Row],[NR_SIMULACAO]],tblVendas[[#This Row],[VALOR_AVANCADO]],""),0)</f>
        <v>0</v>
      </c>
      <c r="H959">
        <f>IF(tblCalculo[[#This Row],[STATUS]]="CONCLUÍDO",_xlfn.XLOOKUP(tblCalculo[[#This Row],[NR_SIMULACAO]],tblVendas[[#This Row],[NR_SIMULACAO]],tblVendas[[#This Row],[VALOR_FIXABASICA]],""),0)</f>
        <v>0</v>
      </c>
      <c r="I959">
        <f>IF(tblCalculo[[#This Row],[STATUS]]="CONCLUÍDO",_xlfn.XLOOKUP(tblCalculo[[#This Row],[NR_SIMULACAO]],tblVendas[[#This Row],[NR_SIMULACAO]],tblVendas[[#This Row],[VALOR_TI]],""),0)</f>
        <v>0</v>
      </c>
      <c r="J959">
        <f>IF(tblCalculo[[#This Row],[STATUS]]="CONCLUÍDO",_xlfn.XLOOKUP(tblCalculo[[#This Row],[NR_SIMULACAO]],tblVendas[[#This Row],[NR_SIMULACAO]],tblVendas[[#This Row],[VALOR_APARELHO]],""),0)</f>
        <v>0</v>
      </c>
      <c r="K959" t="str">
        <f>IF(tblCalculo[[#This Row],[STATUS]]="NEGOCIANDO",tblCalculo[[#This Row],[VALOR_TOTAL]],"")</f>
        <v/>
      </c>
      <c r="L959" t="str">
        <f>IF(tblCalculo[[#This Row],[STATUS]]="ALÇADA",tblCalculo[[#This Row],[VALOR_TOTAL]],"")</f>
        <v/>
      </c>
      <c r="M959" t="str">
        <f>IF(tblCalculo[[#This Row],[STATUS]]="EM ANÁLISE",tblCalculo[[#This Row],[VALOR_TOTAL]],"")</f>
        <v/>
      </c>
      <c r="N959" t="str">
        <f>IF(tblCalculo[[#This Row],[STATUS]]="TRAMITANDO",tblCalculo[[#This Row],[VALOR_TOTAL]],"")</f>
        <v/>
      </c>
      <c r="O959">
        <f>IF(tblCalculo[[#This Row],[STATUS]]="PERDIDO",tblCalculo[[#This Row],[VALOR_TOTAL]],"")</f>
        <v>7204.8700000000008</v>
      </c>
      <c r="P959" t="str">
        <f>IF(tblCalculo[[#This Row],[STATUS]]="CONCLUÍDO",tblCalculo[[#This Row],[VALOR_TOTAL]],"")</f>
        <v/>
      </c>
    </row>
    <row r="960" spans="1:16" x14ac:dyDescent="0.25">
      <c r="A960" t="str">
        <f>tblVendas[[#This Row],[NR_SIMULACAO]]</f>
        <v>SIM1950</v>
      </c>
      <c r="B960" s="34" t="str">
        <f>_xlfn.XLOOKUP(A960,tblVendas[[#This Row],[NR_SIMULACAO]],tblVendas[[#This Row],[NR_CNPJ]],"")</f>
        <v>63.562.949/0001-94</v>
      </c>
      <c r="C960" t="str">
        <f>_xlfn.XLOOKUP(A960,tblVendas[[#This Row],[NR_SIMULACAO]],tblVendas[[#This Row],[STATUS]],"")</f>
        <v>ALÇADA</v>
      </c>
      <c r="D960" t="str">
        <f>_xlfn.XLOOKUP(A960,tblVendas[[#This Row],[NR_SIMULACAO]],tblVendas[[#This Row],[MES]],"")</f>
        <v>Novembro</v>
      </c>
      <c r="E960">
        <f>SUM(_xlfn.XLOOKUP(tblCalculo[[#This Row],[NR_SIMULACAO]],tblVendas[[#This Row],[NR_SIMULACAO]],tblVendas[[#This Row],[VALOR_MOVEL]],""):_xlfn.XLOOKUP(tblCalculo[[#This Row],[NR_SIMULACAO]],tblVendas[[#This Row],[NR_SIMULACAO]],tblVendas[[#This Row],[VALOR_APARELHO]],""))</f>
        <v>6380.67</v>
      </c>
      <c r="F960">
        <f>IF(tblCalculo[[#This Row],[STATUS]]="CONCLUÍDO",_xlfn.XLOOKUP(tblCalculo[[#This Row],[NR_SIMULACAO]],tblVendas[[#This Row],[NR_SIMULACAO]],tblVendas[[#This Row],[VALOR_MOVEL]],""),0)</f>
        <v>0</v>
      </c>
      <c r="G960">
        <f>IF(tblCalculo[[#This Row],[STATUS]]="CONCLUÍDO",_xlfn.XLOOKUP(tblCalculo[[#This Row],[NR_SIMULACAO]],tblVendas[[#This Row],[NR_SIMULACAO]],tblVendas[[#This Row],[VALOR_AVANCADO]],""),0)</f>
        <v>0</v>
      </c>
      <c r="H960">
        <f>IF(tblCalculo[[#This Row],[STATUS]]="CONCLUÍDO",_xlfn.XLOOKUP(tblCalculo[[#This Row],[NR_SIMULACAO]],tblVendas[[#This Row],[NR_SIMULACAO]],tblVendas[[#This Row],[VALOR_FIXABASICA]],""),0)</f>
        <v>0</v>
      </c>
      <c r="I960">
        <f>IF(tblCalculo[[#This Row],[STATUS]]="CONCLUÍDO",_xlfn.XLOOKUP(tblCalculo[[#This Row],[NR_SIMULACAO]],tblVendas[[#This Row],[NR_SIMULACAO]],tblVendas[[#This Row],[VALOR_TI]],""),0)</f>
        <v>0</v>
      </c>
      <c r="J960">
        <f>IF(tblCalculo[[#This Row],[STATUS]]="CONCLUÍDO",_xlfn.XLOOKUP(tblCalculo[[#This Row],[NR_SIMULACAO]],tblVendas[[#This Row],[NR_SIMULACAO]],tblVendas[[#This Row],[VALOR_APARELHO]],""),0)</f>
        <v>0</v>
      </c>
      <c r="K960" t="str">
        <f>IF(tblCalculo[[#This Row],[STATUS]]="NEGOCIANDO",tblCalculo[[#This Row],[VALOR_TOTAL]],"")</f>
        <v/>
      </c>
      <c r="L960">
        <f>IF(tblCalculo[[#This Row],[STATUS]]="ALÇADA",tblCalculo[[#This Row],[VALOR_TOTAL]],"")</f>
        <v>6380.67</v>
      </c>
      <c r="M960" t="str">
        <f>IF(tblCalculo[[#This Row],[STATUS]]="EM ANÁLISE",tblCalculo[[#This Row],[VALOR_TOTAL]],"")</f>
        <v/>
      </c>
      <c r="N960" t="str">
        <f>IF(tblCalculo[[#This Row],[STATUS]]="TRAMITANDO",tblCalculo[[#This Row],[VALOR_TOTAL]],"")</f>
        <v/>
      </c>
      <c r="O960" t="str">
        <f>IF(tblCalculo[[#This Row],[STATUS]]="PERDIDO",tblCalculo[[#This Row],[VALOR_TOTAL]],"")</f>
        <v/>
      </c>
      <c r="P960" t="str">
        <f>IF(tblCalculo[[#This Row],[STATUS]]="CONCLUÍDO",tblCalculo[[#This Row],[VALOR_TOTAL]],"")</f>
        <v/>
      </c>
    </row>
    <row r="961" spans="1:16" x14ac:dyDescent="0.25">
      <c r="A961" t="str">
        <f>tblVendas[[#This Row],[NR_SIMULACAO]]</f>
        <v>SIM1951</v>
      </c>
      <c r="B961" s="34" t="str">
        <f>_xlfn.XLOOKUP(A961,tblVendas[[#This Row],[NR_SIMULACAO]],tblVendas[[#This Row],[NR_CNPJ]],"")</f>
        <v>71.393.909/0001-15</v>
      </c>
      <c r="C961" t="str">
        <f>_xlfn.XLOOKUP(A961,tblVendas[[#This Row],[NR_SIMULACAO]],tblVendas[[#This Row],[STATUS]],"")</f>
        <v>TRAMITANDO</v>
      </c>
      <c r="D961" t="str">
        <f>_xlfn.XLOOKUP(A961,tblVendas[[#This Row],[NR_SIMULACAO]],tblVendas[[#This Row],[MES]],"")</f>
        <v>Junho</v>
      </c>
      <c r="E961">
        <f>SUM(_xlfn.XLOOKUP(tblCalculo[[#This Row],[NR_SIMULACAO]],tblVendas[[#This Row],[NR_SIMULACAO]],tblVendas[[#This Row],[VALOR_MOVEL]],""):_xlfn.XLOOKUP(tblCalculo[[#This Row],[NR_SIMULACAO]],tblVendas[[#This Row],[NR_SIMULACAO]],tblVendas[[#This Row],[VALOR_APARELHO]],""))</f>
        <v>2628.25</v>
      </c>
      <c r="F961">
        <f>IF(tblCalculo[[#This Row],[STATUS]]="CONCLUÍDO",_xlfn.XLOOKUP(tblCalculo[[#This Row],[NR_SIMULACAO]],tblVendas[[#This Row],[NR_SIMULACAO]],tblVendas[[#This Row],[VALOR_MOVEL]],""),0)</f>
        <v>0</v>
      </c>
      <c r="G961">
        <f>IF(tblCalculo[[#This Row],[STATUS]]="CONCLUÍDO",_xlfn.XLOOKUP(tblCalculo[[#This Row],[NR_SIMULACAO]],tblVendas[[#This Row],[NR_SIMULACAO]],tblVendas[[#This Row],[VALOR_AVANCADO]],""),0)</f>
        <v>0</v>
      </c>
      <c r="H961">
        <f>IF(tblCalculo[[#This Row],[STATUS]]="CONCLUÍDO",_xlfn.XLOOKUP(tblCalculo[[#This Row],[NR_SIMULACAO]],tblVendas[[#This Row],[NR_SIMULACAO]],tblVendas[[#This Row],[VALOR_FIXABASICA]],""),0)</f>
        <v>0</v>
      </c>
      <c r="I961">
        <f>IF(tblCalculo[[#This Row],[STATUS]]="CONCLUÍDO",_xlfn.XLOOKUP(tblCalculo[[#This Row],[NR_SIMULACAO]],tblVendas[[#This Row],[NR_SIMULACAO]],tblVendas[[#This Row],[VALOR_TI]],""),0)</f>
        <v>0</v>
      </c>
      <c r="J961">
        <f>IF(tblCalculo[[#This Row],[STATUS]]="CONCLUÍDO",_xlfn.XLOOKUP(tblCalculo[[#This Row],[NR_SIMULACAO]],tblVendas[[#This Row],[NR_SIMULACAO]],tblVendas[[#This Row],[VALOR_APARELHO]],""),0)</f>
        <v>0</v>
      </c>
      <c r="K961" t="str">
        <f>IF(tblCalculo[[#This Row],[STATUS]]="NEGOCIANDO",tblCalculo[[#This Row],[VALOR_TOTAL]],"")</f>
        <v/>
      </c>
      <c r="L961" t="str">
        <f>IF(tblCalculo[[#This Row],[STATUS]]="ALÇADA",tblCalculo[[#This Row],[VALOR_TOTAL]],"")</f>
        <v/>
      </c>
      <c r="M961" t="str">
        <f>IF(tblCalculo[[#This Row],[STATUS]]="EM ANÁLISE",tblCalculo[[#This Row],[VALOR_TOTAL]],"")</f>
        <v/>
      </c>
      <c r="N961">
        <f>IF(tblCalculo[[#This Row],[STATUS]]="TRAMITANDO",tblCalculo[[#This Row],[VALOR_TOTAL]],"")</f>
        <v>2628.25</v>
      </c>
      <c r="O961" t="str">
        <f>IF(tblCalculo[[#This Row],[STATUS]]="PERDIDO",tblCalculo[[#This Row],[VALOR_TOTAL]],"")</f>
        <v/>
      </c>
      <c r="P961" t="str">
        <f>IF(tblCalculo[[#This Row],[STATUS]]="CONCLUÍDO",tblCalculo[[#This Row],[VALOR_TOTAL]],"")</f>
        <v/>
      </c>
    </row>
    <row r="962" spans="1:16" x14ac:dyDescent="0.25">
      <c r="A962" t="str">
        <f>tblVendas[[#This Row],[NR_SIMULACAO]]</f>
        <v>SIM1952</v>
      </c>
      <c r="B962" s="34" t="str">
        <f>_xlfn.XLOOKUP(A962,tblVendas[[#This Row],[NR_SIMULACAO]],tblVendas[[#This Row],[NR_CNPJ]],"")</f>
        <v>25.386.240/0001-87</v>
      </c>
      <c r="C962" t="str">
        <f>_xlfn.XLOOKUP(A962,tblVendas[[#This Row],[NR_SIMULACAO]],tblVendas[[#This Row],[STATUS]],"")</f>
        <v>PERDIDO</v>
      </c>
      <c r="D962" t="str">
        <f>_xlfn.XLOOKUP(A962,tblVendas[[#This Row],[NR_SIMULACAO]],tblVendas[[#This Row],[MES]],"")</f>
        <v>Agosto</v>
      </c>
      <c r="E962">
        <f>SUM(_xlfn.XLOOKUP(tblCalculo[[#This Row],[NR_SIMULACAO]],tblVendas[[#This Row],[NR_SIMULACAO]],tblVendas[[#This Row],[VALOR_MOVEL]],""):_xlfn.XLOOKUP(tblCalculo[[#This Row],[NR_SIMULACAO]],tblVendas[[#This Row],[NR_SIMULACAO]],tblVendas[[#This Row],[VALOR_APARELHO]],""))</f>
        <v>5777.76</v>
      </c>
      <c r="F962">
        <f>IF(tblCalculo[[#This Row],[STATUS]]="CONCLUÍDO",_xlfn.XLOOKUP(tblCalculo[[#This Row],[NR_SIMULACAO]],tblVendas[[#This Row],[NR_SIMULACAO]],tblVendas[[#This Row],[VALOR_MOVEL]],""),0)</f>
        <v>0</v>
      </c>
      <c r="G962">
        <f>IF(tblCalculo[[#This Row],[STATUS]]="CONCLUÍDO",_xlfn.XLOOKUP(tblCalculo[[#This Row],[NR_SIMULACAO]],tblVendas[[#This Row],[NR_SIMULACAO]],tblVendas[[#This Row],[VALOR_AVANCADO]],""),0)</f>
        <v>0</v>
      </c>
      <c r="H962">
        <f>IF(tblCalculo[[#This Row],[STATUS]]="CONCLUÍDO",_xlfn.XLOOKUP(tblCalculo[[#This Row],[NR_SIMULACAO]],tblVendas[[#This Row],[NR_SIMULACAO]],tblVendas[[#This Row],[VALOR_FIXABASICA]],""),0)</f>
        <v>0</v>
      </c>
      <c r="I962">
        <f>IF(tblCalculo[[#This Row],[STATUS]]="CONCLUÍDO",_xlfn.XLOOKUP(tblCalculo[[#This Row],[NR_SIMULACAO]],tblVendas[[#This Row],[NR_SIMULACAO]],tblVendas[[#This Row],[VALOR_TI]],""),0)</f>
        <v>0</v>
      </c>
      <c r="J962">
        <f>IF(tblCalculo[[#This Row],[STATUS]]="CONCLUÍDO",_xlfn.XLOOKUP(tblCalculo[[#This Row],[NR_SIMULACAO]],tblVendas[[#This Row],[NR_SIMULACAO]],tblVendas[[#This Row],[VALOR_APARELHO]],""),0)</f>
        <v>0</v>
      </c>
      <c r="K962" t="str">
        <f>IF(tblCalculo[[#This Row],[STATUS]]="NEGOCIANDO",tblCalculo[[#This Row],[VALOR_TOTAL]],"")</f>
        <v/>
      </c>
      <c r="L962" t="str">
        <f>IF(tblCalculo[[#This Row],[STATUS]]="ALÇADA",tblCalculo[[#This Row],[VALOR_TOTAL]],"")</f>
        <v/>
      </c>
      <c r="M962" t="str">
        <f>IF(tblCalculo[[#This Row],[STATUS]]="EM ANÁLISE",tblCalculo[[#This Row],[VALOR_TOTAL]],"")</f>
        <v/>
      </c>
      <c r="N962" t="str">
        <f>IF(tblCalculo[[#This Row],[STATUS]]="TRAMITANDO",tblCalculo[[#This Row],[VALOR_TOTAL]],"")</f>
        <v/>
      </c>
      <c r="O962">
        <f>IF(tblCalculo[[#This Row],[STATUS]]="PERDIDO",tblCalculo[[#This Row],[VALOR_TOTAL]],"")</f>
        <v>5777.76</v>
      </c>
      <c r="P962" t="str">
        <f>IF(tblCalculo[[#This Row],[STATUS]]="CONCLUÍDO",tblCalculo[[#This Row],[VALOR_TOTAL]],"")</f>
        <v/>
      </c>
    </row>
    <row r="963" spans="1:16" x14ac:dyDescent="0.25">
      <c r="A963" t="str">
        <f>tblVendas[[#This Row],[NR_SIMULACAO]]</f>
        <v>SIM1953</v>
      </c>
      <c r="B963" s="34" t="str">
        <f>_xlfn.XLOOKUP(A963,tblVendas[[#This Row],[NR_SIMULACAO]],tblVendas[[#This Row],[NR_CNPJ]],"")</f>
        <v>58.780.441/0001-15</v>
      </c>
      <c r="C963" t="str">
        <f>_xlfn.XLOOKUP(A963,tblVendas[[#This Row],[NR_SIMULACAO]],tblVendas[[#This Row],[STATUS]],"")</f>
        <v>ALÇADA</v>
      </c>
      <c r="D963" t="str">
        <f>_xlfn.XLOOKUP(A963,tblVendas[[#This Row],[NR_SIMULACAO]],tblVendas[[#This Row],[MES]],"")</f>
        <v>Agosto</v>
      </c>
      <c r="E963">
        <f>SUM(_xlfn.XLOOKUP(tblCalculo[[#This Row],[NR_SIMULACAO]],tblVendas[[#This Row],[NR_SIMULACAO]],tblVendas[[#This Row],[VALOR_MOVEL]],""):_xlfn.XLOOKUP(tblCalculo[[#This Row],[NR_SIMULACAO]],tblVendas[[#This Row],[NR_SIMULACAO]],tblVendas[[#This Row],[VALOR_APARELHO]],""))</f>
        <v>8138.27</v>
      </c>
      <c r="F963">
        <f>IF(tblCalculo[[#This Row],[STATUS]]="CONCLUÍDO",_xlfn.XLOOKUP(tblCalculo[[#This Row],[NR_SIMULACAO]],tblVendas[[#This Row],[NR_SIMULACAO]],tblVendas[[#This Row],[VALOR_MOVEL]],""),0)</f>
        <v>0</v>
      </c>
      <c r="G963">
        <f>IF(tblCalculo[[#This Row],[STATUS]]="CONCLUÍDO",_xlfn.XLOOKUP(tblCalculo[[#This Row],[NR_SIMULACAO]],tblVendas[[#This Row],[NR_SIMULACAO]],tblVendas[[#This Row],[VALOR_AVANCADO]],""),0)</f>
        <v>0</v>
      </c>
      <c r="H963">
        <f>IF(tblCalculo[[#This Row],[STATUS]]="CONCLUÍDO",_xlfn.XLOOKUP(tblCalculo[[#This Row],[NR_SIMULACAO]],tblVendas[[#This Row],[NR_SIMULACAO]],tblVendas[[#This Row],[VALOR_FIXABASICA]],""),0)</f>
        <v>0</v>
      </c>
      <c r="I963">
        <f>IF(tblCalculo[[#This Row],[STATUS]]="CONCLUÍDO",_xlfn.XLOOKUP(tblCalculo[[#This Row],[NR_SIMULACAO]],tblVendas[[#This Row],[NR_SIMULACAO]],tblVendas[[#This Row],[VALOR_TI]],""),0)</f>
        <v>0</v>
      </c>
      <c r="J963">
        <f>IF(tblCalculo[[#This Row],[STATUS]]="CONCLUÍDO",_xlfn.XLOOKUP(tblCalculo[[#This Row],[NR_SIMULACAO]],tblVendas[[#This Row],[NR_SIMULACAO]],tblVendas[[#This Row],[VALOR_APARELHO]],""),0)</f>
        <v>0</v>
      </c>
      <c r="K963" t="str">
        <f>IF(tblCalculo[[#This Row],[STATUS]]="NEGOCIANDO",tblCalculo[[#This Row],[VALOR_TOTAL]],"")</f>
        <v/>
      </c>
      <c r="L963">
        <f>IF(tblCalculo[[#This Row],[STATUS]]="ALÇADA",tblCalculo[[#This Row],[VALOR_TOTAL]],"")</f>
        <v>8138.27</v>
      </c>
      <c r="M963" t="str">
        <f>IF(tblCalculo[[#This Row],[STATUS]]="EM ANÁLISE",tblCalculo[[#This Row],[VALOR_TOTAL]],"")</f>
        <v/>
      </c>
      <c r="N963" t="str">
        <f>IF(tblCalculo[[#This Row],[STATUS]]="TRAMITANDO",tblCalculo[[#This Row],[VALOR_TOTAL]],"")</f>
        <v/>
      </c>
      <c r="O963" t="str">
        <f>IF(tblCalculo[[#This Row],[STATUS]]="PERDIDO",tblCalculo[[#This Row],[VALOR_TOTAL]],"")</f>
        <v/>
      </c>
      <c r="P963" t="str">
        <f>IF(tblCalculo[[#This Row],[STATUS]]="CONCLUÍDO",tblCalculo[[#This Row],[VALOR_TOTAL]],"")</f>
        <v/>
      </c>
    </row>
    <row r="964" spans="1:16" x14ac:dyDescent="0.25">
      <c r="A964" t="str">
        <f>tblVendas[[#This Row],[NR_SIMULACAO]]</f>
        <v>SIM1954</v>
      </c>
      <c r="B964" s="34" t="str">
        <f>_xlfn.XLOOKUP(A964,tblVendas[[#This Row],[NR_SIMULACAO]],tblVendas[[#This Row],[NR_CNPJ]],"")</f>
        <v>38.813.599/0001-63</v>
      </c>
      <c r="C964" t="str">
        <f>_xlfn.XLOOKUP(A964,tblVendas[[#This Row],[NR_SIMULACAO]],tblVendas[[#This Row],[STATUS]],"")</f>
        <v>EM ANÁLISE</v>
      </c>
      <c r="D964" t="str">
        <f>_xlfn.XLOOKUP(A964,tblVendas[[#This Row],[NR_SIMULACAO]],tblVendas[[#This Row],[MES]],"")</f>
        <v>Maio</v>
      </c>
      <c r="E964">
        <f>SUM(_xlfn.XLOOKUP(tblCalculo[[#This Row],[NR_SIMULACAO]],tblVendas[[#This Row],[NR_SIMULACAO]],tblVendas[[#This Row],[VALOR_MOVEL]],""):_xlfn.XLOOKUP(tblCalculo[[#This Row],[NR_SIMULACAO]],tblVendas[[#This Row],[NR_SIMULACAO]],tblVendas[[#This Row],[VALOR_APARELHO]],""))</f>
        <v>14512.07</v>
      </c>
      <c r="F964">
        <f>IF(tblCalculo[[#This Row],[STATUS]]="CONCLUÍDO",_xlfn.XLOOKUP(tblCalculo[[#This Row],[NR_SIMULACAO]],tblVendas[[#This Row],[NR_SIMULACAO]],tblVendas[[#This Row],[VALOR_MOVEL]],""),0)</f>
        <v>0</v>
      </c>
      <c r="G964">
        <f>IF(tblCalculo[[#This Row],[STATUS]]="CONCLUÍDO",_xlfn.XLOOKUP(tblCalculo[[#This Row],[NR_SIMULACAO]],tblVendas[[#This Row],[NR_SIMULACAO]],tblVendas[[#This Row],[VALOR_AVANCADO]],""),0)</f>
        <v>0</v>
      </c>
      <c r="H964">
        <f>IF(tblCalculo[[#This Row],[STATUS]]="CONCLUÍDO",_xlfn.XLOOKUP(tblCalculo[[#This Row],[NR_SIMULACAO]],tblVendas[[#This Row],[NR_SIMULACAO]],tblVendas[[#This Row],[VALOR_FIXABASICA]],""),0)</f>
        <v>0</v>
      </c>
      <c r="I964">
        <f>IF(tblCalculo[[#This Row],[STATUS]]="CONCLUÍDO",_xlfn.XLOOKUP(tblCalculo[[#This Row],[NR_SIMULACAO]],tblVendas[[#This Row],[NR_SIMULACAO]],tblVendas[[#This Row],[VALOR_TI]],""),0)</f>
        <v>0</v>
      </c>
      <c r="J964">
        <f>IF(tblCalculo[[#This Row],[STATUS]]="CONCLUÍDO",_xlfn.XLOOKUP(tblCalculo[[#This Row],[NR_SIMULACAO]],tblVendas[[#This Row],[NR_SIMULACAO]],tblVendas[[#This Row],[VALOR_APARELHO]],""),0)</f>
        <v>0</v>
      </c>
      <c r="K964" t="str">
        <f>IF(tblCalculo[[#This Row],[STATUS]]="NEGOCIANDO",tblCalculo[[#This Row],[VALOR_TOTAL]],"")</f>
        <v/>
      </c>
      <c r="L964" t="str">
        <f>IF(tblCalculo[[#This Row],[STATUS]]="ALÇADA",tblCalculo[[#This Row],[VALOR_TOTAL]],"")</f>
        <v/>
      </c>
      <c r="M964">
        <f>IF(tblCalculo[[#This Row],[STATUS]]="EM ANÁLISE",tblCalculo[[#This Row],[VALOR_TOTAL]],"")</f>
        <v>14512.07</v>
      </c>
      <c r="N964" t="str">
        <f>IF(tblCalculo[[#This Row],[STATUS]]="TRAMITANDO",tblCalculo[[#This Row],[VALOR_TOTAL]],"")</f>
        <v/>
      </c>
      <c r="O964" t="str">
        <f>IF(tblCalculo[[#This Row],[STATUS]]="PERDIDO",tblCalculo[[#This Row],[VALOR_TOTAL]],"")</f>
        <v/>
      </c>
      <c r="P964" t="str">
        <f>IF(tblCalculo[[#This Row],[STATUS]]="CONCLUÍDO",tblCalculo[[#This Row],[VALOR_TOTAL]],"")</f>
        <v/>
      </c>
    </row>
    <row r="965" spans="1:16" x14ac:dyDescent="0.25">
      <c r="A965" t="str">
        <f>tblVendas[[#This Row],[NR_SIMULACAO]]</f>
        <v>SIM1955</v>
      </c>
      <c r="B965" s="34" t="str">
        <f>_xlfn.XLOOKUP(A965,tblVendas[[#This Row],[NR_SIMULACAO]],tblVendas[[#This Row],[NR_CNPJ]],"")</f>
        <v>72.816.784/0001-66</v>
      </c>
      <c r="C965" t="str">
        <f>_xlfn.XLOOKUP(A965,tblVendas[[#This Row],[NR_SIMULACAO]],tblVendas[[#This Row],[STATUS]],"")</f>
        <v>PERDIDO</v>
      </c>
      <c r="D965" t="str">
        <f>_xlfn.XLOOKUP(A965,tblVendas[[#This Row],[NR_SIMULACAO]],tblVendas[[#This Row],[MES]],"")</f>
        <v>Setembro</v>
      </c>
      <c r="E965">
        <f>SUM(_xlfn.XLOOKUP(tblCalculo[[#This Row],[NR_SIMULACAO]],tblVendas[[#This Row],[NR_SIMULACAO]],tblVendas[[#This Row],[VALOR_MOVEL]],""):_xlfn.XLOOKUP(tblCalculo[[#This Row],[NR_SIMULACAO]],tblVendas[[#This Row],[NR_SIMULACAO]],tblVendas[[#This Row],[VALOR_APARELHO]],""))</f>
        <v>16735.87</v>
      </c>
      <c r="F965">
        <f>IF(tblCalculo[[#This Row],[STATUS]]="CONCLUÍDO",_xlfn.XLOOKUP(tblCalculo[[#This Row],[NR_SIMULACAO]],tblVendas[[#This Row],[NR_SIMULACAO]],tblVendas[[#This Row],[VALOR_MOVEL]],""),0)</f>
        <v>0</v>
      </c>
      <c r="G965">
        <f>IF(tblCalculo[[#This Row],[STATUS]]="CONCLUÍDO",_xlfn.XLOOKUP(tblCalculo[[#This Row],[NR_SIMULACAO]],tblVendas[[#This Row],[NR_SIMULACAO]],tblVendas[[#This Row],[VALOR_AVANCADO]],""),0)</f>
        <v>0</v>
      </c>
      <c r="H965">
        <f>IF(tblCalculo[[#This Row],[STATUS]]="CONCLUÍDO",_xlfn.XLOOKUP(tblCalculo[[#This Row],[NR_SIMULACAO]],tblVendas[[#This Row],[NR_SIMULACAO]],tblVendas[[#This Row],[VALOR_FIXABASICA]],""),0)</f>
        <v>0</v>
      </c>
      <c r="I965">
        <f>IF(tblCalculo[[#This Row],[STATUS]]="CONCLUÍDO",_xlfn.XLOOKUP(tblCalculo[[#This Row],[NR_SIMULACAO]],tblVendas[[#This Row],[NR_SIMULACAO]],tblVendas[[#This Row],[VALOR_TI]],""),0)</f>
        <v>0</v>
      </c>
      <c r="J965">
        <f>IF(tblCalculo[[#This Row],[STATUS]]="CONCLUÍDO",_xlfn.XLOOKUP(tblCalculo[[#This Row],[NR_SIMULACAO]],tblVendas[[#This Row],[NR_SIMULACAO]],tblVendas[[#This Row],[VALOR_APARELHO]],""),0)</f>
        <v>0</v>
      </c>
      <c r="K965" t="str">
        <f>IF(tblCalculo[[#This Row],[STATUS]]="NEGOCIANDO",tblCalculo[[#This Row],[VALOR_TOTAL]],"")</f>
        <v/>
      </c>
      <c r="L965" t="str">
        <f>IF(tblCalculo[[#This Row],[STATUS]]="ALÇADA",tblCalculo[[#This Row],[VALOR_TOTAL]],"")</f>
        <v/>
      </c>
      <c r="M965" t="str">
        <f>IF(tblCalculo[[#This Row],[STATUS]]="EM ANÁLISE",tblCalculo[[#This Row],[VALOR_TOTAL]],"")</f>
        <v/>
      </c>
      <c r="N965" t="str">
        <f>IF(tblCalculo[[#This Row],[STATUS]]="TRAMITANDO",tblCalculo[[#This Row],[VALOR_TOTAL]],"")</f>
        <v/>
      </c>
      <c r="O965">
        <f>IF(tblCalculo[[#This Row],[STATUS]]="PERDIDO",tblCalculo[[#This Row],[VALOR_TOTAL]],"")</f>
        <v>16735.87</v>
      </c>
      <c r="P965" t="str">
        <f>IF(tblCalculo[[#This Row],[STATUS]]="CONCLUÍDO",tblCalculo[[#This Row],[VALOR_TOTAL]],"")</f>
        <v/>
      </c>
    </row>
    <row r="966" spans="1:16" x14ac:dyDescent="0.25">
      <c r="A966" t="str">
        <f>tblVendas[[#This Row],[NR_SIMULACAO]]</f>
        <v>SIM1956</v>
      </c>
      <c r="B966" s="34" t="str">
        <f>_xlfn.XLOOKUP(A966,tblVendas[[#This Row],[NR_SIMULACAO]],tblVendas[[#This Row],[NR_CNPJ]],"")</f>
        <v>77.458.612/0001-19</v>
      </c>
      <c r="C966" t="str">
        <f>_xlfn.XLOOKUP(A966,tblVendas[[#This Row],[NR_SIMULACAO]],tblVendas[[#This Row],[STATUS]],"")</f>
        <v>PERDIDO</v>
      </c>
      <c r="D966" t="str">
        <f>_xlfn.XLOOKUP(A966,tblVendas[[#This Row],[NR_SIMULACAO]],tblVendas[[#This Row],[MES]],"")</f>
        <v>Junho</v>
      </c>
      <c r="E966">
        <f>SUM(_xlfn.XLOOKUP(tblCalculo[[#This Row],[NR_SIMULACAO]],tblVendas[[#This Row],[NR_SIMULACAO]],tblVendas[[#This Row],[VALOR_MOVEL]],""):_xlfn.XLOOKUP(tblCalculo[[#This Row],[NR_SIMULACAO]],tblVendas[[#This Row],[NR_SIMULACAO]],tblVendas[[#This Row],[VALOR_APARELHO]],""))</f>
        <v>21691.62</v>
      </c>
      <c r="F966">
        <f>IF(tblCalculo[[#This Row],[STATUS]]="CONCLUÍDO",_xlfn.XLOOKUP(tblCalculo[[#This Row],[NR_SIMULACAO]],tblVendas[[#This Row],[NR_SIMULACAO]],tblVendas[[#This Row],[VALOR_MOVEL]],""),0)</f>
        <v>0</v>
      </c>
      <c r="G966">
        <f>IF(tblCalculo[[#This Row],[STATUS]]="CONCLUÍDO",_xlfn.XLOOKUP(tblCalculo[[#This Row],[NR_SIMULACAO]],tblVendas[[#This Row],[NR_SIMULACAO]],tblVendas[[#This Row],[VALOR_AVANCADO]],""),0)</f>
        <v>0</v>
      </c>
      <c r="H966">
        <f>IF(tblCalculo[[#This Row],[STATUS]]="CONCLUÍDO",_xlfn.XLOOKUP(tblCalculo[[#This Row],[NR_SIMULACAO]],tblVendas[[#This Row],[NR_SIMULACAO]],tblVendas[[#This Row],[VALOR_FIXABASICA]],""),0)</f>
        <v>0</v>
      </c>
      <c r="I966">
        <f>IF(tblCalculo[[#This Row],[STATUS]]="CONCLUÍDO",_xlfn.XLOOKUP(tblCalculo[[#This Row],[NR_SIMULACAO]],tblVendas[[#This Row],[NR_SIMULACAO]],tblVendas[[#This Row],[VALOR_TI]],""),0)</f>
        <v>0</v>
      </c>
      <c r="J966">
        <f>IF(tblCalculo[[#This Row],[STATUS]]="CONCLUÍDO",_xlfn.XLOOKUP(tblCalculo[[#This Row],[NR_SIMULACAO]],tblVendas[[#This Row],[NR_SIMULACAO]],tblVendas[[#This Row],[VALOR_APARELHO]],""),0)</f>
        <v>0</v>
      </c>
      <c r="K966" t="str">
        <f>IF(tblCalculo[[#This Row],[STATUS]]="NEGOCIANDO",tblCalculo[[#This Row],[VALOR_TOTAL]],"")</f>
        <v/>
      </c>
      <c r="L966" t="str">
        <f>IF(tblCalculo[[#This Row],[STATUS]]="ALÇADA",tblCalculo[[#This Row],[VALOR_TOTAL]],"")</f>
        <v/>
      </c>
      <c r="M966" t="str">
        <f>IF(tblCalculo[[#This Row],[STATUS]]="EM ANÁLISE",tblCalculo[[#This Row],[VALOR_TOTAL]],"")</f>
        <v/>
      </c>
      <c r="N966" t="str">
        <f>IF(tblCalculo[[#This Row],[STATUS]]="TRAMITANDO",tblCalculo[[#This Row],[VALOR_TOTAL]],"")</f>
        <v/>
      </c>
      <c r="O966">
        <f>IF(tblCalculo[[#This Row],[STATUS]]="PERDIDO",tblCalculo[[#This Row],[VALOR_TOTAL]],"")</f>
        <v>21691.62</v>
      </c>
      <c r="P966" t="str">
        <f>IF(tblCalculo[[#This Row],[STATUS]]="CONCLUÍDO",tblCalculo[[#This Row],[VALOR_TOTAL]],"")</f>
        <v/>
      </c>
    </row>
    <row r="967" spans="1:16" x14ac:dyDescent="0.25">
      <c r="A967" t="str">
        <f>tblVendas[[#This Row],[NR_SIMULACAO]]</f>
        <v>SIM1957</v>
      </c>
      <c r="B967" s="34" t="str">
        <f>_xlfn.XLOOKUP(A967,tblVendas[[#This Row],[NR_SIMULACAO]],tblVendas[[#This Row],[NR_CNPJ]],"")</f>
        <v>91.749.558/0001-49</v>
      </c>
      <c r="C967" t="str">
        <f>_xlfn.XLOOKUP(A967,tblVendas[[#This Row],[NR_SIMULACAO]],tblVendas[[#This Row],[STATUS]],"")</f>
        <v>TRAMITANDO</v>
      </c>
      <c r="D967" t="str">
        <f>_xlfn.XLOOKUP(A967,tblVendas[[#This Row],[NR_SIMULACAO]],tblVendas[[#This Row],[MES]],"")</f>
        <v>Junho</v>
      </c>
      <c r="E967">
        <f>SUM(_xlfn.XLOOKUP(tblCalculo[[#This Row],[NR_SIMULACAO]],tblVendas[[#This Row],[NR_SIMULACAO]],tblVendas[[#This Row],[VALOR_MOVEL]],""):_xlfn.XLOOKUP(tblCalculo[[#This Row],[NR_SIMULACAO]],tblVendas[[#This Row],[NR_SIMULACAO]],tblVendas[[#This Row],[VALOR_APARELHO]],""))</f>
        <v>4322.38</v>
      </c>
      <c r="F967">
        <f>IF(tblCalculo[[#This Row],[STATUS]]="CONCLUÍDO",_xlfn.XLOOKUP(tblCalculo[[#This Row],[NR_SIMULACAO]],tblVendas[[#This Row],[NR_SIMULACAO]],tblVendas[[#This Row],[VALOR_MOVEL]],""),0)</f>
        <v>0</v>
      </c>
      <c r="G967">
        <f>IF(tblCalculo[[#This Row],[STATUS]]="CONCLUÍDO",_xlfn.XLOOKUP(tblCalculo[[#This Row],[NR_SIMULACAO]],tblVendas[[#This Row],[NR_SIMULACAO]],tblVendas[[#This Row],[VALOR_AVANCADO]],""),0)</f>
        <v>0</v>
      </c>
      <c r="H967">
        <f>IF(tblCalculo[[#This Row],[STATUS]]="CONCLUÍDO",_xlfn.XLOOKUP(tblCalculo[[#This Row],[NR_SIMULACAO]],tblVendas[[#This Row],[NR_SIMULACAO]],tblVendas[[#This Row],[VALOR_FIXABASICA]],""),0)</f>
        <v>0</v>
      </c>
      <c r="I967">
        <f>IF(tblCalculo[[#This Row],[STATUS]]="CONCLUÍDO",_xlfn.XLOOKUP(tblCalculo[[#This Row],[NR_SIMULACAO]],tblVendas[[#This Row],[NR_SIMULACAO]],tblVendas[[#This Row],[VALOR_TI]],""),0)</f>
        <v>0</v>
      </c>
      <c r="J967">
        <f>IF(tblCalculo[[#This Row],[STATUS]]="CONCLUÍDO",_xlfn.XLOOKUP(tblCalculo[[#This Row],[NR_SIMULACAO]],tblVendas[[#This Row],[NR_SIMULACAO]],tblVendas[[#This Row],[VALOR_APARELHO]],""),0)</f>
        <v>0</v>
      </c>
      <c r="K967" t="str">
        <f>IF(tblCalculo[[#This Row],[STATUS]]="NEGOCIANDO",tblCalculo[[#This Row],[VALOR_TOTAL]],"")</f>
        <v/>
      </c>
      <c r="L967" t="str">
        <f>IF(tblCalculo[[#This Row],[STATUS]]="ALÇADA",tblCalculo[[#This Row],[VALOR_TOTAL]],"")</f>
        <v/>
      </c>
      <c r="M967" t="str">
        <f>IF(tblCalculo[[#This Row],[STATUS]]="EM ANÁLISE",tblCalculo[[#This Row],[VALOR_TOTAL]],"")</f>
        <v/>
      </c>
      <c r="N967">
        <f>IF(tblCalculo[[#This Row],[STATUS]]="TRAMITANDO",tblCalculo[[#This Row],[VALOR_TOTAL]],"")</f>
        <v>4322.38</v>
      </c>
      <c r="O967" t="str">
        <f>IF(tblCalculo[[#This Row],[STATUS]]="PERDIDO",tblCalculo[[#This Row],[VALOR_TOTAL]],"")</f>
        <v/>
      </c>
      <c r="P967" t="str">
        <f>IF(tblCalculo[[#This Row],[STATUS]]="CONCLUÍDO",tblCalculo[[#This Row],[VALOR_TOTAL]],"")</f>
        <v/>
      </c>
    </row>
    <row r="968" spans="1:16" x14ac:dyDescent="0.25">
      <c r="A968" t="str">
        <f>tblVendas[[#This Row],[NR_SIMULACAO]]</f>
        <v>SIM1958</v>
      </c>
      <c r="B968" s="34" t="str">
        <f>_xlfn.XLOOKUP(A968,tblVendas[[#This Row],[NR_SIMULACAO]],tblVendas[[#This Row],[NR_CNPJ]],"")</f>
        <v>46.214.172/0001-71</v>
      </c>
      <c r="C968" t="str">
        <f>_xlfn.XLOOKUP(A968,tblVendas[[#This Row],[NR_SIMULACAO]],tblVendas[[#This Row],[STATUS]],"")</f>
        <v>CONCLUÍDO</v>
      </c>
      <c r="D968" t="str">
        <f>_xlfn.XLOOKUP(A968,tblVendas[[#This Row],[NR_SIMULACAO]],tblVendas[[#This Row],[MES]],"")</f>
        <v>Agosto</v>
      </c>
      <c r="E968">
        <f>SUM(_xlfn.XLOOKUP(tblCalculo[[#This Row],[NR_SIMULACAO]],tblVendas[[#This Row],[NR_SIMULACAO]],tblVendas[[#This Row],[VALOR_MOVEL]],""):_xlfn.XLOOKUP(tblCalculo[[#This Row],[NR_SIMULACAO]],tblVendas[[#This Row],[NR_SIMULACAO]],tblVendas[[#This Row],[VALOR_APARELHO]],""))</f>
        <v>3830.4</v>
      </c>
      <c r="F968">
        <f>IF(tblCalculo[[#This Row],[STATUS]]="CONCLUÍDO",_xlfn.XLOOKUP(tblCalculo[[#This Row],[NR_SIMULACAO]],tblVendas[[#This Row],[NR_SIMULACAO]],tblVendas[[#This Row],[VALOR_MOVEL]],""),0)</f>
        <v>0</v>
      </c>
      <c r="G968">
        <f>IF(tblCalculo[[#This Row],[STATUS]]="CONCLUÍDO",_xlfn.XLOOKUP(tblCalculo[[#This Row],[NR_SIMULACAO]],tblVendas[[#This Row],[NR_SIMULACAO]],tblVendas[[#This Row],[VALOR_AVANCADO]],""),0)</f>
        <v>0</v>
      </c>
      <c r="H968">
        <f>IF(tblCalculo[[#This Row],[STATUS]]="CONCLUÍDO",_xlfn.XLOOKUP(tblCalculo[[#This Row],[NR_SIMULACAO]],tblVendas[[#This Row],[NR_SIMULACAO]],tblVendas[[#This Row],[VALOR_FIXABASICA]],""),0)</f>
        <v>3830.4</v>
      </c>
      <c r="I968">
        <f>IF(tblCalculo[[#This Row],[STATUS]]="CONCLUÍDO",_xlfn.XLOOKUP(tblCalculo[[#This Row],[NR_SIMULACAO]],tblVendas[[#This Row],[NR_SIMULACAO]],tblVendas[[#This Row],[VALOR_TI]],""),0)</f>
        <v>0</v>
      </c>
      <c r="J968">
        <f>IF(tblCalculo[[#This Row],[STATUS]]="CONCLUÍDO",_xlfn.XLOOKUP(tblCalculo[[#This Row],[NR_SIMULACAO]],tblVendas[[#This Row],[NR_SIMULACAO]],tblVendas[[#This Row],[VALOR_APARELHO]],""),0)</f>
        <v>0</v>
      </c>
      <c r="K968" t="str">
        <f>IF(tblCalculo[[#This Row],[STATUS]]="NEGOCIANDO",tblCalculo[[#This Row],[VALOR_TOTAL]],"")</f>
        <v/>
      </c>
      <c r="L968" t="str">
        <f>IF(tblCalculo[[#This Row],[STATUS]]="ALÇADA",tblCalculo[[#This Row],[VALOR_TOTAL]],"")</f>
        <v/>
      </c>
      <c r="M968" t="str">
        <f>IF(tblCalculo[[#This Row],[STATUS]]="EM ANÁLISE",tblCalculo[[#This Row],[VALOR_TOTAL]],"")</f>
        <v/>
      </c>
      <c r="N968" t="str">
        <f>IF(tblCalculo[[#This Row],[STATUS]]="TRAMITANDO",tblCalculo[[#This Row],[VALOR_TOTAL]],"")</f>
        <v/>
      </c>
      <c r="O968" t="str">
        <f>IF(tblCalculo[[#This Row],[STATUS]]="PERDIDO",tblCalculo[[#This Row],[VALOR_TOTAL]],"")</f>
        <v/>
      </c>
      <c r="P968">
        <f>IF(tblCalculo[[#This Row],[STATUS]]="CONCLUÍDO",tblCalculo[[#This Row],[VALOR_TOTAL]],"")</f>
        <v>3830.4</v>
      </c>
    </row>
    <row r="969" spans="1:16" x14ac:dyDescent="0.25">
      <c r="A969" t="str">
        <f>tblVendas[[#This Row],[NR_SIMULACAO]]</f>
        <v>SIM1959</v>
      </c>
      <c r="B969" s="34" t="str">
        <f>_xlfn.XLOOKUP(A969,tblVendas[[#This Row],[NR_SIMULACAO]],tblVendas[[#This Row],[NR_CNPJ]],"")</f>
        <v>25.609.306/0001-42</v>
      </c>
      <c r="C969" t="str">
        <f>_xlfn.XLOOKUP(A969,tblVendas[[#This Row],[NR_SIMULACAO]],tblVendas[[#This Row],[STATUS]],"")</f>
        <v>NEGOCIANDO</v>
      </c>
      <c r="D969" t="str">
        <f>_xlfn.XLOOKUP(A969,tblVendas[[#This Row],[NR_SIMULACAO]],tblVendas[[#This Row],[MES]],"")</f>
        <v>Dezembro</v>
      </c>
      <c r="E969">
        <f>SUM(_xlfn.XLOOKUP(tblCalculo[[#This Row],[NR_SIMULACAO]],tblVendas[[#This Row],[NR_SIMULACAO]],tblVendas[[#This Row],[VALOR_MOVEL]],""):_xlfn.XLOOKUP(tblCalculo[[#This Row],[NR_SIMULACAO]],tblVendas[[#This Row],[NR_SIMULACAO]],tblVendas[[#This Row],[VALOR_APARELHO]],""))</f>
        <v>405.29</v>
      </c>
      <c r="F969">
        <f>IF(tblCalculo[[#This Row],[STATUS]]="CONCLUÍDO",_xlfn.XLOOKUP(tblCalculo[[#This Row],[NR_SIMULACAO]],tblVendas[[#This Row],[NR_SIMULACAO]],tblVendas[[#This Row],[VALOR_MOVEL]],""),0)</f>
        <v>0</v>
      </c>
      <c r="G969">
        <f>IF(tblCalculo[[#This Row],[STATUS]]="CONCLUÍDO",_xlfn.XLOOKUP(tblCalculo[[#This Row],[NR_SIMULACAO]],tblVendas[[#This Row],[NR_SIMULACAO]],tblVendas[[#This Row],[VALOR_AVANCADO]],""),0)</f>
        <v>0</v>
      </c>
      <c r="H969">
        <f>IF(tblCalculo[[#This Row],[STATUS]]="CONCLUÍDO",_xlfn.XLOOKUP(tblCalculo[[#This Row],[NR_SIMULACAO]],tblVendas[[#This Row],[NR_SIMULACAO]],tblVendas[[#This Row],[VALOR_FIXABASICA]],""),0)</f>
        <v>0</v>
      </c>
      <c r="I969">
        <f>IF(tblCalculo[[#This Row],[STATUS]]="CONCLUÍDO",_xlfn.XLOOKUP(tblCalculo[[#This Row],[NR_SIMULACAO]],tblVendas[[#This Row],[NR_SIMULACAO]],tblVendas[[#This Row],[VALOR_TI]],""),0)</f>
        <v>0</v>
      </c>
      <c r="J969">
        <f>IF(tblCalculo[[#This Row],[STATUS]]="CONCLUÍDO",_xlfn.XLOOKUP(tblCalculo[[#This Row],[NR_SIMULACAO]],tblVendas[[#This Row],[NR_SIMULACAO]],tblVendas[[#This Row],[VALOR_APARELHO]],""),0)</f>
        <v>0</v>
      </c>
      <c r="K969">
        <f>IF(tblCalculo[[#This Row],[STATUS]]="NEGOCIANDO",tblCalculo[[#This Row],[VALOR_TOTAL]],"")</f>
        <v>405.29</v>
      </c>
      <c r="L969" t="str">
        <f>IF(tblCalculo[[#This Row],[STATUS]]="ALÇADA",tblCalculo[[#This Row],[VALOR_TOTAL]],"")</f>
        <v/>
      </c>
      <c r="M969" t="str">
        <f>IF(tblCalculo[[#This Row],[STATUS]]="EM ANÁLISE",tblCalculo[[#This Row],[VALOR_TOTAL]],"")</f>
        <v/>
      </c>
      <c r="N969" t="str">
        <f>IF(tblCalculo[[#This Row],[STATUS]]="TRAMITANDO",tblCalculo[[#This Row],[VALOR_TOTAL]],"")</f>
        <v/>
      </c>
      <c r="O969" t="str">
        <f>IF(tblCalculo[[#This Row],[STATUS]]="PERDIDO",tblCalculo[[#This Row],[VALOR_TOTAL]],"")</f>
        <v/>
      </c>
      <c r="P969" t="str">
        <f>IF(tblCalculo[[#This Row],[STATUS]]="CONCLUÍDO",tblCalculo[[#This Row],[VALOR_TOTAL]],"")</f>
        <v/>
      </c>
    </row>
    <row r="970" spans="1:16" x14ac:dyDescent="0.25">
      <c r="A970" t="str">
        <f>tblVendas[[#This Row],[NR_SIMULACAO]]</f>
        <v>SIM1960</v>
      </c>
      <c r="B970" s="34" t="str">
        <f>_xlfn.XLOOKUP(A970,tblVendas[[#This Row],[NR_SIMULACAO]],tblVendas[[#This Row],[NR_CNPJ]],"")</f>
        <v>74.504.283/0001-18</v>
      </c>
      <c r="C970" t="str">
        <f>_xlfn.XLOOKUP(A970,tblVendas[[#This Row],[NR_SIMULACAO]],tblVendas[[#This Row],[STATUS]],"")</f>
        <v>EM ANÁLISE</v>
      </c>
      <c r="D970" t="str">
        <f>_xlfn.XLOOKUP(A970,tblVendas[[#This Row],[NR_SIMULACAO]],tblVendas[[#This Row],[MES]],"")</f>
        <v>Julho</v>
      </c>
      <c r="E970">
        <f>SUM(_xlfn.XLOOKUP(tblCalculo[[#This Row],[NR_SIMULACAO]],tblVendas[[#This Row],[NR_SIMULACAO]],tblVendas[[#This Row],[VALOR_MOVEL]],""):_xlfn.XLOOKUP(tblCalculo[[#This Row],[NR_SIMULACAO]],tblVendas[[#This Row],[NR_SIMULACAO]],tblVendas[[#This Row],[VALOR_APARELHO]],""))</f>
        <v>4762.4799999999996</v>
      </c>
      <c r="F970">
        <f>IF(tblCalculo[[#This Row],[STATUS]]="CONCLUÍDO",_xlfn.XLOOKUP(tblCalculo[[#This Row],[NR_SIMULACAO]],tblVendas[[#This Row],[NR_SIMULACAO]],tblVendas[[#This Row],[VALOR_MOVEL]],""),0)</f>
        <v>0</v>
      </c>
      <c r="G970">
        <f>IF(tblCalculo[[#This Row],[STATUS]]="CONCLUÍDO",_xlfn.XLOOKUP(tblCalculo[[#This Row],[NR_SIMULACAO]],tblVendas[[#This Row],[NR_SIMULACAO]],tblVendas[[#This Row],[VALOR_AVANCADO]],""),0)</f>
        <v>0</v>
      </c>
      <c r="H970">
        <f>IF(tblCalculo[[#This Row],[STATUS]]="CONCLUÍDO",_xlfn.XLOOKUP(tblCalculo[[#This Row],[NR_SIMULACAO]],tblVendas[[#This Row],[NR_SIMULACAO]],tblVendas[[#This Row],[VALOR_FIXABASICA]],""),0)</f>
        <v>0</v>
      </c>
      <c r="I970">
        <f>IF(tblCalculo[[#This Row],[STATUS]]="CONCLUÍDO",_xlfn.XLOOKUP(tblCalculo[[#This Row],[NR_SIMULACAO]],tblVendas[[#This Row],[NR_SIMULACAO]],tblVendas[[#This Row],[VALOR_TI]],""),0)</f>
        <v>0</v>
      </c>
      <c r="J970">
        <f>IF(tblCalculo[[#This Row],[STATUS]]="CONCLUÍDO",_xlfn.XLOOKUP(tblCalculo[[#This Row],[NR_SIMULACAO]],tblVendas[[#This Row],[NR_SIMULACAO]],tblVendas[[#This Row],[VALOR_APARELHO]],""),0)</f>
        <v>0</v>
      </c>
      <c r="K970" t="str">
        <f>IF(tblCalculo[[#This Row],[STATUS]]="NEGOCIANDO",tblCalculo[[#This Row],[VALOR_TOTAL]],"")</f>
        <v/>
      </c>
      <c r="L970" t="str">
        <f>IF(tblCalculo[[#This Row],[STATUS]]="ALÇADA",tblCalculo[[#This Row],[VALOR_TOTAL]],"")</f>
        <v/>
      </c>
      <c r="M970">
        <f>IF(tblCalculo[[#This Row],[STATUS]]="EM ANÁLISE",tblCalculo[[#This Row],[VALOR_TOTAL]],"")</f>
        <v>4762.4799999999996</v>
      </c>
      <c r="N970" t="str">
        <f>IF(tblCalculo[[#This Row],[STATUS]]="TRAMITANDO",tblCalculo[[#This Row],[VALOR_TOTAL]],"")</f>
        <v/>
      </c>
      <c r="O970" t="str">
        <f>IF(tblCalculo[[#This Row],[STATUS]]="PERDIDO",tblCalculo[[#This Row],[VALOR_TOTAL]],"")</f>
        <v/>
      </c>
      <c r="P970" t="str">
        <f>IF(tblCalculo[[#This Row],[STATUS]]="CONCLUÍDO",tblCalculo[[#This Row],[VALOR_TOTAL]],"")</f>
        <v/>
      </c>
    </row>
    <row r="971" spans="1:16" x14ac:dyDescent="0.25">
      <c r="A971" t="str">
        <f>tblVendas[[#This Row],[NR_SIMULACAO]]</f>
        <v>SIM1961</v>
      </c>
      <c r="B971" s="34" t="str">
        <f>_xlfn.XLOOKUP(A971,tblVendas[[#This Row],[NR_SIMULACAO]],tblVendas[[#This Row],[NR_CNPJ]],"")</f>
        <v>10.900.589/0001-71</v>
      </c>
      <c r="C971" t="str">
        <f>_xlfn.XLOOKUP(A971,tblVendas[[#This Row],[NR_SIMULACAO]],tblVendas[[#This Row],[STATUS]],"")</f>
        <v>ALÇADA</v>
      </c>
      <c r="D971" t="str">
        <f>_xlfn.XLOOKUP(A971,tblVendas[[#This Row],[NR_SIMULACAO]],tblVendas[[#This Row],[MES]],"")</f>
        <v>Janeiro</v>
      </c>
      <c r="E971">
        <f>SUM(_xlfn.XLOOKUP(tblCalculo[[#This Row],[NR_SIMULACAO]],tblVendas[[#This Row],[NR_SIMULACAO]],tblVendas[[#This Row],[VALOR_MOVEL]],""):_xlfn.XLOOKUP(tblCalculo[[#This Row],[NR_SIMULACAO]],tblVendas[[#This Row],[NR_SIMULACAO]],tblVendas[[#This Row],[VALOR_APARELHO]],""))</f>
        <v>14423.51</v>
      </c>
      <c r="F971">
        <f>IF(tblCalculo[[#This Row],[STATUS]]="CONCLUÍDO",_xlfn.XLOOKUP(tblCalculo[[#This Row],[NR_SIMULACAO]],tblVendas[[#This Row],[NR_SIMULACAO]],tblVendas[[#This Row],[VALOR_MOVEL]],""),0)</f>
        <v>0</v>
      </c>
      <c r="G971">
        <f>IF(tblCalculo[[#This Row],[STATUS]]="CONCLUÍDO",_xlfn.XLOOKUP(tblCalculo[[#This Row],[NR_SIMULACAO]],tblVendas[[#This Row],[NR_SIMULACAO]],tblVendas[[#This Row],[VALOR_AVANCADO]],""),0)</f>
        <v>0</v>
      </c>
      <c r="H971">
        <f>IF(tblCalculo[[#This Row],[STATUS]]="CONCLUÍDO",_xlfn.XLOOKUP(tblCalculo[[#This Row],[NR_SIMULACAO]],tblVendas[[#This Row],[NR_SIMULACAO]],tblVendas[[#This Row],[VALOR_FIXABASICA]],""),0)</f>
        <v>0</v>
      </c>
      <c r="I971">
        <f>IF(tblCalculo[[#This Row],[STATUS]]="CONCLUÍDO",_xlfn.XLOOKUP(tblCalculo[[#This Row],[NR_SIMULACAO]],tblVendas[[#This Row],[NR_SIMULACAO]],tblVendas[[#This Row],[VALOR_TI]],""),0)</f>
        <v>0</v>
      </c>
      <c r="J971">
        <f>IF(tblCalculo[[#This Row],[STATUS]]="CONCLUÍDO",_xlfn.XLOOKUP(tblCalculo[[#This Row],[NR_SIMULACAO]],tblVendas[[#This Row],[NR_SIMULACAO]],tblVendas[[#This Row],[VALOR_APARELHO]],""),0)</f>
        <v>0</v>
      </c>
      <c r="K971" t="str">
        <f>IF(tblCalculo[[#This Row],[STATUS]]="NEGOCIANDO",tblCalculo[[#This Row],[VALOR_TOTAL]],"")</f>
        <v/>
      </c>
      <c r="L971">
        <f>IF(tblCalculo[[#This Row],[STATUS]]="ALÇADA",tblCalculo[[#This Row],[VALOR_TOTAL]],"")</f>
        <v>14423.51</v>
      </c>
      <c r="M971" t="str">
        <f>IF(tblCalculo[[#This Row],[STATUS]]="EM ANÁLISE",tblCalculo[[#This Row],[VALOR_TOTAL]],"")</f>
        <v/>
      </c>
      <c r="N971" t="str">
        <f>IF(tblCalculo[[#This Row],[STATUS]]="TRAMITANDO",tblCalculo[[#This Row],[VALOR_TOTAL]],"")</f>
        <v/>
      </c>
      <c r="O971" t="str">
        <f>IF(tblCalculo[[#This Row],[STATUS]]="PERDIDO",tblCalculo[[#This Row],[VALOR_TOTAL]],"")</f>
        <v/>
      </c>
      <c r="P971" t="str">
        <f>IF(tblCalculo[[#This Row],[STATUS]]="CONCLUÍDO",tblCalculo[[#This Row],[VALOR_TOTAL]],"")</f>
        <v/>
      </c>
    </row>
    <row r="972" spans="1:16" x14ac:dyDescent="0.25">
      <c r="A972" t="str">
        <f>tblVendas[[#This Row],[NR_SIMULACAO]]</f>
        <v>SIM1962</v>
      </c>
      <c r="B972" s="34" t="str">
        <f>_xlfn.XLOOKUP(A972,tblVendas[[#This Row],[NR_SIMULACAO]],tblVendas[[#This Row],[NR_CNPJ]],"")</f>
        <v>59.652.546/0001-15</v>
      </c>
      <c r="C972" t="str">
        <f>_xlfn.XLOOKUP(A972,tblVendas[[#This Row],[NR_SIMULACAO]],tblVendas[[#This Row],[STATUS]],"")</f>
        <v>EM ANÁLISE</v>
      </c>
      <c r="D972" t="str">
        <f>_xlfn.XLOOKUP(A972,tblVendas[[#This Row],[NR_SIMULACAO]],tblVendas[[#This Row],[MES]],"")</f>
        <v>Maio</v>
      </c>
      <c r="E972">
        <f>SUM(_xlfn.XLOOKUP(tblCalculo[[#This Row],[NR_SIMULACAO]],tblVendas[[#This Row],[NR_SIMULACAO]],tblVendas[[#This Row],[VALOR_MOVEL]],""):_xlfn.XLOOKUP(tblCalculo[[#This Row],[NR_SIMULACAO]],tblVendas[[#This Row],[NR_SIMULACAO]],tblVendas[[#This Row],[VALOR_APARELHO]],""))</f>
        <v>16462.510000000002</v>
      </c>
      <c r="F972">
        <f>IF(tblCalculo[[#This Row],[STATUS]]="CONCLUÍDO",_xlfn.XLOOKUP(tblCalculo[[#This Row],[NR_SIMULACAO]],tblVendas[[#This Row],[NR_SIMULACAO]],tblVendas[[#This Row],[VALOR_MOVEL]],""),0)</f>
        <v>0</v>
      </c>
      <c r="G972">
        <f>IF(tblCalculo[[#This Row],[STATUS]]="CONCLUÍDO",_xlfn.XLOOKUP(tblCalculo[[#This Row],[NR_SIMULACAO]],tblVendas[[#This Row],[NR_SIMULACAO]],tblVendas[[#This Row],[VALOR_AVANCADO]],""),0)</f>
        <v>0</v>
      </c>
      <c r="H972">
        <f>IF(tblCalculo[[#This Row],[STATUS]]="CONCLUÍDO",_xlfn.XLOOKUP(tblCalculo[[#This Row],[NR_SIMULACAO]],tblVendas[[#This Row],[NR_SIMULACAO]],tblVendas[[#This Row],[VALOR_FIXABASICA]],""),0)</f>
        <v>0</v>
      </c>
      <c r="I972">
        <f>IF(tblCalculo[[#This Row],[STATUS]]="CONCLUÍDO",_xlfn.XLOOKUP(tblCalculo[[#This Row],[NR_SIMULACAO]],tblVendas[[#This Row],[NR_SIMULACAO]],tblVendas[[#This Row],[VALOR_TI]],""),0)</f>
        <v>0</v>
      </c>
      <c r="J972">
        <f>IF(tblCalculo[[#This Row],[STATUS]]="CONCLUÍDO",_xlfn.XLOOKUP(tblCalculo[[#This Row],[NR_SIMULACAO]],tblVendas[[#This Row],[NR_SIMULACAO]],tblVendas[[#This Row],[VALOR_APARELHO]],""),0)</f>
        <v>0</v>
      </c>
      <c r="K972" t="str">
        <f>IF(tblCalculo[[#This Row],[STATUS]]="NEGOCIANDO",tblCalculo[[#This Row],[VALOR_TOTAL]],"")</f>
        <v/>
      </c>
      <c r="L972" t="str">
        <f>IF(tblCalculo[[#This Row],[STATUS]]="ALÇADA",tblCalculo[[#This Row],[VALOR_TOTAL]],"")</f>
        <v/>
      </c>
      <c r="M972">
        <f>IF(tblCalculo[[#This Row],[STATUS]]="EM ANÁLISE",tblCalculo[[#This Row],[VALOR_TOTAL]],"")</f>
        <v>16462.510000000002</v>
      </c>
      <c r="N972" t="str">
        <f>IF(tblCalculo[[#This Row],[STATUS]]="TRAMITANDO",tblCalculo[[#This Row],[VALOR_TOTAL]],"")</f>
        <v/>
      </c>
      <c r="O972" t="str">
        <f>IF(tblCalculo[[#This Row],[STATUS]]="PERDIDO",tblCalculo[[#This Row],[VALOR_TOTAL]],"")</f>
        <v/>
      </c>
      <c r="P972" t="str">
        <f>IF(tblCalculo[[#This Row],[STATUS]]="CONCLUÍDO",tblCalculo[[#This Row],[VALOR_TOTAL]],"")</f>
        <v/>
      </c>
    </row>
    <row r="973" spans="1:16" x14ac:dyDescent="0.25">
      <c r="A973" t="str">
        <f>tblVendas[[#This Row],[NR_SIMULACAO]]</f>
        <v>SIM1963</v>
      </c>
      <c r="B973" s="34" t="str">
        <f>_xlfn.XLOOKUP(A973,tblVendas[[#This Row],[NR_SIMULACAO]],tblVendas[[#This Row],[NR_CNPJ]],"")</f>
        <v>62.779.988/0001-56</v>
      </c>
      <c r="C973" t="str">
        <f>_xlfn.XLOOKUP(A973,tblVendas[[#This Row],[NR_SIMULACAO]],tblVendas[[#This Row],[STATUS]],"")</f>
        <v>NEGOCIANDO</v>
      </c>
      <c r="D973" t="str">
        <f>_xlfn.XLOOKUP(A973,tblVendas[[#This Row],[NR_SIMULACAO]],tblVendas[[#This Row],[MES]],"")</f>
        <v>Dezembro</v>
      </c>
      <c r="E973">
        <f>SUM(_xlfn.XLOOKUP(tblCalculo[[#This Row],[NR_SIMULACAO]],tblVendas[[#This Row],[NR_SIMULACAO]],tblVendas[[#This Row],[VALOR_MOVEL]],""):_xlfn.XLOOKUP(tblCalculo[[#This Row],[NR_SIMULACAO]],tblVendas[[#This Row],[NR_SIMULACAO]],tblVendas[[#This Row],[VALOR_APARELHO]],""))</f>
        <v>4266.0599999999995</v>
      </c>
      <c r="F973">
        <f>IF(tblCalculo[[#This Row],[STATUS]]="CONCLUÍDO",_xlfn.XLOOKUP(tblCalculo[[#This Row],[NR_SIMULACAO]],tblVendas[[#This Row],[NR_SIMULACAO]],tblVendas[[#This Row],[VALOR_MOVEL]],""),0)</f>
        <v>0</v>
      </c>
      <c r="G973">
        <f>IF(tblCalculo[[#This Row],[STATUS]]="CONCLUÍDO",_xlfn.XLOOKUP(tblCalculo[[#This Row],[NR_SIMULACAO]],tblVendas[[#This Row],[NR_SIMULACAO]],tblVendas[[#This Row],[VALOR_AVANCADO]],""),0)</f>
        <v>0</v>
      </c>
      <c r="H973">
        <f>IF(tblCalculo[[#This Row],[STATUS]]="CONCLUÍDO",_xlfn.XLOOKUP(tblCalculo[[#This Row],[NR_SIMULACAO]],tblVendas[[#This Row],[NR_SIMULACAO]],tblVendas[[#This Row],[VALOR_FIXABASICA]],""),0)</f>
        <v>0</v>
      </c>
      <c r="I973">
        <f>IF(tblCalculo[[#This Row],[STATUS]]="CONCLUÍDO",_xlfn.XLOOKUP(tblCalculo[[#This Row],[NR_SIMULACAO]],tblVendas[[#This Row],[NR_SIMULACAO]],tblVendas[[#This Row],[VALOR_TI]],""),0)</f>
        <v>0</v>
      </c>
      <c r="J973">
        <f>IF(tblCalculo[[#This Row],[STATUS]]="CONCLUÍDO",_xlfn.XLOOKUP(tblCalculo[[#This Row],[NR_SIMULACAO]],tblVendas[[#This Row],[NR_SIMULACAO]],tblVendas[[#This Row],[VALOR_APARELHO]],""),0)</f>
        <v>0</v>
      </c>
      <c r="K973">
        <f>IF(tblCalculo[[#This Row],[STATUS]]="NEGOCIANDO",tblCalculo[[#This Row],[VALOR_TOTAL]],"")</f>
        <v>4266.0599999999995</v>
      </c>
      <c r="L973" t="str">
        <f>IF(tblCalculo[[#This Row],[STATUS]]="ALÇADA",tblCalculo[[#This Row],[VALOR_TOTAL]],"")</f>
        <v/>
      </c>
      <c r="M973" t="str">
        <f>IF(tblCalculo[[#This Row],[STATUS]]="EM ANÁLISE",tblCalculo[[#This Row],[VALOR_TOTAL]],"")</f>
        <v/>
      </c>
      <c r="N973" t="str">
        <f>IF(tblCalculo[[#This Row],[STATUS]]="TRAMITANDO",tblCalculo[[#This Row],[VALOR_TOTAL]],"")</f>
        <v/>
      </c>
      <c r="O973" t="str">
        <f>IF(tblCalculo[[#This Row],[STATUS]]="PERDIDO",tblCalculo[[#This Row],[VALOR_TOTAL]],"")</f>
        <v/>
      </c>
      <c r="P973" t="str">
        <f>IF(tblCalculo[[#This Row],[STATUS]]="CONCLUÍDO",tblCalculo[[#This Row],[VALOR_TOTAL]],"")</f>
        <v/>
      </c>
    </row>
    <row r="974" spans="1:16" x14ac:dyDescent="0.25">
      <c r="A974" t="str">
        <f>tblVendas[[#This Row],[NR_SIMULACAO]]</f>
        <v>SIM1964</v>
      </c>
      <c r="B974" s="34" t="str">
        <f>_xlfn.XLOOKUP(A974,tblVendas[[#This Row],[NR_SIMULACAO]],tblVendas[[#This Row],[NR_CNPJ]],"")</f>
        <v>48.942.376/0001-31</v>
      </c>
      <c r="C974" t="str">
        <f>_xlfn.XLOOKUP(A974,tblVendas[[#This Row],[NR_SIMULACAO]],tblVendas[[#This Row],[STATUS]],"")</f>
        <v>EM ANÁLISE</v>
      </c>
      <c r="D974" t="str">
        <f>_xlfn.XLOOKUP(A974,tblVendas[[#This Row],[NR_SIMULACAO]],tblVendas[[#This Row],[MES]],"")</f>
        <v>Setembro</v>
      </c>
      <c r="E974">
        <f>SUM(_xlfn.XLOOKUP(tblCalculo[[#This Row],[NR_SIMULACAO]],tblVendas[[#This Row],[NR_SIMULACAO]],tblVendas[[#This Row],[VALOR_MOVEL]],""):_xlfn.XLOOKUP(tblCalculo[[#This Row],[NR_SIMULACAO]],tblVendas[[#This Row],[NR_SIMULACAO]],tblVendas[[#This Row],[VALOR_APARELHO]],""))</f>
        <v>18320.66</v>
      </c>
      <c r="F974">
        <f>IF(tblCalculo[[#This Row],[STATUS]]="CONCLUÍDO",_xlfn.XLOOKUP(tblCalculo[[#This Row],[NR_SIMULACAO]],tblVendas[[#This Row],[NR_SIMULACAO]],tblVendas[[#This Row],[VALOR_MOVEL]],""),0)</f>
        <v>0</v>
      </c>
      <c r="G974">
        <f>IF(tblCalculo[[#This Row],[STATUS]]="CONCLUÍDO",_xlfn.XLOOKUP(tblCalculo[[#This Row],[NR_SIMULACAO]],tblVendas[[#This Row],[NR_SIMULACAO]],tblVendas[[#This Row],[VALOR_AVANCADO]],""),0)</f>
        <v>0</v>
      </c>
      <c r="H974">
        <f>IF(tblCalculo[[#This Row],[STATUS]]="CONCLUÍDO",_xlfn.XLOOKUP(tblCalculo[[#This Row],[NR_SIMULACAO]],tblVendas[[#This Row],[NR_SIMULACAO]],tblVendas[[#This Row],[VALOR_FIXABASICA]],""),0)</f>
        <v>0</v>
      </c>
      <c r="I974">
        <f>IF(tblCalculo[[#This Row],[STATUS]]="CONCLUÍDO",_xlfn.XLOOKUP(tblCalculo[[#This Row],[NR_SIMULACAO]],tblVendas[[#This Row],[NR_SIMULACAO]],tblVendas[[#This Row],[VALOR_TI]],""),0)</f>
        <v>0</v>
      </c>
      <c r="J974">
        <f>IF(tblCalculo[[#This Row],[STATUS]]="CONCLUÍDO",_xlfn.XLOOKUP(tblCalculo[[#This Row],[NR_SIMULACAO]],tblVendas[[#This Row],[NR_SIMULACAO]],tblVendas[[#This Row],[VALOR_APARELHO]],""),0)</f>
        <v>0</v>
      </c>
      <c r="K974" t="str">
        <f>IF(tblCalculo[[#This Row],[STATUS]]="NEGOCIANDO",tblCalculo[[#This Row],[VALOR_TOTAL]],"")</f>
        <v/>
      </c>
      <c r="L974" t="str">
        <f>IF(tblCalculo[[#This Row],[STATUS]]="ALÇADA",tblCalculo[[#This Row],[VALOR_TOTAL]],"")</f>
        <v/>
      </c>
      <c r="M974">
        <f>IF(tblCalculo[[#This Row],[STATUS]]="EM ANÁLISE",tblCalculo[[#This Row],[VALOR_TOTAL]],"")</f>
        <v>18320.66</v>
      </c>
      <c r="N974" t="str">
        <f>IF(tblCalculo[[#This Row],[STATUS]]="TRAMITANDO",tblCalculo[[#This Row],[VALOR_TOTAL]],"")</f>
        <v/>
      </c>
      <c r="O974" t="str">
        <f>IF(tblCalculo[[#This Row],[STATUS]]="PERDIDO",tblCalculo[[#This Row],[VALOR_TOTAL]],"")</f>
        <v/>
      </c>
      <c r="P974" t="str">
        <f>IF(tblCalculo[[#This Row],[STATUS]]="CONCLUÍDO",tblCalculo[[#This Row],[VALOR_TOTAL]],"")</f>
        <v/>
      </c>
    </row>
    <row r="975" spans="1:16" x14ac:dyDescent="0.25">
      <c r="A975" t="str">
        <f>tblVendas[[#This Row],[NR_SIMULACAO]]</f>
        <v>SIM1965</v>
      </c>
      <c r="B975" s="34" t="str">
        <f>_xlfn.XLOOKUP(A975,tblVendas[[#This Row],[NR_SIMULACAO]],tblVendas[[#This Row],[NR_CNPJ]],"")</f>
        <v>14.285.590/0001-87</v>
      </c>
      <c r="C975" t="str">
        <f>_xlfn.XLOOKUP(A975,tblVendas[[#This Row],[NR_SIMULACAO]],tblVendas[[#This Row],[STATUS]],"")</f>
        <v>CONCLUÍDO</v>
      </c>
      <c r="D975" t="str">
        <f>_xlfn.XLOOKUP(A975,tblVendas[[#This Row],[NR_SIMULACAO]],tblVendas[[#This Row],[MES]],"")</f>
        <v>Abril</v>
      </c>
      <c r="E975">
        <f>SUM(_xlfn.XLOOKUP(tblCalculo[[#This Row],[NR_SIMULACAO]],tblVendas[[#This Row],[NR_SIMULACAO]],tblVendas[[#This Row],[VALOR_MOVEL]],""):_xlfn.XLOOKUP(tblCalculo[[#This Row],[NR_SIMULACAO]],tblVendas[[#This Row],[NR_SIMULACAO]],tblVendas[[#This Row],[VALOR_APARELHO]],""))</f>
        <v>6803.49</v>
      </c>
      <c r="F975">
        <f>IF(tblCalculo[[#This Row],[STATUS]]="CONCLUÍDO",_xlfn.XLOOKUP(tblCalculo[[#This Row],[NR_SIMULACAO]],tblVendas[[#This Row],[NR_SIMULACAO]],tblVendas[[#This Row],[VALOR_MOVEL]],""),0)</f>
        <v>0</v>
      </c>
      <c r="G975">
        <f>IF(tblCalculo[[#This Row],[STATUS]]="CONCLUÍDO",_xlfn.XLOOKUP(tblCalculo[[#This Row],[NR_SIMULACAO]],tblVendas[[#This Row],[NR_SIMULACAO]],tblVendas[[#This Row],[VALOR_AVANCADO]],""),0)</f>
        <v>0</v>
      </c>
      <c r="H975">
        <f>IF(tblCalculo[[#This Row],[STATUS]]="CONCLUÍDO",_xlfn.XLOOKUP(tblCalculo[[#This Row],[NR_SIMULACAO]],tblVendas[[#This Row],[NR_SIMULACAO]],tblVendas[[#This Row],[VALOR_FIXABASICA]],""),0)</f>
        <v>1645.41</v>
      </c>
      <c r="I975">
        <f>IF(tblCalculo[[#This Row],[STATUS]]="CONCLUÍDO",_xlfn.XLOOKUP(tblCalculo[[#This Row],[NR_SIMULACAO]],tblVendas[[#This Row],[NR_SIMULACAO]],tblVendas[[#This Row],[VALOR_TI]],""),0)</f>
        <v>0</v>
      </c>
      <c r="J975">
        <f>IF(tblCalculo[[#This Row],[STATUS]]="CONCLUÍDO",_xlfn.XLOOKUP(tblCalculo[[#This Row],[NR_SIMULACAO]],tblVendas[[#This Row],[NR_SIMULACAO]],tblVendas[[#This Row],[VALOR_APARELHO]],""),0)</f>
        <v>5158.08</v>
      </c>
      <c r="K975" t="str">
        <f>IF(tblCalculo[[#This Row],[STATUS]]="NEGOCIANDO",tblCalculo[[#This Row],[VALOR_TOTAL]],"")</f>
        <v/>
      </c>
      <c r="L975" t="str">
        <f>IF(tblCalculo[[#This Row],[STATUS]]="ALÇADA",tblCalculo[[#This Row],[VALOR_TOTAL]],"")</f>
        <v/>
      </c>
      <c r="M975" t="str">
        <f>IF(tblCalculo[[#This Row],[STATUS]]="EM ANÁLISE",tblCalculo[[#This Row],[VALOR_TOTAL]],"")</f>
        <v/>
      </c>
      <c r="N975" t="str">
        <f>IF(tblCalculo[[#This Row],[STATUS]]="TRAMITANDO",tblCalculo[[#This Row],[VALOR_TOTAL]],"")</f>
        <v/>
      </c>
      <c r="O975" t="str">
        <f>IF(tblCalculo[[#This Row],[STATUS]]="PERDIDO",tblCalculo[[#This Row],[VALOR_TOTAL]],"")</f>
        <v/>
      </c>
      <c r="P975">
        <f>IF(tblCalculo[[#This Row],[STATUS]]="CONCLUÍDO",tblCalculo[[#This Row],[VALOR_TOTAL]],"")</f>
        <v>6803.49</v>
      </c>
    </row>
    <row r="976" spans="1:16" x14ac:dyDescent="0.25">
      <c r="A976" t="str">
        <f>tblVendas[[#This Row],[NR_SIMULACAO]]</f>
        <v>SIM1966</v>
      </c>
      <c r="B976" s="34" t="str">
        <f>_xlfn.XLOOKUP(A976,tblVendas[[#This Row],[NR_SIMULACAO]],tblVendas[[#This Row],[NR_CNPJ]],"")</f>
        <v>82.761.422/0001-73</v>
      </c>
      <c r="C976" t="str">
        <f>_xlfn.XLOOKUP(A976,tblVendas[[#This Row],[NR_SIMULACAO]],tblVendas[[#This Row],[STATUS]],"")</f>
        <v>NEGOCIANDO</v>
      </c>
      <c r="D976" t="str">
        <f>_xlfn.XLOOKUP(A976,tblVendas[[#This Row],[NR_SIMULACAO]],tblVendas[[#This Row],[MES]],"")</f>
        <v>Junho</v>
      </c>
      <c r="E976">
        <f>SUM(_xlfn.XLOOKUP(tblCalculo[[#This Row],[NR_SIMULACAO]],tblVendas[[#This Row],[NR_SIMULACAO]],tblVendas[[#This Row],[VALOR_MOVEL]],""):_xlfn.XLOOKUP(tblCalculo[[#This Row],[NR_SIMULACAO]],tblVendas[[#This Row],[NR_SIMULACAO]],tblVendas[[#This Row],[VALOR_APARELHO]],""))</f>
        <v>8015.86</v>
      </c>
      <c r="F976">
        <f>IF(tblCalculo[[#This Row],[STATUS]]="CONCLUÍDO",_xlfn.XLOOKUP(tblCalculo[[#This Row],[NR_SIMULACAO]],tblVendas[[#This Row],[NR_SIMULACAO]],tblVendas[[#This Row],[VALOR_MOVEL]],""),0)</f>
        <v>0</v>
      </c>
      <c r="G976">
        <f>IF(tblCalculo[[#This Row],[STATUS]]="CONCLUÍDO",_xlfn.XLOOKUP(tblCalculo[[#This Row],[NR_SIMULACAO]],tblVendas[[#This Row],[NR_SIMULACAO]],tblVendas[[#This Row],[VALOR_AVANCADO]],""),0)</f>
        <v>0</v>
      </c>
      <c r="H976">
        <f>IF(tblCalculo[[#This Row],[STATUS]]="CONCLUÍDO",_xlfn.XLOOKUP(tblCalculo[[#This Row],[NR_SIMULACAO]],tblVendas[[#This Row],[NR_SIMULACAO]],tblVendas[[#This Row],[VALOR_FIXABASICA]],""),0)</f>
        <v>0</v>
      </c>
      <c r="I976">
        <f>IF(tblCalculo[[#This Row],[STATUS]]="CONCLUÍDO",_xlfn.XLOOKUP(tblCalculo[[#This Row],[NR_SIMULACAO]],tblVendas[[#This Row],[NR_SIMULACAO]],tblVendas[[#This Row],[VALOR_TI]],""),0)</f>
        <v>0</v>
      </c>
      <c r="J976">
        <f>IF(tblCalculo[[#This Row],[STATUS]]="CONCLUÍDO",_xlfn.XLOOKUP(tblCalculo[[#This Row],[NR_SIMULACAO]],tblVendas[[#This Row],[NR_SIMULACAO]],tblVendas[[#This Row],[VALOR_APARELHO]],""),0)</f>
        <v>0</v>
      </c>
      <c r="K976">
        <f>IF(tblCalculo[[#This Row],[STATUS]]="NEGOCIANDO",tblCalculo[[#This Row],[VALOR_TOTAL]],"")</f>
        <v>8015.86</v>
      </c>
      <c r="L976" t="str">
        <f>IF(tblCalculo[[#This Row],[STATUS]]="ALÇADA",tblCalculo[[#This Row],[VALOR_TOTAL]],"")</f>
        <v/>
      </c>
      <c r="M976" t="str">
        <f>IF(tblCalculo[[#This Row],[STATUS]]="EM ANÁLISE",tblCalculo[[#This Row],[VALOR_TOTAL]],"")</f>
        <v/>
      </c>
      <c r="N976" t="str">
        <f>IF(tblCalculo[[#This Row],[STATUS]]="TRAMITANDO",tblCalculo[[#This Row],[VALOR_TOTAL]],"")</f>
        <v/>
      </c>
      <c r="O976" t="str">
        <f>IF(tblCalculo[[#This Row],[STATUS]]="PERDIDO",tblCalculo[[#This Row],[VALOR_TOTAL]],"")</f>
        <v/>
      </c>
      <c r="P976" t="str">
        <f>IF(tblCalculo[[#This Row],[STATUS]]="CONCLUÍDO",tblCalculo[[#This Row],[VALOR_TOTAL]],"")</f>
        <v/>
      </c>
    </row>
    <row r="977" spans="1:16" x14ac:dyDescent="0.25">
      <c r="A977" t="str">
        <f>tblVendas[[#This Row],[NR_SIMULACAO]]</f>
        <v>SIM1967</v>
      </c>
      <c r="B977" s="34" t="str">
        <f>_xlfn.XLOOKUP(A977,tblVendas[[#This Row],[NR_SIMULACAO]],tblVendas[[#This Row],[NR_CNPJ]],"")</f>
        <v>38.254.452/0001-87</v>
      </c>
      <c r="C977" t="str">
        <f>_xlfn.XLOOKUP(A977,tblVendas[[#This Row],[NR_SIMULACAO]],tblVendas[[#This Row],[STATUS]],"")</f>
        <v>NEGOCIANDO</v>
      </c>
      <c r="D977" t="str">
        <f>_xlfn.XLOOKUP(A977,tblVendas[[#This Row],[NR_SIMULACAO]],tblVendas[[#This Row],[MES]],"")</f>
        <v>Agosto</v>
      </c>
      <c r="E977">
        <f>SUM(_xlfn.XLOOKUP(tblCalculo[[#This Row],[NR_SIMULACAO]],tblVendas[[#This Row],[NR_SIMULACAO]],tblVendas[[#This Row],[VALOR_MOVEL]],""):_xlfn.XLOOKUP(tblCalculo[[#This Row],[NR_SIMULACAO]],tblVendas[[#This Row],[NR_SIMULACAO]],tblVendas[[#This Row],[VALOR_APARELHO]],""))</f>
        <v>4661.01</v>
      </c>
      <c r="F977">
        <f>IF(tblCalculo[[#This Row],[STATUS]]="CONCLUÍDO",_xlfn.XLOOKUP(tblCalculo[[#This Row],[NR_SIMULACAO]],tblVendas[[#This Row],[NR_SIMULACAO]],tblVendas[[#This Row],[VALOR_MOVEL]],""),0)</f>
        <v>0</v>
      </c>
      <c r="G977">
        <f>IF(tblCalculo[[#This Row],[STATUS]]="CONCLUÍDO",_xlfn.XLOOKUP(tblCalculo[[#This Row],[NR_SIMULACAO]],tblVendas[[#This Row],[NR_SIMULACAO]],tblVendas[[#This Row],[VALOR_AVANCADO]],""),0)</f>
        <v>0</v>
      </c>
      <c r="H977">
        <f>IF(tblCalculo[[#This Row],[STATUS]]="CONCLUÍDO",_xlfn.XLOOKUP(tblCalculo[[#This Row],[NR_SIMULACAO]],tblVendas[[#This Row],[NR_SIMULACAO]],tblVendas[[#This Row],[VALOR_FIXABASICA]],""),0)</f>
        <v>0</v>
      </c>
      <c r="I977">
        <f>IF(tblCalculo[[#This Row],[STATUS]]="CONCLUÍDO",_xlfn.XLOOKUP(tblCalculo[[#This Row],[NR_SIMULACAO]],tblVendas[[#This Row],[NR_SIMULACAO]],tblVendas[[#This Row],[VALOR_TI]],""),0)</f>
        <v>0</v>
      </c>
      <c r="J977">
        <f>IF(tblCalculo[[#This Row],[STATUS]]="CONCLUÍDO",_xlfn.XLOOKUP(tblCalculo[[#This Row],[NR_SIMULACAO]],tblVendas[[#This Row],[NR_SIMULACAO]],tblVendas[[#This Row],[VALOR_APARELHO]],""),0)</f>
        <v>0</v>
      </c>
      <c r="K977">
        <f>IF(tblCalculo[[#This Row],[STATUS]]="NEGOCIANDO",tblCalculo[[#This Row],[VALOR_TOTAL]],"")</f>
        <v>4661.01</v>
      </c>
      <c r="L977" t="str">
        <f>IF(tblCalculo[[#This Row],[STATUS]]="ALÇADA",tblCalculo[[#This Row],[VALOR_TOTAL]],"")</f>
        <v/>
      </c>
      <c r="M977" t="str">
        <f>IF(tblCalculo[[#This Row],[STATUS]]="EM ANÁLISE",tblCalculo[[#This Row],[VALOR_TOTAL]],"")</f>
        <v/>
      </c>
      <c r="N977" t="str">
        <f>IF(tblCalculo[[#This Row],[STATUS]]="TRAMITANDO",tblCalculo[[#This Row],[VALOR_TOTAL]],"")</f>
        <v/>
      </c>
      <c r="O977" t="str">
        <f>IF(tblCalculo[[#This Row],[STATUS]]="PERDIDO",tblCalculo[[#This Row],[VALOR_TOTAL]],"")</f>
        <v/>
      </c>
      <c r="P977" t="str">
        <f>IF(tblCalculo[[#This Row],[STATUS]]="CONCLUÍDO",tblCalculo[[#This Row],[VALOR_TOTAL]],"")</f>
        <v/>
      </c>
    </row>
    <row r="978" spans="1:16" x14ac:dyDescent="0.25">
      <c r="A978" t="str">
        <f>tblVendas[[#This Row],[NR_SIMULACAO]]</f>
        <v>SIM1968</v>
      </c>
      <c r="B978" s="34" t="str">
        <f>_xlfn.XLOOKUP(A978,tblVendas[[#This Row],[NR_SIMULACAO]],tblVendas[[#This Row],[NR_CNPJ]],"")</f>
        <v>48.570.418/0001-10</v>
      </c>
      <c r="C978" t="str">
        <f>_xlfn.XLOOKUP(A978,tblVendas[[#This Row],[NR_SIMULACAO]],tblVendas[[#This Row],[STATUS]],"")</f>
        <v>TRAMITANDO</v>
      </c>
      <c r="D978" t="str">
        <f>_xlfn.XLOOKUP(A978,tblVendas[[#This Row],[NR_SIMULACAO]],tblVendas[[#This Row],[MES]],"")</f>
        <v>Agosto</v>
      </c>
      <c r="E978">
        <f>SUM(_xlfn.XLOOKUP(tblCalculo[[#This Row],[NR_SIMULACAO]],tblVendas[[#This Row],[NR_SIMULACAO]],tblVendas[[#This Row],[VALOR_MOVEL]],""):_xlfn.XLOOKUP(tblCalculo[[#This Row],[NR_SIMULACAO]],tblVendas[[#This Row],[NR_SIMULACAO]],tblVendas[[#This Row],[VALOR_APARELHO]],""))</f>
        <v>6730.1399999999994</v>
      </c>
      <c r="F978">
        <f>IF(tblCalculo[[#This Row],[STATUS]]="CONCLUÍDO",_xlfn.XLOOKUP(tblCalculo[[#This Row],[NR_SIMULACAO]],tblVendas[[#This Row],[NR_SIMULACAO]],tblVendas[[#This Row],[VALOR_MOVEL]],""),0)</f>
        <v>0</v>
      </c>
      <c r="G978">
        <f>IF(tblCalculo[[#This Row],[STATUS]]="CONCLUÍDO",_xlfn.XLOOKUP(tblCalculo[[#This Row],[NR_SIMULACAO]],tblVendas[[#This Row],[NR_SIMULACAO]],tblVendas[[#This Row],[VALOR_AVANCADO]],""),0)</f>
        <v>0</v>
      </c>
      <c r="H978">
        <f>IF(tblCalculo[[#This Row],[STATUS]]="CONCLUÍDO",_xlfn.XLOOKUP(tblCalculo[[#This Row],[NR_SIMULACAO]],tblVendas[[#This Row],[NR_SIMULACAO]],tblVendas[[#This Row],[VALOR_FIXABASICA]],""),0)</f>
        <v>0</v>
      </c>
      <c r="I978">
        <f>IF(tblCalculo[[#This Row],[STATUS]]="CONCLUÍDO",_xlfn.XLOOKUP(tblCalculo[[#This Row],[NR_SIMULACAO]],tblVendas[[#This Row],[NR_SIMULACAO]],tblVendas[[#This Row],[VALOR_TI]],""),0)</f>
        <v>0</v>
      </c>
      <c r="J978">
        <f>IF(tblCalculo[[#This Row],[STATUS]]="CONCLUÍDO",_xlfn.XLOOKUP(tblCalculo[[#This Row],[NR_SIMULACAO]],tblVendas[[#This Row],[NR_SIMULACAO]],tblVendas[[#This Row],[VALOR_APARELHO]],""),0)</f>
        <v>0</v>
      </c>
      <c r="K978" t="str">
        <f>IF(tblCalculo[[#This Row],[STATUS]]="NEGOCIANDO",tblCalculo[[#This Row],[VALOR_TOTAL]],"")</f>
        <v/>
      </c>
      <c r="L978" t="str">
        <f>IF(tblCalculo[[#This Row],[STATUS]]="ALÇADA",tblCalculo[[#This Row],[VALOR_TOTAL]],"")</f>
        <v/>
      </c>
      <c r="M978" t="str">
        <f>IF(tblCalculo[[#This Row],[STATUS]]="EM ANÁLISE",tblCalculo[[#This Row],[VALOR_TOTAL]],"")</f>
        <v/>
      </c>
      <c r="N978">
        <f>IF(tblCalculo[[#This Row],[STATUS]]="TRAMITANDO",tblCalculo[[#This Row],[VALOR_TOTAL]],"")</f>
        <v>6730.1399999999994</v>
      </c>
      <c r="O978" t="str">
        <f>IF(tblCalculo[[#This Row],[STATUS]]="PERDIDO",tblCalculo[[#This Row],[VALOR_TOTAL]],"")</f>
        <v/>
      </c>
      <c r="P978" t="str">
        <f>IF(tblCalculo[[#This Row],[STATUS]]="CONCLUÍDO",tblCalculo[[#This Row],[VALOR_TOTAL]],"")</f>
        <v/>
      </c>
    </row>
    <row r="979" spans="1:16" x14ac:dyDescent="0.25">
      <c r="A979" t="str">
        <f>tblVendas[[#This Row],[NR_SIMULACAO]]</f>
        <v>SIM1969</v>
      </c>
      <c r="B979" s="34" t="str">
        <f>_xlfn.XLOOKUP(A979,tblVendas[[#This Row],[NR_SIMULACAO]],tblVendas[[#This Row],[NR_CNPJ]],"")</f>
        <v>29.766.450/0001-26</v>
      </c>
      <c r="C979" t="str">
        <f>_xlfn.XLOOKUP(A979,tblVendas[[#This Row],[NR_SIMULACAO]],tblVendas[[#This Row],[STATUS]],"")</f>
        <v>NEGOCIANDO</v>
      </c>
      <c r="D979" t="str">
        <f>_xlfn.XLOOKUP(A979,tblVendas[[#This Row],[NR_SIMULACAO]],tblVendas[[#This Row],[MES]],"")</f>
        <v>Março</v>
      </c>
      <c r="E979">
        <f>SUM(_xlfn.XLOOKUP(tblCalculo[[#This Row],[NR_SIMULACAO]],tblVendas[[#This Row],[NR_SIMULACAO]],tblVendas[[#This Row],[VALOR_MOVEL]],""):_xlfn.XLOOKUP(tblCalculo[[#This Row],[NR_SIMULACAO]],tblVendas[[#This Row],[NR_SIMULACAO]],tblVendas[[#This Row],[VALOR_APARELHO]],""))</f>
        <v>6842.4500000000007</v>
      </c>
      <c r="F979">
        <f>IF(tblCalculo[[#This Row],[STATUS]]="CONCLUÍDO",_xlfn.XLOOKUP(tblCalculo[[#This Row],[NR_SIMULACAO]],tblVendas[[#This Row],[NR_SIMULACAO]],tblVendas[[#This Row],[VALOR_MOVEL]],""),0)</f>
        <v>0</v>
      </c>
      <c r="G979">
        <f>IF(tblCalculo[[#This Row],[STATUS]]="CONCLUÍDO",_xlfn.XLOOKUP(tblCalculo[[#This Row],[NR_SIMULACAO]],tblVendas[[#This Row],[NR_SIMULACAO]],tblVendas[[#This Row],[VALOR_AVANCADO]],""),0)</f>
        <v>0</v>
      </c>
      <c r="H979">
        <f>IF(tblCalculo[[#This Row],[STATUS]]="CONCLUÍDO",_xlfn.XLOOKUP(tblCalculo[[#This Row],[NR_SIMULACAO]],tblVendas[[#This Row],[NR_SIMULACAO]],tblVendas[[#This Row],[VALOR_FIXABASICA]],""),0)</f>
        <v>0</v>
      </c>
      <c r="I979">
        <f>IF(tblCalculo[[#This Row],[STATUS]]="CONCLUÍDO",_xlfn.XLOOKUP(tblCalculo[[#This Row],[NR_SIMULACAO]],tblVendas[[#This Row],[NR_SIMULACAO]],tblVendas[[#This Row],[VALOR_TI]],""),0)</f>
        <v>0</v>
      </c>
      <c r="J979">
        <f>IF(tblCalculo[[#This Row],[STATUS]]="CONCLUÍDO",_xlfn.XLOOKUP(tblCalculo[[#This Row],[NR_SIMULACAO]],tblVendas[[#This Row],[NR_SIMULACAO]],tblVendas[[#This Row],[VALOR_APARELHO]],""),0)</f>
        <v>0</v>
      </c>
      <c r="K979">
        <f>IF(tblCalculo[[#This Row],[STATUS]]="NEGOCIANDO",tblCalculo[[#This Row],[VALOR_TOTAL]],"")</f>
        <v>6842.4500000000007</v>
      </c>
      <c r="L979" t="str">
        <f>IF(tblCalculo[[#This Row],[STATUS]]="ALÇADA",tblCalculo[[#This Row],[VALOR_TOTAL]],"")</f>
        <v/>
      </c>
      <c r="M979" t="str">
        <f>IF(tblCalculo[[#This Row],[STATUS]]="EM ANÁLISE",tblCalculo[[#This Row],[VALOR_TOTAL]],"")</f>
        <v/>
      </c>
      <c r="N979" t="str">
        <f>IF(tblCalculo[[#This Row],[STATUS]]="TRAMITANDO",tblCalculo[[#This Row],[VALOR_TOTAL]],"")</f>
        <v/>
      </c>
      <c r="O979" t="str">
        <f>IF(tblCalculo[[#This Row],[STATUS]]="PERDIDO",tblCalculo[[#This Row],[VALOR_TOTAL]],"")</f>
        <v/>
      </c>
      <c r="P979" t="str">
        <f>IF(tblCalculo[[#This Row],[STATUS]]="CONCLUÍDO",tblCalculo[[#This Row],[VALOR_TOTAL]],"")</f>
        <v/>
      </c>
    </row>
    <row r="980" spans="1:16" x14ac:dyDescent="0.25">
      <c r="A980" t="str">
        <f>tblVendas[[#This Row],[NR_SIMULACAO]]</f>
        <v>SIM1970</v>
      </c>
      <c r="B980" s="34" t="str">
        <f>_xlfn.XLOOKUP(A980,tblVendas[[#This Row],[NR_SIMULACAO]],tblVendas[[#This Row],[NR_CNPJ]],"")</f>
        <v>28.880.619/0001-23</v>
      </c>
      <c r="C980" t="str">
        <f>_xlfn.XLOOKUP(A980,tblVendas[[#This Row],[NR_SIMULACAO]],tblVendas[[#This Row],[STATUS]],"")</f>
        <v>PERDIDO</v>
      </c>
      <c r="D980" t="str">
        <f>_xlfn.XLOOKUP(A980,tblVendas[[#This Row],[NR_SIMULACAO]],tblVendas[[#This Row],[MES]],"")</f>
        <v>Dezembro</v>
      </c>
      <c r="E980">
        <f>SUM(_xlfn.XLOOKUP(tblCalculo[[#This Row],[NR_SIMULACAO]],tblVendas[[#This Row],[NR_SIMULACAO]],tblVendas[[#This Row],[VALOR_MOVEL]],""):_xlfn.XLOOKUP(tblCalculo[[#This Row],[NR_SIMULACAO]],tblVendas[[#This Row],[NR_SIMULACAO]],tblVendas[[#This Row],[VALOR_APARELHO]],""))</f>
        <v>29870.89</v>
      </c>
      <c r="F980">
        <f>IF(tblCalculo[[#This Row],[STATUS]]="CONCLUÍDO",_xlfn.XLOOKUP(tblCalculo[[#This Row],[NR_SIMULACAO]],tblVendas[[#This Row],[NR_SIMULACAO]],tblVendas[[#This Row],[VALOR_MOVEL]],""),0)</f>
        <v>0</v>
      </c>
      <c r="G980">
        <f>IF(tblCalculo[[#This Row],[STATUS]]="CONCLUÍDO",_xlfn.XLOOKUP(tblCalculo[[#This Row],[NR_SIMULACAO]],tblVendas[[#This Row],[NR_SIMULACAO]],tblVendas[[#This Row],[VALOR_AVANCADO]],""),0)</f>
        <v>0</v>
      </c>
      <c r="H980">
        <f>IF(tblCalculo[[#This Row],[STATUS]]="CONCLUÍDO",_xlfn.XLOOKUP(tblCalculo[[#This Row],[NR_SIMULACAO]],tblVendas[[#This Row],[NR_SIMULACAO]],tblVendas[[#This Row],[VALOR_FIXABASICA]],""),0)</f>
        <v>0</v>
      </c>
      <c r="I980">
        <f>IF(tblCalculo[[#This Row],[STATUS]]="CONCLUÍDO",_xlfn.XLOOKUP(tblCalculo[[#This Row],[NR_SIMULACAO]],tblVendas[[#This Row],[NR_SIMULACAO]],tblVendas[[#This Row],[VALOR_TI]],""),0)</f>
        <v>0</v>
      </c>
      <c r="J980">
        <f>IF(tblCalculo[[#This Row],[STATUS]]="CONCLUÍDO",_xlfn.XLOOKUP(tblCalculo[[#This Row],[NR_SIMULACAO]],tblVendas[[#This Row],[NR_SIMULACAO]],tblVendas[[#This Row],[VALOR_APARELHO]],""),0)</f>
        <v>0</v>
      </c>
      <c r="K980" t="str">
        <f>IF(tblCalculo[[#This Row],[STATUS]]="NEGOCIANDO",tblCalculo[[#This Row],[VALOR_TOTAL]],"")</f>
        <v/>
      </c>
      <c r="L980" t="str">
        <f>IF(tblCalculo[[#This Row],[STATUS]]="ALÇADA",tblCalculo[[#This Row],[VALOR_TOTAL]],"")</f>
        <v/>
      </c>
      <c r="M980" t="str">
        <f>IF(tblCalculo[[#This Row],[STATUS]]="EM ANÁLISE",tblCalculo[[#This Row],[VALOR_TOTAL]],"")</f>
        <v/>
      </c>
      <c r="N980" t="str">
        <f>IF(tblCalculo[[#This Row],[STATUS]]="TRAMITANDO",tblCalculo[[#This Row],[VALOR_TOTAL]],"")</f>
        <v/>
      </c>
      <c r="O980">
        <f>IF(tblCalculo[[#This Row],[STATUS]]="PERDIDO",tblCalculo[[#This Row],[VALOR_TOTAL]],"")</f>
        <v>29870.89</v>
      </c>
      <c r="P980" t="str">
        <f>IF(tblCalculo[[#This Row],[STATUS]]="CONCLUÍDO",tblCalculo[[#This Row],[VALOR_TOTAL]],"")</f>
        <v/>
      </c>
    </row>
    <row r="981" spans="1:16" x14ac:dyDescent="0.25">
      <c r="A981" t="str">
        <f>tblVendas[[#This Row],[NR_SIMULACAO]]</f>
        <v>SIM1971</v>
      </c>
      <c r="B981" s="34" t="str">
        <f>_xlfn.XLOOKUP(A981,tblVendas[[#This Row],[NR_SIMULACAO]],tblVendas[[#This Row],[NR_CNPJ]],"")</f>
        <v>71.295.431/0001-45</v>
      </c>
      <c r="C981" t="str">
        <f>_xlfn.XLOOKUP(A981,tblVendas[[#This Row],[NR_SIMULACAO]],tblVendas[[#This Row],[STATUS]],"")</f>
        <v>TRAMITANDO</v>
      </c>
      <c r="D981" t="str">
        <f>_xlfn.XLOOKUP(A981,tblVendas[[#This Row],[NR_SIMULACAO]],tblVendas[[#This Row],[MES]],"")</f>
        <v>Dezembro</v>
      </c>
      <c r="E981">
        <f>SUM(_xlfn.XLOOKUP(tblCalculo[[#This Row],[NR_SIMULACAO]],tblVendas[[#This Row],[NR_SIMULACAO]],tblVendas[[#This Row],[VALOR_MOVEL]],""):_xlfn.XLOOKUP(tblCalculo[[#This Row],[NR_SIMULACAO]],tblVendas[[#This Row],[NR_SIMULACAO]],tblVendas[[#This Row],[VALOR_APARELHO]],""))</f>
        <v>11911.66</v>
      </c>
      <c r="F981">
        <f>IF(tblCalculo[[#This Row],[STATUS]]="CONCLUÍDO",_xlfn.XLOOKUP(tblCalculo[[#This Row],[NR_SIMULACAO]],tblVendas[[#This Row],[NR_SIMULACAO]],tblVendas[[#This Row],[VALOR_MOVEL]],""),0)</f>
        <v>0</v>
      </c>
      <c r="G981">
        <f>IF(tblCalculo[[#This Row],[STATUS]]="CONCLUÍDO",_xlfn.XLOOKUP(tblCalculo[[#This Row],[NR_SIMULACAO]],tblVendas[[#This Row],[NR_SIMULACAO]],tblVendas[[#This Row],[VALOR_AVANCADO]],""),0)</f>
        <v>0</v>
      </c>
      <c r="H981">
        <f>IF(tblCalculo[[#This Row],[STATUS]]="CONCLUÍDO",_xlfn.XLOOKUP(tblCalculo[[#This Row],[NR_SIMULACAO]],tblVendas[[#This Row],[NR_SIMULACAO]],tblVendas[[#This Row],[VALOR_FIXABASICA]],""),0)</f>
        <v>0</v>
      </c>
      <c r="I981">
        <f>IF(tblCalculo[[#This Row],[STATUS]]="CONCLUÍDO",_xlfn.XLOOKUP(tblCalculo[[#This Row],[NR_SIMULACAO]],tblVendas[[#This Row],[NR_SIMULACAO]],tblVendas[[#This Row],[VALOR_TI]],""),0)</f>
        <v>0</v>
      </c>
      <c r="J981">
        <f>IF(tblCalculo[[#This Row],[STATUS]]="CONCLUÍDO",_xlfn.XLOOKUP(tblCalculo[[#This Row],[NR_SIMULACAO]],tblVendas[[#This Row],[NR_SIMULACAO]],tblVendas[[#This Row],[VALOR_APARELHO]],""),0)</f>
        <v>0</v>
      </c>
      <c r="K981" t="str">
        <f>IF(tblCalculo[[#This Row],[STATUS]]="NEGOCIANDO",tblCalculo[[#This Row],[VALOR_TOTAL]],"")</f>
        <v/>
      </c>
      <c r="L981" t="str">
        <f>IF(tblCalculo[[#This Row],[STATUS]]="ALÇADA",tblCalculo[[#This Row],[VALOR_TOTAL]],"")</f>
        <v/>
      </c>
      <c r="M981" t="str">
        <f>IF(tblCalculo[[#This Row],[STATUS]]="EM ANÁLISE",tblCalculo[[#This Row],[VALOR_TOTAL]],"")</f>
        <v/>
      </c>
      <c r="N981">
        <f>IF(tblCalculo[[#This Row],[STATUS]]="TRAMITANDO",tblCalculo[[#This Row],[VALOR_TOTAL]],"")</f>
        <v>11911.66</v>
      </c>
      <c r="O981" t="str">
        <f>IF(tblCalculo[[#This Row],[STATUS]]="PERDIDO",tblCalculo[[#This Row],[VALOR_TOTAL]],"")</f>
        <v/>
      </c>
      <c r="P981" t="str">
        <f>IF(tblCalculo[[#This Row],[STATUS]]="CONCLUÍDO",tblCalculo[[#This Row],[VALOR_TOTAL]],"")</f>
        <v/>
      </c>
    </row>
    <row r="982" spans="1:16" x14ac:dyDescent="0.25">
      <c r="A982" t="str">
        <f>tblVendas[[#This Row],[NR_SIMULACAO]]</f>
        <v>SIM1972</v>
      </c>
      <c r="B982" s="34" t="str">
        <f>_xlfn.XLOOKUP(A982,tblVendas[[#This Row],[NR_SIMULACAO]],tblVendas[[#This Row],[NR_CNPJ]],"")</f>
        <v>65.855.583/0001-89</v>
      </c>
      <c r="C982" t="str">
        <f>_xlfn.XLOOKUP(A982,tblVendas[[#This Row],[NR_SIMULACAO]],tblVendas[[#This Row],[STATUS]],"")</f>
        <v>PERDIDO</v>
      </c>
      <c r="D982" t="str">
        <f>_xlfn.XLOOKUP(A982,tblVendas[[#This Row],[NR_SIMULACAO]],tblVendas[[#This Row],[MES]],"")</f>
        <v>Agosto</v>
      </c>
      <c r="E982">
        <f>SUM(_xlfn.XLOOKUP(tblCalculo[[#This Row],[NR_SIMULACAO]],tblVendas[[#This Row],[NR_SIMULACAO]],tblVendas[[#This Row],[VALOR_MOVEL]],""):_xlfn.XLOOKUP(tblCalculo[[#This Row],[NR_SIMULACAO]],tblVendas[[#This Row],[NR_SIMULACAO]],tblVendas[[#This Row],[VALOR_APARELHO]],""))</f>
        <v>1511.8899999999999</v>
      </c>
      <c r="F982">
        <f>IF(tblCalculo[[#This Row],[STATUS]]="CONCLUÍDO",_xlfn.XLOOKUP(tblCalculo[[#This Row],[NR_SIMULACAO]],tblVendas[[#This Row],[NR_SIMULACAO]],tblVendas[[#This Row],[VALOR_MOVEL]],""),0)</f>
        <v>0</v>
      </c>
      <c r="G982">
        <f>IF(tblCalculo[[#This Row],[STATUS]]="CONCLUÍDO",_xlfn.XLOOKUP(tblCalculo[[#This Row],[NR_SIMULACAO]],tblVendas[[#This Row],[NR_SIMULACAO]],tblVendas[[#This Row],[VALOR_AVANCADO]],""),0)</f>
        <v>0</v>
      </c>
      <c r="H982">
        <f>IF(tblCalculo[[#This Row],[STATUS]]="CONCLUÍDO",_xlfn.XLOOKUP(tblCalculo[[#This Row],[NR_SIMULACAO]],tblVendas[[#This Row],[NR_SIMULACAO]],tblVendas[[#This Row],[VALOR_FIXABASICA]],""),0)</f>
        <v>0</v>
      </c>
      <c r="I982">
        <f>IF(tblCalculo[[#This Row],[STATUS]]="CONCLUÍDO",_xlfn.XLOOKUP(tblCalculo[[#This Row],[NR_SIMULACAO]],tblVendas[[#This Row],[NR_SIMULACAO]],tblVendas[[#This Row],[VALOR_TI]],""),0)</f>
        <v>0</v>
      </c>
      <c r="J982">
        <f>IF(tblCalculo[[#This Row],[STATUS]]="CONCLUÍDO",_xlfn.XLOOKUP(tblCalculo[[#This Row],[NR_SIMULACAO]],tblVendas[[#This Row],[NR_SIMULACAO]],tblVendas[[#This Row],[VALOR_APARELHO]],""),0)</f>
        <v>0</v>
      </c>
      <c r="K982" t="str">
        <f>IF(tblCalculo[[#This Row],[STATUS]]="NEGOCIANDO",tblCalculo[[#This Row],[VALOR_TOTAL]],"")</f>
        <v/>
      </c>
      <c r="L982" t="str">
        <f>IF(tblCalculo[[#This Row],[STATUS]]="ALÇADA",tblCalculo[[#This Row],[VALOR_TOTAL]],"")</f>
        <v/>
      </c>
      <c r="M982" t="str">
        <f>IF(tblCalculo[[#This Row],[STATUS]]="EM ANÁLISE",tblCalculo[[#This Row],[VALOR_TOTAL]],"")</f>
        <v/>
      </c>
      <c r="N982" t="str">
        <f>IF(tblCalculo[[#This Row],[STATUS]]="TRAMITANDO",tblCalculo[[#This Row],[VALOR_TOTAL]],"")</f>
        <v/>
      </c>
      <c r="O982">
        <f>IF(tblCalculo[[#This Row],[STATUS]]="PERDIDO",tblCalculo[[#This Row],[VALOR_TOTAL]],"")</f>
        <v>1511.8899999999999</v>
      </c>
      <c r="P982" t="str">
        <f>IF(tblCalculo[[#This Row],[STATUS]]="CONCLUÍDO",tblCalculo[[#This Row],[VALOR_TOTAL]],"")</f>
        <v/>
      </c>
    </row>
    <row r="983" spans="1:16" x14ac:dyDescent="0.25">
      <c r="A983" t="str">
        <f>tblVendas[[#This Row],[NR_SIMULACAO]]</f>
        <v>SIM1973</v>
      </c>
      <c r="B983" s="34" t="str">
        <f>_xlfn.XLOOKUP(A983,tblVendas[[#This Row],[NR_SIMULACAO]],tblVendas[[#This Row],[NR_CNPJ]],"")</f>
        <v>70.727.651/0001-76</v>
      </c>
      <c r="C983" t="str">
        <f>_xlfn.XLOOKUP(A983,tblVendas[[#This Row],[NR_SIMULACAO]],tblVendas[[#This Row],[STATUS]],"")</f>
        <v>TRAMITANDO</v>
      </c>
      <c r="D983" t="str">
        <f>_xlfn.XLOOKUP(A983,tblVendas[[#This Row],[NR_SIMULACAO]],tblVendas[[#This Row],[MES]],"")</f>
        <v>Outubro</v>
      </c>
      <c r="E983">
        <f>SUM(_xlfn.XLOOKUP(tblCalculo[[#This Row],[NR_SIMULACAO]],tblVendas[[#This Row],[NR_SIMULACAO]],tblVendas[[#This Row],[VALOR_MOVEL]],""):_xlfn.XLOOKUP(tblCalculo[[#This Row],[NR_SIMULACAO]],tblVendas[[#This Row],[NR_SIMULACAO]],tblVendas[[#This Row],[VALOR_APARELHO]],""))</f>
        <v>295.42</v>
      </c>
      <c r="F983">
        <f>IF(tblCalculo[[#This Row],[STATUS]]="CONCLUÍDO",_xlfn.XLOOKUP(tblCalculo[[#This Row],[NR_SIMULACAO]],tblVendas[[#This Row],[NR_SIMULACAO]],tblVendas[[#This Row],[VALOR_MOVEL]],""),0)</f>
        <v>0</v>
      </c>
      <c r="G983">
        <f>IF(tblCalculo[[#This Row],[STATUS]]="CONCLUÍDO",_xlfn.XLOOKUP(tblCalculo[[#This Row],[NR_SIMULACAO]],tblVendas[[#This Row],[NR_SIMULACAO]],tblVendas[[#This Row],[VALOR_AVANCADO]],""),0)</f>
        <v>0</v>
      </c>
      <c r="H983">
        <f>IF(tblCalculo[[#This Row],[STATUS]]="CONCLUÍDO",_xlfn.XLOOKUP(tblCalculo[[#This Row],[NR_SIMULACAO]],tblVendas[[#This Row],[NR_SIMULACAO]],tblVendas[[#This Row],[VALOR_FIXABASICA]],""),0)</f>
        <v>0</v>
      </c>
      <c r="I983">
        <f>IF(tblCalculo[[#This Row],[STATUS]]="CONCLUÍDO",_xlfn.XLOOKUP(tblCalculo[[#This Row],[NR_SIMULACAO]],tblVendas[[#This Row],[NR_SIMULACAO]],tblVendas[[#This Row],[VALOR_TI]],""),0)</f>
        <v>0</v>
      </c>
      <c r="J983">
        <f>IF(tblCalculo[[#This Row],[STATUS]]="CONCLUÍDO",_xlfn.XLOOKUP(tblCalculo[[#This Row],[NR_SIMULACAO]],tblVendas[[#This Row],[NR_SIMULACAO]],tblVendas[[#This Row],[VALOR_APARELHO]],""),0)</f>
        <v>0</v>
      </c>
      <c r="K983" t="str">
        <f>IF(tblCalculo[[#This Row],[STATUS]]="NEGOCIANDO",tblCalculo[[#This Row],[VALOR_TOTAL]],"")</f>
        <v/>
      </c>
      <c r="L983" t="str">
        <f>IF(tblCalculo[[#This Row],[STATUS]]="ALÇADA",tblCalculo[[#This Row],[VALOR_TOTAL]],"")</f>
        <v/>
      </c>
      <c r="M983" t="str">
        <f>IF(tblCalculo[[#This Row],[STATUS]]="EM ANÁLISE",tblCalculo[[#This Row],[VALOR_TOTAL]],"")</f>
        <v/>
      </c>
      <c r="N983">
        <f>IF(tblCalculo[[#This Row],[STATUS]]="TRAMITANDO",tblCalculo[[#This Row],[VALOR_TOTAL]],"")</f>
        <v>295.42</v>
      </c>
      <c r="O983" t="str">
        <f>IF(tblCalculo[[#This Row],[STATUS]]="PERDIDO",tblCalculo[[#This Row],[VALOR_TOTAL]],"")</f>
        <v/>
      </c>
      <c r="P983" t="str">
        <f>IF(tblCalculo[[#This Row],[STATUS]]="CONCLUÍDO",tblCalculo[[#This Row],[VALOR_TOTAL]],"")</f>
        <v/>
      </c>
    </row>
    <row r="984" spans="1:16" x14ac:dyDescent="0.25">
      <c r="A984" t="str">
        <f>tblVendas[[#This Row],[NR_SIMULACAO]]</f>
        <v>SIM1974</v>
      </c>
      <c r="B984" s="34" t="str">
        <f>_xlfn.XLOOKUP(A984,tblVendas[[#This Row],[NR_SIMULACAO]],tblVendas[[#This Row],[NR_CNPJ]],"")</f>
        <v>75.374.574/0001-22</v>
      </c>
      <c r="C984" t="str">
        <f>_xlfn.XLOOKUP(A984,tblVendas[[#This Row],[NR_SIMULACAO]],tblVendas[[#This Row],[STATUS]],"")</f>
        <v>NEGOCIANDO</v>
      </c>
      <c r="D984" t="str">
        <f>_xlfn.XLOOKUP(A984,tblVendas[[#This Row],[NR_SIMULACAO]],tblVendas[[#This Row],[MES]],"")</f>
        <v>Junho</v>
      </c>
      <c r="E984">
        <f>SUM(_xlfn.XLOOKUP(tblCalculo[[#This Row],[NR_SIMULACAO]],tblVendas[[#This Row],[NR_SIMULACAO]],tblVendas[[#This Row],[VALOR_MOVEL]],""):_xlfn.XLOOKUP(tblCalculo[[#This Row],[NR_SIMULACAO]],tblVendas[[#This Row],[NR_SIMULACAO]],tblVendas[[#This Row],[VALOR_APARELHO]],""))</f>
        <v>9330.26</v>
      </c>
      <c r="F984">
        <f>IF(tblCalculo[[#This Row],[STATUS]]="CONCLUÍDO",_xlfn.XLOOKUP(tblCalculo[[#This Row],[NR_SIMULACAO]],tblVendas[[#This Row],[NR_SIMULACAO]],tblVendas[[#This Row],[VALOR_MOVEL]],""),0)</f>
        <v>0</v>
      </c>
      <c r="G984">
        <f>IF(tblCalculo[[#This Row],[STATUS]]="CONCLUÍDO",_xlfn.XLOOKUP(tblCalculo[[#This Row],[NR_SIMULACAO]],tblVendas[[#This Row],[NR_SIMULACAO]],tblVendas[[#This Row],[VALOR_AVANCADO]],""),0)</f>
        <v>0</v>
      </c>
      <c r="H984">
        <f>IF(tblCalculo[[#This Row],[STATUS]]="CONCLUÍDO",_xlfn.XLOOKUP(tblCalculo[[#This Row],[NR_SIMULACAO]],tblVendas[[#This Row],[NR_SIMULACAO]],tblVendas[[#This Row],[VALOR_FIXABASICA]],""),0)</f>
        <v>0</v>
      </c>
      <c r="I984">
        <f>IF(tblCalculo[[#This Row],[STATUS]]="CONCLUÍDO",_xlfn.XLOOKUP(tblCalculo[[#This Row],[NR_SIMULACAO]],tblVendas[[#This Row],[NR_SIMULACAO]],tblVendas[[#This Row],[VALOR_TI]],""),0)</f>
        <v>0</v>
      </c>
      <c r="J984">
        <f>IF(tblCalculo[[#This Row],[STATUS]]="CONCLUÍDO",_xlfn.XLOOKUP(tblCalculo[[#This Row],[NR_SIMULACAO]],tblVendas[[#This Row],[NR_SIMULACAO]],tblVendas[[#This Row],[VALOR_APARELHO]],""),0)</f>
        <v>0</v>
      </c>
      <c r="K984">
        <f>IF(tblCalculo[[#This Row],[STATUS]]="NEGOCIANDO",tblCalculo[[#This Row],[VALOR_TOTAL]],"")</f>
        <v>9330.26</v>
      </c>
      <c r="L984" t="str">
        <f>IF(tblCalculo[[#This Row],[STATUS]]="ALÇADA",tblCalculo[[#This Row],[VALOR_TOTAL]],"")</f>
        <v/>
      </c>
      <c r="M984" t="str">
        <f>IF(tblCalculo[[#This Row],[STATUS]]="EM ANÁLISE",tblCalculo[[#This Row],[VALOR_TOTAL]],"")</f>
        <v/>
      </c>
      <c r="N984" t="str">
        <f>IF(tblCalculo[[#This Row],[STATUS]]="TRAMITANDO",tblCalculo[[#This Row],[VALOR_TOTAL]],"")</f>
        <v/>
      </c>
      <c r="O984" t="str">
        <f>IF(tblCalculo[[#This Row],[STATUS]]="PERDIDO",tblCalculo[[#This Row],[VALOR_TOTAL]],"")</f>
        <v/>
      </c>
      <c r="P984" t="str">
        <f>IF(tblCalculo[[#This Row],[STATUS]]="CONCLUÍDO",tblCalculo[[#This Row],[VALOR_TOTAL]],"")</f>
        <v/>
      </c>
    </row>
    <row r="985" spans="1:16" x14ac:dyDescent="0.25">
      <c r="A985" t="str">
        <f>tblVendas[[#This Row],[NR_SIMULACAO]]</f>
        <v>SIM1975</v>
      </c>
      <c r="B985" s="34" t="str">
        <f>_xlfn.XLOOKUP(A985,tblVendas[[#This Row],[NR_SIMULACAO]],tblVendas[[#This Row],[NR_CNPJ]],"")</f>
        <v>72.328.403/0001-92</v>
      </c>
      <c r="C985" t="str">
        <f>_xlfn.XLOOKUP(A985,tblVendas[[#This Row],[NR_SIMULACAO]],tblVendas[[#This Row],[STATUS]],"")</f>
        <v>CONCLUÍDO</v>
      </c>
      <c r="D985" t="str">
        <f>_xlfn.XLOOKUP(A985,tblVendas[[#This Row],[NR_SIMULACAO]],tblVendas[[#This Row],[MES]],"")</f>
        <v>Maio</v>
      </c>
      <c r="E985">
        <f>SUM(_xlfn.XLOOKUP(tblCalculo[[#This Row],[NR_SIMULACAO]],tblVendas[[#This Row],[NR_SIMULACAO]],tblVendas[[#This Row],[VALOR_MOVEL]],""):_xlfn.XLOOKUP(tblCalculo[[#This Row],[NR_SIMULACAO]],tblVendas[[#This Row],[NR_SIMULACAO]],tblVendas[[#This Row],[VALOR_APARELHO]],""))</f>
        <v>20547.7</v>
      </c>
      <c r="F985">
        <f>IF(tblCalculo[[#This Row],[STATUS]]="CONCLUÍDO",_xlfn.XLOOKUP(tblCalculo[[#This Row],[NR_SIMULACAO]],tblVendas[[#This Row],[NR_SIMULACAO]],tblVendas[[#This Row],[VALOR_MOVEL]],""),0)</f>
        <v>7034.95</v>
      </c>
      <c r="G985">
        <f>IF(tblCalculo[[#This Row],[STATUS]]="CONCLUÍDO",_xlfn.XLOOKUP(tblCalculo[[#This Row],[NR_SIMULACAO]],tblVendas[[#This Row],[NR_SIMULACAO]],tblVendas[[#This Row],[VALOR_AVANCADO]],""),0)</f>
        <v>834.98</v>
      </c>
      <c r="H985">
        <f>IF(tblCalculo[[#This Row],[STATUS]]="CONCLUÍDO",_xlfn.XLOOKUP(tblCalculo[[#This Row],[NR_SIMULACAO]],tblVendas[[#This Row],[NR_SIMULACAO]],tblVendas[[#This Row],[VALOR_FIXABASICA]],""),0)</f>
        <v>2291.7399999999998</v>
      </c>
      <c r="I985">
        <f>IF(tblCalculo[[#This Row],[STATUS]]="CONCLUÍDO",_xlfn.XLOOKUP(tblCalculo[[#This Row],[NR_SIMULACAO]],tblVendas[[#This Row],[NR_SIMULACAO]],tblVendas[[#This Row],[VALOR_TI]],""),0)</f>
        <v>1657.2</v>
      </c>
      <c r="J985">
        <f>IF(tblCalculo[[#This Row],[STATUS]]="CONCLUÍDO",_xlfn.XLOOKUP(tblCalculo[[#This Row],[NR_SIMULACAO]],tblVendas[[#This Row],[NR_SIMULACAO]],tblVendas[[#This Row],[VALOR_APARELHO]],""),0)</f>
        <v>8728.83</v>
      </c>
      <c r="K985" t="str">
        <f>IF(tblCalculo[[#This Row],[STATUS]]="NEGOCIANDO",tblCalculo[[#This Row],[VALOR_TOTAL]],"")</f>
        <v/>
      </c>
      <c r="L985" t="str">
        <f>IF(tblCalculo[[#This Row],[STATUS]]="ALÇADA",tblCalculo[[#This Row],[VALOR_TOTAL]],"")</f>
        <v/>
      </c>
      <c r="M985" t="str">
        <f>IF(tblCalculo[[#This Row],[STATUS]]="EM ANÁLISE",tblCalculo[[#This Row],[VALOR_TOTAL]],"")</f>
        <v/>
      </c>
      <c r="N985" t="str">
        <f>IF(tblCalculo[[#This Row],[STATUS]]="TRAMITANDO",tblCalculo[[#This Row],[VALOR_TOTAL]],"")</f>
        <v/>
      </c>
      <c r="O985" t="str">
        <f>IF(tblCalculo[[#This Row],[STATUS]]="PERDIDO",tblCalculo[[#This Row],[VALOR_TOTAL]],"")</f>
        <v/>
      </c>
      <c r="P985">
        <f>IF(tblCalculo[[#This Row],[STATUS]]="CONCLUÍDO",tblCalculo[[#This Row],[VALOR_TOTAL]],"")</f>
        <v>20547.7</v>
      </c>
    </row>
    <row r="986" spans="1:16" x14ac:dyDescent="0.25">
      <c r="A986" t="str">
        <f>tblVendas[[#This Row],[NR_SIMULACAO]]</f>
        <v>SIM1976</v>
      </c>
      <c r="B986" s="34" t="str">
        <f>_xlfn.XLOOKUP(A986,tblVendas[[#This Row],[NR_SIMULACAO]],tblVendas[[#This Row],[NR_CNPJ]],"")</f>
        <v>23.270.227/0001-22</v>
      </c>
      <c r="C986" t="str">
        <f>_xlfn.XLOOKUP(A986,tblVendas[[#This Row],[NR_SIMULACAO]],tblVendas[[#This Row],[STATUS]],"")</f>
        <v>NEGOCIANDO</v>
      </c>
      <c r="D986" t="str">
        <f>_xlfn.XLOOKUP(A986,tblVendas[[#This Row],[NR_SIMULACAO]],tblVendas[[#This Row],[MES]],"")</f>
        <v>Fevereiro</v>
      </c>
      <c r="E986">
        <f>SUM(_xlfn.XLOOKUP(tblCalculo[[#This Row],[NR_SIMULACAO]],tblVendas[[#This Row],[NR_SIMULACAO]],tblVendas[[#This Row],[VALOR_MOVEL]],""):_xlfn.XLOOKUP(tblCalculo[[#This Row],[NR_SIMULACAO]],tblVendas[[#This Row],[NR_SIMULACAO]],tblVendas[[#This Row],[VALOR_APARELHO]],""))</f>
        <v>20371.349999999999</v>
      </c>
      <c r="F986">
        <f>IF(tblCalculo[[#This Row],[STATUS]]="CONCLUÍDO",_xlfn.XLOOKUP(tblCalculo[[#This Row],[NR_SIMULACAO]],tblVendas[[#This Row],[NR_SIMULACAO]],tblVendas[[#This Row],[VALOR_MOVEL]],""),0)</f>
        <v>0</v>
      </c>
      <c r="G986">
        <f>IF(tblCalculo[[#This Row],[STATUS]]="CONCLUÍDO",_xlfn.XLOOKUP(tblCalculo[[#This Row],[NR_SIMULACAO]],tblVendas[[#This Row],[NR_SIMULACAO]],tblVendas[[#This Row],[VALOR_AVANCADO]],""),0)</f>
        <v>0</v>
      </c>
      <c r="H986">
        <f>IF(tblCalculo[[#This Row],[STATUS]]="CONCLUÍDO",_xlfn.XLOOKUP(tblCalculo[[#This Row],[NR_SIMULACAO]],tblVendas[[#This Row],[NR_SIMULACAO]],tblVendas[[#This Row],[VALOR_FIXABASICA]],""),0)</f>
        <v>0</v>
      </c>
      <c r="I986">
        <f>IF(tblCalculo[[#This Row],[STATUS]]="CONCLUÍDO",_xlfn.XLOOKUP(tblCalculo[[#This Row],[NR_SIMULACAO]],tblVendas[[#This Row],[NR_SIMULACAO]],tblVendas[[#This Row],[VALOR_TI]],""),0)</f>
        <v>0</v>
      </c>
      <c r="J986">
        <f>IF(tblCalculo[[#This Row],[STATUS]]="CONCLUÍDO",_xlfn.XLOOKUP(tblCalculo[[#This Row],[NR_SIMULACAO]],tblVendas[[#This Row],[NR_SIMULACAO]],tblVendas[[#This Row],[VALOR_APARELHO]],""),0)</f>
        <v>0</v>
      </c>
      <c r="K986">
        <f>IF(tblCalculo[[#This Row],[STATUS]]="NEGOCIANDO",tblCalculo[[#This Row],[VALOR_TOTAL]],"")</f>
        <v>20371.349999999999</v>
      </c>
      <c r="L986" t="str">
        <f>IF(tblCalculo[[#This Row],[STATUS]]="ALÇADA",tblCalculo[[#This Row],[VALOR_TOTAL]],"")</f>
        <v/>
      </c>
      <c r="M986" t="str">
        <f>IF(tblCalculo[[#This Row],[STATUS]]="EM ANÁLISE",tblCalculo[[#This Row],[VALOR_TOTAL]],"")</f>
        <v/>
      </c>
      <c r="N986" t="str">
        <f>IF(tblCalculo[[#This Row],[STATUS]]="TRAMITANDO",tblCalculo[[#This Row],[VALOR_TOTAL]],"")</f>
        <v/>
      </c>
      <c r="O986" t="str">
        <f>IF(tblCalculo[[#This Row],[STATUS]]="PERDIDO",tblCalculo[[#This Row],[VALOR_TOTAL]],"")</f>
        <v/>
      </c>
      <c r="P986" t="str">
        <f>IF(tblCalculo[[#This Row],[STATUS]]="CONCLUÍDO",tblCalculo[[#This Row],[VALOR_TOTAL]],"")</f>
        <v/>
      </c>
    </row>
    <row r="987" spans="1:16" x14ac:dyDescent="0.25">
      <c r="A987" t="str">
        <f>tblVendas[[#This Row],[NR_SIMULACAO]]</f>
        <v>SIM1977</v>
      </c>
      <c r="B987" s="34" t="str">
        <f>_xlfn.XLOOKUP(A987,tblVendas[[#This Row],[NR_SIMULACAO]],tblVendas[[#This Row],[NR_CNPJ]],"")</f>
        <v>13.473.411/0001-12</v>
      </c>
      <c r="C987" t="str">
        <f>_xlfn.XLOOKUP(A987,tblVendas[[#This Row],[NR_SIMULACAO]],tblVendas[[#This Row],[STATUS]],"")</f>
        <v>NEGOCIANDO</v>
      </c>
      <c r="D987" t="str">
        <f>_xlfn.XLOOKUP(A987,tblVendas[[#This Row],[NR_SIMULACAO]],tblVendas[[#This Row],[MES]],"")</f>
        <v>Outubro</v>
      </c>
      <c r="E987">
        <f>SUM(_xlfn.XLOOKUP(tblCalculo[[#This Row],[NR_SIMULACAO]],tblVendas[[#This Row],[NR_SIMULACAO]],tblVendas[[#This Row],[VALOR_MOVEL]],""):_xlfn.XLOOKUP(tblCalculo[[#This Row],[NR_SIMULACAO]],tblVendas[[#This Row],[NR_SIMULACAO]],tblVendas[[#This Row],[VALOR_APARELHO]],""))</f>
        <v>8937.52</v>
      </c>
      <c r="F987">
        <f>IF(tblCalculo[[#This Row],[STATUS]]="CONCLUÍDO",_xlfn.XLOOKUP(tblCalculo[[#This Row],[NR_SIMULACAO]],tblVendas[[#This Row],[NR_SIMULACAO]],tblVendas[[#This Row],[VALOR_MOVEL]],""),0)</f>
        <v>0</v>
      </c>
      <c r="G987">
        <f>IF(tblCalculo[[#This Row],[STATUS]]="CONCLUÍDO",_xlfn.XLOOKUP(tblCalculo[[#This Row],[NR_SIMULACAO]],tblVendas[[#This Row],[NR_SIMULACAO]],tblVendas[[#This Row],[VALOR_AVANCADO]],""),0)</f>
        <v>0</v>
      </c>
      <c r="H987">
        <f>IF(tblCalculo[[#This Row],[STATUS]]="CONCLUÍDO",_xlfn.XLOOKUP(tblCalculo[[#This Row],[NR_SIMULACAO]],tblVendas[[#This Row],[NR_SIMULACAO]],tblVendas[[#This Row],[VALOR_FIXABASICA]],""),0)</f>
        <v>0</v>
      </c>
      <c r="I987">
        <f>IF(tblCalculo[[#This Row],[STATUS]]="CONCLUÍDO",_xlfn.XLOOKUP(tblCalculo[[#This Row],[NR_SIMULACAO]],tblVendas[[#This Row],[NR_SIMULACAO]],tblVendas[[#This Row],[VALOR_TI]],""),0)</f>
        <v>0</v>
      </c>
      <c r="J987">
        <f>IF(tblCalculo[[#This Row],[STATUS]]="CONCLUÍDO",_xlfn.XLOOKUP(tblCalculo[[#This Row],[NR_SIMULACAO]],tblVendas[[#This Row],[NR_SIMULACAO]],tblVendas[[#This Row],[VALOR_APARELHO]],""),0)</f>
        <v>0</v>
      </c>
      <c r="K987">
        <f>IF(tblCalculo[[#This Row],[STATUS]]="NEGOCIANDO",tblCalculo[[#This Row],[VALOR_TOTAL]],"")</f>
        <v>8937.52</v>
      </c>
      <c r="L987" t="str">
        <f>IF(tblCalculo[[#This Row],[STATUS]]="ALÇADA",tblCalculo[[#This Row],[VALOR_TOTAL]],"")</f>
        <v/>
      </c>
      <c r="M987" t="str">
        <f>IF(tblCalculo[[#This Row],[STATUS]]="EM ANÁLISE",tblCalculo[[#This Row],[VALOR_TOTAL]],"")</f>
        <v/>
      </c>
      <c r="N987" t="str">
        <f>IF(tblCalculo[[#This Row],[STATUS]]="TRAMITANDO",tblCalculo[[#This Row],[VALOR_TOTAL]],"")</f>
        <v/>
      </c>
      <c r="O987" t="str">
        <f>IF(tblCalculo[[#This Row],[STATUS]]="PERDIDO",tblCalculo[[#This Row],[VALOR_TOTAL]],"")</f>
        <v/>
      </c>
      <c r="P987" t="str">
        <f>IF(tblCalculo[[#This Row],[STATUS]]="CONCLUÍDO",tblCalculo[[#This Row],[VALOR_TOTAL]],"")</f>
        <v/>
      </c>
    </row>
    <row r="988" spans="1:16" x14ac:dyDescent="0.25">
      <c r="A988" t="str">
        <f>tblVendas[[#This Row],[NR_SIMULACAO]]</f>
        <v>SIM1978</v>
      </c>
      <c r="B988" s="34" t="str">
        <f>_xlfn.XLOOKUP(A988,tblVendas[[#This Row],[NR_SIMULACAO]],tblVendas[[#This Row],[NR_CNPJ]],"")</f>
        <v>21.880.303/0001-11</v>
      </c>
      <c r="C988" t="str">
        <f>_xlfn.XLOOKUP(A988,tblVendas[[#This Row],[NR_SIMULACAO]],tblVendas[[#This Row],[STATUS]],"")</f>
        <v>TRAMITANDO</v>
      </c>
      <c r="D988" t="str">
        <f>_xlfn.XLOOKUP(A988,tblVendas[[#This Row],[NR_SIMULACAO]],tblVendas[[#This Row],[MES]],"")</f>
        <v>Setembro</v>
      </c>
      <c r="E988">
        <f>SUM(_xlfn.XLOOKUP(tblCalculo[[#This Row],[NR_SIMULACAO]],tblVendas[[#This Row],[NR_SIMULACAO]],tblVendas[[#This Row],[VALOR_MOVEL]],""):_xlfn.XLOOKUP(tblCalculo[[#This Row],[NR_SIMULACAO]],tblVendas[[#This Row],[NR_SIMULACAO]],tblVendas[[#This Row],[VALOR_APARELHO]],""))</f>
        <v>572.20000000000005</v>
      </c>
      <c r="F988">
        <f>IF(tblCalculo[[#This Row],[STATUS]]="CONCLUÍDO",_xlfn.XLOOKUP(tblCalculo[[#This Row],[NR_SIMULACAO]],tblVendas[[#This Row],[NR_SIMULACAO]],tblVendas[[#This Row],[VALOR_MOVEL]],""),0)</f>
        <v>0</v>
      </c>
      <c r="G988">
        <f>IF(tblCalculo[[#This Row],[STATUS]]="CONCLUÍDO",_xlfn.XLOOKUP(tblCalculo[[#This Row],[NR_SIMULACAO]],tblVendas[[#This Row],[NR_SIMULACAO]],tblVendas[[#This Row],[VALOR_AVANCADO]],""),0)</f>
        <v>0</v>
      </c>
      <c r="H988">
        <f>IF(tblCalculo[[#This Row],[STATUS]]="CONCLUÍDO",_xlfn.XLOOKUP(tblCalculo[[#This Row],[NR_SIMULACAO]],tblVendas[[#This Row],[NR_SIMULACAO]],tblVendas[[#This Row],[VALOR_FIXABASICA]],""),0)</f>
        <v>0</v>
      </c>
      <c r="I988">
        <f>IF(tblCalculo[[#This Row],[STATUS]]="CONCLUÍDO",_xlfn.XLOOKUP(tblCalculo[[#This Row],[NR_SIMULACAO]],tblVendas[[#This Row],[NR_SIMULACAO]],tblVendas[[#This Row],[VALOR_TI]],""),0)</f>
        <v>0</v>
      </c>
      <c r="J988">
        <f>IF(tblCalculo[[#This Row],[STATUS]]="CONCLUÍDO",_xlfn.XLOOKUP(tblCalculo[[#This Row],[NR_SIMULACAO]],tblVendas[[#This Row],[NR_SIMULACAO]],tblVendas[[#This Row],[VALOR_APARELHO]],""),0)</f>
        <v>0</v>
      </c>
      <c r="K988" t="str">
        <f>IF(tblCalculo[[#This Row],[STATUS]]="NEGOCIANDO",tblCalculo[[#This Row],[VALOR_TOTAL]],"")</f>
        <v/>
      </c>
      <c r="L988" t="str">
        <f>IF(tblCalculo[[#This Row],[STATUS]]="ALÇADA",tblCalculo[[#This Row],[VALOR_TOTAL]],"")</f>
        <v/>
      </c>
      <c r="M988" t="str">
        <f>IF(tblCalculo[[#This Row],[STATUS]]="EM ANÁLISE",tblCalculo[[#This Row],[VALOR_TOTAL]],"")</f>
        <v/>
      </c>
      <c r="N988">
        <f>IF(tblCalculo[[#This Row],[STATUS]]="TRAMITANDO",tblCalculo[[#This Row],[VALOR_TOTAL]],"")</f>
        <v>572.20000000000005</v>
      </c>
      <c r="O988" t="str">
        <f>IF(tblCalculo[[#This Row],[STATUS]]="PERDIDO",tblCalculo[[#This Row],[VALOR_TOTAL]],"")</f>
        <v/>
      </c>
      <c r="P988" t="str">
        <f>IF(tblCalculo[[#This Row],[STATUS]]="CONCLUÍDO",tblCalculo[[#This Row],[VALOR_TOTAL]],"")</f>
        <v/>
      </c>
    </row>
    <row r="989" spans="1:16" x14ac:dyDescent="0.25">
      <c r="A989" t="str">
        <f>tblVendas[[#This Row],[NR_SIMULACAO]]</f>
        <v>SIM1979</v>
      </c>
      <c r="B989" s="34" t="str">
        <f>_xlfn.XLOOKUP(A989,tblVendas[[#This Row],[NR_SIMULACAO]],tblVendas[[#This Row],[NR_CNPJ]],"")</f>
        <v>99.467.723/0001-23</v>
      </c>
      <c r="C989" t="str">
        <f>_xlfn.XLOOKUP(A989,tblVendas[[#This Row],[NR_SIMULACAO]],tblVendas[[#This Row],[STATUS]],"")</f>
        <v>PERDIDO</v>
      </c>
      <c r="D989" t="str">
        <f>_xlfn.XLOOKUP(A989,tblVendas[[#This Row],[NR_SIMULACAO]],tblVendas[[#This Row],[MES]],"")</f>
        <v>Outubro</v>
      </c>
      <c r="E989">
        <f>SUM(_xlfn.XLOOKUP(tblCalculo[[#This Row],[NR_SIMULACAO]],tblVendas[[#This Row],[NR_SIMULACAO]],tblVendas[[#This Row],[VALOR_MOVEL]],""):_xlfn.XLOOKUP(tblCalculo[[#This Row],[NR_SIMULACAO]],tblVendas[[#This Row],[NR_SIMULACAO]],tblVendas[[#This Row],[VALOR_APARELHO]],""))</f>
        <v>14447.22</v>
      </c>
      <c r="F989">
        <f>IF(tblCalculo[[#This Row],[STATUS]]="CONCLUÍDO",_xlfn.XLOOKUP(tblCalculo[[#This Row],[NR_SIMULACAO]],tblVendas[[#This Row],[NR_SIMULACAO]],tblVendas[[#This Row],[VALOR_MOVEL]],""),0)</f>
        <v>0</v>
      </c>
      <c r="G989">
        <f>IF(tblCalculo[[#This Row],[STATUS]]="CONCLUÍDO",_xlfn.XLOOKUP(tblCalculo[[#This Row],[NR_SIMULACAO]],tblVendas[[#This Row],[NR_SIMULACAO]],tblVendas[[#This Row],[VALOR_AVANCADO]],""),0)</f>
        <v>0</v>
      </c>
      <c r="H989">
        <f>IF(tblCalculo[[#This Row],[STATUS]]="CONCLUÍDO",_xlfn.XLOOKUP(tblCalculo[[#This Row],[NR_SIMULACAO]],tblVendas[[#This Row],[NR_SIMULACAO]],tblVendas[[#This Row],[VALOR_FIXABASICA]],""),0)</f>
        <v>0</v>
      </c>
      <c r="I989">
        <f>IF(tblCalculo[[#This Row],[STATUS]]="CONCLUÍDO",_xlfn.XLOOKUP(tblCalculo[[#This Row],[NR_SIMULACAO]],tblVendas[[#This Row],[NR_SIMULACAO]],tblVendas[[#This Row],[VALOR_TI]],""),0)</f>
        <v>0</v>
      </c>
      <c r="J989">
        <f>IF(tblCalculo[[#This Row],[STATUS]]="CONCLUÍDO",_xlfn.XLOOKUP(tblCalculo[[#This Row],[NR_SIMULACAO]],tblVendas[[#This Row],[NR_SIMULACAO]],tblVendas[[#This Row],[VALOR_APARELHO]],""),0)</f>
        <v>0</v>
      </c>
      <c r="K989" t="str">
        <f>IF(tblCalculo[[#This Row],[STATUS]]="NEGOCIANDO",tblCalculo[[#This Row],[VALOR_TOTAL]],"")</f>
        <v/>
      </c>
      <c r="L989" t="str">
        <f>IF(tblCalculo[[#This Row],[STATUS]]="ALÇADA",tblCalculo[[#This Row],[VALOR_TOTAL]],"")</f>
        <v/>
      </c>
      <c r="M989" t="str">
        <f>IF(tblCalculo[[#This Row],[STATUS]]="EM ANÁLISE",tblCalculo[[#This Row],[VALOR_TOTAL]],"")</f>
        <v/>
      </c>
      <c r="N989" t="str">
        <f>IF(tblCalculo[[#This Row],[STATUS]]="TRAMITANDO",tblCalculo[[#This Row],[VALOR_TOTAL]],"")</f>
        <v/>
      </c>
      <c r="O989">
        <f>IF(tblCalculo[[#This Row],[STATUS]]="PERDIDO",tblCalculo[[#This Row],[VALOR_TOTAL]],"")</f>
        <v>14447.22</v>
      </c>
      <c r="P989" t="str">
        <f>IF(tblCalculo[[#This Row],[STATUS]]="CONCLUÍDO",tblCalculo[[#This Row],[VALOR_TOTAL]],"")</f>
        <v/>
      </c>
    </row>
    <row r="990" spans="1:16" x14ac:dyDescent="0.25">
      <c r="A990" t="str">
        <f>tblVendas[[#This Row],[NR_SIMULACAO]]</f>
        <v>SIM1980</v>
      </c>
      <c r="B990" s="34" t="str">
        <f>_xlfn.XLOOKUP(A990,tblVendas[[#This Row],[NR_SIMULACAO]],tblVendas[[#This Row],[NR_CNPJ]],"")</f>
        <v>13.212.718/0001-46</v>
      </c>
      <c r="C990" t="str">
        <f>_xlfn.XLOOKUP(A990,tblVendas[[#This Row],[NR_SIMULACAO]],tblVendas[[#This Row],[STATUS]],"")</f>
        <v>NEGOCIANDO</v>
      </c>
      <c r="D990" t="str">
        <f>_xlfn.XLOOKUP(A990,tblVendas[[#This Row],[NR_SIMULACAO]],tblVendas[[#This Row],[MES]],"")</f>
        <v>Setembro</v>
      </c>
      <c r="E990">
        <f>SUM(_xlfn.XLOOKUP(tblCalculo[[#This Row],[NR_SIMULACAO]],tblVendas[[#This Row],[NR_SIMULACAO]],tblVendas[[#This Row],[VALOR_MOVEL]],""):_xlfn.XLOOKUP(tblCalculo[[#This Row],[NR_SIMULACAO]],tblVendas[[#This Row],[NR_SIMULACAO]],tblVendas[[#This Row],[VALOR_APARELHO]],""))</f>
        <v>869.78</v>
      </c>
      <c r="F990">
        <f>IF(tblCalculo[[#This Row],[STATUS]]="CONCLUÍDO",_xlfn.XLOOKUP(tblCalculo[[#This Row],[NR_SIMULACAO]],tblVendas[[#This Row],[NR_SIMULACAO]],tblVendas[[#This Row],[VALOR_MOVEL]],""),0)</f>
        <v>0</v>
      </c>
      <c r="G990">
        <f>IF(tblCalculo[[#This Row],[STATUS]]="CONCLUÍDO",_xlfn.XLOOKUP(tblCalculo[[#This Row],[NR_SIMULACAO]],tblVendas[[#This Row],[NR_SIMULACAO]],tblVendas[[#This Row],[VALOR_AVANCADO]],""),0)</f>
        <v>0</v>
      </c>
      <c r="H990">
        <f>IF(tblCalculo[[#This Row],[STATUS]]="CONCLUÍDO",_xlfn.XLOOKUP(tblCalculo[[#This Row],[NR_SIMULACAO]],tblVendas[[#This Row],[NR_SIMULACAO]],tblVendas[[#This Row],[VALOR_FIXABASICA]],""),0)</f>
        <v>0</v>
      </c>
      <c r="I990">
        <f>IF(tblCalculo[[#This Row],[STATUS]]="CONCLUÍDO",_xlfn.XLOOKUP(tblCalculo[[#This Row],[NR_SIMULACAO]],tblVendas[[#This Row],[NR_SIMULACAO]],tblVendas[[#This Row],[VALOR_TI]],""),0)</f>
        <v>0</v>
      </c>
      <c r="J990">
        <f>IF(tblCalculo[[#This Row],[STATUS]]="CONCLUÍDO",_xlfn.XLOOKUP(tblCalculo[[#This Row],[NR_SIMULACAO]],tblVendas[[#This Row],[NR_SIMULACAO]],tblVendas[[#This Row],[VALOR_APARELHO]],""),0)</f>
        <v>0</v>
      </c>
      <c r="K990">
        <f>IF(tblCalculo[[#This Row],[STATUS]]="NEGOCIANDO",tblCalculo[[#This Row],[VALOR_TOTAL]],"")</f>
        <v>869.78</v>
      </c>
      <c r="L990" t="str">
        <f>IF(tblCalculo[[#This Row],[STATUS]]="ALÇADA",tblCalculo[[#This Row],[VALOR_TOTAL]],"")</f>
        <v/>
      </c>
      <c r="M990" t="str">
        <f>IF(tblCalculo[[#This Row],[STATUS]]="EM ANÁLISE",tblCalculo[[#This Row],[VALOR_TOTAL]],"")</f>
        <v/>
      </c>
      <c r="N990" t="str">
        <f>IF(tblCalculo[[#This Row],[STATUS]]="TRAMITANDO",tblCalculo[[#This Row],[VALOR_TOTAL]],"")</f>
        <v/>
      </c>
      <c r="O990" t="str">
        <f>IF(tblCalculo[[#This Row],[STATUS]]="PERDIDO",tblCalculo[[#This Row],[VALOR_TOTAL]],"")</f>
        <v/>
      </c>
      <c r="P990" t="str">
        <f>IF(tblCalculo[[#This Row],[STATUS]]="CONCLUÍDO",tblCalculo[[#This Row],[VALOR_TOTAL]],"")</f>
        <v/>
      </c>
    </row>
    <row r="991" spans="1:16" x14ac:dyDescent="0.25">
      <c r="A991" t="str">
        <f>tblVendas[[#This Row],[NR_SIMULACAO]]</f>
        <v>SIM1981</v>
      </c>
      <c r="B991" s="34" t="str">
        <f>_xlfn.XLOOKUP(A991,tblVendas[[#This Row],[NR_SIMULACAO]],tblVendas[[#This Row],[NR_CNPJ]],"")</f>
        <v>98.804.517/0001-88</v>
      </c>
      <c r="C991" t="str">
        <f>_xlfn.XLOOKUP(A991,tblVendas[[#This Row],[NR_SIMULACAO]],tblVendas[[#This Row],[STATUS]],"")</f>
        <v>PERDIDO</v>
      </c>
      <c r="D991" t="str">
        <f>_xlfn.XLOOKUP(A991,tblVendas[[#This Row],[NR_SIMULACAO]],tblVendas[[#This Row],[MES]],"")</f>
        <v>Setembro</v>
      </c>
      <c r="E991">
        <f>SUM(_xlfn.XLOOKUP(tblCalculo[[#This Row],[NR_SIMULACAO]],tblVendas[[#This Row],[NR_SIMULACAO]],tblVendas[[#This Row],[VALOR_MOVEL]],""):_xlfn.XLOOKUP(tblCalculo[[#This Row],[NR_SIMULACAO]],tblVendas[[#This Row],[NR_SIMULACAO]],tblVendas[[#This Row],[VALOR_APARELHO]],""))</f>
        <v>8898.7900000000009</v>
      </c>
      <c r="F991">
        <f>IF(tblCalculo[[#This Row],[STATUS]]="CONCLUÍDO",_xlfn.XLOOKUP(tblCalculo[[#This Row],[NR_SIMULACAO]],tblVendas[[#This Row],[NR_SIMULACAO]],tblVendas[[#This Row],[VALOR_MOVEL]],""),0)</f>
        <v>0</v>
      </c>
      <c r="G991">
        <f>IF(tblCalculo[[#This Row],[STATUS]]="CONCLUÍDO",_xlfn.XLOOKUP(tblCalculo[[#This Row],[NR_SIMULACAO]],tblVendas[[#This Row],[NR_SIMULACAO]],tblVendas[[#This Row],[VALOR_AVANCADO]],""),0)</f>
        <v>0</v>
      </c>
      <c r="H991">
        <f>IF(tblCalculo[[#This Row],[STATUS]]="CONCLUÍDO",_xlfn.XLOOKUP(tblCalculo[[#This Row],[NR_SIMULACAO]],tblVendas[[#This Row],[NR_SIMULACAO]],tblVendas[[#This Row],[VALOR_FIXABASICA]],""),0)</f>
        <v>0</v>
      </c>
      <c r="I991">
        <f>IF(tblCalculo[[#This Row],[STATUS]]="CONCLUÍDO",_xlfn.XLOOKUP(tblCalculo[[#This Row],[NR_SIMULACAO]],tblVendas[[#This Row],[NR_SIMULACAO]],tblVendas[[#This Row],[VALOR_TI]],""),0)</f>
        <v>0</v>
      </c>
      <c r="J991">
        <f>IF(tblCalculo[[#This Row],[STATUS]]="CONCLUÍDO",_xlfn.XLOOKUP(tblCalculo[[#This Row],[NR_SIMULACAO]],tblVendas[[#This Row],[NR_SIMULACAO]],tblVendas[[#This Row],[VALOR_APARELHO]],""),0)</f>
        <v>0</v>
      </c>
      <c r="K991" t="str">
        <f>IF(tblCalculo[[#This Row],[STATUS]]="NEGOCIANDO",tblCalculo[[#This Row],[VALOR_TOTAL]],"")</f>
        <v/>
      </c>
      <c r="L991" t="str">
        <f>IF(tblCalculo[[#This Row],[STATUS]]="ALÇADA",tblCalculo[[#This Row],[VALOR_TOTAL]],"")</f>
        <v/>
      </c>
      <c r="M991" t="str">
        <f>IF(tblCalculo[[#This Row],[STATUS]]="EM ANÁLISE",tblCalculo[[#This Row],[VALOR_TOTAL]],"")</f>
        <v/>
      </c>
      <c r="N991" t="str">
        <f>IF(tblCalculo[[#This Row],[STATUS]]="TRAMITANDO",tblCalculo[[#This Row],[VALOR_TOTAL]],"")</f>
        <v/>
      </c>
      <c r="O991">
        <f>IF(tblCalculo[[#This Row],[STATUS]]="PERDIDO",tblCalculo[[#This Row],[VALOR_TOTAL]],"")</f>
        <v>8898.7900000000009</v>
      </c>
      <c r="P991" t="str">
        <f>IF(tblCalculo[[#This Row],[STATUS]]="CONCLUÍDO",tblCalculo[[#This Row],[VALOR_TOTAL]],"")</f>
        <v/>
      </c>
    </row>
    <row r="992" spans="1:16" x14ac:dyDescent="0.25">
      <c r="A992" t="str">
        <f>tblVendas[[#This Row],[NR_SIMULACAO]]</f>
        <v>SIM1982</v>
      </c>
      <c r="B992" s="34" t="str">
        <f>_xlfn.XLOOKUP(A992,tblVendas[[#This Row],[NR_SIMULACAO]],tblVendas[[#This Row],[NR_CNPJ]],"")</f>
        <v>47.396.510/0001-87</v>
      </c>
      <c r="C992" t="str">
        <f>_xlfn.XLOOKUP(A992,tblVendas[[#This Row],[NR_SIMULACAO]],tblVendas[[#This Row],[STATUS]],"")</f>
        <v>TRAMITANDO</v>
      </c>
      <c r="D992" t="str">
        <f>_xlfn.XLOOKUP(A992,tblVendas[[#This Row],[NR_SIMULACAO]],tblVendas[[#This Row],[MES]],"")</f>
        <v>Março</v>
      </c>
      <c r="E992">
        <f>SUM(_xlfn.XLOOKUP(tblCalculo[[#This Row],[NR_SIMULACAO]],tblVendas[[#This Row],[NR_SIMULACAO]],tblVendas[[#This Row],[VALOR_MOVEL]],""):_xlfn.XLOOKUP(tblCalculo[[#This Row],[NR_SIMULACAO]],tblVendas[[#This Row],[NR_SIMULACAO]],tblVendas[[#This Row],[VALOR_APARELHO]],""))</f>
        <v>6209.9500000000007</v>
      </c>
      <c r="F992">
        <f>IF(tblCalculo[[#This Row],[STATUS]]="CONCLUÍDO",_xlfn.XLOOKUP(tblCalculo[[#This Row],[NR_SIMULACAO]],tblVendas[[#This Row],[NR_SIMULACAO]],tblVendas[[#This Row],[VALOR_MOVEL]],""),0)</f>
        <v>0</v>
      </c>
      <c r="G992">
        <f>IF(tblCalculo[[#This Row],[STATUS]]="CONCLUÍDO",_xlfn.XLOOKUP(tblCalculo[[#This Row],[NR_SIMULACAO]],tblVendas[[#This Row],[NR_SIMULACAO]],tblVendas[[#This Row],[VALOR_AVANCADO]],""),0)</f>
        <v>0</v>
      </c>
      <c r="H992">
        <f>IF(tblCalculo[[#This Row],[STATUS]]="CONCLUÍDO",_xlfn.XLOOKUP(tblCalculo[[#This Row],[NR_SIMULACAO]],tblVendas[[#This Row],[NR_SIMULACAO]],tblVendas[[#This Row],[VALOR_FIXABASICA]],""),0)</f>
        <v>0</v>
      </c>
      <c r="I992">
        <f>IF(tblCalculo[[#This Row],[STATUS]]="CONCLUÍDO",_xlfn.XLOOKUP(tblCalculo[[#This Row],[NR_SIMULACAO]],tblVendas[[#This Row],[NR_SIMULACAO]],tblVendas[[#This Row],[VALOR_TI]],""),0)</f>
        <v>0</v>
      </c>
      <c r="J992">
        <f>IF(tblCalculo[[#This Row],[STATUS]]="CONCLUÍDO",_xlfn.XLOOKUP(tblCalculo[[#This Row],[NR_SIMULACAO]],tblVendas[[#This Row],[NR_SIMULACAO]],tblVendas[[#This Row],[VALOR_APARELHO]],""),0)</f>
        <v>0</v>
      </c>
      <c r="K992" t="str">
        <f>IF(tblCalculo[[#This Row],[STATUS]]="NEGOCIANDO",tblCalculo[[#This Row],[VALOR_TOTAL]],"")</f>
        <v/>
      </c>
      <c r="L992" t="str">
        <f>IF(tblCalculo[[#This Row],[STATUS]]="ALÇADA",tblCalculo[[#This Row],[VALOR_TOTAL]],"")</f>
        <v/>
      </c>
      <c r="M992" t="str">
        <f>IF(tblCalculo[[#This Row],[STATUS]]="EM ANÁLISE",tblCalculo[[#This Row],[VALOR_TOTAL]],"")</f>
        <v/>
      </c>
      <c r="N992">
        <f>IF(tblCalculo[[#This Row],[STATUS]]="TRAMITANDO",tblCalculo[[#This Row],[VALOR_TOTAL]],"")</f>
        <v>6209.9500000000007</v>
      </c>
      <c r="O992" t="str">
        <f>IF(tblCalculo[[#This Row],[STATUS]]="PERDIDO",tblCalculo[[#This Row],[VALOR_TOTAL]],"")</f>
        <v/>
      </c>
      <c r="P992" t="str">
        <f>IF(tblCalculo[[#This Row],[STATUS]]="CONCLUÍDO",tblCalculo[[#This Row],[VALOR_TOTAL]],"")</f>
        <v/>
      </c>
    </row>
    <row r="993" spans="1:16" x14ac:dyDescent="0.25">
      <c r="A993" t="str">
        <f>tblVendas[[#This Row],[NR_SIMULACAO]]</f>
        <v>SIM1983</v>
      </c>
      <c r="B993" s="34" t="str">
        <f>_xlfn.XLOOKUP(A993,tblVendas[[#This Row],[NR_SIMULACAO]],tblVendas[[#This Row],[NR_CNPJ]],"")</f>
        <v>95.572.556/0001-29</v>
      </c>
      <c r="C993" t="str">
        <f>_xlfn.XLOOKUP(A993,tblVendas[[#This Row],[NR_SIMULACAO]],tblVendas[[#This Row],[STATUS]],"")</f>
        <v>PERDIDO</v>
      </c>
      <c r="D993" t="str">
        <f>_xlfn.XLOOKUP(A993,tblVendas[[#This Row],[NR_SIMULACAO]],tblVendas[[#This Row],[MES]],"")</f>
        <v>Abril</v>
      </c>
      <c r="E993">
        <f>SUM(_xlfn.XLOOKUP(tblCalculo[[#This Row],[NR_SIMULACAO]],tblVendas[[#This Row],[NR_SIMULACAO]],tblVendas[[#This Row],[VALOR_MOVEL]],""):_xlfn.XLOOKUP(tblCalculo[[#This Row],[NR_SIMULACAO]],tblVendas[[#This Row],[NR_SIMULACAO]],tblVendas[[#This Row],[VALOR_APARELHO]],""))</f>
        <v>14750.68</v>
      </c>
      <c r="F993">
        <f>IF(tblCalculo[[#This Row],[STATUS]]="CONCLUÍDO",_xlfn.XLOOKUP(tblCalculo[[#This Row],[NR_SIMULACAO]],tblVendas[[#This Row],[NR_SIMULACAO]],tblVendas[[#This Row],[VALOR_MOVEL]],""),0)</f>
        <v>0</v>
      </c>
      <c r="G993">
        <f>IF(tblCalculo[[#This Row],[STATUS]]="CONCLUÍDO",_xlfn.XLOOKUP(tblCalculo[[#This Row],[NR_SIMULACAO]],tblVendas[[#This Row],[NR_SIMULACAO]],tblVendas[[#This Row],[VALOR_AVANCADO]],""),0)</f>
        <v>0</v>
      </c>
      <c r="H993">
        <f>IF(tblCalculo[[#This Row],[STATUS]]="CONCLUÍDO",_xlfn.XLOOKUP(tblCalculo[[#This Row],[NR_SIMULACAO]],tblVendas[[#This Row],[NR_SIMULACAO]],tblVendas[[#This Row],[VALOR_FIXABASICA]],""),0)</f>
        <v>0</v>
      </c>
      <c r="I993">
        <f>IF(tblCalculo[[#This Row],[STATUS]]="CONCLUÍDO",_xlfn.XLOOKUP(tblCalculo[[#This Row],[NR_SIMULACAO]],tblVendas[[#This Row],[NR_SIMULACAO]],tblVendas[[#This Row],[VALOR_TI]],""),0)</f>
        <v>0</v>
      </c>
      <c r="J993">
        <f>IF(tblCalculo[[#This Row],[STATUS]]="CONCLUÍDO",_xlfn.XLOOKUP(tblCalculo[[#This Row],[NR_SIMULACAO]],tblVendas[[#This Row],[NR_SIMULACAO]],tblVendas[[#This Row],[VALOR_APARELHO]],""),0)</f>
        <v>0</v>
      </c>
      <c r="K993" t="str">
        <f>IF(tblCalculo[[#This Row],[STATUS]]="NEGOCIANDO",tblCalculo[[#This Row],[VALOR_TOTAL]],"")</f>
        <v/>
      </c>
      <c r="L993" t="str">
        <f>IF(tblCalculo[[#This Row],[STATUS]]="ALÇADA",tblCalculo[[#This Row],[VALOR_TOTAL]],"")</f>
        <v/>
      </c>
      <c r="M993" t="str">
        <f>IF(tblCalculo[[#This Row],[STATUS]]="EM ANÁLISE",tblCalculo[[#This Row],[VALOR_TOTAL]],"")</f>
        <v/>
      </c>
      <c r="N993" t="str">
        <f>IF(tblCalculo[[#This Row],[STATUS]]="TRAMITANDO",tblCalculo[[#This Row],[VALOR_TOTAL]],"")</f>
        <v/>
      </c>
      <c r="O993">
        <f>IF(tblCalculo[[#This Row],[STATUS]]="PERDIDO",tblCalculo[[#This Row],[VALOR_TOTAL]],"")</f>
        <v>14750.68</v>
      </c>
      <c r="P993" t="str">
        <f>IF(tblCalculo[[#This Row],[STATUS]]="CONCLUÍDO",tblCalculo[[#This Row],[VALOR_TOTAL]],"")</f>
        <v/>
      </c>
    </row>
    <row r="994" spans="1:16" x14ac:dyDescent="0.25">
      <c r="A994" t="str">
        <f>tblVendas[[#This Row],[NR_SIMULACAO]]</f>
        <v>SIM1984</v>
      </c>
      <c r="B994" s="34" t="str">
        <f>_xlfn.XLOOKUP(A994,tblVendas[[#This Row],[NR_SIMULACAO]],tblVendas[[#This Row],[NR_CNPJ]],"")</f>
        <v>65.650.863/0001-80</v>
      </c>
      <c r="C994" t="str">
        <f>_xlfn.XLOOKUP(A994,tblVendas[[#This Row],[NR_SIMULACAO]],tblVendas[[#This Row],[STATUS]],"")</f>
        <v>ALÇADA</v>
      </c>
      <c r="D994" t="str">
        <f>_xlfn.XLOOKUP(A994,tblVendas[[#This Row],[NR_SIMULACAO]],tblVendas[[#This Row],[MES]],"")</f>
        <v>Agosto</v>
      </c>
      <c r="E994">
        <f>SUM(_xlfn.XLOOKUP(tblCalculo[[#This Row],[NR_SIMULACAO]],tblVendas[[#This Row],[NR_SIMULACAO]],tblVendas[[#This Row],[VALOR_MOVEL]],""):_xlfn.XLOOKUP(tblCalculo[[#This Row],[NR_SIMULACAO]],tblVendas[[#This Row],[NR_SIMULACAO]],tblVendas[[#This Row],[VALOR_APARELHO]],""))</f>
        <v>9287.32</v>
      </c>
      <c r="F994">
        <f>IF(tblCalculo[[#This Row],[STATUS]]="CONCLUÍDO",_xlfn.XLOOKUP(tblCalculo[[#This Row],[NR_SIMULACAO]],tblVendas[[#This Row],[NR_SIMULACAO]],tblVendas[[#This Row],[VALOR_MOVEL]],""),0)</f>
        <v>0</v>
      </c>
      <c r="G994">
        <f>IF(tblCalculo[[#This Row],[STATUS]]="CONCLUÍDO",_xlfn.XLOOKUP(tblCalculo[[#This Row],[NR_SIMULACAO]],tblVendas[[#This Row],[NR_SIMULACAO]],tblVendas[[#This Row],[VALOR_AVANCADO]],""),0)</f>
        <v>0</v>
      </c>
      <c r="H994">
        <f>IF(tblCalculo[[#This Row],[STATUS]]="CONCLUÍDO",_xlfn.XLOOKUP(tblCalculo[[#This Row],[NR_SIMULACAO]],tblVendas[[#This Row],[NR_SIMULACAO]],tblVendas[[#This Row],[VALOR_FIXABASICA]],""),0)</f>
        <v>0</v>
      </c>
      <c r="I994">
        <f>IF(tblCalculo[[#This Row],[STATUS]]="CONCLUÍDO",_xlfn.XLOOKUP(tblCalculo[[#This Row],[NR_SIMULACAO]],tblVendas[[#This Row],[NR_SIMULACAO]],tblVendas[[#This Row],[VALOR_TI]],""),0)</f>
        <v>0</v>
      </c>
      <c r="J994">
        <f>IF(tblCalculo[[#This Row],[STATUS]]="CONCLUÍDO",_xlfn.XLOOKUP(tblCalculo[[#This Row],[NR_SIMULACAO]],tblVendas[[#This Row],[NR_SIMULACAO]],tblVendas[[#This Row],[VALOR_APARELHO]],""),0)</f>
        <v>0</v>
      </c>
      <c r="K994" t="str">
        <f>IF(tblCalculo[[#This Row],[STATUS]]="NEGOCIANDO",tblCalculo[[#This Row],[VALOR_TOTAL]],"")</f>
        <v/>
      </c>
      <c r="L994">
        <f>IF(tblCalculo[[#This Row],[STATUS]]="ALÇADA",tblCalculo[[#This Row],[VALOR_TOTAL]],"")</f>
        <v>9287.32</v>
      </c>
      <c r="M994" t="str">
        <f>IF(tblCalculo[[#This Row],[STATUS]]="EM ANÁLISE",tblCalculo[[#This Row],[VALOR_TOTAL]],"")</f>
        <v/>
      </c>
      <c r="N994" t="str">
        <f>IF(tblCalculo[[#This Row],[STATUS]]="TRAMITANDO",tblCalculo[[#This Row],[VALOR_TOTAL]],"")</f>
        <v/>
      </c>
      <c r="O994" t="str">
        <f>IF(tblCalculo[[#This Row],[STATUS]]="PERDIDO",tblCalculo[[#This Row],[VALOR_TOTAL]],"")</f>
        <v/>
      </c>
      <c r="P994" t="str">
        <f>IF(tblCalculo[[#This Row],[STATUS]]="CONCLUÍDO",tblCalculo[[#This Row],[VALOR_TOTAL]],"")</f>
        <v/>
      </c>
    </row>
    <row r="995" spans="1:16" x14ac:dyDescent="0.25">
      <c r="A995" t="str">
        <f>tblVendas[[#This Row],[NR_SIMULACAO]]</f>
        <v>SIM1985</v>
      </c>
      <c r="B995" s="34" t="str">
        <f>_xlfn.XLOOKUP(A995,tblVendas[[#This Row],[NR_SIMULACAO]],tblVendas[[#This Row],[NR_CNPJ]],"")</f>
        <v>88.788.138/0001-92</v>
      </c>
      <c r="C995" t="str">
        <f>_xlfn.XLOOKUP(A995,tblVendas[[#This Row],[NR_SIMULACAO]],tblVendas[[#This Row],[STATUS]],"")</f>
        <v>CONCLUÍDO</v>
      </c>
      <c r="D995" t="str">
        <f>_xlfn.XLOOKUP(A995,tblVendas[[#This Row],[NR_SIMULACAO]],tblVendas[[#This Row],[MES]],"")</f>
        <v>Janeiro</v>
      </c>
      <c r="E995">
        <f>SUM(_xlfn.XLOOKUP(tblCalculo[[#This Row],[NR_SIMULACAO]],tblVendas[[#This Row],[NR_SIMULACAO]],tblVendas[[#This Row],[VALOR_MOVEL]],""):_xlfn.XLOOKUP(tblCalculo[[#This Row],[NR_SIMULACAO]],tblVendas[[#This Row],[NR_SIMULACAO]],tblVendas[[#This Row],[VALOR_APARELHO]],""))</f>
        <v>3004.93</v>
      </c>
      <c r="F995">
        <f>IF(tblCalculo[[#This Row],[STATUS]]="CONCLUÍDO",_xlfn.XLOOKUP(tblCalculo[[#This Row],[NR_SIMULACAO]],tblVendas[[#This Row],[NR_SIMULACAO]],tblVendas[[#This Row],[VALOR_MOVEL]],""),0)</f>
        <v>0</v>
      </c>
      <c r="G995">
        <f>IF(tblCalculo[[#This Row],[STATUS]]="CONCLUÍDO",_xlfn.XLOOKUP(tblCalculo[[#This Row],[NR_SIMULACAO]],tblVendas[[#This Row],[NR_SIMULACAO]],tblVendas[[#This Row],[VALOR_AVANCADO]],""),0)</f>
        <v>3004.93</v>
      </c>
      <c r="H995">
        <f>IF(tblCalculo[[#This Row],[STATUS]]="CONCLUÍDO",_xlfn.XLOOKUP(tblCalculo[[#This Row],[NR_SIMULACAO]],tblVendas[[#This Row],[NR_SIMULACAO]],tblVendas[[#This Row],[VALOR_FIXABASICA]],""),0)</f>
        <v>0</v>
      </c>
      <c r="I995">
        <f>IF(tblCalculo[[#This Row],[STATUS]]="CONCLUÍDO",_xlfn.XLOOKUP(tblCalculo[[#This Row],[NR_SIMULACAO]],tblVendas[[#This Row],[NR_SIMULACAO]],tblVendas[[#This Row],[VALOR_TI]],""),0)</f>
        <v>0</v>
      </c>
      <c r="J995">
        <f>IF(tblCalculo[[#This Row],[STATUS]]="CONCLUÍDO",_xlfn.XLOOKUP(tblCalculo[[#This Row],[NR_SIMULACAO]],tblVendas[[#This Row],[NR_SIMULACAO]],tblVendas[[#This Row],[VALOR_APARELHO]],""),0)</f>
        <v>0</v>
      </c>
      <c r="K995" t="str">
        <f>IF(tblCalculo[[#This Row],[STATUS]]="NEGOCIANDO",tblCalculo[[#This Row],[VALOR_TOTAL]],"")</f>
        <v/>
      </c>
      <c r="L995" t="str">
        <f>IF(tblCalculo[[#This Row],[STATUS]]="ALÇADA",tblCalculo[[#This Row],[VALOR_TOTAL]],"")</f>
        <v/>
      </c>
      <c r="M995" t="str">
        <f>IF(tblCalculo[[#This Row],[STATUS]]="EM ANÁLISE",tblCalculo[[#This Row],[VALOR_TOTAL]],"")</f>
        <v/>
      </c>
      <c r="N995" t="str">
        <f>IF(tblCalculo[[#This Row],[STATUS]]="TRAMITANDO",tblCalculo[[#This Row],[VALOR_TOTAL]],"")</f>
        <v/>
      </c>
      <c r="O995" t="str">
        <f>IF(tblCalculo[[#This Row],[STATUS]]="PERDIDO",tblCalculo[[#This Row],[VALOR_TOTAL]],"")</f>
        <v/>
      </c>
      <c r="P995">
        <f>IF(tblCalculo[[#This Row],[STATUS]]="CONCLUÍDO",tblCalculo[[#This Row],[VALOR_TOTAL]],"")</f>
        <v>3004.93</v>
      </c>
    </row>
    <row r="996" spans="1:16" x14ac:dyDescent="0.25">
      <c r="A996" t="str">
        <f>tblVendas[[#This Row],[NR_SIMULACAO]]</f>
        <v>SIM1986</v>
      </c>
      <c r="B996" s="34" t="str">
        <f>_xlfn.XLOOKUP(A996,tblVendas[[#This Row],[NR_SIMULACAO]],tblVendas[[#This Row],[NR_CNPJ]],"")</f>
        <v>69.464.643/0001-40</v>
      </c>
      <c r="C996" t="str">
        <f>_xlfn.XLOOKUP(A996,tblVendas[[#This Row],[NR_SIMULACAO]],tblVendas[[#This Row],[STATUS]],"")</f>
        <v>NEGOCIANDO</v>
      </c>
      <c r="D996" t="str">
        <f>_xlfn.XLOOKUP(A996,tblVendas[[#This Row],[NR_SIMULACAO]],tblVendas[[#This Row],[MES]],"")</f>
        <v>Setembro</v>
      </c>
      <c r="E996">
        <f>SUM(_xlfn.XLOOKUP(tblCalculo[[#This Row],[NR_SIMULACAO]],tblVendas[[#This Row],[NR_SIMULACAO]],tblVendas[[#This Row],[VALOR_MOVEL]],""):_xlfn.XLOOKUP(tblCalculo[[#This Row],[NR_SIMULACAO]],tblVendas[[#This Row],[NR_SIMULACAO]],tblVendas[[#This Row],[VALOR_APARELHO]],""))</f>
        <v>5718.2999999999993</v>
      </c>
      <c r="F996">
        <f>IF(tblCalculo[[#This Row],[STATUS]]="CONCLUÍDO",_xlfn.XLOOKUP(tblCalculo[[#This Row],[NR_SIMULACAO]],tblVendas[[#This Row],[NR_SIMULACAO]],tblVendas[[#This Row],[VALOR_MOVEL]],""),0)</f>
        <v>0</v>
      </c>
      <c r="G996">
        <f>IF(tblCalculo[[#This Row],[STATUS]]="CONCLUÍDO",_xlfn.XLOOKUP(tblCalculo[[#This Row],[NR_SIMULACAO]],tblVendas[[#This Row],[NR_SIMULACAO]],tblVendas[[#This Row],[VALOR_AVANCADO]],""),0)</f>
        <v>0</v>
      </c>
      <c r="H996">
        <f>IF(tblCalculo[[#This Row],[STATUS]]="CONCLUÍDO",_xlfn.XLOOKUP(tblCalculo[[#This Row],[NR_SIMULACAO]],tblVendas[[#This Row],[NR_SIMULACAO]],tblVendas[[#This Row],[VALOR_FIXABASICA]],""),0)</f>
        <v>0</v>
      </c>
      <c r="I996">
        <f>IF(tblCalculo[[#This Row],[STATUS]]="CONCLUÍDO",_xlfn.XLOOKUP(tblCalculo[[#This Row],[NR_SIMULACAO]],tblVendas[[#This Row],[NR_SIMULACAO]],tblVendas[[#This Row],[VALOR_TI]],""),0)</f>
        <v>0</v>
      </c>
      <c r="J996">
        <f>IF(tblCalculo[[#This Row],[STATUS]]="CONCLUÍDO",_xlfn.XLOOKUP(tblCalculo[[#This Row],[NR_SIMULACAO]],tblVendas[[#This Row],[NR_SIMULACAO]],tblVendas[[#This Row],[VALOR_APARELHO]],""),0)</f>
        <v>0</v>
      </c>
      <c r="K996">
        <f>IF(tblCalculo[[#This Row],[STATUS]]="NEGOCIANDO",tblCalculo[[#This Row],[VALOR_TOTAL]],"")</f>
        <v>5718.2999999999993</v>
      </c>
      <c r="L996" t="str">
        <f>IF(tblCalculo[[#This Row],[STATUS]]="ALÇADA",tblCalculo[[#This Row],[VALOR_TOTAL]],"")</f>
        <v/>
      </c>
      <c r="M996" t="str">
        <f>IF(tblCalculo[[#This Row],[STATUS]]="EM ANÁLISE",tblCalculo[[#This Row],[VALOR_TOTAL]],"")</f>
        <v/>
      </c>
      <c r="N996" t="str">
        <f>IF(tblCalculo[[#This Row],[STATUS]]="TRAMITANDO",tblCalculo[[#This Row],[VALOR_TOTAL]],"")</f>
        <v/>
      </c>
      <c r="O996" t="str">
        <f>IF(tblCalculo[[#This Row],[STATUS]]="PERDIDO",tblCalculo[[#This Row],[VALOR_TOTAL]],"")</f>
        <v/>
      </c>
      <c r="P996" t="str">
        <f>IF(tblCalculo[[#This Row],[STATUS]]="CONCLUÍDO",tblCalculo[[#This Row],[VALOR_TOTAL]],"")</f>
        <v/>
      </c>
    </row>
    <row r="997" spans="1:16" x14ac:dyDescent="0.25">
      <c r="A997" t="str">
        <f>tblVendas[[#This Row],[NR_SIMULACAO]]</f>
        <v>SIM1987</v>
      </c>
      <c r="B997" s="34" t="str">
        <f>_xlfn.XLOOKUP(A997,tblVendas[[#This Row],[NR_SIMULACAO]],tblVendas[[#This Row],[NR_CNPJ]],"")</f>
        <v>91.122.679/0001-50</v>
      </c>
      <c r="C997" t="str">
        <f>_xlfn.XLOOKUP(A997,tblVendas[[#This Row],[NR_SIMULACAO]],tblVendas[[#This Row],[STATUS]],"")</f>
        <v>EM ANÁLISE</v>
      </c>
      <c r="D997" t="str">
        <f>_xlfn.XLOOKUP(A997,tblVendas[[#This Row],[NR_SIMULACAO]],tblVendas[[#This Row],[MES]],"")</f>
        <v>Abril</v>
      </c>
      <c r="E997">
        <f>SUM(_xlfn.XLOOKUP(tblCalculo[[#This Row],[NR_SIMULACAO]],tblVendas[[#This Row],[NR_SIMULACAO]],tblVendas[[#This Row],[VALOR_MOVEL]],""):_xlfn.XLOOKUP(tblCalculo[[#This Row],[NR_SIMULACAO]],tblVendas[[#This Row],[NR_SIMULACAO]],tblVendas[[#This Row],[VALOR_APARELHO]],""))</f>
        <v>10621.550000000001</v>
      </c>
      <c r="F997">
        <f>IF(tblCalculo[[#This Row],[STATUS]]="CONCLUÍDO",_xlfn.XLOOKUP(tblCalculo[[#This Row],[NR_SIMULACAO]],tblVendas[[#This Row],[NR_SIMULACAO]],tblVendas[[#This Row],[VALOR_MOVEL]],""),0)</f>
        <v>0</v>
      </c>
      <c r="G997">
        <f>IF(tblCalculo[[#This Row],[STATUS]]="CONCLUÍDO",_xlfn.XLOOKUP(tblCalculo[[#This Row],[NR_SIMULACAO]],tblVendas[[#This Row],[NR_SIMULACAO]],tblVendas[[#This Row],[VALOR_AVANCADO]],""),0)</f>
        <v>0</v>
      </c>
      <c r="H997">
        <f>IF(tblCalculo[[#This Row],[STATUS]]="CONCLUÍDO",_xlfn.XLOOKUP(tblCalculo[[#This Row],[NR_SIMULACAO]],tblVendas[[#This Row],[NR_SIMULACAO]],tblVendas[[#This Row],[VALOR_FIXABASICA]],""),0)</f>
        <v>0</v>
      </c>
      <c r="I997">
        <f>IF(tblCalculo[[#This Row],[STATUS]]="CONCLUÍDO",_xlfn.XLOOKUP(tblCalculo[[#This Row],[NR_SIMULACAO]],tblVendas[[#This Row],[NR_SIMULACAO]],tblVendas[[#This Row],[VALOR_TI]],""),0)</f>
        <v>0</v>
      </c>
      <c r="J997">
        <f>IF(tblCalculo[[#This Row],[STATUS]]="CONCLUÍDO",_xlfn.XLOOKUP(tblCalculo[[#This Row],[NR_SIMULACAO]],tblVendas[[#This Row],[NR_SIMULACAO]],tblVendas[[#This Row],[VALOR_APARELHO]],""),0)</f>
        <v>0</v>
      </c>
      <c r="K997" t="str">
        <f>IF(tblCalculo[[#This Row],[STATUS]]="NEGOCIANDO",tblCalculo[[#This Row],[VALOR_TOTAL]],"")</f>
        <v/>
      </c>
      <c r="L997" t="str">
        <f>IF(tblCalculo[[#This Row],[STATUS]]="ALÇADA",tblCalculo[[#This Row],[VALOR_TOTAL]],"")</f>
        <v/>
      </c>
      <c r="M997">
        <f>IF(tblCalculo[[#This Row],[STATUS]]="EM ANÁLISE",tblCalculo[[#This Row],[VALOR_TOTAL]],"")</f>
        <v>10621.550000000001</v>
      </c>
      <c r="N997" t="str">
        <f>IF(tblCalculo[[#This Row],[STATUS]]="TRAMITANDO",tblCalculo[[#This Row],[VALOR_TOTAL]],"")</f>
        <v/>
      </c>
      <c r="O997" t="str">
        <f>IF(tblCalculo[[#This Row],[STATUS]]="PERDIDO",tblCalculo[[#This Row],[VALOR_TOTAL]],"")</f>
        <v/>
      </c>
      <c r="P997" t="str">
        <f>IF(tblCalculo[[#This Row],[STATUS]]="CONCLUÍDO",tblCalculo[[#This Row],[VALOR_TOTAL]],"")</f>
        <v/>
      </c>
    </row>
    <row r="998" spans="1:16" x14ac:dyDescent="0.25">
      <c r="A998" t="str">
        <f>tblVendas[[#This Row],[NR_SIMULACAO]]</f>
        <v>SIM1988</v>
      </c>
      <c r="B998" s="34" t="str">
        <f>_xlfn.XLOOKUP(A998,tblVendas[[#This Row],[NR_SIMULACAO]],tblVendas[[#This Row],[NR_CNPJ]],"")</f>
        <v>24.624.762/0001-94</v>
      </c>
      <c r="C998" t="str">
        <f>_xlfn.XLOOKUP(A998,tblVendas[[#This Row],[NR_SIMULACAO]],tblVendas[[#This Row],[STATUS]],"")</f>
        <v>TRAMITANDO</v>
      </c>
      <c r="D998" t="str">
        <f>_xlfn.XLOOKUP(A998,tblVendas[[#This Row],[NR_SIMULACAO]],tblVendas[[#This Row],[MES]],"")</f>
        <v>Junho</v>
      </c>
      <c r="E998">
        <f>SUM(_xlfn.XLOOKUP(tblCalculo[[#This Row],[NR_SIMULACAO]],tblVendas[[#This Row],[NR_SIMULACAO]],tblVendas[[#This Row],[VALOR_MOVEL]],""):_xlfn.XLOOKUP(tblCalculo[[#This Row],[NR_SIMULACAO]],tblVendas[[#This Row],[NR_SIMULACAO]],tblVendas[[#This Row],[VALOR_APARELHO]],""))</f>
        <v>13065.52</v>
      </c>
      <c r="F998">
        <f>IF(tblCalculo[[#This Row],[STATUS]]="CONCLUÍDO",_xlfn.XLOOKUP(tblCalculo[[#This Row],[NR_SIMULACAO]],tblVendas[[#This Row],[NR_SIMULACAO]],tblVendas[[#This Row],[VALOR_MOVEL]],""),0)</f>
        <v>0</v>
      </c>
      <c r="G998">
        <f>IF(tblCalculo[[#This Row],[STATUS]]="CONCLUÍDO",_xlfn.XLOOKUP(tblCalculo[[#This Row],[NR_SIMULACAO]],tblVendas[[#This Row],[NR_SIMULACAO]],tblVendas[[#This Row],[VALOR_AVANCADO]],""),0)</f>
        <v>0</v>
      </c>
      <c r="H998">
        <f>IF(tblCalculo[[#This Row],[STATUS]]="CONCLUÍDO",_xlfn.XLOOKUP(tblCalculo[[#This Row],[NR_SIMULACAO]],tblVendas[[#This Row],[NR_SIMULACAO]],tblVendas[[#This Row],[VALOR_FIXABASICA]],""),0)</f>
        <v>0</v>
      </c>
      <c r="I998">
        <f>IF(tblCalculo[[#This Row],[STATUS]]="CONCLUÍDO",_xlfn.XLOOKUP(tblCalculo[[#This Row],[NR_SIMULACAO]],tblVendas[[#This Row],[NR_SIMULACAO]],tblVendas[[#This Row],[VALOR_TI]],""),0)</f>
        <v>0</v>
      </c>
      <c r="J998">
        <f>IF(tblCalculo[[#This Row],[STATUS]]="CONCLUÍDO",_xlfn.XLOOKUP(tblCalculo[[#This Row],[NR_SIMULACAO]],tblVendas[[#This Row],[NR_SIMULACAO]],tblVendas[[#This Row],[VALOR_APARELHO]],""),0)</f>
        <v>0</v>
      </c>
      <c r="K998" t="str">
        <f>IF(tblCalculo[[#This Row],[STATUS]]="NEGOCIANDO",tblCalculo[[#This Row],[VALOR_TOTAL]],"")</f>
        <v/>
      </c>
      <c r="L998" t="str">
        <f>IF(tblCalculo[[#This Row],[STATUS]]="ALÇADA",tblCalculo[[#This Row],[VALOR_TOTAL]],"")</f>
        <v/>
      </c>
      <c r="M998" t="str">
        <f>IF(tblCalculo[[#This Row],[STATUS]]="EM ANÁLISE",tblCalculo[[#This Row],[VALOR_TOTAL]],"")</f>
        <v/>
      </c>
      <c r="N998">
        <f>IF(tblCalculo[[#This Row],[STATUS]]="TRAMITANDO",tblCalculo[[#This Row],[VALOR_TOTAL]],"")</f>
        <v>13065.52</v>
      </c>
      <c r="O998" t="str">
        <f>IF(tblCalculo[[#This Row],[STATUS]]="PERDIDO",tblCalculo[[#This Row],[VALOR_TOTAL]],"")</f>
        <v/>
      </c>
      <c r="P998" t="str">
        <f>IF(tblCalculo[[#This Row],[STATUS]]="CONCLUÍDO",tblCalculo[[#This Row],[VALOR_TOTAL]],"")</f>
        <v/>
      </c>
    </row>
    <row r="999" spans="1:16" x14ac:dyDescent="0.25">
      <c r="A999" t="str">
        <f>tblVendas[[#This Row],[NR_SIMULACAO]]</f>
        <v>SIM1989</v>
      </c>
      <c r="B999" s="34" t="str">
        <f>_xlfn.XLOOKUP(A999,tblVendas[[#This Row],[NR_SIMULACAO]],tblVendas[[#This Row],[NR_CNPJ]],"")</f>
        <v>80.635.331/0001-32</v>
      </c>
      <c r="C999" t="str">
        <f>_xlfn.XLOOKUP(A999,tblVendas[[#This Row],[NR_SIMULACAO]],tblVendas[[#This Row],[STATUS]],"")</f>
        <v>PERDIDO</v>
      </c>
      <c r="D999" t="str">
        <f>_xlfn.XLOOKUP(A999,tblVendas[[#This Row],[NR_SIMULACAO]],tblVendas[[#This Row],[MES]],"")</f>
        <v>Março</v>
      </c>
      <c r="E999">
        <f>SUM(_xlfn.XLOOKUP(tblCalculo[[#This Row],[NR_SIMULACAO]],tblVendas[[#This Row],[NR_SIMULACAO]],tblVendas[[#This Row],[VALOR_MOVEL]],""):_xlfn.XLOOKUP(tblCalculo[[#This Row],[NR_SIMULACAO]],tblVendas[[#This Row],[NR_SIMULACAO]],tblVendas[[#This Row],[VALOR_APARELHO]],""))</f>
        <v>16882.699999999997</v>
      </c>
      <c r="F999">
        <f>IF(tblCalculo[[#This Row],[STATUS]]="CONCLUÍDO",_xlfn.XLOOKUP(tblCalculo[[#This Row],[NR_SIMULACAO]],tblVendas[[#This Row],[NR_SIMULACAO]],tblVendas[[#This Row],[VALOR_MOVEL]],""),0)</f>
        <v>0</v>
      </c>
      <c r="G999">
        <f>IF(tblCalculo[[#This Row],[STATUS]]="CONCLUÍDO",_xlfn.XLOOKUP(tblCalculo[[#This Row],[NR_SIMULACAO]],tblVendas[[#This Row],[NR_SIMULACAO]],tblVendas[[#This Row],[VALOR_AVANCADO]],""),0)</f>
        <v>0</v>
      </c>
      <c r="H999">
        <f>IF(tblCalculo[[#This Row],[STATUS]]="CONCLUÍDO",_xlfn.XLOOKUP(tblCalculo[[#This Row],[NR_SIMULACAO]],tblVendas[[#This Row],[NR_SIMULACAO]],tblVendas[[#This Row],[VALOR_FIXABASICA]],""),0)</f>
        <v>0</v>
      </c>
      <c r="I999">
        <f>IF(tblCalculo[[#This Row],[STATUS]]="CONCLUÍDO",_xlfn.XLOOKUP(tblCalculo[[#This Row],[NR_SIMULACAO]],tblVendas[[#This Row],[NR_SIMULACAO]],tblVendas[[#This Row],[VALOR_TI]],""),0)</f>
        <v>0</v>
      </c>
      <c r="J999">
        <f>IF(tblCalculo[[#This Row],[STATUS]]="CONCLUÍDO",_xlfn.XLOOKUP(tblCalculo[[#This Row],[NR_SIMULACAO]],tblVendas[[#This Row],[NR_SIMULACAO]],tblVendas[[#This Row],[VALOR_APARELHO]],""),0)</f>
        <v>0</v>
      </c>
      <c r="K999" t="str">
        <f>IF(tblCalculo[[#This Row],[STATUS]]="NEGOCIANDO",tblCalculo[[#This Row],[VALOR_TOTAL]],"")</f>
        <v/>
      </c>
      <c r="L999" t="str">
        <f>IF(tblCalculo[[#This Row],[STATUS]]="ALÇADA",tblCalculo[[#This Row],[VALOR_TOTAL]],"")</f>
        <v/>
      </c>
      <c r="M999" t="str">
        <f>IF(tblCalculo[[#This Row],[STATUS]]="EM ANÁLISE",tblCalculo[[#This Row],[VALOR_TOTAL]],"")</f>
        <v/>
      </c>
      <c r="N999" t="str">
        <f>IF(tblCalculo[[#This Row],[STATUS]]="TRAMITANDO",tblCalculo[[#This Row],[VALOR_TOTAL]],"")</f>
        <v/>
      </c>
      <c r="O999">
        <f>IF(tblCalculo[[#This Row],[STATUS]]="PERDIDO",tblCalculo[[#This Row],[VALOR_TOTAL]],"")</f>
        <v>16882.699999999997</v>
      </c>
      <c r="P999" t="str">
        <f>IF(tblCalculo[[#This Row],[STATUS]]="CONCLUÍDO",tblCalculo[[#This Row],[VALOR_TOTAL]],"")</f>
        <v/>
      </c>
    </row>
    <row r="1000" spans="1:16" x14ac:dyDescent="0.25">
      <c r="A1000" t="str">
        <f>tblVendas[[#This Row],[NR_SIMULACAO]]</f>
        <v>SIM1990</v>
      </c>
      <c r="B1000" s="34" t="str">
        <f>_xlfn.XLOOKUP(A1000,tblVendas[[#This Row],[NR_SIMULACAO]],tblVendas[[#This Row],[NR_CNPJ]],"")</f>
        <v>90.519.740/0001-63</v>
      </c>
      <c r="C1000" t="str">
        <f>_xlfn.XLOOKUP(A1000,tblVendas[[#This Row],[NR_SIMULACAO]],tblVendas[[#This Row],[STATUS]],"")</f>
        <v>CONCLUÍDO</v>
      </c>
      <c r="D1000" t="str">
        <f>_xlfn.XLOOKUP(A1000,tblVendas[[#This Row],[NR_SIMULACAO]],tblVendas[[#This Row],[MES]],"")</f>
        <v>Março</v>
      </c>
      <c r="E1000">
        <f>SUM(_xlfn.XLOOKUP(tblCalculo[[#This Row],[NR_SIMULACAO]],tblVendas[[#This Row],[NR_SIMULACAO]],tblVendas[[#This Row],[VALOR_MOVEL]],""):_xlfn.XLOOKUP(tblCalculo[[#This Row],[NR_SIMULACAO]],tblVendas[[#This Row],[NR_SIMULACAO]],tblVendas[[#This Row],[VALOR_APARELHO]],""))</f>
        <v>11084.5</v>
      </c>
      <c r="F1000">
        <f>IF(tblCalculo[[#This Row],[STATUS]]="CONCLUÍDO",_xlfn.XLOOKUP(tblCalculo[[#This Row],[NR_SIMULACAO]],tblVendas[[#This Row],[NR_SIMULACAO]],tblVendas[[#This Row],[VALOR_MOVEL]],""),0)</f>
        <v>0</v>
      </c>
      <c r="G1000">
        <f>IF(tblCalculo[[#This Row],[STATUS]]="CONCLUÍDO",_xlfn.XLOOKUP(tblCalculo[[#This Row],[NR_SIMULACAO]],tblVendas[[#This Row],[NR_SIMULACAO]],tblVendas[[#This Row],[VALOR_AVANCADO]],""),0)</f>
        <v>4405.57</v>
      </c>
      <c r="H1000">
        <f>IF(tblCalculo[[#This Row],[STATUS]]="CONCLUÍDO",_xlfn.XLOOKUP(tblCalculo[[#This Row],[NR_SIMULACAO]],tblVendas[[#This Row],[NR_SIMULACAO]],tblVendas[[#This Row],[VALOR_FIXABASICA]],""),0)</f>
        <v>0</v>
      </c>
      <c r="I1000">
        <f>IF(tblCalculo[[#This Row],[STATUS]]="CONCLUÍDO",_xlfn.XLOOKUP(tblCalculo[[#This Row],[NR_SIMULACAO]],tblVendas[[#This Row],[NR_SIMULACAO]],tblVendas[[#This Row],[VALOR_TI]],""),0)</f>
        <v>0</v>
      </c>
      <c r="J1000">
        <f>IF(tblCalculo[[#This Row],[STATUS]]="CONCLUÍDO",_xlfn.XLOOKUP(tblCalculo[[#This Row],[NR_SIMULACAO]],tblVendas[[#This Row],[NR_SIMULACAO]],tblVendas[[#This Row],[VALOR_APARELHO]],""),0)</f>
        <v>6678.93</v>
      </c>
      <c r="K1000" t="str">
        <f>IF(tblCalculo[[#This Row],[STATUS]]="NEGOCIANDO",tblCalculo[[#This Row],[VALOR_TOTAL]],"")</f>
        <v/>
      </c>
      <c r="L1000" t="str">
        <f>IF(tblCalculo[[#This Row],[STATUS]]="ALÇADA",tblCalculo[[#This Row],[VALOR_TOTAL]],"")</f>
        <v/>
      </c>
      <c r="M1000" t="str">
        <f>IF(tblCalculo[[#This Row],[STATUS]]="EM ANÁLISE",tblCalculo[[#This Row],[VALOR_TOTAL]],"")</f>
        <v/>
      </c>
      <c r="N1000" t="str">
        <f>IF(tblCalculo[[#This Row],[STATUS]]="TRAMITANDO",tblCalculo[[#This Row],[VALOR_TOTAL]],"")</f>
        <v/>
      </c>
      <c r="O1000" t="str">
        <f>IF(tblCalculo[[#This Row],[STATUS]]="PERDIDO",tblCalculo[[#This Row],[VALOR_TOTAL]],"")</f>
        <v/>
      </c>
      <c r="P1000">
        <f>IF(tblCalculo[[#This Row],[STATUS]]="CONCLUÍDO",tblCalculo[[#This Row],[VALOR_TOTAL]],"")</f>
        <v>11084.5</v>
      </c>
    </row>
    <row r="1001" spans="1:16" x14ac:dyDescent="0.25">
      <c r="A1001" t="str">
        <f>tblVendas[[#This Row],[NR_SIMULACAO]]</f>
        <v>SIM1991</v>
      </c>
      <c r="B1001" s="34" t="str">
        <f>_xlfn.XLOOKUP(A1001,tblVendas[[#This Row],[NR_SIMULACAO]],tblVendas[[#This Row],[NR_CNPJ]],"")</f>
        <v>65.249.859/0001-92</v>
      </c>
      <c r="C1001" t="str">
        <f>_xlfn.XLOOKUP(A1001,tblVendas[[#This Row],[NR_SIMULACAO]],tblVendas[[#This Row],[STATUS]],"")</f>
        <v>EM ANÁLISE</v>
      </c>
      <c r="D1001" t="str">
        <f>_xlfn.XLOOKUP(A1001,tblVendas[[#This Row],[NR_SIMULACAO]],tblVendas[[#This Row],[MES]],"")</f>
        <v>Setembro</v>
      </c>
      <c r="E1001">
        <f>SUM(_xlfn.XLOOKUP(tblCalculo[[#This Row],[NR_SIMULACAO]],tblVendas[[#This Row],[NR_SIMULACAO]],tblVendas[[#This Row],[VALOR_MOVEL]],""):_xlfn.XLOOKUP(tblCalculo[[#This Row],[NR_SIMULACAO]],tblVendas[[#This Row],[NR_SIMULACAO]],tblVendas[[#This Row],[VALOR_APARELHO]],""))</f>
        <v>12516.93</v>
      </c>
      <c r="F1001">
        <f>IF(tblCalculo[[#This Row],[STATUS]]="CONCLUÍDO",_xlfn.XLOOKUP(tblCalculo[[#This Row],[NR_SIMULACAO]],tblVendas[[#This Row],[NR_SIMULACAO]],tblVendas[[#This Row],[VALOR_MOVEL]],""),0)</f>
        <v>0</v>
      </c>
      <c r="G1001">
        <f>IF(tblCalculo[[#This Row],[STATUS]]="CONCLUÍDO",_xlfn.XLOOKUP(tblCalculo[[#This Row],[NR_SIMULACAO]],tblVendas[[#This Row],[NR_SIMULACAO]],tblVendas[[#This Row],[VALOR_AVANCADO]],""),0)</f>
        <v>0</v>
      </c>
      <c r="H1001">
        <f>IF(tblCalculo[[#This Row],[STATUS]]="CONCLUÍDO",_xlfn.XLOOKUP(tblCalculo[[#This Row],[NR_SIMULACAO]],tblVendas[[#This Row],[NR_SIMULACAO]],tblVendas[[#This Row],[VALOR_FIXABASICA]],""),0)</f>
        <v>0</v>
      </c>
      <c r="I1001">
        <f>IF(tblCalculo[[#This Row],[STATUS]]="CONCLUÍDO",_xlfn.XLOOKUP(tblCalculo[[#This Row],[NR_SIMULACAO]],tblVendas[[#This Row],[NR_SIMULACAO]],tblVendas[[#This Row],[VALOR_TI]],""),0)</f>
        <v>0</v>
      </c>
      <c r="J1001">
        <f>IF(tblCalculo[[#This Row],[STATUS]]="CONCLUÍDO",_xlfn.XLOOKUP(tblCalculo[[#This Row],[NR_SIMULACAO]],tblVendas[[#This Row],[NR_SIMULACAO]],tblVendas[[#This Row],[VALOR_APARELHO]],""),0)</f>
        <v>0</v>
      </c>
      <c r="K1001" t="str">
        <f>IF(tblCalculo[[#This Row],[STATUS]]="NEGOCIANDO",tblCalculo[[#This Row],[VALOR_TOTAL]],"")</f>
        <v/>
      </c>
      <c r="L1001" t="str">
        <f>IF(tblCalculo[[#This Row],[STATUS]]="ALÇADA",tblCalculo[[#This Row],[VALOR_TOTAL]],"")</f>
        <v/>
      </c>
      <c r="M1001">
        <f>IF(tblCalculo[[#This Row],[STATUS]]="EM ANÁLISE",tblCalculo[[#This Row],[VALOR_TOTAL]],"")</f>
        <v>12516.93</v>
      </c>
      <c r="N1001" t="str">
        <f>IF(tblCalculo[[#This Row],[STATUS]]="TRAMITANDO",tblCalculo[[#This Row],[VALOR_TOTAL]],"")</f>
        <v/>
      </c>
      <c r="O1001" t="str">
        <f>IF(tblCalculo[[#This Row],[STATUS]]="PERDIDO",tblCalculo[[#This Row],[VALOR_TOTAL]],"")</f>
        <v/>
      </c>
      <c r="P1001" t="str">
        <f>IF(tblCalculo[[#This Row],[STATUS]]="CONCLUÍDO",tblCalculo[[#This Row],[VALOR_TOTAL]],"")</f>
        <v/>
      </c>
    </row>
    <row r="1002" spans="1:16" x14ac:dyDescent="0.25">
      <c r="A1002" t="str">
        <f>tblVendas[[#This Row],[NR_SIMULACAO]]</f>
        <v>SIM1992</v>
      </c>
      <c r="B1002" s="34" t="str">
        <f>_xlfn.XLOOKUP(A1002,tblVendas[[#This Row],[NR_SIMULACAO]],tblVendas[[#This Row],[NR_CNPJ]],"")</f>
        <v>17.343.773/0001-84</v>
      </c>
      <c r="C1002" t="str">
        <f>_xlfn.XLOOKUP(A1002,tblVendas[[#This Row],[NR_SIMULACAO]],tblVendas[[#This Row],[STATUS]],"")</f>
        <v>CONCLUÍDO</v>
      </c>
      <c r="D1002" t="str">
        <f>_xlfn.XLOOKUP(A1002,tblVendas[[#This Row],[NR_SIMULACAO]],tblVendas[[#This Row],[MES]],"")</f>
        <v>Agosto</v>
      </c>
      <c r="E1002">
        <f>SUM(_xlfn.XLOOKUP(tblCalculo[[#This Row],[NR_SIMULACAO]],tblVendas[[#This Row],[NR_SIMULACAO]],tblVendas[[#This Row],[VALOR_MOVEL]],""):_xlfn.XLOOKUP(tblCalculo[[#This Row],[NR_SIMULACAO]],tblVendas[[#This Row],[NR_SIMULACAO]],tblVendas[[#This Row],[VALOR_APARELHO]],""))</f>
        <v>14220.71</v>
      </c>
      <c r="F1002">
        <f>IF(tblCalculo[[#This Row],[STATUS]]="CONCLUÍDO",_xlfn.XLOOKUP(tblCalculo[[#This Row],[NR_SIMULACAO]],tblVendas[[#This Row],[NR_SIMULACAO]],tblVendas[[#This Row],[VALOR_MOVEL]],""),0)</f>
        <v>0</v>
      </c>
      <c r="G1002">
        <f>IF(tblCalculo[[#This Row],[STATUS]]="CONCLUÍDO",_xlfn.XLOOKUP(tblCalculo[[#This Row],[NR_SIMULACAO]],tblVendas[[#This Row],[NR_SIMULACAO]],tblVendas[[#This Row],[VALOR_AVANCADO]],""),0)</f>
        <v>0</v>
      </c>
      <c r="H1002">
        <f>IF(tblCalculo[[#This Row],[STATUS]]="CONCLUÍDO",_xlfn.XLOOKUP(tblCalculo[[#This Row],[NR_SIMULACAO]],tblVendas[[#This Row],[NR_SIMULACAO]],tblVendas[[#This Row],[VALOR_FIXABASICA]],""),0)</f>
        <v>0</v>
      </c>
      <c r="I1002">
        <f>IF(tblCalculo[[#This Row],[STATUS]]="CONCLUÍDO",_xlfn.XLOOKUP(tblCalculo[[#This Row],[NR_SIMULACAO]],tblVendas[[#This Row],[NR_SIMULACAO]],tblVendas[[#This Row],[VALOR_TI]],""),0)</f>
        <v>0</v>
      </c>
      <c r="J1002">
        <f>IF(tblCalculo[[#This Row],[STATUS]]="CONCLUÍDO",_xlfn.XLOOKUP(tblCalculo[[#This Row],[NR_SIMULACAO]],tblVendas[[#This Row],[NR_SIMULACAO]],tblVendas[[#This Row],[VALOR_APARELHO]],""),0)</f>
        <v>14220.71</v>
      </c>
      <c r="K1002" t="str">
        <f>IF(tblCalculo[[#This Row],[STATUS]]="NEGOCIANDO",tblCalculo[[#This Row],[VALOR_TOTAL]],"")</f>
        <v/>
      </c>
      <c r="L1002" t="str">
        <f>IF(tblCalculo[[#This Row],[STATUS]]="ALÇADA",tblCalculo[[#This Row],[VALOR_TOTAL]],"")</f>
        <v/>
      </c>
      <c r="M1002" t="str">
        <f>IF(tblCalculo[[#This Row],[STATUS]]="EM ANÁLISE",tblCalculo[[#This Row],[VALOR_TOTAL]],"")</f>
        <v/>
      </c>
      <c r="N1002" t="str">
        <f>IF(tblCalculo[[#This Row],[STATUS]]="TRAMITANDO",tblCalculo[[#This Row],[VALOR_TOTAL]],"")</f>
        <v/>
      </c>
      <c r="O1002" t="str">
        <f>IF(tblCalculo[[#This Row],[STATUS]]="PERDIDO",tblCalculo[[#This Row],[VALOR_TOTAL]],"")</f>
        <v/>
      </c>
      <c r="P1002">
        <f>IF(tblCalculo[[#This Row],[STATUS]]="CONCLUÍDO",tblCalculo[[#This Row],[VALOR_TOTAL]],"")</f>
        <v>14220.71</v>
      </c>
    </row>
    <row r="1003" spans="1:16" x14ac:dyDescent="0.25">
      <c r="A1003" t="str">
        <f>tblVendas[[#This Row],[NR_SIMULACAO]]</f>
        <v>SIM1993</v>
      </c>
      <c r="B1003" s="34" t="str">
        <f>_xlfn.XLOOKUP(A1003,tblVendas[[#This Row],[NR_SIMULACAO]],tblVendas[[#This Row],[NR_CNPJ]],"")</f>
        <v>41.780.784/0001-14</v>
      </c>
      <c r="C1003" t="str">
        <f>_xlfn.XLOOKUP(A1003,tblVendas[[#This Row],[NR_SIMULACAO]],tblVendas[[#This Row],[STATUS]],"")</f>
        <v>TRAMITANDO</v>
      </c>
      <c r="D1003" t="str">
        <f>_xlfn.XLOOKUP(A1003,tblVendas[[#This Row],[NR_SIMULACAO]],tblVendas[[#This Row],[MES]],"")</f>
        <v>Junho</v>
      </c>
      <c r="E1003">
        <f>SUM(_xlfn.XLOOKUP(tblCalculo[[#This Row],[NR_SIMULACAO]],tblVendas[[#This Row],[NR_SIMULACAO]],tblVendas[[#This Row],[VALOR_MOVEL]],""):_xlfn.XLOOKUP(tblCalculo[[#This Row],[NR_SIMULACAO]],tblVendas[[#This Row],[NR_SIMULACAO]],tblVendas[[#This Row],[VALOR_APARELHO]],""))</f>
        <v>9626.43</v>
      </c>
      <c r="F1003">
        <f>IF(tblCalculo[[#This Row],[STATUS]]="CONCLUÍDO",_xlfn.XLOOKUP(tblCalculo[[#This Row],[NR_SIMULACAO]],tblVendas[[#This Row],[NR_SIMULACAO]],tblVendas[[#This Row],[VALOR_MOVEL]],""),0)</f>
        <v>0</v>
      </c>
      <c r="G1003">
        <f>IF(tblCalculo[[#This Row],[STATUS]]="CONCLUÍDO",_xlfn.XLOOKUP(tblCalculo[[#This Row],[NR_SIMULACAO]],tblVendas[[#This Row],[NR_SIMULACAO]],tblVendas[[#This Row],[VALOR_AVANCADO]],""),0)</f>
        <v>0</v>
      </c>
      <c r="H1003">
        <f>IF(tblCalculo[[#This Row],[STATUS]]="CONCLUÍDO",_xlfn.XLOOKUP(tblCalculo[[#This Row],[NR_SIMULACAO]],tblVendas[[#This Row],[NR_SIMULACAO]],tblVendas[[#This Row],[VALOR_FIXABASICA]],""),0)</f>
        <v>0</v>
      </c>
      <c r="I1003">
        <f>IF(tblCalculo[[#This Row],[STATUS]]="CONCLUÍDO",_xlfn.XLOOKUP(tblCalculo[[#This Row],[NR_SIMULACAO]],tblVendas[[#This Row],[NR_SIMULACAO]],tblVendas[[#This Row],[VALOR_TI]],""),0)</f>
        <v>0</v>
      </c>
      <c r="J1003">
        <f>IF(tblCalculo[[#This Row],[STATUS]]="CONCLUÍDO",_xlfn.XLOOKUP(tblCalculo[[#This Row],[NR_SIMULACAO]],tblVendas[[#This Row],[NR_SIMULACAO]],tblVendas[[#This Row],[VALOR_APARELHO]],""),0)</f>
        <v>0</v>
      </c>
      <c r="K1003" t="str">
        <f>IF(tblCalculo[[#This Row],[STATUS]]="NEGOCIANDO",tblCalculo[[#This Row],[VALOR_TOTAL]],"")</f>
        <v/>
      </c>
      <c r="L1003" t="str">
        <f>IF(tblCalculo[[#This Row],[STATUS]]="ALÇADA",tblCalculo[[#This Row],[VALOR_TOTAL]],"")</f>
        <v/>
      </c>
      <c r="M1003" t="str">
        <f>IF(tblCalculo[[#This Row],[STATUS]]="EM ANÁLISE",tblCalculo[[#This Row],[VALOR_TOTAL]],"")</f>
        <v/>
      </c>
      <c r="N1003">
        <f>IF(tblCalculo[[#This Row],[STATUS]]="TRAMITANDO",tblCalculo[[#This Row],[VALOR_TOTAL]],"")</f>
        <v>9626.43</v>
      </c>
      <c r="O1003" t="str">
        <f>IF(tblCalculo[[#This Row],[STATUS]]="PERDIDO",tblCalculo[[#This Row],[VALOR_TOTAL]],"")</f>
        <v/>
      </c>
      <c r="P1003" t="str">
        <f>IF(tblCalculo[[#This Row],[STATUS]]="CONCLUÍDO",tblCalculo[[#This Row],[VALOR_TOTAL]],"")</f>
        <v/>
      </c>
    </row>
    <row r="1004" spans="1:16" x14ac:dyDescent="0.25">
      <c r="A1004" t="str">
        <f>tblVendas[[#This Row],[NR_SIMULACAO]]</f>
        <v>SIM1994</v>
      </c>
      <c r="B1004" s="34" t="str">
        <f>_xlfn.XLOOKUP(A1004,tblVendas[[#This Row],[NR_SIMULACAO]],tblVendas[[#This Row],[NR_CNPJ]],"")</f>
        <v>47.528.701/0001-18</v>
      </c>
      <c r="C1004" t="str">
        <f>_xlfn.XLOOKUP(A1004,tblVendas[[#This Row],[NR_SIMULACAO]],tblVendas[[#This Row],[STATUS]],"")</f>
        <v>CONCLUÍDO</v>
      </c>
      <c r="D1004" t="str">
        <f>_xlfn.XLOOKUP(A1004,tblVendas[[#This Row],[NR_SIMULACAO]],tblVendas[[#This Row],[MES]],"")</f>
        <v>Dezembro</v>
      </c>
      <c r="E1004">
        <f>SUM(_xlfn.XLOOKUP(tblCalculo[[#This Row],[NR_SIMULACAO]],tblVendas[[#This Row],[NR_SIMULACAO]],tblVendas[[#This Row],[VALOR_MOVEL]],""):_xlfn.XLOOKUP(tblCalculo[[#This Row],[NR_SIMULACAO]],tblVendas[[#This Row],[NR_SIMULACAO]],tblVendas[[#This Row],[VALOR_APARELHO]],""))</f>
        <v>2956.35</v>
      </c>
      <c r="F1004">
        <f>IF(tblCalculo[[#This Row],[STATUS]]="CONCLUÍDO",_xlfn.XLOOKUP(tblCalculo[[#This Row],[NR_SIMULACAO]],tblVendas[[#This Row],[NR_SIMULACAO]],tblVendas[[#This Row],[VALOR_MOVEL]],""),0)</f>
        <v>0</v>
      </c>
      <c r="G1004">
        <f>IF(tblCalculo[[#This Row],[STATUS]]="CONCLUÍDO",_xlfn.XLOOKUP(tblCalculo[[#This Row],[NR_SIMULACAO]],tblVendas[[#This Row],[NR_SIMULACAO]],tblVendas[[#This Row],[VALOR_AVANCADO]],""),0)</f>
        <v>0</v>
      </c>
      <c r="H1004">
        <f>IF(tblCalculo[[#This Row],[STATUS]]="CONCLUÍDO",_xlfn.XLOOKUP(tblCalculo[[#This Row],[NR_SIMULACAO]],tblVendas[[#This Row],[NR_SIMULACAO]],tblVendas[[#This Row],[VALOR_FIXABASICA]],""),0)</f>
        <v>2956.35</v>
      </c>
      <c r="I1004">
        <f>IF(tblCalculo[[#This Row],[STATUS]]="CONCLUÍDO",_xlfn.XLOOKUP(tblCalculo[[#This Row],[NR_SIMULACAO]],tblVendas[[#This Row],[NR_SIMULACAO]],tblVendas[[#This Row],[VALOR_TI]],""),0)</f>
        <v>0</v>
      </c>
      <c r="J1004">
        <f>IF(tblCalculo[[#This Row],[STATUS]]="CONCLUÍDO",_xlfn.XLOOKUP(tblCalculo[[#This Row],[NR_SIMULACAO]],tblVendas[[#This Row],[NR_SIMULACAO]],tblVendas[[#This Row],[VALOR_APARELHO]],""),0)</f>
        <v>0</v>
      </c>
      <c r="K1004" t="str">
        <f>IF(tblCalculo[[#This Row],[STATUS]]="NEGOCIANDO",tblCalculo[[#This Row],[VALOR_TOTAL]],"")</f>
        <v/>
      </c>
      <c r="L1004" t="str">
        <f>IF(tblCalculo[[#This Row],[STATUS]]="ALÇADA",tblCalculo[[#This Row],[VALOR_TOTAL]],"")</f>
        <v/>
      </c>
      <c r="M1004" t="str">
        <f>IF(tblCalculo[[#This Row],[STATUS]]="EM ANÁLISE",tblCalculo[[#This Row],[VALOR_TOTAL]],"")</f>
        <v/>
      </c>
      <c r="N1004" t="str">
        <f>IF(tblCalculo[[#This Row],[STATUS]]="TRAMITANDO",tblCalculo[[#This Row],[VALOR_TOTAL]],"")</f>
        <v/>
      </c>
      <c r="O1004" t="str">
        <f>IF(tblCalculo[[#This Row],[STATUS]]="PERDIDO",tblCalculo[[#This Row],[VALOR_TOTAL]],"")</f>
        <v/>
      </c>
      <c r="P1004">
        <f>IF(tblCalculo[[#This Row],[STATUS]]="CONCLUÍDO",tblCalculo[[#This Row],[VALOR_TOTAL]],"")</f>
        <v>2956.35</v>
      </c>
    </row>
    <row r="1005" spans="1:16" x14ac:dyDescent="0.25">
      <c r="A1005" t="str">
        <f>tblVendas[[#This Row],[NR_SIMULACAO]]</f>
        <v>SIM1995</v>
      </c>
      <c r="B1005" s="34" t="str">
        <f>_xlfn.XLOOKUP(A1005,tblVendas[[#This Row],[NR_SIMULACAO]],tblVendas[[#This Row],[NR_CNPJ]],"")</f>
        <v>49.177.169/0001-99</v>
      </c>
      <c r="C1005" t="str">
        <f>_xlfn.XLOOKUP(A1005,tblVendas[[#This Row],[NR_SIMULACAO]],tblVendas[[#This Row],[STATUS]],"")</f>
        <v>NEGOCIANDO</v>
      </c>
      <c r="D1005" t="str">
        <f>_xlfn.XLOOKUP(A1005,tblVendas[[#This Row],[NR_SIMULACAO]],tblVendas[[#This Row],[MES]],"")</f>
        <v>Maio</v>
      </c>
      <c r="E1005">
        <f>SUM(_xlfn.XLOOKUP(tblCalculo[[#This Row],[NR_SIMULACAO]],tblVendas[[#This Row],[NR_SIMULACAO]],tblVendas[[#This Row],[VALOR_MOVEL]],""):_xlfn.XLOOKUP(tblCalculo[[#This Row],[NR_SIMULACAO]],tblVendas[[#This Row],[NR_SIMULACAO]],tblVendas[[#This Row],[VALOR_APARELHO]],""))</f>
        <v>17569.29</v>
      </c>
      <c r="F1005">
        <f>IF(tblCalculo[[#This Row],[STATUS]]="CONCLUÍDO",_xlfn.XLOOKUP(tblCalculo[[#This Row],[NR_SIMULACAO]],tblVendas[[#This Row],[NR_SIMULACAO]],tblVendas[[#This Row],[VALOR_MOVEL]],""),0)</f>
        <v>0</v>
      </c>
      <c r="G1005">
        <f>IF(tblCalculo[[#This Row],[STATUS]]="CONCLUÍDO",_xlfn.XLOOKUP(tblCalculo[[#This Row],[NR_SIMULACAO]],tblVendas[[#This Row],[NR_SIMULACAO]],tblVendas[[#This Row],[VALOR_AVANCADO]],""),0)</f>
        <v>0</v>
      </c>
      <c r="H1005">
        <f>IF(tblCalculo[[#This Row],[STATUS]]="CONCLUÍDO",_xlfn.XLOOKUP(tblCalculo[[#This Row],[NR_SIMULACAO]],tblVendas[[#This Row],[NR_SIMULACAO]],tblVendas[[#This Row],[VALOR_FIXABASICA]],""),0)</f>
        <v>0</v>
      </c>
      <c r="I1005">
        <f>IF(tblCalculo[[#This Row],[STATUS]]="CONCLUÍDO",_xlfn.XLOOKUP(tblCalculo[[#This Row],[NR_SIMULACAO]],tblVendas[[#This Row],[NR_SIMULACAO]],tblVendas[[#This Row],[VALOR_TI]],""),0)</f>
        <v>0</v>
      </c>
      <c r="J1005">
        <f>IF(tblCalculo[[#This Row],[STATUS]]="CONCLUÍDO",_xlfn.XLOOKUP(tblCalculo[[#This Row],[NR_SIMULACAO]],tblVendas[[#This Row],[NR_SIMULACAO]],tblVendas[[#This Row],[VALOR_APARELHO]],""),0)</f>
        <v>0</v>
      </c>
      <c r="K1005">
        <f>IF(tblCalculo[[#This Row],[STATUS]]="NEGOCIANDO",tblCalculo[[#This Row],[VALOR_TOTAL]],"")</f>
        <v>17569.29</v>
      </c>
      <c r="L1005" t="str">
        <f>IF(tblCalculo[[#This Row],[STATUS]]="ALÇADA",tblCalculo[[#This Row],[VALOR_TOTAL]],"")</f>
        <v/>
      </c>
      <c r="M1005" t="str">
        <f>IF(tblCalculo[[#This Row],[STATUS]]="EM ANÁLISE",tblCalculo[[#This Row],[VALOR_TOTAL]],"")</f>
        <v/>
      </c>
      <c r="N1005" t="str">
        <f>IF(tblCalculo[[#This Row],[STATUS]]="TRAMITANDO",tblCalculo[[#This Row],[VALOR_TOTAL]],"")</f>
        <v/>
      </c>
      <c r="O1005" t="str">
        <f>IF(tblCalculo[[#This Row],[STATUS]]="PERDIDO",tblCalculo[[#This Row],[VALOR_TOTAL]],"")</f>
        <v/>
      </c>
      <c r="P1005" t="str">
        <f>IF(tblCalculo[[#This Row],[STATUS]]="CONCLUÍDO",tblCalculo[[#This Row],[VALOR_TOTAL]],"")</f>
        <v/>
      </c>
    </row>
    <row r="1006" spans="1:16" x14ac:dyDescent="0.25">
      <c r="A1006" t="str">
        <f>tblVendas[[#This Row],[NR_SIMULACAO]]</f>
        <v>SIM1996</v>
      </c>
      <c r="B1006" s="34" t="str">
        <f>_xlfn.XLOOKUP(A1006,tblVendas[[#This Row],[NR_SIMULACAO]],tblVendas[[#This Row],[NR_CNPJ]],"")</f>
        <v>65.519.640/0001-25</v>
      </c>
      <c r="C1006" t="str">
        <f>_xlfn.XLOOKUP(A1006,tblVendas[[#This Row],[NR_SIMULACAO]],tblVendas[[#This Row],[STATUS]],"")</f>
        <v>PERDIDO</v>
      </c>
      <c r="D1006" t="str">
        <f>_xlfn.XLOOKUP(A1006,tblVendas[[#This Row],[NR_SIMULACAO]],tblVendas[[#This Row],[MES]],"")</f>
        <v>Fevereiro</v>
      </c>
      <c r="E1006">
        <f>SUM(_xlfn.XLOOKUP(tblCalculo[[#This Row],[NR_SIMULACAO]],tblVendas[[#This Row],[NR_SIMULACAO]],tblVendas[[#This Row],[VALOR_MOVEL]],""):_xlfn.XLOOKUP(tblCalculo[[#This Row],[NR_SIMULACAO]],tblVendas[[#This Row],[NR_SIMULACAO]],tblVendas[[#This Row],[VALOR_APARELHO]],""))</f>
        <v>3299.84</v>
      </c>
      <c r="F1006">
        <f>IF(tblCalculo[[#This Row],[STATUS]]="CONCLUÍDO",_xlfn.XLOOKUP(tblCalculo[[#This Row],[NR_SIMULACAO]],tblVendas[[#This Row],[NR_SIMULACAO]],tblVendas[[#This Row],[VALOR_MOVEL]],""),0)</f>
        <v>0</v>
      </c>
      <c r="G1006">
        <f>IF(tblCalculo[[#This Row],[STATUS]]="CONCLUÍDO",_xlfn.XLOOKUP(tblCalculo[[#This Row],[NR_SIMULACAO]],tblVendas[[#This Row],[NR_SIMULACAO]],tblVendas[[#This Row],[VALOR_AVANCADO]],""),0)</f>
        <v>0</v>
      </c>
      <c r="H1006">
        <f>IF(tblCalculo[[#This Row],[STATUS]]="CONCLUÍDO",_xlfn.XLOOKUP(tblCalculo[[#This Row],[NR_SIMULACAO]],tblVendas[[#This Row],[NR_SIMULACAO]],tblVendas[[#This Row],[VALOR_FIXABASICA]],""),0)</f>
        <v>0</v>
      </c>
      <c r="I1006">
        <f>IF(tblCalculo[[#This Row],[STATUS]]="CONCLUÍDO",_xlfn.XLOOKUP(tblCalculo[[#This Row],[NR_SIMULACAO]],tblVendas[[#This Row],[NR_SIMULACAO]],tblVendas[[#This Row],[VALOR_TI]],""),0)</f>
        <v>0</v>
      </c>
      <c r="J1006">
        <f>IF(tblCalculo[[#This Row],[STATUS]]="CONCLUÍDO",_xlfn.XLOOKUP(tblCalculo[[#This Row],[NR_SIMULACAO]],tblVendas[[#This Row],[NR_SIMULACAO]],tblVendas[[#This Row],[VALOR_APARELHO]],""),0)</f>
        <v>0</v>
      </c>
      <c r="K1006" t="str">
        <f>IF(tblCalculo[[#This Row],[STATUS]]="NEGOCIANDO",tblCalculo[[#This Row],[VALOR_TOTAL]],"")</f>
        <v/>
      </c>
      <c r="L1006" t="str">
        <f>IF(tblCalculo[[#This Row],[STATUS]]="ALÇADA",tblCalculo[[#This Row],[VALOR_TOTAL]],"")</f>
        <v/>
      </c>
      <c r="M1006" t="str">
        <f>IF(tblCalculo[[#This Row],[STATUS]]="EM ANÁLISE",tblCalculo[[#This Row],[VALOR_TOTAL]],"")</f>
        <v/>
      </c>
      <c r="N1006" t="str">
        <f>IF(tblCalculo[[#This Row],[STATUS]]="TRAMITANDO",tblCalculo[[#This Row],[VALOR_TOTAL]],"")</f>
        <v/>
      </c>
      <c r="O1006">
        <f>IF(tblCalculo[[#This Row],[STATUS]]="PERDIDO",tblCalculo[[#This Row],[VALOR_TOTAL]],"")</f>
        <v>3299.84</v>
      </c>
      <c r="P1006" t="str">
        <f>IF(tblCalculo[[#This Row],[STATUS]]="CONCLUÍDO",tblCalculo[[#This Row],[VALOR_TOTAL]],"")</f>
        <v/>
      </c>
    </row>
    <row r="1007" spans="1:16" x14ac:dyDescent="0.25">
      <c r="A1007" t="str">
        <f>tblVendas[[#This Row],[NR_SIMULACAO]]</f>
        <v>SIM1997</v>
      </c>
      <c r="B1007" s="34" t="str">
        <f>_xlfn.XLOOKUP(A1007,tblVendas[[#This Row],[NR_SIMULACAO]],tblVendas[[#This Row],[NR_CNPJ]],"")</f>
        <v>30.997.714/0001-19</v>
      </c>
      <c r="C1007" t="str">
        <f>_xlfn.XLOOKUP(A1007,tblVendas[[#This Row],[NR_SIMULACAO]],tblVendas[[#This Row],[STATUS]],"")</f>
        <v>PERDIDO</v>
      </c>
      <c r="D1007" t="str">
        <f>_xlfn.XLOOKUP(A1007,tblVendas[[#This Row],[NR_SIMULACAO]],tblVendas[[#This Row],[MES]],"")</f>
        <v>Junho</v>
      </c>
      <c r="E1007">
        <f>SUM(_xlfn.XLOOKUP(tblCalculo[[#This Row],[NR_SIMULACAO]],tblVendas[[#This Row],[NR_SIMULACAO]],tblVendas[[#This Row],[VALOR_MOVEL]],""):_xlfn.XLOOKUP(tblCalculo[[#This Row],[NR_SIMULACAO]],tblVendas[[#This Row],[NR_SIMULACAO]],tblVendas[[#This Row],[VALOR_APARELHO]],""))</f>
        <v>12113.56</v>
      </c>
      <c r="F1007">
        <f>IF(tblCalculo[[#This Row],[STATUS]]="CONCLUÍDO",_xlfn.XLOOKUP(tblCalculo[[#This Row],[NR_SIMULACAO]],tblVendas[[#This Row],[NR_SIMULACAO]],tblVendas[[#This Row],[VALOR_MOVEL]],""),0)</f>
        <v>0</v>
      </c>
      <c r="G1007">
        <f>IF(tblCalculo[[#This Row],[STATUS]]="CONCLUÍDO",_xlfn.XLOOKUP(tblCalculo[[#This Row],[NR_SIMULACAO]],tblVendas[[#This Row],[NR_SIMULACAO]],tblVendas[[#This Row],[VALOR_AVANCADO]],""),0)</f>
        <v>0</v>
      </c>
      <c r="H1007">
        <f>IF(tblCalculo[[#This Row],[STATUS]]="CONCLUÍDO",_xlfn.XLOOKUP(tblCalculo[[#This Row],[NR_SIMULACAO]],tblVendas[[#This Row],[NR_SIMULACAO]],tblVendas[[#This Row],[VALOR_FIXABASICA]],""),0)</f>
        <v>0</v>
      </c>
      <c r="I1007">
        <f>IF(tblCalculo[[#This Row],[STATUS]]="CONCLUÍDO",_xlfn.XLOOKUP(tblCalculo[[#This Row],[NR_SIMULACAO]],tblVendas[[#This Row],[NR_SIMULACAO]],tblVendas[[#This Row],[VALOR_TI]],""),0)</f>
        <v>0</v>
      </c>
      <c r="J1007">
        <f>IF(tblCalculo[[#This Row],[STATUS]]="CONCLUÍDO",_xlfn.XLOOKUP(tblCalculo[[#This Row],[NR_SIMULACAO]],tblVendas[[#This Row],[NR_SIMULACAO]],tblVendas[[#This Row],[VALOR_APARELHO]],""),0)</f>
        <v>0</v>
      </c>
      <c r="K1007" t="str">
        <f>IF(tblCalculo[[#This Row],[STATUS]]="NEGOCIANDO",tblCalculo[[#This Row],[VALOR_TOTAL]],"")</f>
        <v/>
      </c>
      <c r="L1007" t="str">
        <f>IF(tblCalculo[[#This Row],[STATUS]]="ALÇADA",tblCalculo[[#This Row],[VALOR_TOTAL]],"")</f>
        <v/>
      </c>
      <c r="M1007" t="str">
        <f>IF(tblCalculo[[#This Row],[STATUS]]="EM ANÁLISE",tblCalculo[[#This Row],[VALOR_TOTAL]],"")</f>
        <v/>
      </c>
      <c r="N1007" t="str">
        <f>IF(tblCalculo[[#This Row],[STATUS]]="TRAMITANDO",tblCalculo[[#This Row],[VALOR_TOTAL]],"")</f>
        <v/>
      </c>
      <c r="O1007">
        <f>IF(tblCalculo[[#This Row],[STATUS]]="PERDIDO",tblCalculo[[#This Row],[VALOR_TOTAL]],"")</f>
        <v>12113.56</v>
      </c>
      <c r="P1007" t="str">
        <f>IF(tblCalculo[[#This Row],[STATUS]]="CONCLUÍDO",tblCalculo[[#This Row],[VALOR_TOTAL]],"")</f>
        <v/>
      </c>
    </row>
    <row r="1008" spans="1:16" x14ac:dyDescent="0.25">
      <c r="A1008" t="str">
        <f>tblVendas[[#This Row],[NR_SIMULACAO]]</f>
        <v>SIM1998</v>
      </c>
      <c r="B1008" s="34" t="str">
        <f>_xlfn.XLOOKUP(A1008,tblVendas[[#This Row],[NR_SIMULACAO]],tblVendas[[#This Row],[NR_CNPJ]],"")</f>
        <v>18.628.547/0001-45</v>
      </c>
      <c r="C1008" t="str">
        <f>_xlfn.XLOOKUP(A1008,tblVendas[[#This Row],[NR_SIMULACAO]],tblVendas[[#This Row],[STATUS]],"")</f>
        <v>PERDIDO</v>
      </c>
      <c r="D1008" t="str">
        <f>_xlfn.XLOOKUP(A1008,tblVendas[[#This Row],[NR_SIMULACAO]],tblVendas[[#This Row],[MES]],"")</f>
        <v>Dezembro</v>
      </c>
      <c r="E1008">
        <f>SUM(_xlfn.XLOOKUP(tblCalculo[[#This Row],[NR_SIMULACAO]],tblVendas[[#This Row],[NR_SIMULACAO]],tblVendas[[#This Row],[VALOR_MOVEL]],""):_xlfn.XLOOKUP(tblCalculo[[#This Row],[NR_SIMULACAO]],tblVendas[[#This Row],[NR_SIMULACAO]],tblVendas[[#This Row],[VALOR_APARELHO]],""))</f>
        <v>10498.44</v>
      </c>
      <c r="F1008">
        <f>IF(tblCalculo[[#This Row],[STATUS]]="CONCLUÍDO",_xlfn.XLOOKUP(tblCalculo[[#This Row],[NR_SIMULACAO]],tblVendas[[#This Row],[NR_SIMULACAO]],tblVendas[[#This Row],[VALOR_MOVEL]],""),0)</f>
        <v>0</v>
      </c>
      <c r="G1008">
        <f>IF(tblCalculo[[#This Row],[STATUS]]="CONCLUÍDO",_xlfn.XLOOKUP(tblCalculo[[#This Row],[NR_SIMULACAO]],tblVendas[[#This Row],[NR_SIMULACAO]],tblVendas[[#This Row],[VALOR_AVANCADO]],""),0)</f>
        <v>0</v>
      </c>
      <c r="H1008">
        <f>IF(tblCalculo[[#This Row],[STATUS]]="CONCLUÍDO",_xlfn.XLOOKUP(tblCalculo[[#This Row],[NR_SIMULACAO]],tblVendas[[#This Row],[NR_SIMULACAO]],tblVendas[[#This Row],[VALOR_FIXABASICA]],""),0)</f>
        <v>0</v>
      </c>
      <c r="I1008">
        <f>IF(tblCalculo[[#This Row],[STATUS]]="CONCLUÍDO",_xlfn.XLOOKUP(tblCalculo[[#This Row],[NR_SIMULACAO]],tblVendas[[#This Row],[NR_SIMULACAO]],tblVendas[[#This Row],[VALOR_TI]],""),0)</f>
        <v>0</v>
      </c>
      <c r="J1008">
        <f>IF(tblCalculo[[#This Row],[STATUS]]="CONCLUÍDO",_xlfn.XLOOKUP(tblCalculo[[#This Row],[NR_SIMULACAO]],tblVendas[[#This Row],[NR_SIMULACAO]],tblVendas[[#This Row],[VALOR_APARELHO]],""),0)</f>
        <v>0</v>
      </c>
      <c r="K1008" t="str">
        <f>IF(tblCalculo[[#This Row],[STATUS]]="NEGOCIANDO",tblCalculo[[#This Row],[VALOR_TOTAL]],"")</f>
        <v/>
      </c>
      <c r="L1008" t="str">
        <f>IF(tblCalculo[[#This Row],[STATUS]]="ALÇADA",tblCalculo[[#This Row],[VALOR_TOTAL]],"")</f>
        <v/>
      </c>
      <c r="M1008" t="str">
        <f>IF(tblCalculo[[#This Row],[STATUS]]="EM ANÁLISE",tblCalculo[[#This Row],[VALOR_TOTAL]],"")</f>
        <v/>
      </c>
      <c r="N1008" t="str">
        <f>IF(tblCalculo[[#This Row],[STATUS]]="TRAMITANDO",tblCalculo[[#This Row],[VALOR_TOTAL]],"")</f>
        <v/>
      </c>
      <c r="O1008">
        <f>IF(tblCalculo[[#This Row],[STATUS]]="PERDIDO",tblCalculo[[#This Row],[VALOR_TOTAL]],"")</f>
        <v>10498.44</v>
      </c>
      <c r="P1008" t="str">
        <f>IF(tblCalculo[[#This Row],[STATUS]]="CONCLUÍDO",tblCalculo[[#This Row],[VALOR_TOTAL]],"")</f>
        <v/>
      </c>
    </row>
    <row r="1009" spans="1:16" x14ac:dyDescent="0.25">
      <c r="A1009" s="6" t="str">
        <f>tblVendas[[#This Row],[NR_SIMULACAO]]</f>
        <v>SIM1999</v>
      </c>
      <c r="B1009" s="34" t="str">
        <f>_xlfn.XLOOKUP(A1009,tblVendas[[#This Row],[NR_SIMULACAO]],tblVendas[[#This Row],[NR_CNPJ]],"")</f>
        <v>87.651.767/0001-13</v>
      </c>
      <c r="C1009" s="6" t="str">
        <f>_xlfn.XLOOKUP(A1009,tblVendas[[#This Row],[NR_SIMULACAO]],tblVendas[[#This Row],[STATUS]],"")</f>
        <v>CONCLUÍDO</v>
      </c>
      <c r="D1009" s="6" t="str">
        <f>_xlfn.XLOOKUP(A1009,tblVendas[[#This Row],[NR_SIMULACAO]],tblVendas[[#This Row],[MES]],"")</f>
        <v>Maio</v>
      </c>
      <c r="E1009" s="6">
        <f>SUM(_xlfn.XLOOKUP(tblCalculo[[#This Row],[NR_SIMULACAO]],tblVendas[[#This Row],[NR_SIMULACAO]],tblVendas[[#This Row],[VALOR_MOVEL]],""):_xlfn.XLOOKUP(tblCalculo[[#This Row],[NR_SIMULACAO]],tblVendas[[#This Row],[NR_SIMULACAO]],tblVendas[[#This Row],[VALOR_APARELHO]],""))</f>
        <v>7057.09</v>
      </c>
      <c r="F1009" s="6">
        <f>IF(tblCalculo[[#This Row],[STATUS]]="CONCLUÍDO",_xlfn.XLOOKUP(tblCalculo[[#This Row],[NR_SIMULACAO]],tblVendas[[#This Row],[NR_SIMULACAO]],tblVendas[[#This Row],[VALOR_MOVEL]],""),0)</f>
        <v>0</v>
      </c>
      <c r="G1009" s="6">
        <f>IF(tblCalculo[[#This Row],[STATUS]]="CONCLUÍDO",_xlfn.XLOOKUP(tblCalculo[[#This Row],[NR_SIMULACAO]],tblVendas[[#This Row],[NR_SIMULACAO]],tblVendas[[#This Row],[VALOR_AVANCADO]],""),0)</f>
        <v>0</v>
      </c>
      <c r="H1009" s="6">
        <f>IF(tblCalculo[[#This Row],[STATUS]]="CONCLUÍDO",_xlfn.XLOOKUP(tblCalculo[[#This Row],[NR_SIMULACAO]],tblVendas[[#This Row],[NR_SIMULACAO]],tblVendas[[#This Row],[VALOR_FIXABASICA]],""),0)</f>
        <v>2994.33</v>
      </c>
      <c r="I1009" s="6">
        <f>IF(tblCalculo[[#This Row],[STATUS]]="CONCLUÍDO",_xlfn.XLOOKUP(tblCalculo[[#This Row],[NR_SIMULACAO]],tblVendas[[#This Row],[NR_SIMULACAO]],tblVendas[[#This Row],[VALOR_TI]],""),0)</f>
        <v>4062.76</v>
      </c>
      <c r="J1009" s="6">
        <f>IF(tblCalculo[[#This Row],[STATUS]]="CONCLUÍDO",_xlfn.XLOOKUP(tblCalculo[[#This Row],[NR_SIMULACAO]],tblVendas[[#This Row],[NR_SIMULACAO]],tblVendas[[#This Row],[VALOR_APARELHO]],""),0)</f>
        <v>0</v>
      </c>
      <c r="K1009" s="6" t="str">
        <f>IF(tblCalculo[[#This Row],[STATUS]]="NEGOCIANDO",tblCalculo[[#This Row],[VALOR_TOTAL]],"")</f>
        <v/>
      </c>
      <c r="L1009" s="6" t="str">
        <f>IF(tblCalculo[[#This Row],[STATUS]]="ALÇADA",tblCalculo[[#This Row],[VALOR_TOTAL]],"")</f>
        <v/>
      </c>
      <c r="M1009" s="6" t="str">
        <f>IF(tblCalculo[[#This Row],[STATUS]]="EM ANÁLISE",tblCalculo[[#This Row],[VALOR_TOTAL]],"")</f>
        <v/>
      </c>
      <c r="N1009" s="6" t="str">
        <f>IF(tblCalculo[[#This Row],[STATUS]]="TRAMITANDO",tblCalculo[[#This Row],[VALOR_TOTAL]],"")</f>
        <v/>
      </c>
      <c r="O1009" s="6" t="str">
        <f>IF(tblCalculo[[#This Row],[STATUS]]="PERDIDO",tblCalculo[[#This Row],[VALOR_TOTAL]],"")</f>
        <v/>
      </c>
      <c r="P1009" s="6">
        <f>IF(tblCalculo[[#This Row],[STATUS]]="CONCLUÍDO",tblCalculo[[#This Row],[VALOR_TOTAL]],"")</f>
        <v>7057.09</v>
      </c>
    </row>
    <row r="1010" spans="1:16" x14ac:dyDescent="0.25">
      <c r="A1010" s="6" t="str">
        <f>tblVendas[[#This Row],[NR_SIMULACAO]]</f>
        <v>SIM2000</v>
      </c>
      <c r="B1010" s="34">
        <f>_xlfn.XLOOKUP(A1010,tblVendas[[#This Row],[NR_SIMULACAO]],tblVendas[[#This Row],[NR_CNPJ]],"")</f>
        <v>12345678000190</v>
      </c>
      <c r="C1010" s="6" t="str">
        <f>_xlfn.XLOOKUP(A1010,tblVendas[[#This Row],[NR_SIMULACAO]],tblVendas[[#This Row],[STATUS]],"")</f>
        <v>CONCLUÍDO</v>
      </c>
      <c r="D1010" s="6" t="str">
        <f>_xlfn.XLOOKUP(A1010,tblVendas[[#This Row],[NR_SIMULACAO]],tblVendas[[#This Row],[MES]],"")</f>
        <v>Janeiro</v>
      </c>
      <c r="E1010" s="6">
        <f>SUM(_xlfn.XLOOKUP(tblCalculo[[#This Row],[NR_SIMULACAO]],tblVendas[[#This Row],[NR_SIMULACAO]],tblVendas[[#This Row],[VALOR_MOVEL]],""):_xlfn.XLOOKUP(tblCalculo[[#This Row],[NR_SIMULACAO]],tblVendas[[#This Row],[NR_SIMULACAO]],tblVendas[[#This Row],[VALOR_APARELHO]],""))</f>
        <v>1231</v>
      </c>
      <c r="F1010" s="6">
        <f>IF(tblCalculo[[#This Row],[STATUS]]="CONCLUÍDO",_xlfn.XLOOKUP(tblCalculo[[#This Row],[NR_SIMULACAO]],tblVendas[[#This Row],[NR_SIMULACAO]],tblVendas[[#This Row],[VALOR_MOVEL]],""),0)</f>
        <v>1231</v>
      </c>
      <c r="G1010" s="6">
        <f>IF(tblCalculo[[#This Row],[STATUS]]="CONCLUÍDO",_xlfn.XLOOKUP(tblCalculo[[#This Row],[NR_SIMULACAO]],tblVendas[[#This Row],[NR_SIMULACAO]],tblVendas[[#This Row],[VALOR_AVANCADO]],""),0)</f>
        <v>0</v>
      </c>
      <c r="H1010" s="6">
        <f>IF(tblCalculo[[#This Row],[STATUS]]="CONCLUÍDO",_xlfn.XLOOKUP(tblCalculo[[#This Row],[NR_SIMULACAO]],tblVendas[[#This Row],[NR_SIMULACAO]],tblVendas[[#This Row],[VALOR_FIXABASICA]],""),0)</f>
        <v>0</v>
      </c>
      <c r="I1010" s="6">
        <f>IF(tblCalculo[[#This Row],[STATUS]]="CONCLUÍDO",_xlfn.XLOOKUP(tblCalculo[[#This Row],[NR_SIMULACAO]],tblVendas[[#This Row],[NR_SIMULACAO]],tblVendas[[#This Row],[VALOR_TI]],""),0)</f>
        <v>0</v>
      </c>
      <c r="J1010" s="6">
        <f>IF(tblCalculo[[#This Row],[STATUS]]="CONCLUÍDO",_xlfn.XLOOKUP(tblCalculo[[#This Row],[NR_SIMULACAO]],tblVendas[[#This Row],[NR_SIMULACAO]],tblVendas[[#This Row],[VALOR_APARELHO]],""),0)</f>
        <v>0</v>
      </c>
      <c r="K1010" s="6" t="str">
        <f>IF(tblCalculo[[#This Row],[STATUS]]="NEGOCIANDO",tblCalculo[[#This Row],[VALOR_TOTAL]],"")</f>
        <v/>
      </c>
      <c r="L1010" s="6" t="str">
        <f>IF(tblCalculo[[#This Row],[STATUS]]="ALÇADA",tblCalculo[[#This Row],[VALOR_TOTAL]],"")</f>
        <v/>
      </c>
      <c r="M1010" s="6" t="str">
        <f>IF(tblCalculo[[#This Row],[STATUS]]="EM ANÁLISE",tblCalculo[[#This Row],[VALOR_TOTAL]],"")</f>
        <v/>
      </c>
      <c r="N1010" s="6" t="str">
        <f>IF(tblCalculo[[#This Row],[STATUS]]="TRAMITANDO",tblCalculo[[#This Row],[VALOR_TOTAL]],"")</f>
        <v/>
      </c>
      <c r="O1010" s="6" t="str">
        <f>IF(tblCalculo[[#This Row],[STATUS]]="PERDIDO",tblCalculo[[#This Row],[VALOR_TOTAL]],"")</f>
        <v/>
      </c>
      <c r="P1010" s="6">
        <f>IF(tblCalculo[[#This Row],[STATUS]]="CONCLUÍDO",tblCalculo[[#This Row],[VALOR_TOTAL]],"")</f>
        <v>1231</v>
      </c>
    </row>
    <row r="1011" spans="1:16" x14ac:dyDescent="0.25">
      <c r="A1011" s="6" t="str">
        <f>tblVendas[[#This Row],[NR_SIMULACAO]]</f>
        <v>SIM2000</v>
      </c>
      <c r="B1011" s="34">
        <f>_xlfn.XLOOKUP(A1011,tblVendas[[#This Row],[NR_SIMULACAO]],tblVendas[[#This Row],[NR_CNPJ]],"")</f>
        <v>12345678000190</v>
      </c>
      <c r="C1011" s="6" t="str">
        <f>_xlfn.XLOOKUP(A1011,tblVendas[[#This Row],[NR_SIMULACAO]],tblVendas[[#This Row],[STATUS]],"")</f>
        <v>CONCLUÍDO</v>
      </c>
      <c r="D1011" s="6" t="str">
        <f>_xlfn.XLOOKUP(A1011,tblVendas[[#This Row],[NR_SIMULACAO]],tblVendas[[#This Row],[MES]],"")</f>
        <v>Janeiro</v>
      </c>
      <c r="E1011" s="6">
        <f>SUM(_xlfn.XLOOKUP(tblCalculo[[#This Row],[NR_SIMULACAO]],tblVendas[[#This Row],[NR_SIMULACAO]],tblVendas[[#This Row],[VALOR_MOVEL]],""):_xlfn.XLOOKUP(tblCalculo[[#This Row],[NR_SIMULACAO]],tblVendas[[#This Row],[NR_SIMULACAO]],tblVendas[[#This Row],[VALOR_APARELHO]],""))</f>
        <v>1234</v>
      </c>
      <c r="F1011" s="6">
        <f>IF(tblCalculo[[#This Row],[STATUS]]="CONCLUÍDO",_xlfn.XLOOKUP(tblCalculo[[#This Row],[NR_SIMULACAO]],tblVendas[[#This Row],[NR_SIMULACAO]],tblVendas[[#This Row],[VALOR_MOVEL]],""),0)</f>
        <v>1234</v>
      </c>
      <c r="G1011" s="6">
        <f>IF(tblCalculo[[#This Row],[STATUS]]="CONCLUÍDO",_xlfn.XLOOKUP(tblCalculo[[#This Row],[NR_SIMULACAO]],tblVendas[[#This Row],[NR_SIMULACAO]],tblVendas[[#This Row],[VALOR_AVANCADO]],""),0)</f>
        <v>0</v>
      </c>
      <c r="H1011" s="6">
        <f>IF(tblCalculo[[#This Row],[STATUS]]="CONCLUÍDO",_xlfn.XLOOKUP(tblCalculo[[#This Row],[NR_SIMULACAO]],tblVendas[[#This Row],[NR_SIMULACAO]],tblVendas[[#This Row],[VALOR_FIXABASICA]],""),0)</f>
        <v>0</v>
      </c>
      <c r="I1011" s="6">
        <f>IF(tblCalculo[[#This Row],[STATUS]]="CONCLUÍDO",_xlfn.XLOOKUP(tblCalculo[[#This Row],[NR_SIMULACAO]],tblVendas[[#This Row],[NR_SIMULACAO]],tblVendas[[#This Row],[VALOR_TI]],""),0)</f>
        <v>0</v>
      </c>
      <c r="J1011" s="6">
        <f>IF(tblCalculo[[#This Row],[STATUS]]="CONCLUÍDO",_xlfn.XLOOKUP(tblCalculo[[#This Row],[NR_SIMULACAO]],tblVendas[[#This Row],[NR_SIMULACAO]],tblVendas[[#This Row],[VALOR_APARELHO]],""),0)</f>
        <v>0</v>
      </c>
      <c r="K1011" s="6" t="str">
        <f>IF(tblCalculo[[#This Row],[STATUS]]="NEGOCIANDO",tblCalculo[[#This Row],[VALOR_TOTAL]],"")</f>
        <v/>
      </c>
      <c r="L1011" s="6" t="str">
        <f>IF(tblCalculo[[#This Row],[STATUS]]="ALÇADA",tblCalculo[[#This Row],[VALOR_TOTAL]],"")</f>
        <v/>
      </c>
      <c r="M1011" s="6" t="str">
        <f>IF(tblCalculo[[#This Row],[STATUS]]="EM ANÁLISE",tblCalculo[[#This Row],[VALOR_TOTAL]],"")</f>
        <v/>
      </c>
      <c r="N1011" s="6" t="str">
        <f>IF(tblCalculo[[#This Row],[STATUS]]="TRAMITANDO",tblCalculo[[#This Row],[VALOR_TOTAL]],"")</f>
        <v/>
      </c>
      <c r="O1011" s="6" t="str">
        <f>IF(tblCalculo[[#This Row],[STATUS]]="PERDIDO",tblCalculo[[#This Row],[VALOR_TOTAL]],"")</f>
        <v/>
      </c>
      <c r="P1011" s="6">
        <f>IF(tblCalculo[[#This Row],[STATUS]]="CONCLUÍDO",tblCalculo[[#This Row],[VALOR_TOTAL]],"")</f>
        <v>1234</v>
      </c>
    </row>
    <row r="1012" spans="1:16" x14ac:dyDescent="0.25">
      <c r="A1012" s="6" t="str">
        <f>tblVendas[[#This Row],[NR_SIMULACAO]]</f>
        <v>SIM2001</v>
      </c>
      <c r="B1012" s="34">
        <f>_xlfn.XLOOKUP(A1012,tblVendas[[#This Row],[NR_SIMULACAO]],tblVendas[[#This Row],[NR_CNPJ]],"")</f>
        <v>1254367800190</v>
      </c>
      <c r="C1012" s="6" t="str">
        <f>_xlfn.XLOOKUP(A1012,tblVendas[[#This Row],[NR_SIMULACAO]],tblVendas[[#This Row],[STATUS]],"")</f>
        <v>CONCLUÍDO</v>
      </c>
      <c r="D1012" s="6" t="str">
        <f>_xlfn.XLOOKUP(A1012,tblVendas[[#This Row],[NR_SIMULACAO]],tblVendas[[#This Row],[MES]],"")</f>
        <v>Janeiro</v>
      </c>
      <c r="E1012" s="6">
        <f>SUM(_xlfn.XLOOKUP(tblCalculo[[#This Row],[NR_SIMULACAO]],tblVendas[[#This Row],[NR_SIMULACAO]],tblVendas[[#This Row],[VALOR_MOVEL]],""):_xlfn.XLOOKUP(tblCalculo[[#This Row],[NR_SIMULACAO]],tblVendas[[#This Row],[NR_SIMULACAO]],tblVendas[[#This Row],[VALOR_APARELHO]],""))</f>
        <v>1234</v>
      </c>
      <c r="F1012" s="6">
        <f>IF(tblCalculo[[#This Row],[STATUS]]="CONCLUÍDO",_xlfn.XLOOKUP(tblCalculo[[#This Row],[NR_SIMULACAO]],tblVendas[[#This Row],[NR_SIMULACAO]],tblVendas[[#This Row],[VALOR_MOVEL]],""),0)</f>
        <v>1234</v>
      </c>
      <c r="G1012" s="6">
        <f>IF(tblCalculo[[#This Row],[STATUS]]="CONCLUÍDO",_xlfn.XLOOKUP(tblCalculo[[#This Row],[NR_SIMULACAO]],tblVendas[[#This Row],[NR_SIMULACAO]],tblVendas[[#This Row],[VALOR_AVANCADO]],""),0)</f>
        <v>0</v>
      </c>
      <c r="H1012" s="6">
        <f>IF(tblCalculo[[#This Row],[STATUS]]="CONCLUÍDO",_xlfn.XLOOKUP(tblCalculo[[#This Row],[NR_SIMULACAO]],tblVendas[[#This Row],[NR_SIMULACAO]],tblVendas[[#This Row],[VALOR_FIXABASICA]],""),0)</f>
        <v>0</v>
      </c>
      <c r="I1012" s="6">
        <f>IF(tblCalculo[[#This Row],[STATUS]]="CONCLUÍDO",_xlfn.XLOOKUP(tblCalculo[[#This Row],[NR_SIMULACAO]],tblVendas[[#This Row],[NR_SIMULACAO]],tblVendas[[#This Row],[VALOR_TI]],""),0)</f>
        <v>0</v>
      </c>
      <c r="J1012" s="6">
        <f>IF(tblCalculo[[#This Row],[STATUS]]="CONCLUÍDO",_xlfn.XLOOKUP(tblCalculo[[#This Row],[NR_SIMULACAO]],tblVendas[[#This Row],[NR_SIMULACAO]],tblVendas[[#This Row],[VALOR_APARELHO]],""),0)</f>
        <v>0</v>
      </c>
      <c r="K1012" s="6" t="str">
        <f>IF(tblCalculo[[#This Row],[STATUS]]="NEGOCIANDO",tblCalculo[[#This Row],[VALOR_TOTAL]],"")</f>
        <v/>
      </c>
      <c r="L1012" s="6" t="str">
        <f>IF(tblCalculo[[#This Row],[STATUS]]="ALÇADA",tblCalculo[[#This Row],[VALOR_TOTAL]],"")</f>
        <v/>
      </c>
      <c r="M1012" s="6" t="str">
        <f>IF(tblCalculo[[#This Row],[STATUS]]="EM ANÁLISE",tblCalculo[[#This Row],[VALOR_TOTAL]],"")</f>
        <v/>
      </c>
      <c r="N1012" s="6" t="str">
        <f>IF(tblCalculo[[#This Row],[STATUS]]="TRAMITANDO",tblCalculo[[#This Row],[VALOR_TOTAL]],"")</f>
        <v/>
      </c>
      <c r="O1012" s="6" t="str">
        <f>IF(tblCalculo[[#This Row],[STATUS]]="PERDIDO",tblCalculo[[#This Row],[VALOR_TOTAL]],"")</f>
        <v/>
      </c>
      <c r="P1012" s="6">
        <f>IF(tblCalculo[[#This Row],[STATUS]]="CONCLUÍDO",tblCalculo[[#This Row],[VALOR_TOTAL]],"")</f>
        <v>1234</v>
      </c>
    </row>
    <row r="1013" spans="1:16" x14ac:dyDescent="0.25">
      <c r="A1013" s="6" t="e">
        <f>tblVendas[[#This Row],[NR_SIMULACAO]]</f>
        <v>#VALUE!</v>
      </c>
      <c r="B1013" s="34" t="e">
        <f>_xlfn.XLOOKUP(A1013,tblVendas[[#This Row],[NR_SIMULACAO]],tblVendas[[#This Row],[NR_CNPJ]],"")</f>
        <v>#VALUE!</v>
      </c>
      <c r="C1013" s="6" t="e">
        <f>_xlfn.XLOOKUP(A1013,tblVendas[[#This Row],[NR_SIMULACAO]],tblVendas[[#This Row],[STATUS]],"")</f>
        <v>#VALUE!</v>
      </c>
      <c r="D1013" s="6" t="e">
        <f>_xlfn.XLOOKUP(A1013,tblVendas[[#This Row],[NR_SIMULACAO]],tblVendas[[#This Row],[MES]],"")</f>
        <v>#VALUE!</v>
      </c>
      <c r="E1013" s="6" t="e">
        <f>SUM(_xlfn.XLOOKUP(tblCalculo[[#This Row],[NR_SIMULACAO]],tblVendas[[#This Row],[NR_SIMULACAO]],tblVendas[[#This Row],[VALOR_MOVEL]],""):_xlfn.XLOOKUP(tblCalculo[[#This Row],[NR_SIMULACAO]],tblVendas[[#This Row],[NR_SIMULACAO]],tblVendas[[#This Row],[VALOR_APARELHO]],""))</f>
        <v>#VALUE!</v>
      </c>
      <c r="F1013" s="6" t="e">
        <f>IF(tblCalculo[[#This Row],[STATUS]]="CONCLUÍDO",_xlfn.XLOOKUP(tblCalculo[[#This Row],[NR_SIMULACAO]],tblVendas[[#This Row],[NR_SIMULACAO]],tblVendas[[#This Row],[VALOR_MOVEL]],""),0)</f>
        <v>#VALUE!</v>
      </c>
      <c r="G1013" s="6" t="e">
        <f>IF(tblCalculo[[#This Row],[STATUS]]="CONCLUÍDO",_xlfn.XLOOKUP(tblCalculo[[#This Row],[NR_SIMULACAO]],tblVendas[[#This Row],[NR_SIMULACAO]],tblVendas[[#This Row],[VALOR_AVANCADO]],""),0)</f>
        <v>#VALUE!</v>
      </c>
      <c r="H1013" s="6" t="e">
        <f>IF(tblCalculo[[#This Row],[STATUS]]="CONCLUÍDO",_xlfn.XLOOKUP(tblCalculo[[#This Row],[NR_SIMULACAO]],tblVendas[[#This Row],[NR_SIMULACAO]],tblVendas[[#This Row],[VALOR_FIXABASICA]],""),0)</f>
        <v>#VALUE!</v>
      </c>
      <c r="I1013" s="6" t="e">
        <f>IF(tblCalculo[[#This Row],[STATUS]]="CONCLUÍDO",_xlfn.XLOOKUP(tblCalculo[[#This Row],[NR_SIMULACAO]],tblVendas[[#This Row],[NR_SIMULACAO]],tblVendas[[#This Row],[VALOR_TI]],""),0)</f>
        <v>#VALUE!</v>
      </c>
      <c r="J1013" s="6" t="e">
        <f>IF(tblCalculo[[#This Row],[STATUS]]="CONCLUÍDO",_xlfn.XLOOKUP(tblCalculo[[#This Row],[NR_SIMULACAO]],tblVendas[[#This Row],[NR_SIMULACAO]],tblVendas[[#This Row],[VALOR_APARELHO]],""),0)</f>
        <v>#VALUE!</v>
      </c>
      <c r="K1013" s="6" t="e">
        <f>IF(tblCalculo[[#This Row],[STATUS]]="NEGOCIANDO",tblCalculo[[#This Row],[VALOR_TOTAL]],"")</f>
        <v>#VALUE!</v>
      </c>
      <c r="L1013" s="6" t="e">
        <f>IF(tblCalculo[[#This Row],[STATUS]]="ALÇADA",tblCalculo[[#This Row],[VALOR_TOTAL]],"")</f>
        <v>#VALUE!</v>
      </c>
      <c r="M1013" s="6" t="e">
        <f>IF(tblCalculo[[#This Row],[STATUS]]="EM ANÁLISE",tblCalculo[[#This Row],[VALOR_TOTAL]],"")</f>
        <v>#VALUE!</v>
      </c>
      <c r="N1013" s="6" t="e">
        <f>IF(tblCalculo[[#This Row],[STATUS]]="TRAMITANDO",tblCalculo[[#This Row],[VALOR_TOTAL]],"")</f>
        <v>#VALUE!</v>
      </c>
      <c r="O1013" s="6" t="e">
        <f>IF(tblCalculo[[#This Row],[STATUS]]="PERDIDO",tblCalculo[[#This Row],[VALOR_TOTAL]],"")</f>
        <v>#VALUE!</v>
      </c>
      <c r="P1013" s="6" t="e">
        <f>IF(tblCalculo[[#This Row],[STATUS]]="CONCLUÍDO",tblCalculo[[#This Row],[VALOR_TOTAL]],"")</f>
        <v>#VALUE!</v>
      </c>
    </row>
    <row r="1014" spans="1:16" x14ac:dyDescent="0.25">
      <c r="A1014" s="6" t="e">
        <f>tblVendas[[#This Row],[NR_SIMULACAO]]</f>
        <v>#VALUE!</v>
      </c>
      <c r="B1014" s="34" t="e">
        <f>_xlfn.XLOOKUP(A1014,tblVendas[[#This Row],[NR_SIMULACAO]],tblVendas[[#This Row],[NR_CNPJ]],"")</f>
        <v>#VALUE!</v>
      </c>
      <c r="C1014" s="6" t="e">
        <f>_xlfn.XLOOKUP(A1014,tblVendas[[#This Row],[NR_SIMULACAO]],tblVendas[[#This Row],[STATUS]],"")</f>
        <v>#VALUE!</v>
      </c>
      <c r="D1014" s="6" t="e">
        <f>_xlfn.XLOOKUP(A1014,tblVendas[[#This Row],[NR_SIMULACAO]],tblVendas[[#This Row],[MES]],"")</f>
        <v>#VALUE!</v>
      </c>
      <c r="E1014" s="6" t="e">
        <f>SUM(_xlfn.XLOOKUP(tblCalculo[[#This Row],[NR_SIMULACAO]],tblVendas[[#This Row],[NR_SIMULACAO]],tblVendas[[#This Row],[VALOR_MOVEL]],""):_xlfn.XLOOKUP(tblCalculo[[#This Row],[NR_SIMULACAO]],tblVendas[[#This Row],[NR_SIMULACAO]],tblVendas[[#This Row],[VALOR_APARELHO]],""))</f>
        <v>#VALUE!</v>
      </c>
      <c r="F1014" s="6" t="e">
        <f>IF(tblCalculo[[#This Row],[STATUS]]="CONCLUÍDO",_xlfn.XLOOKUP(tblCalculo[[#This Row],[NR_SIMULACAO]],tblVendas[[#This Row],[NR_SIMULACAO]],tblVendas[[#This Row],[VALOR_MOVEL]],""),0)</f>
        <v>#VALUE!</v>
      </c>
      <c r="G1014" s="6" t="e">
        <f>IF(tblCalculo[[#This Row],[STATUS]]="CONCLUÍDO",_xlfn.XLOOKUP(tblCalculo[[#This Row],[NR_SIMULACAO]],tblVendas[[#This Row],[NR_SIMULACAO]],tblVendas[[#This Row],[VALOR_AVANCADO]],""),0)</f>
        <v>#VALUE!</v>
      </c>
      <c r="H1014" s="6" t="e">
        <f>IF(tblCalculo[[#This Row],[STATUS]]="CONCLUÍDO",_xlfn.XLOOKUP(tblCalculo[[#This Row],[NR_SIMULACAO]],tblVendas[[#This Row],[NR_SIMULACAO]],tblVendas[[#This Row],[VALOR_FIXABASICA]],""),0)</f>
        <v>#VALUE!</v>
      </c>
      <c r="I1014" s="6" t="e">
        <f>IF(tblCalculo[[#This Row],[STATUS]]="CONCLUÍDO",_xlfn.XLOOKUP(tblCalculo[[#This Row],[NR_SIMULACAO]],tblVendas[[#This Row],[NR_SIMULACAO]],tblVendas[[#This Row],[VALOR_TI]],""),0)</f>
        <v>#VALUE!</v>
      </c>
      <c r="J1014" s="6" t="e">
        <f>IF(tblCalculo[[#This Row],[STATUS]]="CONCLUÍDO",_xlfn.XLOOKUP(tblCalculo[[#This Row],[NR_SIMULACAO]],tblVendas[[#This Row],[NR_SIMULACAO]],tblVendas[[#This Row],[VALOR_APARELHO]],""),0)</f>
        <v>#VALUE!</v>
      </c>
      <c r="K1014" s="6" t="e">
        <f>IF(tblCalculo[[#This Row],[STATUS]]="NEGOCIANDO",tblCalculo[[#This Row],[VALOR_TOTAL]],"")</f>
        <v>#VALUE!</v>
      </c>
      <c r="L1014" s="6" t="e">
        <f>IF(tblCalculo[[#This Row],[STATUS]]="ALÇADA",tblCalculo[[#This Row],[VALOR_TOTAL]],"")</f>
        <v>#VALUE!</v>
      </c>
      <c r="M1014" s="6" t="e">
        <f>IF(tblCalculo[[#This Row],[STATUS]]="EM ANÁLISE",tblCalculo[[#This Row],[VALOR_TOTAL]],"")</f>
        <v>#VALUE!</v>
      </c>
      <c r="N1014" s="6" t="e">
        <f>IF(tblCalculo[[#This Row],[STATUS]]="TRAMITANDO",tblCalculo[[#This Row],[VALOR_TOTAL]],"")</f>
        <v>#VALUE!</v>
      </c>
      <c r="O1014" s="6" t="e">
        <f>IF(tblCalculo[[#This Row],[STATUS]]="PERDIDO",tblCalculo[[#This Row],[VALOR_TOTAL]],"")</f>
        <v>#VALUE!</v>
      </c>
      <c r="P1014" s="6" t="e">
        <f>IF(tblCalculo[[#This Row],[STATUS]]="CONCLUÍDO",tblCalculo[[#This Row],[VALOR_TOTAL]],"")</f>
        <v>#VALUE!</v>
      </c>
    </row>
    <row r="1015" spans="1:16" x14ac:dyDescent="0.25">
      <c r="A1015" s="6" t="e">
        <f>tblVendas[[#This Row],[NR_SIMULACAO]]</f>
        <v>#VALUE!</v>
      </c>
      <c r="B1015" s="34" t="e">
        <f>_xlfn.XLOOKUP(A1015,tblVendas[[#This Row],[NR_SIMULACAO]],tblVendas[[#This Row],[NR_CNPJ]],"")</f>
        <v>#VALUE!</v>
      </c>
      <c r="C1015" s="6" t="e">
        <f>_xlfn.XLOOKUP(A1015,tblVendas[[#This Row],[NR_SIMULACAO]],tblVendas[[#This Row],[STATUS]],"")</f>
        <v>#VALUE!</v>
      </c>
      <c r="D1015" s="6" t="e">
        <f>_xlfn.XLOOKUP(A1015,tblVendas[[#This Row],[NR_SIMULACAO]],tblVendas[[#This Row],[MES]],"")</f>
        <v>#VALUE!</v>
      </c>
      <c r="E1015" s="6" t="e">
        <f>SUM(_xlfn.XLOOKUP(tblCalculo[[#This Row],[NR_SIMULACAO]],tblVendas[[#This Row],[NR_SIMULACAO]],tblVendas[[#This Row],[VALOR_MOVEL]],""):_xlfn.XLOOKUP(tblCalculo[[#This Row],[NR_SIMULACAO]],tblVendas[[#This Row],[NR_SIMULACAO]],tblVendas[[#This Row],[VALOR_APARELHO]],""))</f>
        <v>#VALUE!</v>
      </c>
      <c r="F1015" s="6" t="e">
        <f>IF(tblCalculo[[#This Row],[STATUS]]="CONCLUÍDO",_xlfn.XLOOKUP(tblCalculo[[#This Row],[NR_SIMULACAO]],tblVendas[[#This Row],[NR_SIMULACAO]],tblVendas[[#This Row],[VALOR_MOVEL]],""),0)</f>
        <v>#VALUE!</v>
      </c>
      <c r="G1015" s="6" t="e">
        <f>IF(tblCalculo[[#This Row],[STATUS]]="CONCLUÍDO",_xlfn.XLOOKUP(tblCalculo[[#This Row],[NR_SIMULACAO]],tblVendas[[#This Row],[NR_SIMULACAO]],tblVendas[[#This Row],[VALOR_AVANCADO]],""),0)</f>
        <v>#VALUE!</v>
      </c>
      <c r="H1015" s="6" t="e">
        <f>IF(tblCalculo[[#This Row],[STATUS]]="CONCLUÍDO",_xlfn.XLOOKUP(tblCalculo[[#This Row],[NR_SIMULACAO]],tblVendas[[#This Row],[NR_SIMULACAO]],tblVendas[[#This Row],[VALOR_FIXABASICA]],""),0)</f>
        <v>#VALUE!</v>
      </c>
      <c r="I1015" s="6" t="e">
        <f>IF(tblCalculo[[#This Row],[STATUS]]="CONCLUÍDO",_xlfn.XLOOKUP(tblCalculo[[#This Row],[NR_SIMULACAO]],tblVendas[[#This Row],[NR_SIMULACAO]],tblVendas[[#This Row],[VALOR_TI]],""),0)</f>
        <v>#VALUE!</v>
      </c>
      <c r="J1015" s="6" t="e">
        <f>IF(tblCalculo[[#This Row],[STATUS]]="CONCLUÍDO",_xlfn.XLOOKUP(tblCalculo[[#This Row],[NR_SIMULACAO]],tblVendas[[#This Row],[NR_SIMULACAO]],tblVendas[[#This Row],[VALOR_APARELHO]],""),0)</f>
        <v>#VALUE!</v>
      </c>
      <c r="K1015" s="6" t="e">
        <f>IF(tblCalculo[[#This Row],[STATUS]]="NEGOCIANDO",tblCalculo[[#This Row],[VALOR_TOTAL]],"")</f>
        <v>#VALUE!</v>
      </c>
      <c r="L1015" s="6" t="e">
        <f>IF(tblCalculo[[#This Row],[STATUS]]="ALÇADA",tblCalculo[[#This Row],[VALOR_TOTAL]],"")</f>
        <v>#VALUE!</v>
      </c>
      <c r="M1015" s="6" t="e">
        <f>IF(tblCalculo[[#This Row],[STATUS]]="EM ANÁLISE",tblCalculo[[#This Row],[VALOR_TOTAL]],"")</f>
        <v>#VALUE!</v>
      </c>
      <c r="N1015" s="6" t="e">
        <f>IF(tblCalculo[[#This Row],[STATUS]]="TRAMITANDO",tblCalculo[[#This Row],[VALOR_TOTAL]],"")</f>
        <v>#VALUE!</v>
      </c>
      <c r="O1015" s="6" t="e">
        <f>IF(tblCalculo[[#This Row],[STATUS]]="PERDIDO",tblCalculo[[#This Row],[VALOR_TOTAL]],"")</f>
        <v>#VALUE!</v>
      </c>
      <c r="P1015" s="6" t="e">
        <f>IF(tblCalculo[[#This Row],[STATUS]]="CONCLUÍDO",tblCalculo[[#This Row],[VALOR_TOTAL]],"")</f>
        <v>#VALUE!</v>
      </c>
    </row>
    <row r="1016" spans="1:16" x14ac:dyDescent="0.25">
      <c r="A1016" s="6" t="e">
        <f>tblVendas[[#This Row],[NR_SIMULACAO]]</f>
        <v>#VALUE!</v>
      </c>
      <c r="B1016" s="34" t="e">
        <f>_xlfn.XLOOKUP(A1016,tblVendas[[#This Row],[NR_SIMULACAO]],tblVendas[[#This Row],[NR_CNPJ]],"")</f>
        <v>#VALUE!</v>
      </c>
      <c r="C1016" s="6" t="e">
        <f>_xlfn.XLOOKUP(A1016,tblVendas[[#This Row],[NR_SIMULACAO]],tblVendas[[#This Row],[STATUS]],"")</f>
        <v>#VALUE!</v>
      </c>
      <c r="D1016" s="6" t="e">
        <f>_xlfn.XLOOKUP(A1016,tblVendas[[#This Row],[NR_SIMULACAO]],tblVendas[[#This Row],[MES]],"")</f>
        <v>#VALUE!</v>
      </c>
      <c r="E1016" s="6" t="e">
        <f>SUM(_xlfn.XLOOKUP(tblCalculo[[#This Row],[NR_SIMULACAO]],tblVendas[[#This Row],[NR_SIMULACAO]],tblVendas[[#This Row],[VALOR_MOVEL]],""):_xlfn.XLOOKUP(tblCalculo[[#This Row],[NR_SIMULACAO]],tblVendas[[#This Row],[NR_SIMULACAO]],tblVendas[[#This Row],[VALOR_APARELHO]],""))</f>
        <v>#VALUE!</v>
      </c>
      <c r="F1016" s="6" t="e">
        <f>IF(tblCalculo[[#This Row],[STATUS]]="CONCLUÍDO",_xlfn.XLOOKUP(tblCalculo[[#This Row],[NR_SIMULACAO]],tblVendas[[#This Row],[NR_SIMULACAO]],tblVendas[[#This Row],[VALOR_MOVEL]],""),0)</f>
        <v>#VALUE!</v>
      </c>
      <c r="G1016" s="6" t="e">
        <f>IF(tblCalculo[[#This Row],[STATUS]]="CONCLUÍDO",_xlfn.XLOOKUP(tblCalculo[[#This Row],[NR_SIMULACAO]],tblVendas[[#This Row],[NR_SIMULACAO]],tblVendas[[#This Row],[VALOR_AVANCADO]],""),0)</f>
        <v>#VALUE!</v>
      </c>
      <c r="H1016" s="6" t="e">
        <f>IF(tblCalculo[[#This Row],[STATUS]]="CONCLUÍDO",_xlfn.XLOOKUP(tblCalculo[[#This Row],[NR_SIMULACAO]],tblVendas[[#This Row],[NR_SIMULACAO]],tblVendas[[#This Row],[VALOR_FIXABASICA]],""),0)</f>
        <v>#VALUE!</v>
      </c>
      <c r="I1016" s="6" t="e">
        <f>IF(tblCalculo[[#This Row],[STATUS]]="CONCLUÍDO",_xlfn.XLOOKUP(tblCalculo[[#This Row],[NR_SIMULACAO]],tblVendas[[#This Row],[NR_SIMULACAO]],tblVendas[[#This Row],[VALOR_TI]],""),0)</f>
        <v>#VALUE!</v>
      </c>
      <c r="J1016" s="6" t="e">
        <f>IF(tblCalculo[[#This Row],[STATUS]]="CONCLUÍDO",_xlfn.XLOOKUP(tblCalculo[[#This Row],[NR_SIMULACAO]],tblVendas[[#This Row],[NR_SIMULACAO]],tblVendas[[#This Row],[VALOR_APARELHO]],""),0)</f>
        <v>#VALUE!</v>
      </c>
      <c r="K1016" s="6" t="e">
        <f>IF(tblCalculo[[#This Row],[STATUS]]="NEGOCIANDO",tblCalculo[[#This Row],[VALOR_TOTAL]],"")</f>
        <v>#VALUE!</v>
      </c>
      <c r="L1016" s="6" t="e">
        <f>IF(tblCalculo[[#This Row],[STATUS]]="ALÇADA",tblCalculo[[#This Row],[VALOR_TOTAL]],"")</f>
        <v>#VALUE!</v>
      </c>
      <c r="M1016" s="6" t="e">
        <f>IF(tblCalculo[[#This Row],[STATUS]]="EM ANÁLISE",tblCalculo[[#This Row],[VALOR_TOTAL]],"")</f>
        <v>#VALUE!</v>
      </c>
      <c r="N1016" s="6" t="e">
        <f>IF(tblCalculo[[#This Row],[STATUS]]="TRAMITANDO",tblCalculo[[#This Row],[VALOR_TOTAL]],"")</f>
        <v>#VALUE!</v>
      </c>
      <c r="O1016" s="6" t="e">
        <f>IF(tblCalculo[[#This Row],[STATUS]]="PERDIDO",tblCalculo[[#This Row],[VALOR_TOTAL]],"")</f>
        <v>#VALUE!</v>
      </c>
      <c r="P1016" s="6" t="e">
        <f>IF(tblCalculo[[#This Row],[STATUS]]="CONCLUÍDO",tblCalculo[[#This Row],[VALOR_TOTAL]],"")</f>
        <v>#VALUE!</v>
      </c>
    </row>
    <row r="1017" spans="1:16" x14ac:dyDescent="0.25">
      <c r="A1017" s="6" t="e">
        <f>tblVendas[[#This Row],[NR_SIMULACAO]]</f>
        <v>#VALUE!</v>
      </c>
      <c r="B1017" s="34" t="e">
        <f>_xlfn.XLOOKUP(A1017,tblVendas[[#This Row],[NR_SIMULACAO]],tblVendas[[#This Row],[NR_CNPJ]],"")</f>
        <v>#VALUE!</v>
      </c>
      <c r="C1017" s="6" t="e">
        <f>_xlfn.XLOOKUP(A1017,tblVendas[[#This Row],[NR_SIMULACAO]],tblVendas[[#This Row],[STATUS]],"")</f>
        <v>#VALUE!</v>
      </c>
      <c r="D1017" s="6" t="e">
        <f>_xlfn.XLOOKUP(A1017,tblVendas[[#This Row],[NR_SIMULACAO]],tblVendas[[#This Row],[MES]],"")</f>
        <v>#VALUE!</v>
      </c>
      <c r="E1017" s="6" t="e">
        <f>SUM(_xlfn.XLOOKUP(tblCalculo[[#This Row],[NR_SIMULACAO]],tblVendas[[#This Row],[NR_SIMULACAO]],tblVendas[[#This Row],[VALOR_MOVEL]],""):_xlfn.XLOOKUP(tblCalculo[[#This Row],[NR_SIMULACAO]],tblVendas[[#This Row],[NR_SIMULACAO]],tblVendas[[#This Row],[VALOR_APARELHO]],""))</f>
        <v>#VALUE!</v>
      </c>
      <c r="F1017" s="6" t="e">
        <f>IF(tblCalculo[[#This Row],[STATUS]]="CONCLUÍDO",_xlfn.XLOOKUP(tblCalculo[[#This Row],[NR_SIMULACAO]],tblVendas[[#This Row],[NR_SIMULACAO]],tblVendas[[#This Row],[VALOR_MOVEL]],""),0)</f>
        <v>#VALUE!</v>
      </c>
      <c r="G1017" s="6" t="e">
        <f>IF(tblCalculo[[#This Row],[STATUS]]="CONCLUÍDO",_xlfn.XLOOKUP(tblCalculo[[#This Row],[NR_SIMULACAO]],tblVendas[[#This Row],[NR_SIMULACAO]],tblVendas[[#This Row],[VALOR_AVANCADO]],""),0)</f>
        <v>#VALUE!</v>
      </c>
      <c r="H1017" s="6" t="e">
        <f>IF(tblCalculo[[#This Row],[STATUS]]="CONCLUÍDO",_xlfn.XLOOKUP(tblCalculo[[#This Row],[NR_SIMULACAO]],tblVendas[[#This Row],[NR_SIMULACAO]],tblVendas[[#This Row],[VALOR_FIXABASICA]],""),0)</f>
        <v>#VALUE!</v>
      </c>
      <c r="I1017" s="6" t="e">
        <f>IF(tblCalculo[[#This Row],[STATUS]]="CONCLUÍDO",_xlfn.XLOOKUP(tblCalculo[[#This Row],[NR_SIMULACAO]],tblVendas[[#This Row],[NR_SIMULACAO]],tblVendas[[#This Row],[VALOR_TI]],""),0)</f>
        <v>#VALUE!</v>
      </c>
      <c r="J1017" s="6" t="e">
        <f>IF(tblCalculo[[#This Row],[STATUS]]="CONCLUÍDO",_xlfn.XLOOKUP(tblCalculo[[#This Row],[NR_SIMULACAO]],tblVendas[[#This Row],[NR_SIMULACAO]],tblVendas[[#This Row],[VALOR_APARELHO]],""),0)</f>
        <v>#VALUE!</v>
      </c>
      <c r="K1017" s="6" t="e">
        <f>IF(tblCalculo[[#This Row],[STATUS]]="NEGOCIANDO",tblCalculo[[#This Row],[VALOR_TOTAL]],"")</f>
        <v>#VALUE!</v>
      </c>
      <c r="L1017" s="6" t="e">
        <f>IF(tblCalculo[[#This Row],[STATUS]]="ALÇADA",tblCalculo[[#This Row],[VALOR_TOTAL]],"")</f>
        <v>#VALUE!</v>
      </c>
      <c r="M1017" s="6" t="e">
        <f>IF(tblCalculo[[#This Row],[STATUS]]="EM ANÁLISE",tblCalculo[[#This Row],[VALOR_TOTAL]],"")</f>
        <v>#VALUE!</v>
      </c>
      <c r="N1017" s="6" t="e">
        <f>IF(tblCalculo[[#This Row],[STATUS]]="TRAMITANDO",tblCalculo[[#This Row],[VALOR_TOTAL]],"")</f>
        <v>#VALUE!</v>
      </c>
      <c r="O1017" s="6" t="e">
        <f>IF(tblCalculo[[#This Row],[STATUS]]="PERDIDO",tblCalculo[[#This Row],[VALOR_TOTAL]],"")</f>
        <v>#VALUE!</v>
      </c>
      <c r="P1017" s="6" t="e">
        <f>IF(tblCalculo[[#This Row],[STATUS]]="CONCLUÍDO",tblCalculo[[#This Row],[VALOR_TOTAL]],"")</f>
        <v>#VALUE!</v>
      </c>
    </row>
    <row r="1018" spans="1:16" x14ac:dyDescent="0.25">
      <c r="A1018" s="6" t="e">
        <f>tblVendas[[#This Row],[NR_SIMULACAO]]</f>
        <v>#VALUE!</v>
      </c>
      <c r="B1018" s="34" t="e">
        <f>_xlfn.XLOOKUP(A1018,tblVendas[[#This Row],[NR_SIMULACAO]],tblVendas[[#This Row],[NR_CNPJ]],"")</f>
        <v>#VALUE!</v>
      </c>
      <c r="C1018" s="6" t="e">
        <f>_xlfn.XLOOKUP(A1018,tblVendas[[#This Row],[NR_SIMULACAO]],tblVendas[[#This Row],[STATUS]],"")</f>
        <v>#VALUE!</v>
      </c>
      <c r="D1018" s="6" t="e">
        <f>_xlfn.XLOOKUP(A1018,tblVendas[[#This Row],[NR_SIMULACAO]],tblVendas[[#This Row],[MES]],"")</f>
        <v>#VALUE!</v>
      </c>
      <c r="E1018" s="6" t="e">
        <f>SUM(_xlfn.XLOOKUP(tblCalculo[[#This Row],[NR_SIMULACAO]],tblVendas[[#This Row],[NR_SIMULACAO]],tblVendas[[#This Row],[VALOR_MOVEL]],""):_xlfn.XLOOKUP(tblCalculo[[#This Row],[NR_SIMULACAO]],tblVendas[[#This Row],[NR_SIMULACAO]],tblVendas[[#This Row],[VALOR_APARELHO]],""))</f>
        <v>#VALUE!</v>
      </c>
      <c r="F1018" s="6" t="e">
        <f>IF(tblCalculo[[#This Row],[STATUS]]="CONCLUÍDO",_xlfn.XLOOKUP(tblCalculo[[#This Row],[NR_SIMULACAO]],tblVendas[[#This Row],[NR_SIMULACAO]],tblVendas[[#This Row],[VALOR_MOVEL]],""),0)</f>
        <v>#VALUE!</v>
      </c>
      <c r="G1018" s="6" t="e">
        <f>IF(tblCalculo[[#This Row],[STATUS]]="CONCLUÍDO",_xlfn.XLOOKUP(tblCalculo[[#This Row],[NR_SIMULACAO]],tblVendas[[#This Row],[NR_SIMULACAO]],tblVendas[[#This Row],[VALOR_AVANCADO]],""),0)</f>
        <v>#VALUE!</v>
      </c>
      <c r="H1018" s="6" t="e">
        <f>IF(tblCalculo[[#This Row],[STATUS]]="CONCLUÍDO",_xlfn.XLOOKUP(tblCalculo[[#This Row],[NR_SIMULACAO]],tblVendas[[#This Row],[NR_SIMULACAO]],tblVendas[[#This Row],[VALOR_FIXABASICA]],""),0)</f>
        <v>#VALUE!</v>
      </c>
      <c r="I1018" s="6" t="e">
        <f>IF(tblCalculo[[#This Row],[STATUS]]="CONCLUÍDO",_xlfn.XLOOKUP(tblCalculo[[#This Row],[NR_SIMULACAO]],tblVendas[[#This Row],[NR_SIMULACAO]],tblVendas[[#This Row],[VALOR_TI]],""),0)</f>
        <v>#VALUE!</v>
      </c>
      <c r="J1018" s="6" t="e">
        <f>IF(tblCalculo[[#This Row],[STATUS]]="CONCLUÍDO",_xlfn.XLOOKUP(tblCalculo[[#This Row],[NR_SIMULACAO]],tblVendas[[#This Row],[NR_SIMULACAO]],tblVendas[[#This Row],[VALOR_APARELHO]],""),0)</f>
        <v>#VALUE!</v>
      </c>
      <c r="K1018" s="6" t="e">
        <f>IF(tblCalculo[[#This Row],[STATUS]]="NEGOCIANDO",tblCalculo[[#This Row],[VALOR_TOTAL]],"")</f>
        <v>#VALUE!</v>
      </c>
      <c r="L1018" s="6" t="e">
        <f>IF(tblCalculo[[#This Row],[STATUS]]="ALÇADA",tblCalculo[[#This Row],[VALOR_TOTAL]],"")</f>
        <v>#VALUE!</v>
      </c>
      <c r="M1018" s="6" t="e">
        <f>IF(tblCalculo[[#This Row],[STATUS]]="EM ANÁLISE",tblCalculo[[#This Row],[VALOR_TOTAL]],"")</f>
        <v>#VALUE!</v>
      </c>
      <c r="N1018" s="6" t="e">
        <f>IF(tblCalculo[[#This Row],[STATUS]]="TRAMITANDO",tblCalculo[[#This Row],[VALOR_TOTAL]],"")</f>
        <v>#VALUE!</v>
      </c>
      <c r="O1018" s="6" t="e">
        <f>IF(tblCalculo[[#This Row],[STATUS]]="PERDIDO",tblCalculo[[#This Row],[VALOR_TOTAL]],"")</f>
        <v>#VALUE!</v>
      </c>
      <c r="P1018" s="6" t="e">
        <f>IF(tblCalculo[[#This Row],[STATUS]]="CONCLUÍDO",tblCalculo[[#This Row],[VALOR_TOTAL]],"")</f>
        <v>#VALUE!</v>
      </c>
    </row>
  </sheetData>
  <sheetProtection algorithmName="SHA-512" hashValue="gnIARCrwQ+VI23oYREiPsWaO0I7HWZ6Q0M2/slF3z5w9uOvsrmri/9lQ7m9SHq7oNlPThtBEuJwZannKaSqISA==" saltValue="ykv6emkCzmxsUuo2rO6G6A==" spinCount="100000" sheet="1" scenarios="1" autoFilter="0" pivotTables="0"/>
  <pageMargins left="0.7" right="0.7" top="0.75" bottom="0.75" header="0.3" footer="0.3"/>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READ_ME</vt:lpstr>
      <vt:lpstr>CONTROLE_VENDAS</vt:lpstr>
      <vt:lpstr>BASE_VENDAS</vt:lpstr>
      <vt:lpstr>BASE_CALCULO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Vinicius Ramos</dc:creator>
  <cp:lastModifiedBy>Vinicius Ramos</cp:lastModifiedBy>
  <dcterms:created xsi:type="dcterms:W3CDTF">2026-06-25T02:35:52Z</dcterms:created>
  <dcterms:modified xsi:type="dcterms:W3CDTF">2026-06-26T04:34:44Z</dcterms:modified>
</cp:coreProperties>
</file>