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Portfolio\"/>
    </mc:Choice>
  </mc:AlternateContent>
  <xr:revisionPtr revIDLastSave="0" documentId="13_ncr:1_{8F6E4BCA-377B-41F4-85C5-7EA5493165B0}" xr6:coauthVersionLast="47" xr6:coauthVersionMax="47" xr10:uidLastSave="{00000000-0000-0000-0000-000000000000}"/>
  <bookViews>
    <workbookView xWindow="-120" yWindow="-120" windowWidth="29040" windowHeight="16440"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8" i="4" l="1"/>
  <c r="B1018" i="4"/>
  <c r="C1018" i="4"/>
  <c r="F1018" i="4" s="1"/>
  <c r="D1018" i="4"/>
  <c r="E1018" i="4"/>
  <c r="O1018" i="4"/>
  <c r="P1018" i="4"/>
  <c r="A1017" i="4"/>
  <c r="B1017" i="4" s="1"/>
  <c r="A1016" i="4"/>
  <c r="B1016" i="4" s="1"/>
  <c r="A1015" i="4"/>
  <c r="B1015" i="4" s="1"/>
  <c r="A1014" i="4"/>
  <c r="D1014" i="4" s="1"/>
  <c r="A1013" i="4"/>
  <c r="B1013" i="4" s="1"/>
  <c r="A1012" i="4"/>
  <c r="B1012" i="4" s="1"/>
  <c r="A1011" i="4"/>
  <c r="D1011" i="4" s="1"/>
  <c r="A1010" i="4"/>
  <c r="B1010" i="4" s="1"/>
  <c r="A1009" i="4"/>
  <c r="B1009" i="4" s="1"/>
  <c r="A9" i="4"/>
  <c r="S48" i="4"/>
  <c r="S25" i="4"/>
  <c r="T36" i="4"/>
  <c r="T31" i="4"/>
  <c r="T28" i="4"/>
  <c r="S31" i="4"/>
  <c r="S28" i="4"/>
  <c r="T35" i="4"/>
  <c r="S27" i="4"/>
  <c r="T34" i="4"/>
  <c r="S34" i="4"/>
  <c r="T33" i="4"/>
  <c r="S36" i="4"/>
  <c r="T29" i="4"/>
  <c r="T27" i="4"/>
  <c r="S35" i="4"/>
  <c r="T26" i="4"/>
  <c r="S26" i="4"/>
  <c r="S30" i="4"/>
  <c r="S33" i="4"/>
  <c r="T25" i="4"/>
  <c r="S29" i="4"/>
  <c r="T32" i="4"/>
  <c r="T30" i="4"/>
  <c r="S32" i="4"/>
  <c r="Z15" i="4"/>
  <c r="Z16" i="4"/>
  <c r="Z14" i="4"/>
  <c r="Z12" i="4"/>
  <c r="Z13" i="4"/>
  <c r="Z11" i="4"/>
  <c r="L1018" i="4" l="1"/>
  <c r="K1018" i="4"/>
  <c r="J1018" i="4"/>
  <c r="I1018" i="4"/>
  <c r="N1018" i="4"/>
  <c r="M1018" i="4"/>
  <c r="H1018" i="4"/>
  <c r="G1018" i="4"/>
  <c r="D1016" i="4"/>
  <c r="E1017" i="4"/>
  <c r="D1017" i="4"/>
  <c r="C1017" i="4"/>
  <c r="E1016" i="4"/>
  <c r="C1016" i="4"/>
  <c r="E1014" i="4"/>
  <c r="C1014" i="4"/>
  <c r="P1014" i="4" s="1"/>
  <c r="B1014" i="4"/>
  <c r="E1015" i="4"/>
  <c r="D1015" i="4"/>
  <c r="C1015" i="4"/>
  <c r="E1012" i="4"/>
  <c r="D1012" i="4"/>
  <c r="C1012" i="4"/>
  <c r="N1012" i="4" s="1"/>
  <c r="E1013" i="4"/>
  <c r="C1011" i="4"/>
  <c r="M1011" i="4" s="1"/>
  <c r="D1013" i="4"/>
  <c r="B1011" i="4"/>
  <c r="C1013" i="4"/>
  <c r="E1011" i="4"/>
  <c r="E1010" i="4"/>
  <c r="D1010" i="4"/>
  <c r="C1010" i="4"/>
  <c r="E1009" i="4"/>
  <c r="D1009" i="4"/>
  <c r="C1009" i="4"/>
  <c r="B9" i="4"/>
  <c r="U29" i="4"/>
  <c r="U35" i="4"/>
  <c r="U32" i="4"/>
  <c r="U27" i="4"/>
  <c r="U36" i="4"/>
  <c r="U33" i="4"/>
  <c r="U25" i="4"/>
  <c r="U31" i="4"/>
  <c r="U28" i="4"/>
  <c r="U30" i="4"/>
  <c r="U26" i="4"/>
  <c r="U34" i="4"/>
  <c r="W39" i="4"/>
  <c r="M1017" i="4" l="1"/>
  <c r="N1017" i="4"/>
  <c r="O1017" i="4"/>
  <c r="P1017" i="4"/>
  <c r="F1017" i="4"/>
  <c r="G1017" i="4"/>
  <c r="H1017" i="4"/>
  <c r="I1017" i="4"/>
  <c r="J1017" i="4"/>
  <c r="K1017" i="4"/>
  <c r="L1017" i="4"/>
  <c r="M1016" i="4"/>
  <c r="N1016" i="4"/>
  <c r="O1016" i="4"/>
  <c r="J1016" i="4"/>
  <c r="L1016" i="4"/>
  <c r="P1016" i="4"/>
  <c r="K1016" i="4"/>
  <c r="F1016" i="4"/>
  <c r="G1016" i="4"/>
  <c r="H1016" i="4"/>
  <c r="I1016" i="4"/>
  <c r="N1014" i="4"/>
  <c r="M1015" i="4"/>
  <c r="N1015" i="4"/>
  <c r="O1015" i="4"/>
  <c r="P1015" i="4"/>
  <c r="F1015" i="4"/>
  <c r="G1015" i="4"/>
  <c r="L1015" i="4"/>
  <c r="H1015" i="4"/>
  <c r="I1015" i="4"/>
  <c r="J1015" i="4"/>
  <c r="K1015" i="4"/>
  <c r="M1014" i="4"/>
  <c r="J1014" i="4"/>
  <c r="K1014" i="4"/>
  <c r="L1014" i="4"/>
  <c r="O1014" i="4"/>
  <c r="I1014" i="4"/>
  <c r="F1014" i="4"/>
  <c r="G1014" i="4"/>
  <c r="H1014" i="4"/>
  <c r="H1011" i="4"/>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V39" i="4"/>
  <c r="U39" i="4"/>
  <c r="S39" i="4"/>
  <c r="T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K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36"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L160" i="4" l="1"/>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<sst xmlns="http://schemas.openxmlformats.org/spreadsheetml/2006/main" count="5155" uniqueCount="3088">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</sst>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39"/>
    </tableStyle>
    <tableStyle name="Table Style 1" pivot="0" count="2" xr9:uid="{74426382-F68D-48C7-BCF2-D17D80DFBD5A}">
      <tableStyleElement type="wholeTable" dxfId="38"/>
      <tableStyleElement type="headerRow" dxfId="37"/>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20180.2</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11491.18</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11708.56</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30998.95</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34197.270000000004</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108576.16</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152400</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9296400"/>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142874</xdr:rowOff>
    </xdr:from>
    <xdr:to>
      <xdr:col>29</xdr:col>
      <xdr:colOff>95250</xdr:colOff>
      <xdr:row>44</xdr:row>
      <xdr:rowOff>114299</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4"/>
          <a:ext cx="17678400" cy="7210425"/>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⇨Analistar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Abas do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9525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91535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R$ 20,180.20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R$ 34,197.27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R$ 11,491.18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R$ 11,708.56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R$ 30,998.95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R$ 74,378.89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R$ 144,244.73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R$ 108,576.16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R$ 175,842.61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R$ 137,557.26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R$ 167,719.22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R$ 136,883.64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371475</xdr:colOff>
      <xdr:row>40</xdr:row>
      <xdr:rowOff>47625</xdr:rowOff>
    </xdr:from>
    <xdr:to>
      <xdr:col>14</xdr:col>
      <xdr:colOff>333375</xdr:colOff>
      <xdr:row>44</xdr:row>
      <xdr:rowOff>66675</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R$ 22,313.67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24</xdr:col>
      <xdr:colOff>19050</xdr:colOff>
      <xdr:row>40</xdr:row>
      <xdr:rowOff>47625</xdr:rowOff>
    </xdr:from>
    <xdr:to>
      <xdr:col>29</xdr:col>
      <xdr:colOff>85725</xdr:colOff>
      <xdr:row>44</xdr:row>
      <xdr:rowOff>66675</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6762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R$ 67,292.64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16</xdr:col>
      <xdr:colOff>552450</xdr:colOff>
      <xdr:row>40</xdr:row>
      <xdr:rowOff>47625</xdr:rowOff>
    </xdr:from>
    <xdr:to>
      <xdr:col>21</xdr:col>
      <xdr:colOff>514350</xdr:colOff>
      <xdr:row>44</xdr:row>
      <xdr:rowOff>66675</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R$ 44,978.97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-R$ 5,819.80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-R$ 14,508.82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-R$ 14,291.44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R$ 4,998.95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pPr algn="r"/>
            <a:t>-R$ 55,621.11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pPr algn="r"/>
            <a:t> R$ 8,197.27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30.00%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15.55%</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1.10%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tx1">
                  <a:lumMod val="65000"/>
                  <a:lumOff val="3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28575</xdr:colOff>
      <xdr:row>40</xdr:row>
      <xdr:rowOff>142875</xdr:rowOff>
    </xdr:from>
    <xdr:to>
      <xdr:col>14</xdr:col>
      <xdr:colOff>400050</xdr:colOff>
      <xdr:row>44</xdr:row>
      <xdr:rowOff>161925</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12457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57.21%</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285750</xdr:colOff>
      <xdr:row>40</xdr:row>
      <xdr:rowOff>142875</xdr:rowOff>
    </xdr:from>
    <xdr:to>
      <xdr:col>29</xdr:col>
      <xdr:colOff>47625</xdr:colOff>
      <xdr:row>44</xdr:row>
      <xdr:rowOff>161925</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4916150"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94.37%</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200025</xdr:colOff>
      <xdr:row>40</xdr:row>
      <xdr:rowOff>142875</xdr:rowOff>
    </xdr:from>
    <xdr:to>
      <xdr:col>21</xdr:col>
      <xdr:colOff>571500</xdr:colOff>
      <xdr:row>44</xdr:row>
      <xdr:rowOff>161925</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56322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131.53%</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457200</xdr:colOff>
      <xdr:row>40</xdr:row>
      <xdr:rowOff>142875</xdr:rowOff>
    </xdr:from>
    <xdr:to>
      <xdr:col>13</xdr:col>
      <xdr:colOff>523875</xdr:colOff>
      <xdr:row>44</xdr:row>
      <xdr:rowOff>161925</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340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chemeClr val="bg1">
                  <a:lumMod val="6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114300</xdr:colOff>
      <xdr:row>40</xdr:row>
      <xdr:rowOff>142875</xdr:rowOff>
    </xdr:from>
    <xdr:to>
      <xdr:col>28</xdr:col>
      <xdr:colOff>180975</xdr:colOff>
      <xdr:row>44</xdr:row>
      <xdr:rowOff>161925</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351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28575</xdr:colOff>
      <xdr:row>40</xdr:row>
      <xdr:rowOff>142875</xdr:rowOff>
    </xdr:from>
    <xdr:to>
      <xdr:col>21</xdr:col>
      <xdr:colOff>95250</xdr:colOff>
      <xdr:row>44</xdr:row>
      <xdr:rowOff>161925</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782175"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600" b="1" i="0" baseline="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xmlns:a14="http://schemas.microsoft.com/office/drawing/2010/main">
      <mc:Choice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581025</xdr:colOff>
      <xdr:row>39</xdr:row>
      <xdr:rowOff>180975</xdr:rowOff>
    </xdr:from>
    <xdr:to>
      <xdr:col>14</xdr:col>
      <xdr:colOff>571501</xdr:colOff>
      <xdr:row>41</xdr:row>
      <xdr:rowOff>95250</xdr:rowOff>
    </xdr:to>
    <xdr:sp macro="" textlink="">
      <xdr:nvSpPr>
        <xdr:cNvPr id="4" name="Rectangle 3">
          <a:extLst>
            <a:ext uri="{FF2B5EF4-FFF2-40B4-BE49-F238E27FC236}">
              <a16:creationId xmlns:a16="http://schemas.microsoft.com/office/drawing/2014/main" id="{33369F85-7C2C-432F-906F-9DBA5973A827}"/>
            </a:ext>
          </a:extLst>
        </xdr:cNvPr>
        <xdr:cNvSpPr/>
      </xdr:nvSpPr>
      <xdr:spPr>
        <a:xfrm>
          <a:off x="54578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Serviços: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16</xdr:col>
      <xdr:colOff>142875</xdr:colOff>
      <xdr:row>39</xdr:row>
      <xdr:rowOff>180975</xdr:rowOff>
    </xdr:from>
    <xdr:to>
      <xdr:col>22</xdr:col>
      <xdr:colOff>133351</xdr:colOff>
      <xdr:row>41</xdr:row>
      <xdr:rowOff>95250</xdr:rowOff>
    </xdr:to>
    <xdr:sp macro="" textlink="">
      <xdr:nvSpPr>
        <xdr:cNvPr id="5" name="Rectangle 4">
          <a:extLst>
            <a:ext uri="{FF2B5EF4-FFF2-40B4-BE49-F238E27FC236}">
              <a16:creationId xmlns:a16="http://schemas.microsoft.com/office/drawing/2014/main" id="{96C78A02-F7C2-42B5-99A5-920011C4F5AF}"/>
            </a:ext>
          </a:extLst>
        </xdr:cNvPr>
        <xdr:cNvSpPr/>
      </xdr:nvSpPr>
      <xdr:spPr>
        <a:xfrm>
          <a:off x="989647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Aparelhos: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23</xdr:col>
      <xdr:colOff>238125</xdr:colOff>
      <xdr:row>39</xdr:row>
      <xdr:rowOff>180975</xdr:rowOff>
    </xdr:from>
    <xdr:to>
      <xdr:col>29</xdr:col>
      <xdr:colOff>228601</xdr:colOff>
      <xdr:row>41</xdr:row>
      <xdr:rowOff>95250</xdr:rowOff>
    </xdr:to>
    <xdr:sp macro="" textlink="">
      <xdr:nvSpPr>
        <xdr:cNvPr id="6" name="Rectangle 5">
          <a:extLst>
            <a:ext uri="{FF2B5EF4-FFF2-40B4-BE49-F238E27FC236}">
              <a16:creationId xmlns:a16="http://schemas.microsoft.com/office/drawing/2014/main" id="{A18AF904-EA44-418A-837A-DA7465428A80}"/>
            </a:ext>
          </a:extLst>
        </xdr:cNvPr>
        <xdr:cNvSpPr/>
      </xdr:nvSpPr>
      <xdr:spPr>
        <a:xfrm>
          <a:off x="142589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Total:</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16">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h="1" x="0"/>
        <item h="1" x="2"/>
        <item h="1" x="9"/>
        <item h="1" x="11"/>
        <item h="1" x="4"/>
        <item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v="5"/>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18">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i x="2"/>
        <i x="9"/>
        <i x="11"/>
        <i x="4"/>
        <i x="10" s="1"/>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2" totalsRowShown="0" headerRowDxfId="30" dataDxfId="29">
  <autoFilter ref="A8:J1012" xr:uid="{8AE2C5C8-254B-4C8E-A757-B0EEBECB56EE}"/>
  <tableColumns count="10">
    <tableColumn id="1" xr3:uid="{1C1E8E7E-D491-4461-AA26-AC70D8C21DA2}" name="NR_CNPJ" dataDxfId="28"/>
    <tableColumn id="2" xr3:uid="{28252839-5E03-4C9B-9D9A-809F6E0C647F}" name="RAZAO_SOCIAL" dataDxfId="27"/>
    <tableColumn id="3" xr3:uid="{7B857237-8144-44EE-98E4-E6297213E3CD}" name="NR_SIMULACAO" dataDxfId="26"/>
    <tableColumn id="5" xr3:uid="{A482439B-9D46-4717-9135-C233B9615D8C}" name="STATUS" dataDxfId="25"/>
    <tableColumn id="6" xr3:uid="{5A8B9792-C3FA-48C6-A74F-7450E6AD93CE}" name="VALOR_MOVEL" dataDxfId="24" dataCellStyle="Currency"/>
    <tableColumn id="7" xr3:uid="{501EFCEB-F407-43BC-BA4D-0EE8A3352865}" name="VALOR_AVANCADO" dataDxfId="23" dataCellStyle="Currency"/>
    <tableColumn id="8" xr3:uid="{3AFAAF3B-BCB4-44D5-A469-1B46262C91F7}" name="VALOR_FIXABASICA" dataDxfId="22" dataCellStyle="Currency"/>
    <tableColumn id="9" xr3:uid="{51006F41-3C75-41D2-BD3A-3A0132DF1575}" name="VALOR_TI" dataDxfId="21" dataCellStyle="Currency"/>
    <tableColumn id="10" xr3:uid="{F52B70E4-03B6-46F1-B9EE-578976D7A7FA}" name="VALOR_APARELHO" dataDxfId="20" dataCellStyle="Currency"/>
    <tableColumn id="11" xr3:uid="{B9D661DD-9611-4B90-B240-44B360359BF0}" name="MES" dataDxfId="1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8" totalsRowShown="0">
  <autoFilter ref="A8:P1018" xr:uid="{CEE96DA6-006C-4BA8-BFB6-12E8BF309C1D}"/>
  <tableColumns count="16">
    <tableColumn id="1" xr3:uid="{EBDC3991-77E2-4439-801A-5AF78D3CFE25}" name="NR_SIMULACAO" dataDxfId="15">
      <calculatedColumnFormula>tblVendas[[#This Row],[NR_SIMULACAO]]</calculatedColumnFormula>
    </tableColumn>
    <tableColumn id="17" xr3:uid="{904478B7-8671-42CE-BB5D-98DE138416D7}" name="NR_CNPJ" dataDxfId="14">
      <calculatedColumnFormula>_xlfn.XLOOKUP(A9,tblVendas[[#This Row],[NR_SIMULACAO]],tblVendas[[#This Row],[NR_CNPJ]],"")</calculatedColumnFormula>
    </tableColumn>
    <tableColumn id="2" xr3:uid="{999FAA48-B954-49C4-ACBB-C8D559AD3FAF}" name="STATUS" dataDxfId="13">
      <calculatedColumnFormula>_xlfn.XLOOKUP(A9,tblVendas[[#This Row],[NR_SIMULACAO]],tblVendas[[#This Row],[STATUS]],"")</calculatedColumnFormula>
    </tableColumn>
    <tableColumn id="16" xr3:uid="{4F2D0182-F66D-40EE-837C-603FD696FF25}" name="MES" dataDxfId="12">
      <calculatedColumnFormula>_xlfn.XLOOKUP(A9,tblVendas[[#This Row],[NR_SIMULACAO]],tblVendas[[#This Row],[MES]],"")</calculatedColumnFormula>
    </tableColumn>
    <tableColumn id="15" xr3:uid="{5E10FE99-9417-4874-BB0B-A1181390E31D}" name="VALOR_TOTAL" dataDxfId="11">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10">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9">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8">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7">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6">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5">
      <calculatedColumnFormula>IF(tblCalculo[[#This Row],[STATUS]]="NEGOCIANDO",tblCalculo[[#This Row],[VALOR_TOTAL]],"")</calculatedColumnFormula>
    </tableColumn>
    <tableColumn id="10" xr3:uid="{6AAE0F7A-8727-4B34-919B-3D8CE756D8D8}" name="VALOR_ALÇADA" dataDxfId="4">
      <calculatedColumnFormula>IF(tblCalculo[[#This Row],[STATUS]]="ALÇADA",tblCalculo[[#This Row],[VALOR_TOTAL]],"")</calculatedColumnFormula>
    </tableColumn>
    <tableColumn id="11" xr3:uid="{58F6D971-7A80-4729-AEFA-65A6F5225B99}" name="VALOR_EMANALISE" dataDxfId="3">
      <calculatedColumnFormula>IF(tblCalculo[[#This Row],[STATUS]]="EM ANÁLISE",tblCalculo[[#This Row],[VALOR_TOTAL]],"")</calculatedColumnFormula>
    </tableColumn>
    <tableColumn id="12" xr3:uid="{B0563296-D660-4936-A203-4ED6B6108ECB}" name="VALOR_TRAMITANDO" dataDxfId="2">
      <calculatedColumnFormula>IF(tblCalculo[[#This Row],[STATUS]]="TRAMITANDO",tblCalculo[[#This Row],[VALOR_TOTAL]],"")</calculatedColumnFormula>
    </tableColumn>
    <tableColumn id="13" xr3:uid="{0A36B0A2-FE98-4AB0-8925-4557B7A466EB}" name="VALOR_PERDIDO" dataDxfId="1">
      <calculatedColumnFormula>IF(tblCalculo[[#This Row],[STATUS]]="PERDIDO",tblCalculo[[#This Row],[VALOR_TOTAL]],"")</calculatedColumnFormula>
    </tableColumn>
    <tableColumn id="14" xr3:uid="{D555C25A-55A0-4962-A1E5-E513485831BC}" name="VALOR_CONCLUIDO" dataDxfId="0">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showRowColHeaders="0" tabSelected="1" workbookViewId="0"/>
  </sheetViews>
  <sheetFormatPr defaultRowHeight="15" x14ac:dyDescent="0.25"/>
  <sheetData/>
  <sheetProtection algorithmName="SHA-512" hashValue="mma+dlEg6hlaXhFtIFUcrWEFUgcprTmxyETvjYw39eGXBKWunhK18bZMOVSwNCfTB1cTbf4fux9vJbB1PFEeHQ==" saltValue="rR7iybZmcHaYR+Amq0vLQw=="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showGridLines="0" showRowColHeaders="0" zoomScaleNormal="100" workbookViewId="0"/>
  </sheetViews>
  <sheetFormatPr defaultRowHeight="15" x14ac:dyDescent="0.25"/>
  <sheetData>
    <row r="5" ht="15" customHeight="1" x14ac:dyDescent="0.25"/>
    <row r="7" ht="1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L1012"/>
  <sheetViews>
    <sheetView showRowColHeaders="0"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 min="12" max="12" width="9.140625" style="27"/>
  </cols>
  <sheetData>
    <row r="1" spans="1:12" ht="15" x14ac:dyDescent="0.25">
      <c r="A1" s="27"/>
    </row>
    <row r="2" spans="1:12" ht="15" x14ac:dyDescent="0.25">
      <c r="A2" s="27"/>
    </row>
    <row r="3" spans="1:12" ht="15" x14ac:dyDescent="0.25">
      <c r="A3" s="27"/>
    </row>
    <row r="4" spans="1:12" ht="15" x14ac:dyDescent="0.25">
      <c r="A4" s="27"/>
    </row>
    <row r="5" spans="1:12" ht="15" x14ac:dyDescent="0.25">
      <c r="A5" s="27"/>
    </row>
    <row r="6" spans="1:12" ht="15" x14ac:dyDescent="0.25">
      <c r="A6" s="27"/>
    </row>
    <row r="7" spans="1:12" ht="15" customHeight="1" x14ac:dyDescent="0.25">
      <c r="A7" s="27"/>
    </row>
    <row r="8" spans="1:12" s="2" customFormat="1" ht="30" customHeight="1" x14ac:dyDescent="0.25">
      <c r="A8" s="1" t="s">
        <v>3017</v>
      </c>
      <c r="B8" s="1" t="s">
        <v>3018</v>
      </c>
      <c r="C8" s="1" t="s">
        <v>3019</v>
      </c>
      <c r="D8" s="1" t="s">
        <v>3020</v>
      </c>
      <c r="E8" s="1" t="s">
        <v>3021</v>
      </c>
      <c r="F8" s="1" t="s">
        <v>3022</v>
      </c>
      <c r="G8" s="1" t="s">
        <v>3023</v>
      </c>
      <c r="H8" s="1" t="s">
        <v>3024</v>
      </c>
      <c r="I8" s="1" t="s">
        <v>3025</v>
      </c>
      <c r="J8" s="1" t="s">
        <v>3026</v>
      </c>
      <c r="K8" s="28"/>
      <c r="L8" s="28"/>
    </row>
    <row r="9" spans="1:12" s="2" customFormat="1" ht="24.95" customHeight="1" x14ac:dyDescent="0.25">
      <c r="A9" s="31" t="s">
        <v>3081</v>
      </c>
      <c r="B9" s="1" t="s">
        <v>3082</v>
      </c>
      <c r="C9" s="1" t="s">
        <v>3083</v>
      </c>
      <c r="D9" s="1" t="s">
        <v>3027</v>
      </c>
      <c r="E9" s="3">
        <v>5768</v>
      </c>
      <c r="F9" s="3">
        <v>0</v>
      </c>
      <c r="G9" s="3">
        <v>0</v>
      </c>
      <c r="H9" s="3">
        <v>0</v>
      </c>
      <c r="I9" s="3">
        <v>0</v>
      </c>
      <c r="J9" s="1" t="s">
        <v>14</v>
      </c>
      <c r="K9" s="28"/>
      <c r="L9" s="28"/>
    </row>
    <row r="10" spans="1:12" s="2" customFormat="1" ht="24.95" customHeight="1" x14ac:dyDescent="0.25">
      <c r="A10" s="31" t="s">
        <v>0</v>
      </c>
      <c r="B10" s="1" t="s">
        <v>1</v>
      </c>
      <c r="C10" s="1" t="s">
        <v>2</v>
      </c>
      <c r="D10" s="1" t="s">
        <v>3</v>
      </c>
      <c r="E10" s="3">
        <v>3768.23</v>
      </c>
      <c r="F10" s="3">
        <v>261.45999999999998</v>
      </c>
      <c r="G10" s="3">
        <v>0</v>
      </c>
      <c r="H10" s="3">
        <v>0</v>
      </c>
      <c r="I10" s="3">
        <v>13980.52</v>
      </c>
      <c r="J10" s="1" t="s">
        <v>4</v>
      </c>
      <c r="K10" s="28"/>
      <c r="L10" s="28"/>
    </row>
    <row r="11" spans="1:12" s="2" customFormat="1" ht="24.95" customHeight="1" x14ac:dyDescent="0.25">
      <c r="A11" s="31" t="s">
        <v>5</v>
      </c>
      <c r="B11" s="1" t="s">
        <v>6</v>
      </c>
      <c r="C11" s="1" t="s">
        <v>7</v>
      </c>
      <c r="D11" s="1" t="s">
        <v>8</v>
      </c>
      <c r="E11" s="3">
        <v>0</v>
      </c>
      <c r="F11" s="3">
        <v>3715.93</v>
      </c>
      <c r="G11" s="3">
        <v>2087.29</v>
      </c>
      <c r="H11" s="3">
        <v>0</v>
      </c>
      <c r="I11" s="3">
        <v>1513.37</v>
      </c>
      <c r="J11" s="1" t="s">
        <v>9</v>
      </c>
      <c r="K11" s="28"/>
      <c r="L11" s="28"/>
    </row>
    <row r="12" spans="1:12" s="2" customFormat="1" ht="24.95" customHeight="1" x14ac:dyDescent="0.25">
      <c r="A12" s="31" t="s">
        <v>10</v>
      </c>
      <c r="B12" s="1" t="s">
        <v>11</v>
      </c>
      <c r="C12" s="1" t="s">
        <v>12</v>
      </c>
      <c r="D12" s="1" t="s">
        <v>13</v>
      </c>
      <c r="E12" s="3">
        <v>5099.01</v>
      </c>
      <c r="F12" s="3">
        <v>1135.9000000000001</v>
      </c>
      <c r="G12" s="3">
        <v>0</v>
      </c>
      <c r="H12" s="3">
        <v>0</v>
      </c>
      <c r="I12" s="3">
        <v>4922.53</v>
      </c>
      <c r="J12" s="1" t="s">
        <v>14</v>
      </c>
      <c r="K12" s="28"/>
      <c r="L12" s="28"/>
    </row>
    <row r="13" spans="1:12" s="2" customFormat="1" ht="24.95" customHeight="1" x14ac:dyDescent="0.25">
      <c r="A13" s="31" t="s">
        <v>15</v>
      </c>
      <c r="B13" s="1" t="s">
        <v>16</v>
      </c>
      <c r="C13" s="1" t="s">
        <v>17</v>
      </c>
      <c r="D13" s="1" t="s">
        <v>18</v>
      </c>
      <c r="E13" s="3">
        <v>167.88</v>
      </c>
      <c r="F13" s="3">
        <v>1867.5</v>
      </c>
      <c r="G13" s="3">
        <v>0</v>
      </c>
      <c r="H13" s="3">
        <v>0</v>
      </c>
      <c r="I13" s="3">
        <v>2510.08</v>
      </c>
      <c r="J13" s="1" t="s">
        <v>19</v>
      </c>
      <c r="K13" s="28"/>
      <c r="L13" s="28"/>
    </row>
    <row r="14" spans="1:12" s="2" customFormat="1" ht="24.95" customHeight="1" x14ac:dyDescent="0.25">
      <c r="A14" s="31" t="s">
        <v>20</v>
      </c>
      <c r="B14" s="1" t="s">
        <v>21</v>
      </c>
      <c r="C14" s="1" t="s">
        <v>22</v>
      </c>
      <c r="D14" s="1" t="s">
        <v>23</v>
      </c>
      <c r="E14" s="3">
        <v>0</v>
      </c>
      <c r="F14" s="3">
        <v>0</v>
      </c>
      <c r="G14" s="3">
        <v>1262.8800000000001</v>
      </c>
      <c r="H14" s="3">
        <v>0</v>
      </c>
      <c r="I14" s="3">
        <v>0</v>
      </c>
      <c r="J14" s="1" t="s">
        <v>24</v>
      </c>
      <c r="K14" s="28"/>
      <c r="L14" s="28"/>
    </row>
    <row r="15" spans="1:12" s="2" customFormat="1" ht="24.95" customHeight="1" x14ac:dyDescent="0.25">
      <c r="A15" s="31" t="s">
        <v>25</v>
      </c>
      <c r="B15" s="1" t="s">
        <v>26</v>
      </c>
      <c r="C15" s="1" t="s">
        <v>27</v>
      </c>
      <c r="D15" s="1" t="s">
        <v>3</v>
      </c>
      <c r="E15" s="3">
        <v>3436.73</v>
      </c>
      <c r="F15" s="3">
        <v>0</v>
      </c>
      <c r="G15" s="3">
        <v>2479.23</v>
      </c>
      <c r="H15" s="3">
        <v>0</v>
      </c>
      <c r="I15" s="3">
        <v>0</v>
      </c>
      <c r="J15" s="1" t="s">
        <v>9</v>
      </c>
      <c r="K15" s="28"/>
      <c r="L15" s="28"/>
    </row>
    <row r="16" spans="1:12" s="2" customFormat="1" ht="24.95" customHeight="1" x14ac:dyDescent="0.25">
      <c r="A16" s="31" t="s">
        <v>28</v>
      </c>
      <c r="B16" s="1" t="s">
        <v>29</v>
      </c>
      <c r="C16" s="1" t="s">
        <v>30</v>
      </c>
      <c r="D16" s="1" t="s">
        <v>23</v>
      </c>
      <c r="E16" s="3">
        <v>0</v>
      </c>
      <c r="F16" s="3">
        <v>0</v>
      </c>
      <c r="G16" s="3">
        <v>803.22</v>
      </c>
      <c r="H16" s="3">
        <v>0</v>
      </c>
      <c r="I16" s="3">
        <v>0</v>
      </c>
      <c r="J16" s="1" t="s">
        <v>4</v>
      </c>
      <c r="K16" s="28"/>
      <c r="L16" s="28"/>
    </row>
    <row r="17" spans="1:12" s="2" customFormat="1" ht="24.95" customHeight="1" x14ac:dyDescent="0.25">
      <c r="A17" s="31" t="s">
        <v>31</v>
      </c>
      <c r="B17" s="1" t="s">
        <v>32</v>
      </c>
      <c r="C17" s="1" t="s">
        <v>33</v>
      </c>
      <c r="D17" s="1" t="s">
        <v>23</v>
      </c>
      <c r="E17" s="3">
        <v>5337.32</v>
      </c>
      <c r="F17" s="3">
        <v>0</v>
      </c>
      <c r="G17" s="3">
        <v>0</v>
      </c>
      <c r="H17" s="3">
        <v>2785.83</v>
      </c>
      <c r="I17" s="3">
        <v>0</v>
      </c>
      <c r="J17" s="1" t="s">
        <v>9</v>
      </c>
      <c r="K17" s="28"/>
      <c r="L17" s="28"/>
    </row>
    <row r="18" spans="1:12" s="2" customFormat="1" ht="24.95" customHeight="1" x14ac:dyDescent="0.25">
      <c r="A18" s="31" t="s">
        <v>34</v>
      </c>
      <c r="B18" s="1" t="s">
        <v>35</v>
      </c>
      <c r="C18" s="1" t="s">
        <v>36</v>
      </c>
      <c r="D18" s="1" t="s">
        <v>3</v>
      </c>
      <c r="E18" s="3">
        <v>0</v>
      </c>
      <c r="F18" s="3">
        <v>0</v>
      </c>
      <c r="G18" s="3">
        <v>2444.37</v>
      </c>
      <c r="H18" s="3">
        <v>5294.66</v>
      </c>
      <c r="I18" s="3">
        <v>0</v>
      </c>
      <c r="J18" s="1" t="s">
        <v>37</v>
      </c>
      <c r="K18" s="28"/>
      <c r="L18" s="28"/>
    </row>
    <row r="19" spans="1:12"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c r="L19" s="28"/>
    </row>
    <row r="20" spans="1:12" s="2" customFormat="1" ht="24.95" customHeight="1" x14ac:dyDescent="0.25">
      <c r="A20" s="31" t="s">
        <v>42</v>
      </c>
      <c r="B20" s="1" t="s">
        <v>43</v>
      </c>
      <c r="C20" s="1" t="s">
        <v>44</v>
      </c>
      <c r="D20" s="1" t="s">
        <v>23</v>
      </c>
      <c r="E20" s="3">
        <v>7541.25</v>
      </c>
      <c r="F20" s="3">
        <v>0</v>
      </c>
      <c r="G20" s="3">
        <v>0</v>
      </c>
      <c r="H20" s="3">
        <v>0</v>
      </c>
      <c r="I20" s="3">
        <v>10827.23</v>
      </c>
      <c r="J20" s="1" t="s">
        <v>41</v>
      </c>
      <c r="K20" s="28"/>
      <c r="L20" s="28"/>
    </row>
    <row r="21" spans="1:12" s="2" customFormat="1" ht="24.95" customHeight="1" x14ac:dyDescent="0.25">
      <c r="A21" s="31" t="s">
        <v>45</v>
      </c>
      <c r="B21" s="1" t="s">
        <v>46</v>
      </c>
      <c r="C21" s="1" t="s">
        <v>47</v>
      </c>
      <c r="D21" s="1" t="s">
        <v>3027</v>
      </c>
      <c r="E21" s="3">
        <v>3119.72</v>
      </c>
      <c r="F21" s="3">
        <v>0</v>
      </c>
      <c r="G21" s="3">
        <v>630.62</v>
      </c>
      <c r="H21" s="3">
        <v>0</v>
      </c>
      <c r="I21" s="3">
        <v>0</v>
      </c>
      <c r="J21" s="1" t="s">
        <v>48</v>
      </c>
      <c r="K21" s="28"/>
      <c r="L21" s="28"/>
    </row>
    <row r="22" spans="1:12" s="2" customFormat="1" ht="24.95" customHeight="1" x14ac:dyDescent="0.25">
      <c r="A22" s="31" t="s">
        <v>49</v>
      </c>
      <c r="B22" s="1" t="s">
        <v>50</v>
      </c>
      <c r="C22" s="1" t="s">
        <v>51</v>
      </c>
      <c r="D22" s="1" t="s">
        <v>23</v>
      </c>
      <c r="E22" s="3">
        <v>1393.72</v>
      </c>
      <c r="F22" s="3">
        <v>0</v>
      </c>
      <c r="G22" s="3">
        <v>0</v>
      </c>
      <c r="H22" s="3">
        <v>0</v>
      </c>
      <c r="I22" s="3">
        <v>13372.34</v>
      </c>
      <c r="J22" s="1" t="s">
        <v>4</v>
      </c>
      <c r="K22" s="28"/>
      <c r="L22" s="28"/>
    </row>
    <row r="23" spans="1:12" s="2" customFormat="1" ht="24.95" customHeight="1" x14ac:dyDescent="0.25">
      <c r="A23" s="31" t="s">
        <v>52</v>
      </c>
      <c r="B23" s="1" t="s">
        <v>53</v>
      </c>
      <c r="C23" s="1" t="s">
        <v>54</v>
      </c>
      <c r="D23" s="1" t="s">
        <v>3027</v>
      </c>
      <c r="E23" s="3">
        <v>0</v>
      </c>
      <c r="F23" s="3">
        <v>0</v>
      </c>
      <c r="G23" s="3">
        <v>0</v>
      </c>
      <c r="H23" s="3">
        <v>2687.11</v>
      </c>
      <c r="I23" s="3">
        <v>14354.95</v>
      </c>
      <c r="J23" s="1" t="s">
        <v>41</v>
      </c>
      <c r="K23" s="28"/>
      <c r="L23" s="28"/>
    </row>
    <row r="24" spans="1:12" s="2" customFormat="1" ht="24.95" customHeight="1" x14ac:dyDescent="0.25">
      <c r="A24" s="31" t="s">
        <v>55</v>
      </c>
      <c r="B24" s="1" t="s">
        <v>56</v>
      </c>
      <c r="C24" s="1" t="s">
        <v>57</v>
      </c>
      <c r="D24" s="1" t="s">
        <v>23</v>
      </c>
      <c r="E24" s="3">
        <v>2857.81</v>
      </c>
      <c r="F24" s="3">
        <v>3122.82</v>
      </c>
      <c r="G24" s="3">
        <v>2162.34</v>
      </c>
      <c r="H24" s="3">
        <v>1011.06</v>
      </c>
      <c r="I24" s="3">
        <v>0</v>
      </c>
      <c r="J24" s="1" t="s">
        <v>37</v>
      </c>
      <c r="K24" s="28"/>
      <c r="L24" s="28"/>
    </row>
    <row r="25" spans="1:12" s="2" customFormat="1" ht="24.95" customHeight="1" x14ac:dyDescent="0.25">
      <c r="A25" s="31" t="s">
        <v>58</v>
      </c>
      <c r="B25" s="1" t="s">
        <v>59</v>
      </c>
      <c r="C25" s="1" t="s">
        <v>60</v>
      </c>
      <c r="D25" s="1" t="s">
        <v>3027</v>
      </c>
      <c r="E25" s="3">
        <v>0</v>
      </c>
      <c r="F25" s="3">
        <v>1915.78</v>
      </c>
      <c r="G25" s="3">
        <v>2181.81</v>
      </c>
      <c r="H25" s="3">
        <v>0</v>
      </c>
      <c r="I25" s="3">
        <v>14494.49</v>
      </c>
      <c r="J25" s="1" t="s">
        <v>24</v>
      </c>
      <c r="K25" s="28"/>
      <c r="L25" s="28"/>
    </row>
    <row r="26" spans="1:12" s="2" customFormat="1" ht="24.95" customHeight="1" x14ac:dyDescent="0.25">
      <c r="A26" s="31" t="s">
        <v>61</v>
      </c>
      <c r="B26" s="1" t="s">
        <v>62</v>
      </c>
      <c r="C26" s="1" t="s">
        <v>63</v>
      </c>
      <c r="D26" s="1" t="s">
        <v>3</v>
      </c>
      <c r="E26" s="3">
        <v>0</v>
      </c>
      <c r="F26" s="3">
        <v>0</v>
      </c>
      <c r="G26" s="3">
        <v>0</v>
      </c>
      <c r="H26" s="3">
        <v>1561.25</v>
      </c>
      <c r="I26" s="3">
        <v>802.01</v>
      </c>
      <c r="J26" s="1" t="s">
        <v>37</v>
      </c>
      <c r="K26" s="28"/>
      <c r="L26" s="28"/>
    </row>
    <row r="27" spans="1:12" s="2" customFormat="1" ht="24.95" customHeight="1" x14ac:dyDescent="0.25">
      <c r="A27" s="31" t="s">
        <v>64</v>
      </c>
      <c r="B27" s="1" t="s">
        <v>65</v>
      </c>
      <c r="C27" s="1" t="s">
        <v>66</v>
      </c>
      <c r="D27" s="1" t="s">
        <v>18</v>
      </c>
      <c r="E27" s="3">
        <v>1722.79</v>
      </c>
      <c r="F27" s="3">
        <v>0</v>
      </c>
      <c r="G27" s="3">
        <v>0</v>
      </c>
      <c r="H27" s="3">
        <v>0</v>
      </c>
      <c r="I27" s="3">
        <v>9152.4500000000007</v>
      </c>
      <c r="J27" s="1" t="s">
        <v>14</v>
      </c>
      <c r="K27" s="28"/>
      <c r="L27" s="28"/>
    </row>
    <row r="28" spans="1:12" s="2" customFormat="1" ht="24.95" customHeight="1" x14ac:dyDescent="0.25">
      <c r="A28" s="31" t="s">
        <v>67</v>
      </c>
      <c r="B28" s="1" t="s">
        <v>68</v>
      </c>
      <c r="C28" s="1" t="s">
        <v>69</v>
      </c>
      <c r="D28" s="1" t="s">
        <v>8</v>
      </c>
      <c r="E28" s="3">
        <v>0</v>
      </c>
      <c r="F28" s="3">
        <v>0</v>
      </c>
      <c r="G28" s="3">
        <v>1688.89</v>
      </c>
      <c r="H28" s="3">
        <v>208.58</v>
      </c>
      <c r="I28" s="3">
        <v>11916.65</v>
      </c>
      <c r="J28" s="1" t="s">
        <v>37</v>
      </c>
      <c r="K28" s="28"/>
      <c r="L28" s="28"/>
    </row>
    <row r="29" spans="1:12"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c r="L29" s="28"/>
    </row>
    <row r="30" spans="1:12" s="2" customFormat="1" ht="24.95" customHeight="1" x14ac:dyDescent="0.25">
      <c r="A30" s="31" t="s">
        <v>73</v>
      </c>
      <c r="B30" s="1" t="s">
        <v>74</v>
      </c>
      <c r="C30" s="1" t="s">
        <v>75</v>
      </c>
      <c r="D30" s="1" t="s">
        <v>3</v>
      </c>
      <c r="E30" s="3">
        <v>0</v>
      </c>
      <c r="F30" s="3">
        <v>0</v>
      </c>
      <c r="G30" s="3">
        <v>0</v>
      </c>
      <c r="H30" s="3">
        <v>8613.6299999999992</v>
      </c>
      <c r="I30" s="3">
        <v>10040.33</v>
      </c>
      <c r="J30" s="1" t="s">
        <v>48</v>
      </c>
      <c r="K30" s="28"/>
      <c r="L30" s="28"/>
    </row>
    <row r="31" spans="1:12" s="2" customFormat="1" ht="24.95" customHeight="1" x14ac:dyDescent="0.25">
      <c r="A31" s="31" t="s">
        <v>76</v>
      </c>
      <c r="B31" s="1" t="s">
        <v>77</v>
      </c>
      <c r="C31" s="1" t="s">
        <v>78</v>
      </c>
      <c r="D31" s="1" t="s">
        <v>13</v>
      </c>
      <c r="E31" s="3">
        <v>0</v>
      </c>
      <c r="F31" s="3">
        <v>4919.6000000000004</v>
      </c>
      <c r="G31" s="3">
        <v>0</v>
      </c>
      <c r="H31" s="3">
        <v>0</v>
      </c>
      <c r="I31" s="3">
        <v>13381.9</v>
      </c>
      <c r="J31" s="1" t="s">
        <v>79</v>
      </c>
      <c r="K31" s="28"/>
      <c r="L31" s="28"/>
    </row>
    <row r="32" spans="1:12" s="2" customFormat="1" ht="24.95" customHeight="1" x14ac:dyDescent="0.25">
      <c r="A32" s="31" t="s">
        <v>80</v>
      </c>
      <c r="B32" s="1" t="s">
        <v>81</v>
      </c>
      <c r="C32" s="1" t="s">
        <v>82</v>
      </c>
      <c r="D32" s="1" t="s">
        <v>8</v>
      </c>
      <c r="E32" s="3">
        <v>2659.86</v>
      </c>
      <c r="F32" s="3">
        <v>2251.71</v>
      </c>
      <c r="G32" s="3">
        <v>1159.81</v>
      </c>
      <c r="H32" s="3">
        <v>0</v>
      </c>
      <c r="I32" s="3">
        <v>0</v>
      </c>
      <c r="J32" s="1" t="s">
        <v>37</v>
      </c>
      <c r="K32" s="28"/>
      <c r="L32" s="28"/>
    </row>
    <row r="33" spans="1:12" s="2" customFormat="1" ht="24.95" customHeight="1" x14ac:dyDescent="0.25">
      <c r="A33" s="31" t="s">
        <v>83</v>
      </c>
      <c r="B33" s="1" t="s">
        <v>84</v>
      </c>
      <c r="C33" s="1" t="s">
        <v>85</v>
      </c>
      <c r="D33" s="1" t="s">
        <v>3</v>
      </c>
      <c r="E33" s="3">
        <v>3541.05</v>
      </c>
      <c r="F33" s="3">
        <v>0</v>
      </c>
      <c r="G33" s="3">
        <v>0</v>
      </c>
      <c r="H33" s="3">
        <v>0</v>
      </c>
      <c r="I33" s="3">
        <v>11319.27</v>
      </c>
      <c r="J33" s="1" t="s">
        <v>86</v>
      </c>
      <c r="K33" s="28"/>
      <c r="L33" s="28"/>
    </row>
    <row r="34" spans="1:12" s="2" customFormat="1" ht="24.95" customHeight="1" x14ac:dyDescent="0.25">
      <c r="A34" s="31" t="s">
        <v>87</v>
      </c>
      <c r="B34" s="1" t="s">
        <v>88</v>
      </c>
      <c r="C34" s="1" t="s">
        <v>89</v>
      </c>
      <c r="D34" s="1" t="s">
        <v>23</v>
      </c>
      <c r="E34" s="3">
        <v>0</v>
      </c>
      <c r="F34" s="3">
        <v>4553.58</v>
      </c>
      <c r="G34" s="3">
        <v>0</v>
      </c>
      <c r="H34" s="3">
        <v>0</v>
      </c>
      <c r="I34" s="3">
        <v>0</v>
      </c>
      <c r="J34" s="1" t="s">
        <v>86</v>
      </c>
      <c r="K34" s="28"/>
      <c r="L34" s="28"/>
    </row>
    <row r="35" spans="1:12" s="2" customFormat="1" ht="24.95" customHeight="1" x14ac:dyDescent="0.25">
      <c r="A35" s="31" t="s">
        <v>90</v>
      </c>
      <c r="B35" s="1" t="s">
        <v>91</v>
      </c>
      <c r="C35" s="1" t="s">
        <v>92</v>
      </c>
      <c r="D35" s="1" t="s">
        <v>3</v>
      </c>
      <c r="E35" s="3">
        <v>0</v>
      </c>
      <c r="F35" s="3">
        <v>2693.73</v>
      </c>
      <c r="G35" s="3">
        <v>0</v>
      </c>
      <c r="H35" s="3">
        <v>10875.01</v>
      </c>
      <c r="I35" s="3">
        <v>0</v>
      </c>
      <c r="J35" s="1" t="s">
        <v>93</v>
      </c>
      <c r="K35" s="28"/>
      <c r="L35" s="28"/>
    </row>
    <row r="36" spans="1:12" s="2" customFormat="1" ht="24.95" customHeight="1" x14ac:dyDescent="0.25">
      <c r="A36" s="31" t="s">
        <v>94</v>
      </c>
      <c r="B36" s="1" t="s">
        <v>95</v>
      </c>
      <c r="C36" s="1" t="s">
        <v>96</v>
      </c>
      <c r="D36" s="1" t="s">
        <v>18</v>
      </c>
      <c r="E36" s="3">
        <v>0</v>
      </c>
      <c r="F36" s="3">
        <v>4763.6000000000004</v>
      </c>
      <c r="G36" s="3">
        <v>0</v>
      </c>
      <c r="H36" s="3">
        <v>0</v>
      </c>
      <c r="I36" s="3">
        <v>0</v>
      </c>
      <c r="J36" s="1" t="s">
        <v>79</v>
      </c>
      <c r="K36" s="28"/>
      <c r="L36" s="28"/>
    </row>
    <row r="37" spans="1:12" s="2" customFormat="1" ht="24.95" customHeight="1" x14ac:dyDescent="0.25">
      <c r="A37" s="31" t="s">
        <v>97</v>
      </c>
      <c r="B37" s="1" t="s">
        <v>98</v>
      </c>
      <c r="C37" s="1" t="s">
        <v>99</v>
      </c>
      <c r="D37" s="1" t="s">
        <v>3</v>
      </c>
      <c r="E37" s="3">
        <v>0</v>
      </c>
      <c r="F37" s="3">
        <v>3491.06</v>
      </c>
      <c r="G37" s="3">
        <v>1689.25</v>
      </c>
      <c r="H37" s="3">
        <v>0</v>
      </c>
      <c r="I37" s="3">
        <v>0</v>
      </c>
      <c r="J37" s="1" t="s">
        <v>93</v>
      </c>
      <c r="K37" s="28"/>
      <c r="L37" s="28"/>
    </row>
    <row r="38" spans="1:12"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c r="L38" s="28"/>
    </row>
    <row r="39" spans="1:12" s="2" customFormat="1" ht="24.95" customHeight="1" x14ac:dyDescent="0.25">
      <c r="A39" s="31" t="s">
        <v>103</v>
      </c>
      <c r="B39" s="1" t="s">
        <v>104</v>
      </c>
      <c r="C39" s="1" t="s">
        <v>105</v>
      </c>
      <c r="D39" s="1" t="s">
        <v>18</v>
      </c>
      <c r="E39" s="3">
        <v>0</v>
      </c>
      <c r="F39" s="3">
        <v>0</v>
      </c>
      <c r="G39" s="3">
        <v>0</v>
      </c>
      <c r="H39" s="3">
        <v>0</v>
      </c>
      <c r="I39" s="3">
        <v>11913.8</v>
      </c>
      <c r="J39" s="1" t="s">
        <v>106</v>
      </c>
      <c r="K39" s="28"/>
      <c r="L39" s="28"/>
    </row>
    <row r="40" spans="1:12" s="2" customFormat="1" ht="24.95" customHeight="1" x14ac:dyDescent="0.25">
      <c r="A40" s="31" t="s">
        <v>107</v>
      </c>
      <c r="B40" s="1" t="s">
        <v>108</v>
      </c>
      <c r="C40" s="1" t="s">
        <v>109</v>
      </c>
      <c r="D40" s="1" t="s">
        <v>3</v>
      </c>
      <c r="E40" s="3">
        <v>0</v>
      </c>
      <c r="F40" s="3">
        <v>0</v>
      </c>
      <c r="G40" s="3">
        <v>0</v>
      </c>
      <c r="H40" s="3">
        <v>4423.62</v>
      </c>
      <c r="I40" s="3">
        <v>0</v>
      </c>
      <c r="J40" s="1" t="s">
        <v>41</v>
      </c>
      <c r="K40" s="28"/>
      <c r="L40" s="28"/>
    </row>
    <row r="41" spans="1:12" s="2" customFormat="1" ht="24.95" customHeight="1" x14ac:dyDescent="0.25">
      <c r="A41" s="31" t="s">
        <v>110</v>
      </c>
      <c r="B41" s="1" t="s">
        <v>111</v>
      </c>
      <c r="C41" s="1" t="s">
        <v>112</v>
      </c>
      <c r="D41" s="1" t="s">
        <v>13</v>
      </c>
      <c r="E41" s="3">
        <v>275.61</v>
      </c>
      <c r="F41" s="3">
        <v>3176.35</v>
      </c>
      <c r="G41" s="3">
        <v>1719.87</v>
      </c>
      <c r="H41" s="3">
        <v>11145.68</v>
      </c>
      <c r="I41" s="3">
        <v>0</v>
      </c>
      <c r="J41" s="1" t="s">
        <v>86</v>
      </c>
      <c r="K41" s="28"/>
      <c r="L41" s="28"/>
    </row>
    <row r="42" spans="1:12" s="2" customFormat="1" ht="24.95" customHeight="1" x14ac:dyDescent="0.25">
      <c r="A42" s="31" t="s">
        <v>113</v>
      </c>
      <c r="B42" s="1" t="s">
        <v>114</v>
      </c>
      <c r="C42" s="1" t="s">
        <v>115</v>
      </c>
      <c r="D42" s="1" t="s">
        <v>3027</v>
      </c>
      <c r="E42" s="3">
        <v>0</v>
      </c>
      <c r="F42" s="3">
        <v>0</v>
      </c>
      <c r="G42" s="3">
        <v>2823.84</v>
      </c>
      <c r="H42" s="3">
        <v>0</v>
      </c>
      <c r="I42" s="3">
        <v>0</v>
      </c>
      <c r="J42" s="1" t="s">
        <v>79</v>
      </c>
      <c r="K42" s="28"/>
      <c r="L42" s="28"/>
    </row>
    <row r="43" spans="1:12" s="2" customFormat="1" ht="24.95" customHeight="1" x14ac:dyDescent="0.25">
      <c r="A43" s="31" t="s">
        <v>116</v>
      </c>
      <c r="B43" s="1" t="s">
        <v>117</v>
      </c>
      <c r="C43" s="1" t="s">
        <v>118</v>
      </c>
      <c r="D43" s="1" t="s">
        <v>23</v>
      </c>
      <c r="E43" s="3">
        <v>2445.63</v>
      </c>
      <c r="F43" s="3">
        <v>0</v>
      </c>
      <c r="G43" s="3">
        <v>0</v>
      </c>
      <c r="H43" s="3">
        <v>0</v>
      </c>
      <c r="I43" s="3">
        <v>0</v>
      </c>
      <c r="J43" s="1" t="s">
        <v>41</v>
      </c>
      <c r="K43" s="28"/>
      <c r="L43" s="28"/>
    </row>
    <row r="44" spans="1:12" s="2" customFormat="1" ht="24.95" customHeight="1" x14ac:dyDescent="0.25">
      <c r="A44" s="31" t="s">
        <v>119</v>
      </c>
      <c r="B44" s="1" t="s">
        <v>120</v>
      </c>
      <c r="C44" s="1" t="s">
        <v>121</v>
      </c>
      <c r="D44" s="1" t="s">
        <v>13</v>
      </c>
      <c r="E44" s="3">
        <v>0</v>
      </c>
      <c r="F44" s="3">
        <v>0</v>
      </c>
      <c r="G44" s="3">
        <v>0</v>
      </c>
      <c r="H44" s="3">
        <v>767.08</v>
      </c>
      <c r="I44" s="3">
        <v>0</v>
      </c>
      <c r="J44" s="1" t="s">
        <v>37</v>
      </c>
      <c r="K44" s="28"/>
      <c r="L44" s="28"/>
    </row>
    <row r="45" spans="1:12" s="2" customFormat="1" ht="24.95" customHeight="1" x14ac:dyDescent="0.25">
      <c r="A45" s="31" t="s">
        <v>122</v>
      </c>
      <c r="B45" s="1" t="s">
        <v>123</v>
      </c>
      <c r="C45" s="1" t="s">
        <v>124</v>
      </c>
      <c r="D45" s="1" t="s">
        <v>3</v>
      </c>
      <c r="E45" s="3">
        <v>0</v>
      </c>
      <c r="F45" s="3">
        <v>1442.63</v>
      </c>
      <c r="G45" s="3">
        <v>0</v>
      </c>
      <c r="H45" s="3">
        <v>0</v>
      </c>
      <c r="I45" s="3">
        <v>1020.99</v>
      </c>
      <c r="J45" s="1" t="s">
        <v>19</v>
      </c>
      <c r="K45" s="28"/>
      <c r="L45" s="28"/>
    </row>
    <row r="46" spans="1:12" s="2" customFormat="1" ht="24.95" customHeight="1" x14ac:dyDescent="0.25">
      <c r="A46" s="31" t="s">
        <v>125</v>
      </c>
      <c r="B46" s="1" t="s">
        <v>126</v>
      </c>
      <c r="C46" s="1" t="s">
        <v>127</v>
      </c>
      <c r="D46" s="1" t="s">
        <v>3</v>
      </c>
      <c r="E46" s="3">
        <v>0</v>
      </c>
      <c r="F46" s="3">
        <v>653.66</v>
      </c>
      <c r="G46" s="3">
        <v>0</v>
      </c>
      <c r="H46" s="3">
        <v>8034.04</v>
      </c>
      <c r="I46" s="3">
        <v>0</v>
      </c>
      <c r="J46" s="1" t="s">
        <v>9</v>
      </c>
      <c r="K46" s="28"/>
      <c r="L46" s="28"/>
    </row>
    <row r="47" spans="1:12" s="2" customFormat="1" ht="24.95" customHeight="1" x14ac:dyDescent="0.25">
      <c r="A47" s="31" t="s">
        <v>128</v>
      </c>
      <c r="B47" s="1" t="s">
        <v>129</v>
      </c>
      <c r="C47" s="1" t="s">
        <v>130</v>
      </c>
      <c r="D47" s="1" t="s">
        <v>13</v>
      </c>
      <c r="E47" s="3">
        <v>0</v>
      </c>
      <c r="F47" s="3">
        <v>208.19</v>
      </c>
      <c r="G47" s="3">
        <v>0</v>
      </c>
      <c r="H47" s="3">
        <v>1797.77</v>
      </c>
      <c r="I47" s="3">
        <v>2208.69</v>
      </c>
      <c r="J47" s="1" t="s">
        <v>93</v>
      </c>
      <c r="K47" s="28"/>
      <c r="L47" s="28"/>
    </row>
    <row r="48" spans="1:12"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c r="L48" s="28"/>
    </row>
    <row r="49" spans="1:12" s="2" customFormat="1" ht="24.95" customHeight="1" x14ac:dyDescent="0.25">
      <c r="A49" s="31" t="s">
        <v>134</v>
      </c>
      <c r="B49" s="1" t="s">
        <v>135</v>
      </c>
      <c r="C49" s="1" t="s">
        <v>136</v>
      </c>
      <c r="D49" s="1" t="s">
        <v>13</v>
      </c>
      <c r="E49" s="3">
        <v>0</v>
      </c>
      <c r="F49" s="3">
        <v>4861.62</v>
      </c>
      <c r="G49" s="3">
        <v>2002.5</v>
      </c>
      <c r="H49" s="3">
        <v>4995.47</v>
      </c>
      <c r="I49" s="3">
        <v>348.82</v>
      </c>
      <c r="J49" s="1" t="s">
        <v>106</v>
      </c>
      <c r="K49" s="28"/>
      <c r="L49" s="28"/>
    </row>
    <row r="50" spans="1:12"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c r="L50" s="28"/>
    </row>
    <row r="51" spans="1:12" s="2" customFormat="1" ht="24.95" customHeight="1" x14ac:dyDescent="0.25">
      <c r="A51" s="31" t="s">
        <v>140</v>
      </c>
      <c r="B51" s="1" t="s">
        <v>141</v>
      </c>
      <c r="C51" s="1" t="s">
        <v>142</v>
      </c>
      <c r="D51" s="1" t="s">
        <v>3</v>
      </c>
      <c r="E51" s="3">
        <v>0</v>
      </c>
      <c r="F51" s="3">
        <v>0</v>
      </c>
      <c r="G51" s="3">
        <v>0</v>
      </c>
      <c r="H51" s="3">
        <v>5768.57</v>
      </c>
      <c r="I51" s="3">
        <v>6490.83</v>
      </c>
      <c r="J51" s="1" t="s">
        <v>24</v>
      </c>
      <c r="K51" s="28"/>
      <c r="L51" s="28"/>
    </row>
    <row r="52" spans="1:12" s="2" customFormat="1" ht="24.95" customHeight="1" x14ac:dyDescent="0.25">
      <c r="A52" s="31" t="s">
        <v>143</v>
      </c>
      <c r="B52" s="1" t="s">
        <v>144</v>
      </c>
      <c r="C52" s="1" t="s">
        <v>145</v>
      </c>
      <c r="D52" s="1" t="s">
        <v>13</v>
      </c>
      <c r="E52" s="3">
        <v>0</v>
      </c>
      <c r="F52" s="3">
        <v>2501.94</v>
      </c>
      <c r="G52" s="3">
        <v>0</v>
      </c>
      <c r="H52" s="3">
        <v>0</v>
      </c>
      <c r="I52" s="3">
        <v>0</v>
      </c>
      <c r="J52" s="1" t="s">
        <v>14</v>
      </c>
      <c r="K52" s="28"/>
      <c r="L52" s="28"/>
    </row>
    <row r="53" spans="1:12" s="2" customFormat="1" ht="24.95" customHeight="1" x14ac:dyDescent="0.25">
      <c r="A53" s="31" t="s">
        <v>146</v>
      </c>
      <c r="B53" s="1" t="s">
        <v>147</v>
      </c>
      <c r="C53" s="1" t="s">
        <v>148</v>
      </c>
      <c r="D53" s="1" t="s">
        <v>3</v>
      </c>
      <c r="E53" s="3">
        <v>0</v>
      </c>
      <c r="F53" s="3">
        <v>764.13</v>
      </c>
      <c r="G53" s="3">
        <v>0</v>
      </c>
      <c r="H53" s="3">
        <v>4033.88</v>
      </c>
      <c r="I53" s="3">
        <v>0</v>
      </c>
      <c r="J53" s="1" t="s">
        <v>79</v>
      </c>
      <c r="K53" s="28"/>
      <c r="L53" s="28"/>
    </row>
    <row r="54" spans="1:12" s="2" customFormat="1" ht="24.95" customHeight="1" x14ac:dyDescent="0.25">
      <c r="A54" s="31" t="s">
        <v>149</v>
      </c>
      <c r="B54" s="1" t="s">
        <v>150</v>
      </c>
      <c r="C54" s="1" t="s">
        <v>151</v>
      </c>
      <c r="D54" s="1" t="s">
        <v>23</v>
      </c>
      <c r="E54" s="3">
        <v>0</v>
      </c>
      <c r="F54" s="3">
        <v>2369.9499999999998</v>
      </c>
      <c r="G54" s="3">
        <v>0</v>
      </c>
      <c r="H54" s="3">
        <v>3010.94</v>
      </c>
      <c r="I54" s="3">
        <v>0</v>
      </c>
      <c r="J54" s="1" t="s">
        <v>106</v>
      </c>
      <c r="K54" s="28"/>
      <c r="L54" s="28"/>
    </row>
    <row r="55" spans="1:12" s="2" customFormat="1" ht="24.95" customHeight="1" x14ac:dyDescent="0.25">
      <c r="A55" s="31" t="s">
        <v>152</v>
      </c>
      <c r="B55" s="1" t="s">
        <v>153</v>
      </c>
      <c r="C55" s="1" t="s">
        <v>154</v>
      </c>
      <c r="D55" s="1" t="s">
        <v>3027</v>
      </c>
      <c r="E55" s="3">
        <v>0</v>
      </c>
      <c r="F55" s="3">
        <v>0</v>
      </c>
      <c r="G55" s="3">
        <v>1861.97</v>
      </c>
      <c r="H55" s="3">
        <v>0</v>
      </c>
      <c r="I55" s="3">
        <v>0</v>
      </c>
      <c r="J55" s="1" t="s">
        <v>48</v>
      </c>
      <c r="K55" s="28"/>
      <c r="L55" s="28"/>
    </row>
    <row r="56" spans="1:12" s="2" customFormat="1" ht="24.95" customHeight="1" x14ac:dyDescent="0.25">
      <c r="A56" s="31" t="s">
        <v>155</v>
      </c>
      <c r="B56" s="1" t="s">
        <v>156</v>
      </c>
      <c r="C56" s="1" t="s">
        <v>157</v>
      </c>
      <c r="D56" s="1" t="s">
        <v>13</v>
      </c>
      <c r="E56" s="3">
        <v>0</v>
      </c>
      <c r="F56" s="3">
        <v>0</v>
      </c>
      <c r="G56" s="3">
        <v>2829.49</v>
      </c>
      <c r="H56" s="3">
        <v>5477.93</v>
      </c>
      <c r="I56" s="3">
        <v>8111.53</v>
      </c>
      <c r="J56" s="1" t="s">
        <v>48</v>
      </c>
      <c r="K56" s="28"/>
      <c r="L56" s="28"/>
    </row>
    <row r="57" spans="1:12" s="2" customFormat="1" ht="24.95" customHeight="1" x14ac:dyDescent="0.25">
      <c r="A57" s="31" t="s">
        <v>158</v>
      </c>
      <c r="B57" s="1" t="s">
        <v>159</v>
      </c>
      <c r="C57" s="1" t="s">
        <v>160</v>
      </c>
      <c r="D57" s="1" t="s">
        <v>18</v>
      </c>
      <c r="E57" s="3">
        <v>1633.56</v>
      </c>
      <c r="F57" s="3">
        <v>0</v>
      </c>
      <c r="G57" s="3">
        <v>0</v>
      </c>
      <c r="H57" s="3">
        <v>9064.4699999999993</v>
      </c>
      <c r="I57" s="3">
        <v>0</v>
      </c>
      <c r="J57" s="1" t="s">
        <v>79</v>
      </c>
      <c r="K57" s="28"/>
      <c r="L57" s="28"/>
    </row>
    <row r="58" spans="1:12" s="2" customFormat="1" ht="24.95" customHeight="1" x14ac:dyDescent="0.25">
      <c r="A58" s="31" t="s">
        <v>161</v>
      </c>
      <c r="B58" s="1" t="s">
        <v>162</v>
      </c>
      <c r="C58" s="1" t="s">
        <v>163</v>
      </c>
      <c r="D58" s="1" t="s">
        <v>23</v>
      </c>
      <c r="E58" s="3">
        <v>0</v>
      </c>
      <c r="F58" s="3">
        <v>0</v>
      </c>
      <c r="G58" s="3">
        <v>1671.91</v>
      </c>
      <c r="H58" s="3">
        <v>5367.86</v>
      </c>
      <c r="I58" s="3">
        <v>0</v>
      </c>
      <c r="J58" s="1" t="s">
        <v>48</v>
      </c>
      <c r="K58" s="28"/>
      <c r="L58" s="28"/>
    </row>
    <row r="59" spans="1:12" s="2" customFormat="1" ht="24.95" customHeight="1" x14ac:dyDescent="0.25">
      <c r="A59" s="31" t="s">
        <v>164</v>
      </c>
      <c r="B59" s="1" t="s">
        <v>165</v>
      </c>
      <c r="C59" s="1" t="s">
        <v>166</v>
      </c>
      <c r="D59" s="1" t="s">
        <v>13</v>
      </c>
      <c r="E59" s="3">
        <v>5734.31</v>
      </c>
      <c r="F59" s="3">
        <v>0</v>
      </c>
      <c r="G59" s="3">
        <v>0</v>
      </c>
      <c r="H59" s="3">
        <v>0</v>
      </c>
      <c r="I59" s="3">
        <v>0</v>
      </c>
      <c r="J59" s="1" t="s">
        <v>19</v>
      </c>
      <c r="K59" s="28"/>
      <c r="L59" s="28"/>
    </row>
    <row r="60" spans="1:12" s="2" customFormat="1" ht="24.95" customHeight="1" x14ac:dyDescent="0.25">
      <c r="A60" s="31" t="s">
        <v>167</v>
      </c>
      <c r="B60" s="1" t="s">
        <v>168</v>
      </c>
      <c r="C60" s="1" t="s">
        <v>169</v>
      </c>
      <c r="D60" s="1" t="s">
        <v>23</v>
      </c>
      <c r="E60" s="3">
        <v>7237.01</v>
      </c>
      <c r="F60" s="3">
        <v>0</v>
      </c>
      <c r="G60" s="3">
        <v>2548.81</v>
      </c>
      <c r="H60" s="3">
        <v>1561</v>
      </c>
      <c r="I60" s="3">
        <v>7910.86</v>
      </c>
      <c r="J60" s="1" t="s">
        <v>24</v>
      </c>
      <c r="K60" s="28"/>
      <c r="L60" s="28"/>
    </row>
    <row r="61" spans="1:12" s="2" customFormat="1" ht="24.95" customHeight="1" x14ac:dyDescent="0.25">
      <c r="A61" s="31" t="s">
        <v>170</v>
      </c>
      <c r="B61" s="1" t="s">
        <v>171</v>
      </c>
      <c r="C61" s="1" t="s">
        <v>172</v>
      </c>
      <c r="D61" s="1" t="s">
        <v>8</v>
      </c>
      <c r="E61" s="3">
        <v>0</v>
      </c>
      <c r="F61" s="3">
        <v>3972.51</v>
      </c>
      <c r="G61" s="3">
        <v>1519.9</v>
      </c>
      <c r="H61" s="3">
        <v>2149.89</v>
      </c>
      <c r="I61" s="3">
        <v>3213.44</v>
      </c>
      <c r="J61" s="1" t="s">
        <v>41</v>
      </c>
      <c r="K61" s="28"/>
      <c r="L61" s="28"/>
    </row>
    <row r="62" spans="1:12"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c r="L62" s="28"/>
    </row>
    <row r="63" spans="1:12" s="2" customFormat="1" ht="24.95" customHeight="1" x14ac:dyDescent="0.25">
      <c r="A63" s="31" t="s">
        <v>176</v>
      </c>
      <c r="B63" s="1" t="s">
        <v>177</v>
      </c>
      <c r="C63" s="1" t="s">
        <v>178</v>
      </c>
      <c r="D63" s="1" t="s">
        <v>8</v>
      </c>
      <c r="E63" s="3">
        <v>0</v>
      </c>
      <c r="F63" s="3">
        <v>0</v>
      </c>
      <c r="G63" s="3">
        <v>2005.78</v>
      </c>
      <c r="H63" s="3">
        <v>0</v>
      </c>
      <c r="I63" s="3">
        <v>0</v>
      </c>
      <c r="J63" s="1" t="s">
        <v>48</v>
      </c>
      <c r="K63" s="28"/>
      <c r="L63" s="28"/>
    </row>
    <row r="64" spans="1:12" s="2" customFormat="1" ht="24.95" customHeight="1" x14ac:dyDescent="0.25">
      <c r="A64" s="31" t="s">
        <v>179</v>
      </c>
      <c r="B64" s="1" t="s">
        <v>180</v>
      </c>
      <c r="C64" s="1" t="s">
        <v>181</v>
      </c>
      <c r="D64" s="1" t="s">
        <v>23</v>
      </c>
      <c r="E64" s="3">
        <v>2748.2</v>
      </c>
      <c r="F64" s="3">
        <v>0</v>
      </c>
      <c r="G64" s="3">
        <v>1387.54</v>
      </c>
      <c r="H64" s="3">
        <v>8817.26</v>
      </c>
      <c r="I64" s="3">
        <v>6858.34</v>
      </c>
      <c r="J64" s="1" t="s">
        <v>14</v>
      </c>
      <c r="K64" s="28"/>
      <c r="L64" s="28"/>
    </row>
    <row r="65" spans="1:12" s="2" customFormat="1" ht="24.95" customHeight="1" x14ac:dyDescent="0.25">
      <c r="A65" s="31" t="s">
        <v>182</v>
      </c>
      <c r="B65" s="1" t="s">
        <v>183</v>
      </c>
      <c r="C65" s="1" t="s">
        <v>184</v>
      </c>
      <c r="D65" s="1" t="s">
        <v>3027</v>
      </c>
      <c r="E65" s="3">
        <v>7734.27</v>
      </c>
      <c r="F65" s="3">
        <v>779.87</v>
      </c>
      <c r="G65" s="3">
        <v>0</v>
      </c>
      <c r="H65" s="3">
        <v>9371.67</v>
      </c>
      <c r="I65" s="3">
        <v>0</v>
      </c>
      <c r="J65" s="1" t="s">
        <v>37</v>
      </c>
      <c r="K65" s="28"/>
      <c r="L65" s="28"/>
    </row>
    <row r="66" spans="1:12" s="2" customFormat="1" ht="24.95" customHeight="1" x14ac:dyDescent="0.25">
      <c r="A66" s="31" t="s">
        <v>185</v>
      </c>
      <c r="B66" s="1" t="s">
        <v>186</v>
      </c>
      <c r="C66" s="1" t="s">
        <v>187</v>
      </c>
      <c r="D66" s="1" t="s">
        <v>3027</v>
      </c>
      <c r="E66" s="3">
        <v>0</v>
      </c>
      <c r="F66" s="3">
        <v>2022.2</v>
      </c>
      <c r="G66" s="3">
        <v>0</v>
      </c>
      <c r="H66" s="3">
        <v>0</v>
      </c>
      <c r="I66" s="3">
        <v>5254.12</v>
      </c>
      <c r="J66" s="1" t="s">
        <v>106</v>
      </c>
      <c r="K66" s="28"/>
      <c r="L66" s="28"/>
    </row>
    <row r="67" spans="1:12" s="2" customFormat="1" ht="24.95" customHeight="1" x14ac:dyDescent="0.25">
      <c r="A67" s="31" t="s">
        <v>188</v>
      </c>
      <c r="B67" s="1" t="s">
        <v>189</v>
      </c>
      <c r="C67" s="1" t="s">
        <v>190</v>
      </c>
      <c r="D67" s="1" t="s">
        <v>13</v>
      </c>
      <c r="E67" s="3">
        <v>0</v>
      </c>
      <c r="F67" s="3">
        <v>0</v>
      </c>
      <c r="G67" s="3">
        <v>376.29</v>
      </c>
      <c r="H67" s="3">
        <v>0</v>
      </c>
      <c r="I67" s="3">
        <v>0</v>
      </c>
      <c r="J67" s="1" t="s">
        <v>93</v>
      </c>
      <c r="K67" s="28"/>
      <c r="L67" s="28"/>
    </row>
    <row r="68" spans="1:12" s="2" customFormat="1" ht="24.95" customHeight="1" x14ac:dyDescent="0.25">
      <c r="A68" s="31" t="s">
        <v>191</v>
      </c>
      <c r="B68" s="1" t="s">
        <v>192</v>
      </c>
      <c r="C68" s="1" t="s">
        <v>193</v>
      </c>
      <c r="D68" s="1" t="s">
        <v>13</v>
      </c>
      <c r="E68" s="3">
        <v>516.88</v>
      </c>
      <c r="F68" s="3">
        <v>2650.91</v>
      </c>
      <c r="G68" s="3">
        <v>2443.96</v>
      </c>
      <c r="H68" s="3">
        <v>465.95</v>
      </c>
      <c r="I68" s="3">
        <v>0</v>
      </c>
      <c r="J68" s="1" t="s">
        <v>24</v>
      </c>
      <c r="K68" s="28"/>
      <c r="L68" s="28"/>
    </row>
    <row r="69" spans="1:12" s="2" customFormat="1" ht="24.95" customHeight="1" x14ac:dyDescent="0.25">
      <c r="A69" s="31" t="s">
        <v>194</v>
      </c>
      <c r="B69" s="1" t="s">
        <v>195</v>
      </c>
      <c r="C69" s="1" t="s">
        <v>196</v>
      </c>
      <c r="D69" s="1" t="s">
        <v>3</v>
      </c>
      <c r="E69" s="3">
        <v>4739.87</v>
      </c>
      <c r="F69" s="3">
        <v>0</v>
      </c>
      <c r="G69" s="3">
        <v>0</v>
      </c>
      <c r="H69" s="3">
        <v>0</v>
      </c>
      <c r="I69" s="3">
        <v>0</v>
      </c>
      <c r="J69" s="1" t="s">
        <v>14</v>
      </c>
      <c r="K69" s="28"/>
      <c r="L69" s="28"/>
    </row>
    <row r="70" spans="1:12" s="2" customFormat="1" ht="24.95" customHeight="1" x14ac:dyDescent="0.25">
      <c r="A70" s="31" t="s">
        <v>197</v>
      </c>
      <c r="B70" s="1" t="s">
        <v>198</v>
      </c>
      <c r="C70" s="1" t="s">
        <v>199</v>
      </c>
      <c r="D70" s="1" t="s">
        <v>18</v>
      </c>
      <c r="E70" s="3">
        <v>5647.84</v>
      </c>
      <c r="F70" s="3">
        <v>537.16</v>
      </c>
      <c r="G70" s="3">
        <v>115.5</v>
      </c>
      <c r="H70" s="3">
        <v>4685.84</v>
      </c>
      <c r="I70" s="3">
        <v>5674.27</v>
      </c>
      <c r="J70" s="1" t="s">
        <v>41</v>
      </c>
      <c r="K70" s="28"/>
      <c r="L70" s="28"/>
    </row>
    <row r="71" spans="1:12" s="2" customFormat="1" ht="24.95" customHeight="1" x14ac:dyDescent="0.25">
      <c r="A71" s="31" t="s">
        <v>200</v>
      </c>
      <c r="B71" s="1" t="s">
        <v>201</v>
      </c>
      <c r="C71" s="1" t="s">
        <v>202</v>
      </c>
      <c r="D71" s="1" t="s">
        <v>13</v>
      </c>
      <c r="E71" s="3">
        <v>6612.18</v>
      </c>
      <c r="F71" s="3">
        <v>0</v>
      </c>
      <c r="G71" s="3">
        <v>0</v>
      </c>
      <c r="H71" s="3">
        <v>0</v>
      </c>
      <c r="I71" s="3">
        <v>8012.07</v>
      </c>
      <c r="J71" s="1" t="s">
        <v>106</v>
      </c>
      <c r="K71" s="28"/>
      <c r="L71" s="28"/>
    </row>
    <row r="72" spans="1:12" s="2" customFormat="1" ht="24.95" customHeight="1" x14ac:dyDescent="0.25">
      <c r="A72" s="31" t="s">
        <v>203</v>
      </c>
      <c r="B72" s="1" t="s">
        <v>204</v>
      </c>
      <c r="C72" s="1" t="s">
        <v>205</v>
      </c>
      <c r="D72" s="1" t="s">
        <v>18</v>
      </c>
      <c r="E72" s="3">
        <v>7450.11</v>
      </c>
      <c r="F72" s="3">
        <v>0</v>
      </c>
      <c r="G72" s="3">
        <v>2533.1999999999998</v>
      </c>
      <c r="H72" s="3">
        <v>0</v>
      </c>
      <c r="I72" s="3">
        <v>7419.4</v>
      </c>
      <c r="J72" s="1" t="s">
        <v>24</v>
      </c>
      <c r="K72" s="28"/>
      <c r="L72" s="28"/>
    </row>
    <row r="73" spans="1:12" s="2" customFormat="1" ht="24.95" customHeight="1" x14ac:dyDescent="0.25">
      <c r="A73" s="31" t="s">
        <v>206</v>
      </c>
      <c r="B73" s="1" t="s">
        <v>207</v>
      </c>
      <c r="C73" s="1" t="s">
        <v>208</v>
      </c>
      <c r="D73" s="1" t="s">
        <v>3027</v>
      </c>
      <c r="E73" s="3">
        <v>0</v>
      </c>
      <c r="F73" s="3">
        <v>0</v>
      </c>
      <c r="G73" s="3">
        <v>0</v>
      </c>
      <c r="H73" s="3">
        <v>619.12</v>
      </c>
      <c r="I73" s="3">
        <v>0</v>
      </c>
      <c r="J73" s="1" t="s">
        <v>24</v>
      </c>
      <c r="K73" s="28"/>
      <c r="L73" s="28"/>
    </row>
    <row r="74" spans="1:12" s="2" customFormat="1" ht="24.95" customHeight="1" x14ac:dyDescent="0.25">
      <c r="A74" s="31" t="s">
        <v>209</v>
      </c>
      <c r="B74" s="1" t="s">
        <v>210</v>
      </c>
      <c r="C74" s="1" t="s">
        <v>211</v>
      </c>
      <c r="D74" s="1" t="s">
        <v>23</v>
      </c>
      <c r="E74" s="3">
        <v>1649.85</v>
      </c>
      <c r="F74" s="3">
        <v>0</v>
      </c>
      <c r="G74" s="3">
        <v>873.2</v>
      </c>
      <c r="H74" s="3">
        <v>0</v>
      </c>
      <c r="I74" s="3">
        <v>435.38</v>
      </c>
      <c r="J74" s="1" t="s">
        <v>41</v>
      </c>
      <c r="K74" s="28"/>
      <c r="L74" s="28"/>
    </row>
    <row r="75" spans="1:12"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c r="L75" s="28"/>
    </row>
    <row r="76" spans="1:12" s="2" customFormat="1" ht="24.95" customHeight="1" x14ac:dyDescent="0.25">
      <c r="A76" s="31" t="s">
        <v>215</v>
      </c>
      <c r="B76" s="1" t="s">
        <v>216</v>
      </c>
      <c r="C76" s="1" t="s">
        <v>217</v>
      </c>
      <c r="D76" s="1" t="s">
        <v>3</v>
      </c>
      <c r="E76" s="3">
        <v>3405.44</v>
      </c>
      <c r="F76" s="3">
        <v>1843</v>
      </c>
      <c r="G76" s="3">
        <v>141.83000000000001</v>
      </c>
      <c r="H76" s="3">
        <v>237.61</v>
      </c>
      <c r="I76" s="3">
        <v>0</v>
      </c>
      <c r="J76" s="1" t="s">
        <v>48</v>
      </c>
      <c r="K76" s="28"/>
      <c r="L76" s="28"/>
    </row>
    <row r="77" spans="1:12" s="2" customFormat="1" ht="24.95" customHeight="1" x14ac:dyDescent="0.25">
      <c r="A77" s="31" t="s">
        <v>218</v>
      </c>
      <c r="B77" s="1" t="s">
        <v>219</v>
      </c>
      <c r="C77" s="1" t="s">
        <v>220</v>
      </c>
      <c r="D77" s="1" t="s">
        <v>3</v>
      </c>
      <c r="E77" s="3">
        <v>0</v>
      </c>
      <c r="F77" s="3">
        <v>0</v>
      </c>
      <c r="G77" s="3">
        <v>633.22</v>
      </c>
      <c r="H77" s="3">
        <v>10568.96</v>
      </c>
      <c r="I77" s="3">
        <v>0</v>
      </c>
      <c r="J77" s="1" t="s">
        <v>4</v>
      </c>
      <c r="K77" s="28"/>
      <c r="L77" s="28"/>
    </row>
    <row r="78" spans="1:12" s="2" customFormat="1" ht="24.95" customHeight="1" x14ac:dyDescent="0.25">
      <c r="A78" s="31" t="s">
        <v>221</v>
      </c>
      <c r="B78" s="1" t="s">
        <v>222</v>
      </c>
      <c r="C78" s="1" t="s">
        <v>223</v>
      </c>
      <c r="D78" s="1" t="s">
        <v>3027</v>
      </c>
      <c r="E78" s="3">
        <v>6552.77</v>
      </c>
      <c r="F78" s="3">
        <v>0</v>
      </c>
      <c r="G78" s="3">
        <v>0</v>
      </c>
      <c r="H78" s="3">
        <v>7321.67</v>
      </c>
      <c r="I78" s="3">
        <v>0</v>
      </c>
      <c r="J78" s="1" t="s">
        <v>86</v>
      </c>
      <c r="K78" s="28"/>
      <c r="L78" s="28"/>
    </row>
    <row r="79" spans="1:12" s="2" customFormat="1" ht="24.95" customHeight="1" x14ac:dyDescent="0.25">
      <c r="A79" s="31" t="s">
        <v>224</v>
      </c>
      <c r="B79" s="1" t="s">
        <v>225</v>
      </c>
      <c r="C79" s="1" t="s">
        <v>226</v>
      </c>
      <c r="D79" s="1" t="s">
        <v>13</v>
      </c>
      <c r="E79" s="3">
        <v>4237.17</v>
      </c>
      <c r="F79" s="3">
        <v>4928.37</v>
      </c>
      <c r="G79" s="3">
        <v>2687.64</v>
      </c>
      <c r="H79" s="3">
        <v>0</v>
      </c>
      <c r="I79" s="3">
        <v>13955.73</v>
      </c>
      <c r="J79" s="1" t="s">
        <v>24</v>
      </c>
      <c r="K79" s="28"/>
      <c r="L79" s="28"/>
    </row>
    <row r="80" spans="1:12" s="2" customFormat="1" ht="24.95" customHeight="1" x14ac:dyDescent="0.25">
      <c r="A80" s="31" t="s">
        <v>227</v>
      </c>
      <c r="B80" s="1" t="s">
        <v>228</v>
      </c>
      <c r="C80" s="1" t="s">
        <v>229</v>
      </c>
      <c r="D80" s="1" t="s">
        <v>23</v>
      </c>
      <c r="E80" s="3">
        <v>0</v>
      </c>
      <c r="F80" s="3">
        <v>0</v>
      </c>
      <c r="G80" s="3">
        <v>310.94</v>
      </c>
      <c r="H80" s="3">
        <v>0</v>
      </c>
      <c r="I80" s="3">
        <v>0</v>
      </c>
      <c r="J80" s="1" t="s">
        <v>37</v>
      </c>
      <c r="K80" s="28"/>
      <c r="L80" s="28"/>
    </row>
    <row r="81" spans="1:12" s="2" customFormat="1" ht="24.95" customHeight="1" x14ac:dyDescent="0.25">
      <c r="A81" s="31" t="s">
        <v>230</v>
      </c>
      <c r="B81" s="1" t="s">
        <v>231</v>
      </c>
      <c r="C81" s="1" t="s">
        <v>232</v>
      </c>
      <c r="D81" s="1" t="s">
        <v>13</v>
      </c>
      <c r="E81" s="3">
        <v>0</v>
      </c>
      <c r="F81" s="3">
        <v>0</v>
      </c>
      <c r="G81" s="3">
        <v>0</v>
      </c>
      <c r="H81" s="3">
        <v>10622.58</v>
      </c>
      <c r="I81" s="3">
        <v>7575.2</v>
      </c>
      <c r="J81" s="1" t="s">
        <v>14</v>
      </c>
      <c r="K81" s="28"/>
      <c r="L81" s="28"/>
    </row>
    <row r="82" spans="1:12" s="2" customFormat="1" ht="24.95" customHeight="1" x14ac:dyDescent="0.25">
      <c r="A82" s="31" t="s">
        <v>233</v>
      </c>
      <c r="B82" s="1" t="s">
        <v>234</v>
      </c>
      <c r="C82" s="1" t="s">
        <v>235</v>
      </c>
      <c r="D82" s="1" t="s">
        <v>18</v>
      </c>
      <c r="E82" s="3">
        <v>2347.0500000000002</v>
      </c>
      <c r="F82" s="3">
        <v>2001.81</v>
      </c>
      <c r="G82" s="3">
        <v>0</v>
      </c>
      <c r="H82" s="3">
        <v>6809.49</v>
      </c>
      <c r="I82" s="3">
        <v>0</v>
      </c>
      <c r="J82" s="1" t="s">
        <v>41</v>
      </c>
      <c r="K82" s="28"/>
      <c r="L82" s="28"/>
    </row>
    <row r="83" spans="1:12" s="2" customFormat="1" ht="24.95" customHeight="1" x14ac:dyDescent="0.25">
      <c r="A83" s="31" t="s">
        <v>236</v>
      </c>
      <c r="B83" s="1" t="s">
        <v>237</v>
      </c>
      <c r="C83" s="1" t="s">
        <v>238</v>
      </c>
      <c r="D83" s="1" t="s">
        <v>3027</v>
      </c>
      <c r="E83" s="3">
        <v>5890.4</v>
      </c>
      <c r="F83" s="3">
        <v>0</v>
      </c>
      <c r="G83" s="3">
        <v>1094.3800000000001</v>
      </c>
      <c r="H83" s="3">
        <v>0</v>
      </c>
      <c r="I83" s="3">
        <v>6847.4</v>
      </c>
      <c r="J83" s="1" t="s">
        <v>79</v>
      </c>
      <c r="K83" s="28"/>
      <c r="L83" s="28"/>
    </row>
    <row r="84" spans="1:12" s="2" customFormat="1" ht="24.95" customHeight="1" x14ac:dyDescent="0.25">
      <c r="A84" s="31" t="s">
        <v>239</v>
      </c>
      <c r="B84" s="1" t="s">
        <v>240</v>
      </c>
      <c r="C84" s="1" t="s">
        <v>241</v>
      </c>
      <c r="D84" s="1" t="s">
        <v>13</v>
      </c>
      <c r="E84" s="3">
        <v>5261.13</v>
      </c>
      <c r="F84" s="3">
        <v>0</v>
      </c>
      <c r="G84" s="3">
        <v>0</v>
      </c>
      <c r="H84" s="3">
        <v>0</v>
      </c>
      <c r="I84" s="3">
        <v>0</v>
      </c>
      <c r="J84" s="1" t="s">
        <v>9</v>
      </c>
      <c r="K84" s="28"/>
      <c r="L84" s="28"/>
    </row>
    <row r="85" spans="1:12" s="2" customFormat="1" ht="24.95" customHeight="1" x14ac:dyDescent="0.25">
      <c r="A85" s="31" t="s">
        <v>242</v>
      </c>
      <c r="B85" s="1" t="s">
        <v>243</v>
      </c>
      <c r="C85" s="1" t="s">
        <v>244</v>
      </c>
      <c r="D85" s="1" t="s">
        <v>13</v>
      </c>
      <c r="E85" s="3">
        <v>5401.7</v>
      </c>
      <c r="F85" s="3">
        <v>3074.35</v>
      </c>
      <c r="G85" s="3">
        <v>0</v>
      </c>
      <c r="H85" s="3">
        <v>8345.6299999999992</v>
      </c>
      <c r="I85" s="3">
        <v>0</v>
      </c>
      <c r="J85" s="1" t="s">
        <v>24</v>
      </c>
      <c r="K85" s="28"/>
      <c r="L85" s="28"/>
    </row>
    <row r="86" spans="1:12" s="2" customFormat="1" ht="24.95" customHeight="1" x14ac:dyDescent="0.25">
      <c r="A86" s="31" t="s">
        <v>245</v>
      </c>
      <c r="B86" s="1" t="s">
        <v>246</v>
      </c>
      <c r="C86" s="1" t="s">
        <v>247</v>
      </c>
      <c r="D86" s="1" t="s">
        <v>3</v>
      </c>
      <c r="E86" s="3">
        <v>5127.05</v>
      </c>
      <c r="F86" s="3">
        <v>3692.43</v>
      </c>
      <c r="G86" s="3">
        <v>1402.92</v>
      </c>
      <c r="H86" s="3">
        <v>0</v>
      </c>
      <c r="I86" s="3">
        <v>0</v>
      </c>
      <c r="J86" s="1" t="s">
        <v>19</v>
      </c>
      <c r="K86" s="28"/>
      <c r="L86" s="28"/>
    </row>
    <row r="87" spans="1:12" s="2" customFormat="1" ht="24.95" customHeight="1" x14ac:dyDescent="0.25">
      <c r="A87" s="31" t="s">
        <v>248</v>
      </c>
      <c r="B87" s="1" t="s">
        <v>249</v>
      </c>
      <c r="C87" s="1" t="s">
        <v>250</v>
      </c>
      <c r="D87" s="1" t="s">
        <v>8</v>
      </c>
      <c r="E87" s="3">
        <v>6833.82</v>
      </c>
      <c r="F87" s="3">
        <v>2195.85</v>
      </c>
      <c r="G87" s="3">
        <v>1273.19</v>
      </c>
      <c r="H87" s="3">
        <v>0</v>
      </c>
      <c r="I87" s="3">
        <v>0</v>
      </c>
      <c r="J87" s="1" t="s">
        <v>41</v>
      </c>
      <c r="K87" s="28"/>
      <c r="L87" s="28"/>
    </row>
    <row r="88" spans="1:12"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c r="L88" s="28"/>
    </row>
    <row r="89" spans="1:12" s="2" customFormat="1" ht="24.95" customHeight="1" x14ac:dyDescent="0.25">
      <c r="A89" s="31" t="s">
        <v>254</v>
      </c>
      <c r="B89" s="1" t="s">
        <v>255</v>
      </c>
      <c r="C89" s="1" t="s">
        <v>256</v>
      </c>
      <c r="D89" s="1" t="s">
        <v>3</v>
      </c>
      <c r="E89" s="3">
        <v>7723.77</v>
      </c>
      <c r="F89" s="3">
        <v>4392.8999999999996</v>
      </c>
      <c r="G89" s="3">
        <v>2438.81</v>
      </c>
      <c r="H89" s="3">
        <v>0</v>
      </c>
      <c r="I89" s="3">
        <v>0</v>
      </c>
      <c r="J89" s="1" t="s">
        <v>14</v>
      </c>
      <c r="K89" s="28"/>
      <c r="L89" s="28"/>
    </row>
    <row r="90" spans="1:12" s="2" customFormat="1" ht="24.95" customHeight="1" x14ac:dyDescent="0.25">
      <c r="A90" s="31" t="s">
        <v>257</v>
      </c>
      <c r="B90" s="1" t="s">
        <v>258</v>
      </c>
      <c r="C90" s="1" t="s">
        <v>259</v>
      </c>
      <c r="D90" s="1" t="s">
        <v>18</v>
      </c>
      <c r="E90" s="3">
        <v>0</v>
      </c>
      <c r="F90" s="3">
        <v>979.69</v>
      </c>
      <c r="G90" s="3">
        <v>0</v>
      </c>
      <c r="H90" s="3">
        <v>6172.71</v>
      </c>
      <c r="I90" s="3">
        <v>1768.65</v>
      </c>
      <c r="J90" s="1" t="s">
        <v>9</v>
      </c>
      <c r="K90" s="28"/>
      <c r="L90" s="28"/>
    </row>
    <row r="91" spans="1:12" s="2" customFormat="1" ht="24.95" customHeight="1" x14ac:dyDescent="0.25">
      <c r="A91" s="31" t="s">
        <v>260</v>
      </c>
      <c r="B91" s="1" t="s">
        <v>261</v>
      </c>
      <c r="C91" s="1" t="s">
        <v>262</v>
      </c>
      <c r="D91" s="1" t="s">
        <v>18</v>
      </c>
      <c r="E91" s="3">
        <v>0</v>
      </c>
      <c r="F91" s="3">
        <v>4598.62</v>
      </c>
      <c r="G91" s="3">
        <v>962.52</v>
      </c>
      <c r="H91" s="3">
        <v>0</v>
      </c>
      <c r="I91" s="3">
        <v>0</v>
      </c>
      <c r="J91" s="1" t="s">
        <v>14</v>
      </c>
      <c r="K91" s="28"/>
      <c r="L91" s="28"/>
    </row>
    <row r="92" spans="1:12" s="2" customFormat="1" ht="24.95" customHeight="1" x14ac:dyDescent="0.25">
      <c r="A92" s="31" t="s">
        <v>263</v>
      </c>
      <c r="B92" s="1" t="s">
        <v>264</v>
      </c>
      <c r="C92" s="1" t="s">
        <v>265</v>
      </c>
      <c r="D92" s="1" t="s">
        <v>18</v>
      </c>
      <c r="E92" s="3">
        <v>0</v>
      </c>
      <c r="F92" s="3">
        <v>2128.0700000000002</v>
      </c>
      <c r="G92" s="3">
        <v>0</v>
      </c>
      <c r="H92" s="3">
        <v>11707.66</v>
      </c>
      <c r="I92" s="3">
        <v>0</v>
      </c>
      <c r="J92" s="1" t="s">
        <v>24</v>
      </c>
      <c r="K92" s="28"/>
      <c r="L92" s="28"/>
    </row>
    <row r="93" spans="1:12" s="2" customFormat="1" ht="24.95" customHeight="1" x14ac:dyDescent="0.25">
      <c r="A93" s="31" t="s">
        <v>266</v>
      </c>
      <c r="B93" s="1" t="s">
        <v>267</v>
      </c>
      <c r="C93" s="1" t="s">
        <v>268</v>
      </c>
      <c r="D93" s="1" t="s">
        <v>3</v>
      </c>
      <c r="E93" s="3">
        <v>0</v>
      </c>
      <c r="F93" s="3">
        <v>2133.64</v>
      </c>
      <c r="G93" s="3">
        <v>2106.4499999999998</v>
      </c>
      <c r="H93" s="3">
        <v>0</v>
      </c>
      <c r="I93" s="3">
        <v>14533.7</v>
      </c>
      <c r="J93" s="1" t="s">
        <v>93</v>
      </c>
      <c r="K93" s="28"/>
      <c r="L93" s="28"/>
    </row>
    <row r="94" spans="1:12" s="2" customFormat="1" ht="24.95" customHeight="1" x14ac:dyDescent="0.25">
      <c r="A94" s="31" t="s">
        <v>269</v>
      </c>
      <c r="B94" s="1" t="s">
        <v>270</v>
      </c>
      <c r="C94" s="1" t="s">
        <v>271</v>
      </c>
      <c r="D94" s="1" t="s">
        <v>3</v>
      </c>
      <c r="E94" s="3">
        <v>0</v>
      </c>
      <c r="F94" s="3">
        <v>3874.61</v>
      </c>
      <c r="G94" s="3">
        <v>0</v>
      </c>
      <c r="H94" s="3">
        <v>0</v>
      </c>
      <c r="I94" s="3">
        <v>12876.85</v>
      </c>
      <c r="J94" s="1" t="s">
        <v>4</v>
      </c>
      <c r="K94" s="28"/>
      <c r="L94" s="28"/>
    </row>
    <row r="95" spans="1:12" s="2" customFormat="1" ht="24.95" customHeight="1" x14ac:dyDescent="0.25">
      <c r="A95" s="31" t="s">
        <v>272</v>
      </c>
      <c r="B95" s="1" t="s">
        <v>273</v>
      </c>
      <c r="C95" s="1" t="s">
        <v>274</v>
      </c>
      <c r="D95" s="1" t="s">
        <v>8</v>
      </c>
      <c r="E95" s="3">
        <v>3229.98</v>
      </c>
      <c r="F95" s="3">
        <v>0</v>
      </c>
      <c r="G95" s="3">
        <v>1382.9</v>
      </c>
      <c r="H95" s="3">
        <v>0</v>
      </c>
      <c r="I95" s="3">
        <v>0</v>
      </c>
      <c r="J95" s="1" t="s">
        <v>19</v>
      </c>
      <c r="K95" s="28"/>
      <c r="L95" s="28"/>
    </row>
    <row r="96" spans="1:12" s="2" customFormat="1" ht="24.95" customHeight="1" x14ac:dyDescent="0.25">
      <c r="A96" s="31" t="s">
        <v>275</v>
      </c>
      <c r="B96" s="1" t="s">
        <v>276</v>
      </c>
      <c r="C96" s="1" t="s">
        <v>277</v>
      </c>
      <c r="D96" s="1" t="s">
        <v>18</v>
      </c>
      <c r="E96" s="3">
        <v>0</v>
      </c>
      <c r="F96" s="3">
        <v>4695.88</v>
      </c>
      <c r="G96" s="3">
        <v>1615.91</v>
      </c>
      <c r="H96" s="3">
        <v>0</v>
      </c>
      <c r="I96" s="3">
        <v>0</v>
      </c>
      <c r="J96" s="1" t="s">
        <v>24</v>
      </c>
      <c r="K96" s="28"/>
      <c r="L96" s="28"/>
    </row>
    <row r="97" spans="1:12"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c r="L97" s="28"/>
    </row>
    <row r="98" spans="1:12" s="2" customFormat="1" ht="24.95" customHeight="1" x14ac:dyDescent="0.25">
      <c r="A98" s="31" t="s">
        <v>281</v>
      </c>
      <c r="B98" s="1" t="s">
        <v>282</v>
      </c>
      <c r="C98" s="1" t="s">
        <v>283</v>
      </c>
      <c r="D98" s="1" t="s">
        <v>8</v>
      </c>
      <c r="E98" s="3">
        <v>0</v>
      </c>
      <c r="F98" s="3">
        <v>2331.92</v>
      </c>
      <c r="G98" s="3">
        <v>2457.37</v>
      </c>
      <c r="H98" s="3">
        <v>0</v>
      </c>
      <c r="I98" s="3">
        <v>0</v>
      </c>
      <c r="J98" s="1" t="s">
        <v>79</v>
      </c>
      <c r="K98" s="28"/>
      <c r="L98" s="28"/>
    </row>
    <row r="99" spans="1:12" s="2" customFormat="1" ht="24.95" customHeight="1" x14ac:dyDescent="0.25">
      <c r="A99" s="31" t="s">
        <v>284</v>
      </c>
      <c r="B99" s="1" t="s">
        <v>285</v>
      </c>
      <c r="C99" s="1" t="s">
        <v>286</v>
      </c>
      <c r="D99" s="1" t="s">
        <v>18</v>
      </c>
      <c r="E99" s="3">
        <v>0</v>
      </c>
      <c r="F99" s="3">
        <v>4324.92</v>
      </c>
      <c r="G99" s="3">
        <v>0</v>
      </c>
      <c r="H99" s="3">
        <v>4019.61</v>
      </c>
      <c r="I99" s="3">
        <v>0</v>
      </c>
      <c r="J99" s="1" t="s">
        <v>24</v>
      </c>
      <c r="K99" s="28"/>
      <c r="L99" s="28"/>
    </row>
    <row r="100" spans="1:12"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c r="L100" s="28"/>
    </row>
    <row r="101" spans="1:12" s="2" customFormat="1" ht="24.95" customHeight="1" x14ac:dyDescent="0.25">
      <c r="A101" s="31" t="s">
        <v>290</v>
      </c>
      <c r="B101" s="1" t="s">
        <v>291</v>
      </c>
      <c r="C101" s="1" t="s">
        <v>292</v>
      </c>
      <c r="D101" s="1" t="s">
        <v>3</v>
      </c>
      <c r="E101" s="3">
        <v>0</v>
      </c>
      <c r="F101" s="3">
        <v>374.86</v>
      </c>
      <c r="G101" s="3">
        <v>513.37</v>
      </c>
      <c r="H101" s="3">
        <v>0</v>
      </c>
      <c r="I101" s="3">
        <v>0</v>
      </c>
      <c r="J101" s="1" t="s">
        <v>106</v>
      </c>
      <c r="K101" s="28"/>
      <c r="L101" s="28"/>
    </row>
    <row r="102" spans="1:12" s="2" customFormat="1" ht="24.95" customHeight="1" x14ac:dyDescent="0.25">
      <c r="A102" s="31" t="s">
        <v>293</v>
      </c>
      <c r="B102" s="1" t="s">
        <v>294</v>
      </c>
      <c r="C102" s="1" t="s">
        <v>295</v>
      </c>
      <c r="D102" s="1" t="s">
        <v>18</v>
      </c>
      <c r="E102" s="3">
        <v>0</v>
      </c>
      <c r="F102" s="3">
        <v>0</v>
      </c>
      <c r="G102" s="3">
        <v>807.51</v>
      </c>
      <c r="H102" s="3">
        <v>2544.9</v>
      </c>
      <c r="I102" s="3">
        <v>9694.09</v>
      </c>
      <c r="J102" s="1" t="s">
        <v>79</v>
      </c>
      <c r="K102" s="28"/>
      <c r="L102" s="28"/>
    </row>
    <row r="103" spans="1:12"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c r="L103" s="28"/>
    </row>
    <row r="104" spans="1:12" s="2" customFormat="1" ht="24.95" customHeight="1" x14ac:dyDescent="0.25">
      <c r="A104" s="31" t="s">
        <v>299</v>
      </c>
      <c r="B104" s="1" t="s">
        <v>300</v>
      </c>
      <c r="C104" s="1" t="s">
        <v>301</v>
      </c>
      <c r="D104" s="1" t="s">
        <v>3</v>
      </c>
      <c r="E104" s="3">
        <v>0</v>
      </c>
      <c r="F104" s="3">
        <v>0</v>
      </c>
      <c r="G104" s="3">
        <v>842.19</v>
      </c>
      <c r="H104" s="3">
        <v>3216.02</v>
      </c>
      <c r="I104" s="3">
        <v>0</v>
      </c>
      <c r="J104" s="1" t="s">
        <v>37</v>
      </c>
      <c r="K104" s="28"/>
      <c r="L104" s="28"/>
    </row>
    <row r="105" spans="1:12" s="2" customFormat="1" ht="24.95" customHeight="1" x14ac:dyDescent="0.25">
      <c r="A105" s="31" t="s">
        <v>302</v>
      </c>
      <c r="B105" s="1" t="s">
        <v>303</v>
      </c>
      <c r="C105" s="1" t="s">
        <v>304</v>
      </c>
      <c r="D105" s="1" t="s">
        <v>23</v>
      </c>
      <c r="E105" s="3">
        <v>5599.04</v>
      </c>
      <c r="F105" s="3">
        <v>0</v>
      </c>
      <c r="G105" s="3">
        <v>0</v>
      </c>
      <c r="H105" s="3">
        <v>1264.72</v>
      </c>
      <c r="I105" s="3">
        <v>0</v>
      </c>
      <c r="J105" s="1" t="s">
        <v>93</v>
      </c>
      <c r="K105" s="28"/>
      <c r="L105" s="28"/>
    </row>
    <row r="106" spans="1:12"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c r="L106" s="28"/>
    </row>
    <row r="107" spans="1:12" s="2" customFormat="1" ht="24.95" customHeight="1" x14ac:dyDescent="0.25">
      <c r="A107" s="31" t="s">
        <v>308</v>
      </c>
      <c r="B107" s="1" t="s">
        <v>309</v>
      </c>
      <c r="C107" s="1" t="s">
        <v>310</v>
      </c>
      <c r="D107" s="1" t="s">
        <v>8</v>
      </c>
      <c r="E107" s="3">
        <v>0</v>
      </c>
      <c r="F107" s="3">
        <v>4541.7</v>
      </c>
      <c r="G107" s="3">
        <v>0</v>
      </c>
      <c r="H107" s="3">
        <v>0</v>
      </c>
      <c r="I107" s="3">
        <v>0</v>
      </c>
      <c r="J107" s="1" t="s">
        <v>48</v>
      </c>
      <c r="K107" s="28"/>
      <c r="L107" s="28"/>
    </row>
    <row r="108" spans="1:12"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c r="L108" s="28"/>
    </row>
    <row r="109" spans="1:12"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c r="L109" s="28"/>
    </row>
    <row r="110" spans="1:12"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c r="L110" s="28"/>
    </row>
    <row r="111" spans="1:12" s="2" customFormat="1" ht="24.95" customHeight="1" x14ac:dyDescent="0.25">
      <c r="A111" s="31" t="s">
        <v>320</v>
      </c>
      <c r="B111" s="1" t="s">
        <v>321</v>
      </c>
      <c r="C111" s="1" t="s">
        <v>322</v>
      </c>
      <c r="D111" s="1" t="s">
        <v>23</v>
      </c>
      <c r="E111" s="3">
        <v>6869.54</v>
      </c>
      <c r="F111" s="3">
        <v>0</v>
      </c>
      <c r="G111" s="3">
        <v>0</v>
      </c>
      <c r="H111" s="3">
        <v>0</v>
      </c>
      <c r="I111" s="3">
        <v>0</v>
      </c>
      <c r="J111" s="1" t="s">
        <v>9</v>
      </c>
      <c r="K111" s="28"/>
      <c r="L111" s="28"/>
    </row>
    <row r="112" spans="1:12" s="2" customFormat="1" ht="24.95" customHeight="1" x14ac:dyDescent="0.25">
      <c r="A112" s="31" t="s">
        <v>323</v>
      </c>
      <c r="B112" s="1" t="s">
        <v>324</v>
      </c>
      <c r="C112" s="1" t="s">
        <v>325</v>
      </c>
      <c r="D112" s="1" t="s">
        <v>23</v>
      </c>
      <c r="E112" s="3">
        <v>0</v>
      </c>
      <c r="F112" s="3">
        <v>821.36</v>
      </c>
      <c r="G112" s="3">
        <v>2776.98</v>
      </c>
      <c r="H112" s="3">
        <v>7806.08</v>
      </c>
      <c r="I112" s="3">
        <v>0</v>
      </c>
      <c r="J112" s="1" t="s">
        <v>41</v>
      </c>
      <c r="K112" s="28"/>
      <c r="L112" s="28"/>
    </row>
    <row r="113" spans="1:12" s="2" customFormat="1" ht="24.95" customHeight="1" x14ac:dyDescent="0.25">
      <c r="A113" s="31" t="s">
        <v>326</v>
      </c>
      <c r="B113" s="1" t="s">
        <v>327</v>
      </c>
      <c r="C113" s="1" t="s">
        <v>328</v>
      </c>
      <c r="D113" s="1" t="s">
        <v>13</v>
      </c>
      <c r="E113" s="3">
        <v>0</v>
      </c>
      <c r="F113" s="3">
        <v>1300.74</v>
      </c>
      <c r="G113" s="3">
        <v>0</v>
      </c>
      <c r="H113" s="3">
        <v>0</v>
      </c>
      <c r="I113" s="3">
        <v>0</v>
      </c>
      <c r="J113" s="1" t="s">
        <v>14</v>
      </c>
      <c r="K113" s="28"/>
      <c r="L113" s="28"/>
    </row>
    <row r="114" spans="1:12" s="2" customFormat="1" ht="24.95" customHeight="1" x14ac:dyDescent="0.25">
      <c r="A114" s="31" t="s">
        <v>329</v>
      </c>
      <c r="B114" s="1" t="s">
        <v>330</v>
      </c>
      <c r="C114" s="1" t="s">
        <v>331</v>
      </c>
      <c r="D114" s="1" t="s">
        <v>8</v>
      </c>
      <c r="E114" s="3">
        <v>2695.18</v>
      </c>
      <c r="F114" s="3">
        <v>0</v>
      </c>
      <c r="G114" s="3">
        <v>2632.85</v>
      </c>
      <c r="H114" s="3">
        <v>0</v>
      </c>
      <c r="I114" s="3">
        <v>13083.5</v>
      </c>
      <c r="J114" s="1" t="s">
        <v>41</v>
      </c>
      <c r="K114" s="28"/>
      <c r="L114" s="28"/>
    </row>
    <row r="115" spans="1:12" s="2" customFormat="1" ht="24.95" customHeight="1" x14ac:dyDescent="0.25">
      <c r="A115" s="31" t="s">
        <v>332</v>
      </c>
      <c r="B115" s="1" t="s">
        <v>333</v>
      </c>
      <c r="C115" s="1" t="s">
        <v>334</v>
      </c>
      <c r="D115" s="1" t="s">
        <v>18</v>
      </c>
      <c r="E115" s="3">
        <v>0</v>
      </c>
      <c r="F115" s="3">
        <v>0</v>
      </c>
      <c r="G115" s="3">
        <v>0</v>
      </c>
      <c r="H115" s="3">
        <v>0</v>
      </c>
      <c r="I115" s="3">
        <v>700.38</v>
      </c>
      <c r="J115" s="1" t="s">
        <v>14</v>
      </c>
      <c r="K115" s="28"/>
      <c r="L115" s="28"/>
    </row>
    <row r="116" spans="1:12" s="2" customFormat="1" ht="24.95" customHeight="1" x14ac:dyDescent="0.25">
      <c r="A116" s="31" t="s">
        <v>335</v>
      </c>
      <c r="B116" s="1" t="s">
        <v>336</v>
      </c>
      <c r="C116" s="1" t="s">
        <v>337</v>
      </c>
      <c r="D116" s="1" t="s">
        <v>8</v>
      </c>
      <c r="E116" s="3">
        <v>0</v>
      </c>
      <c r="F116" s="3">
        <v>0</v>
      </c>
      <c r="G116" s="3">
        <v>0</v>
      </c>
      <c r="H116" s="3">
        <v>6179.29</v>
      </c>
      <c r="I116" s="3">
        <v>0</v>
      </c>
      <c r="J116" s="1" t="s">
        <v>4</v>
      </c>
      <c r="K116" s="28"/>
      <c r="L116" s="28"/>
    </row>
    <row r="117" spans="1:12" s="2" customFormat="1" ht="24.95" customHeight="1" x14ac:dyDescent="0.25">
      <c r="A117" s="31" t="s">
        <v>338</v>
      </c>
      <c r="B117" s="1" t="s">
        <v>339</v>
      </c>
      <c r="C117" s="1" t="s">
        <v>340</v>
      </c>
      <c r="D117" s="1" t="s">
        <v>18</v>
      </c>
      <c r="E117" s="3">
        <v>4576.78</v>
      </c>
      <c r="F117" s="3">
        <v>0</v>
      </c>
      <c r="G117" s="3">
        <v>1226.75</v>
      </c>
      <c r="H117" s="3">
        <v>0</v>
      </c>
      <c r="I117" s="3">
        <v>0</v>
      </c>
      <c r="J117" s="1" t="s">
        <v>86</v>
      </c>
      <c r="K117" s="28"/>
      <c r="L117" s="28"/>
    </row>
    <row r="118" spans="1:12" s="2" customFormat="1" ht="24.95" customHeight="1" x14ac:dyDescent="0.25">
      <c r="A118" s="31" t="s">
        <v>341</v>
      </c>
      <c r="B118" s="1" t="s">
        <v>342</v>
      </c>
      <c r="C118" s="1" t="s">
        <v>343</v>
      </c>
      <c r="D118" s="1" t="s">
        <v>18</v>
      </c>
      <c r="E118" s="3">
        <v>7299.21</v>
      </c>
      <c r="F118" s="3">
        <v>0</v>
      </c>
      <c r="G118" s="3">
        <v>2016.24</v>
      </c>
      <c r="H118" s="3">
        <v>0</v>
      </c>
      <c r="I118" s="3">
        <v>0</v>
      </c>
      <c r="J118" s="1" t="s">
        <v>19</v>
      </c>
      <c r="K118" s="28"/>
      <c r="L118" s="28"/>
    </row>
    <row r="119" spans="1:12" s="2" customFormat="1" ht="24.95" customHeight="1" x14ac:dyDescent="0.25">
      <c r="A119" s="31" t="s">
        <v>344</v>
      </c>
      <c r="B119" s="1" t="s">
        <v>345</v>
      </c>
      <c r="C119" s="1" t="s">
        <v>346</v>
      </c>
      <c r="D119" s="1" t="s">
        <v>3</v>
      </c>
      <c r="E119" s="3">
        <v>141.96</v>
      </c>
      <c r="F119" s="3">
        <v>0</v>
      </c>
      <c r="G119" s="3">
        <v>0</v>
      </c>
      <c r="H119" s="3">
        <v>0</v>
      </c>
      <c r="I119" s="3">
        <v>0</v>
      </c>
      <c r="J119" s="1" t="s">
        <v>37</v>
      </c>
      <c r="K119" s="28"/>
      <c r="L119" s="28"/>
    </row>
    <row r="120" spans="1:12" s="2" customFormat="1" ht="24.95" customHeight="1" x14ac:dyDescent="0.25">
      <c r="A120" s="31" t="s">
        <v>347</v>
      </c>
      <c r="B120" s="1" t="s">
        <v>348</v>
      </c>
      <c r="C120" s="1" t="s">
        <v>349</v>
      </c>
      <c r="D120" s="1" t="s">
        <v>18</v>
      </c>
      <c r="E120" s="3">
        <v>4758.7</v>
      </c>
      <c r="F120" s="3">
        <v>0</v>
      </c>
      <c r="G120" s="3">
        <v>0</v>
      </c>
      <c r="H120" s="3">
        <v>4860.21</v>
      </c>
      <c r="I120" s="3">
        <v>0</v>
      </c>
      <c r="J120" s="1" t="s">
        <v>14</v>
      </c>
      <c r="K120" s="28"/>
      <c r="L120" s="28"/>
    </row>
    <row r="121" spans="1:12"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c r="L121" s="28"/>
    </row>
    <row r="122" spans="1:12" s="2" customFormat="1" ht="24.95" customHeight="1" x14ac:dyDescent="0.25">
      <c r="A122" s="31" t="s">
        <v>353</v>
      </c>
      <c r="B122" s="1" t="s">
        <v>354</v>
      </c>
      <c r="C122" s="1" t="s">
        <v>355</v>
      </c>
      <c r="D122" s="1" t="s">
        <v>3</v>
      </c>
      <c r="E122" s="3">
        <v>3022.24</v>
      </c>
      <c r="F122" s="3">
        <v>2008.53</v>
      </c>
      <c r="G122" s="3">
        <v>0</v>
      </c>
      <c r="H122" s="3">
        <v>0</v>
      </c>
      <c r="I122" s="3">
        <v>2805.98</v>
      </c>
      <c r="J122" s="1" t="s">
        <v>24</v>
      </c>
      <c r="K122" s="28"/>
      <c r="L122" s="28"/>
    </row>
    <row r="123" spans="1:12" s="2" customFormat="1" ht="24.95" customHeight="1" x14ac:dyDescent="0.25">
      <c r="A123" s="31" t="s">
        <v>356</v>
      </c>
      <c r="B123" s="1" t="s">
        <v>357</v>
      </c>
      <c r="C123" s="1" t="s">
        <v>358</v>
      </c>
      <c r="D123" s="1" t="s">
        <v>8</v>
      </c>
      <c r="E123" s="3">
        <v>0</v>
      </c>
      <c r="F123" s="3">
        <v>0</v>
      </c>
      <c r="G123" s="3">
        <v>0</v>
      </c>
      <c r="H123" s="3">
        <v>5536.65</v>
      </c>
      <c r="I123" s="3">
        <v>0</v>
      </c>
      <c r="J123" s="1" t="s">
        <v>86</v>
      </c>
      <c r="K123" s="28"/>
      <c r="L123" s="28"/>
    </row>
    <row r="124" spans="1:12"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c r="L124" s="28"/>
    </row>
    <row r="125" spans="1:12"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c r="L125" s="28"/>
    </row>
    <row r="126" spans="1:12"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c r="L126" s="28"/>
    </row>
    <row r="127" spans="1:12" s="2" customFormat="1" ht="24.95" customHeight="1" x14ac:dyDescent="0.25">
      <c r="A127" s="31" t="s">
        <v>368</v>
      </c>
      <c r="B127" s="1" t="s">
        <v>369</v>
      </c>
      <c r="C127" s="1" t="s">
        <v>370</v>
      </c>
      <c r="D127" s="1" t="s">
        <v>8</v>
      </c>
      <c r="E127" s="3">
        <v>0</v>
      </c>
      <c r="F127" s="3">
        <v>1914.18</v>
      </c>
      <c r="G127" s="3">
        <v>390.11</v>
      </c>
      <c r="H127" s="3">
        <v>8323.84</v>
      </c>
      <c r="I127" s="3">
        <v>0</v>
      </c>
      <c r="J127" s="1" t="s">
        <v>41</v>
      </c>
      <c r="K127" s="28"/>
      <c r="L127" s="28"/>
    </row>
    <row r="128" spans="1:12" s="2" customFormat="1" ht="24.95" customHeight="1" x14ac:dyDescent="0.25">
      <c r="A128" s="31" t="s">
        <v>371</v>
      </c>
      <c r="B128" s="1" t="s">
        <v>372</v>
      </c>
      <c r="C128" s="1" t="s">
        <v>373</v>
      </c>
      <c r="D128" s="1" t="s">
        <v>3</v>
      </c>
      <c r="E128" s="3">
        <v>0</v>
      </c>
      <c r="F128" s="3">
        <v>3917.22</v>
      </c>
      <c r="G128" s="3">
        <v>0</v>
      </c>
      <c r="H128" s="3">
        <v>10884.36</v>
      </c>
      <c r="I128" s="3">
        <v>0</v>
      </c>
      <c r="J128" s="1" t="s">
        <v>37</v>
      </c>
      <c r="K128" s="28"/>
      <c r="L128" s="28"/>
    </row>
    <row r="129" spans="1:12" s="2" customFormat="1" ht="24.95" customHeight="1" x14ac:dyDescent="0.25">
      <c r="A129" s="31" t="s">
        <v>374</v>
      </c>
      <c r="B129" s="1" t="s">
        <v>375</v>
      </c>
      <c r="C129" s="1" t="s">
        <v>376</v>
      </c>
      <c r="D129" s="1" t="s">
        <v>13</v>
      </c>
      <c r="E129" s="3">
        <v>0</v>
      </c>
      <c r="F129" s="3">
        <v>0</v>
      </c>
      <c r="G129" s="3">
        <v>3767.88</v>
      </c>
      <c r="H129" s="3">
        <v>0</v>
      </c>
      <c r="I129" s="3">
        <v>0</v>
      </c>
      <c r="J129" s="1" t="s">
        <v>93</v>
      </c>
      <c r="K129" s="28"/>
      <c r="L129" s="28"/>
    </row>
    <row r="130" spans="1:12" s="2" customFormat="1" ht="24.95" customHeight="1" x14ac:dyDescent="0.25">
      <c r="A130" s="31" t="s">
        <v>377</v>
      </c>
      <c r="B130" s="1" t="s">
        <v>378</v>
      </c>
      <c r="C130" s="1" t="s">
        <v>379</v>
      </c>
      <c r="D130" s="1" t="s">
        <v>3</v>
      </c>
      <c r="E130" s="3">
        <v>0</v>
      </c>
      <c r="F130" s="3">
        <v>3524.53</v>
      </c>
      <c r="G130" s="3">
        <v>2058.27</v>
      </c>
      <c r="H130" s="3">
        <v>0</v>
      </c>
      <c r="I130" s="3">
        <v>0</v>
      </c>
      <c r="J130" s="1" t="s">
        <v>93</v>
      </c>
      <c r="K130" s="28"/>
      <c r="L130" s="28"/>
    </row>
    <row r="131" spans="1:12" s="2" customFormat="1" ht="24.95" customHeight="1" x14ac:dyDescent="0.25">
      <c r="A131" s="31" t="s">
        <v>380</v>
      </c>
      <c r="B131" s="1" t="s">
        <v>381</v>
      </c>
      <c r="C131" s="1" t="s">
        <v>382</v>
      </c>
      <c r="D131" s="1" t="s">
        <v>23</v>
      </c>
      <c r="E131" s="3">
        <v>0</v>
      </c>
      <c r="F131" s="3">
        <v>0</v>
      </c>
      <c r="G131" s="3">
        <v>0</v>
      </c>
      <c r="H131" s="3">
        <v>0</v>
      </c>
      <c r="I131" s="3">
        <v>13083.08</v>
      </c>
      <c r="J131" s="1" t="s">
        <v>9</v>
      </c>
      <c r="K131" s="28"/>
      <c r="L131" s="28"/>
    </row>
    <row r="132" spans="1:12"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c r="L132" s="28"/>
    </row>
    <row r="133" spans="1:12" s="2" customFormat="1" ht="24.95" customHeight="1" x14ac:dyDescent="0.25">
      <c r="A133" s="31" t="s">
        <v>386</v>
      </c>
      <c r="B133" s="1" t="s">
        <v>387</v>
      </c>
      <c r="C133" s="1" t="s">
        <v>388</v>
      </c>
      <c r="D133" s="1" t="s">
        <v>3</v>
      </c>
      <c r="E133" s="3">
        <v>4467.34</v>
      </c>
      <c r="F133" s="3">
        <v>2709.7</v>
      </c>
      <c r="G133" s="3">
        <v>0</v>
      </c>
      <c r="H133" s="3">
        <v>0</v>
      </c>
      <c r="I133" s="3">
        <v>0</v>
      </c>
      <c r="J133" s="1" t="s">
        <v>19</v>
      </c>
      <c r="K133" s="28"/>
      <c r="L133" s="28"/>
    </row>
    <row r="134" spans="1:12"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c r="L134" s="28"/>
    </row>
    <row r="135" spans="1:12" s="2" customFormat="1" ht="24.95" customHeight="1" x14ac:dyDescent="0.25">
      <c r="A135" s="31" t="s">
        <v>392</v>
      </c>
      <c r="B135" s="1" t="s">
        <v>393</v>
      </c>
      <c r="C135" s="1" t="s">
        <v>394</v>
      </c>
      <c r="D135" s="1" t="s">
        <v>23</v>
      </c>
      <c r="E135" s="3">
        <v>0</v>
      </c>
      <c r="F135" s="3">
        <v>2947.1</v>
      </c>
      <c r="G135" s="3">
        <v>0</v>
      </c>
      <c r="H135" s="3">
        <v>0</v>
      </c>
      <c r="I135" s="3">
        <v>0</v>
      </c>
      <c r="J135" s="1" t="s">
        <v>48</v>
      </c>
      <c r="K135" s="28"/>
      <c r="L135" s="28"/>
    </row>
    <row r="136" spans="1:12" s="2" customFormat="1" ht="24.95" customHeight="1" x14ac:dyDescent="0.25">
      <c r="A136" s="31" t="s">
        <v>395</v>
      </c>
      <c r="B136" s="1" t="s">
        <v>396</v>
      </c>
      <c r="C136" s="1" t="s">
        <v>397</v>
      </c>
      <c r="D136" s="1" t="s">
        <v>13</v>
      </c>
      <c r="E136" s="3">
        <v>5474.23</v>
      </c>
      <c r="F136" s="3">
        <v>0</v>
      </c>
      <c r="G136" s="3">
        <v>0</v>
      </c>
      <c r="H136" s="3">
        <v>0</v>
      </c>
      <c r="I136" s="3">
        <v>6108.18</v>
      </c>
      <c r="J136" s="1" t="s">
        <v>24</v>
      </c>
      <c r="K136" s="28"/>
      <c r="L136" s="28"/>
    </row>
    <row r="137" spans="1:12" s="2" customFormat="1" ht="24.95" customHeight="1" x14ac:dyDescent="0.25">
      <c r="A137" s="31" t="s">
        <v>398</v>
      </c>
      <c r="B137" s="1" t="s">
        <v>399</v>
      </c>
      <c r="C137" s="1" t="s">
        <v>400</v>
      </c>
      <c r="D137" s="1" t="s">
        <v>8</v>
      </c>
      <c r="E137" s="3">
        <v>0</v>
      </c>
      <c r="F137" s="3">
        <v>4541.6400000000003</v>
      </c>
      <c r="G137" s="3">
        <v>0</v>
      </c>
      <c r="H137" s="3">
        <v>0</v>
      </c>
      <c r="I137" s="3">
        <v>0</v>
      </c>
      <c r="J137" s="1" t="s">
        <v>106</v>
      </c>
      <c r="K137" s="28"/>
      <c r="L137" s="28"/>
    </row>
    <row r="138" spans="1:12" s="2" customFormat="1" ht="24.95" customHeight="1" x14ac:dyDescent="0.25">
      <c r="A138" s="31" t="s">
        <v>401</v>
      </c>
      <c r="B138" s="1" t="s">
        <v>402</v>
      </c>
      <c r="C138" s="1" t="s">
        <v>403</v>
      </c>
      <c r="D138" s="1" t="s">
        <v>8</v>
      </c>
      <c r="E138" s="3">
        <v>0</v>
      </c>
      <c r="F138" s="3">
        <v>0</v>
      </c>
      <c r="G138" s="3">
        <v>0</v>
      </c>
      <c r="H138" s="3">
        <v>0</v>
      </c>
      <c r="I138" s="3">
        <v>2708.19</v>
      </c>
      <c r="J138" s="1" t="s">
        <v>41</v>
      </c>
      <c r="K138" s="28"/>
      <c r="L138" s="28"/>
    </row>
    <row r="139" spans="1:12"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c r="L139" s="28"/>
    </row>
    <row r="140" spans="1:12"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c r="L140" s="28"/>
    </row>
    <row r="141" spans="1:12" s="2" customFormat="1" ht="24.95" customHeight="1" x14ac:dyDescent="0.25">
      <c r="A141" s="31" t="s">
        <v>410</v>
      </c>
      <c r="B141" s="1" t="s">
        <v>411</v>
      </c>
      <c r="C141" s="1" t="s">
        <v>412</v>
      </c>
      <c r="D141" s="1" t="s">
        <v>3027</v>
      </c>
      <c r="E141" s="3">
        <v>0</v>
      </c>
      <c r="F141" s="3">
        <v>0</v>
      </c>
      <c r="G141" s="3">
        <v>0</v>
      </c>
      <c r="H141" s="3">
        <v>3382.79</v>
      </c>
      <c r="I141" s="3">
        <v>0</v>
      </c>
      <c r="J141" s="1" t="s">
        <v>41</v>
      </c>
      <c r="K141" s="28"/>
      <c r="L141" s="28"/>
    </row>
    <row r="142" spans="1:12" s="2" customFormat="1" ht="24.95" customHeight="1" x14ac:dyDescent="0.25">
      <c r="A142" s="31" t="s">
        <v>413</v>
      </c>
      <c r="B142" s="1" t="s">
        <v>414</v>
      </c>
      <c r="C142" s="1" t="s">
        <v>415</v>
      </c>
      <c r="D142" s="1" t="s">
        <v>13</v>
      </c>
      <c r="E142" s="3">
        <v>0</v>
      </c>
      <c r="F142" s="3">
        <v>0</v>
      </c>
      <c r="G142" s="3">
        <v>0</v>
      </c>
      <c r="H142" s="3">
        <v>4046.85</v>
      </c>
      <c r="I142" s="3">
        <v>2364.33</v>
      </c>
      <c r="J142" s="1" t="s">
        <v>106</v>
      </c>
      <c r="K142" s="28"/>
      <c r="L142" s="28"/>
    </row>
    <row r="143" spans="1:12" s="2" customFormat="1" ht="24.95" customHeight="1" x14ac:dyDescent="0.25">
      <c r="A143" s="31" t="s">
        <v>416</v>
      </c>
      <c r="B143" s="1" t="s">
        <v>417</v>
      </c>
      <c r="C143" s="1" t="s">
        <v>418</v>
      </c>
      <c r="D143" s="1" t="s">
        <v>18</v>
      </c>
      <c r="E143" s="3">
        <v>0</v>
      </c>
      <c r="F143" s="3">
        <v>0</v>
      </c>
      <c r="G143" s="3">
        <v>339.07</v>
      </c>
      <c r="H143" s="3">
        <v>0</v>
      </c>
      <c r="I143" s="3">
        <v>0</v>
      </c>
      <c r="J143" s="1" t="s">
        <v>4</v>
      </c>
      <c r="K143" s="28"/>
      <c r="L143" s="28"/>
    </row>
    <row r="144" spans="1:12"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c r="L144" s="28"/>
    </row>
    <row r="145" spans="1:12" s="2" customFormat="1" ht="24.95" customHeight="1" x14ac:dyDescent="0.25">
      <c r="A145" s="31" t="s">
        <v>422</v>
      </c>
      <c r="B145" s="1" t="s">
        <v>423</v>
      </c>
      <c r="C145" s="1" t="s">
        <v>424</v>
      </c>
      <c r="D145" s="1" t="s">
        <v>3027</v>
      </c>
      <c r="E145" s="3">
        <v>0</v>
      </c>
      <c r="F145" s="3">
        <v>1286.26</v>
      </c>
      <c r="G145" s="3">
        <v>0</v>
      </c>
      <c r="H145" s="3">
        <v>1521.71</v>
      </c>
      <c r="I145" s="3">
        <v>0</v>
      </c>
      <c r="J145" s="1" t="s">
        <v>79</v>
      </c>
      <c r="K145" s="28"/>
      <c r="L145" s="28"/>
    </row>
    <row r="146" spans="1:12" s="2" customFormat="1" ht="24.95" customHeight="1" x14ac:dyDescent="0.25">
      <c r="A146" s="31" t="s">
        <v>425</v>
      </c>
      <c r="B146" s="1" t="s">
        <v>426</v>
      </c>
      <c r="C146" s="1" t="s">
        <v>427</v>
      </c>
      <c r="D146" s="1" t="s">
        <v>8</v>
      </c>
      <c r="E146" s="3">
        <v>0</v>
      </c>
      <c r="F146" s="3">
        <v>0</v>
      </c>
      <c r="G146" s="3">
        <v>0</v>
      </c>
      <c r="H146" s="3">
        <v>0</v>
      </c>
      <c r="I146" s="3">
        <v>10318.5</v>
      </c>
      <c r="J146" s="1" t="s">
        <v>14</v>
      </c>
      <c r="K146" s="28"/>
      <c r="L146" s="28"/>
    </row>
    <row r="147" spans="1:12"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c r="L147" s="28"/>
    </row>
    <row r="148" spans="1:12"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c r="L148" s="28"/>
    </row>
    <row r="149" spans="1:12" s="2" customFormat="1" ht="24.95" customHeight="1" x14ac:dyDescent="0.25">
      <c r="A149" s="31" t="s">
        <v>434</v>
      </c>
      <c r="B149" s="1" t="s">
        <v>435</v>
      </c>
      <c r="C149" s="1" t="s">
        <v>436</v>
      </c>
      <c r="D149" s="1" t="s">
        <v>3027</v>
      </c>
      <c r="E149" s="3">
        <v>0</v>
      </c>
      <c r="F149" s="3">
        <v>0</v>
      </c>
      <c r="G149" s="3">
        <v>3604</v>
      </c>
      <c r="H149" s="3">
        <v>0</v>
      </c>
      <c r="I149" s="3">
        <v>0</v>
      </c>
      <c r="J149" s="1" t="s">
        <v>9</v>
      </c>
      <c r="K149" s="28"/>
      <c r="L149" s="28"/>
    </row>
    <row r="150" spans="1:12" s="2" customFormat="1" ht="24.95" customHeight="1" x14ac:dyDescent="0.25">
      <c r="A150" s="31" t="s">
        <v>437</v>
      </c>
      <c r="B150" s="1" t="s">
        <v>438</v>
      </c>
      <c r="C150" s="1" t="s">
        <v>439</v>
      </c>
      <c r="D150" s="1" t="s">
        <v>18</v>
      </c>
      <c r="E150" s="3">
        <v>0</v>
      </c>
      <c r="F150" s="3">
        <v>0</v>
      </c>
      <c r="G150" s="3">
        <v>0</v>
      </c>
      <c r="H150" s="3">
        <v>0</v>
      </c>
      <c r="I150" s="3">
        <v>1534.2</v>
      </c>
      <c r="J150" s="1" t="s">
        <v>9</v>
      </c>
      <c r="K150" s="28"/>
      <c r="L150" s="28"/>
    </row>
    <row r="151" spans="1:12" s="2" customFormat="1" ht="24.95" customHeight="1" x14ac:dyDescent="0.25">
      <c r="A151" s="31" t="s">
        <v>440</v>
      </c>
      <c r="B151" s="1" t="s">
        <v>441</v>
      </c>
      <c r="C151" s="1" t="s">
        <v>442</v>
      </c>
      <c r="D151" s="1" t="s">
        <v>13</v>
      </c>
      <c r="E151" s="3">
        <v>0</v>
      </c>
      <c r="F151" s="3">
        <v>0</v>
      </c>
      <c r="G151" s="3">
        <v>502.13</v>
      </c>
      <c r="H151" s="3">
        <v>11916.17</v>
      </c>
      <c r="I151" s="3">
        <v>7622.01</v>
      </c>
      <c r="J151" s="1" t="s">
        <v>48</v>
      </c>
      <c r="K151" s="28"/>
      <c r="L151" s="28"/>
    </row>
    <row r="152" spans="1:12" s="2" customFormat="1" ht="24.95" customHeight="1" x14ac:dyDescent="0.25">
      <c r="A152" s="31" t="s">
        <v>443</v>
      </c>
      <c r="B152" s="1" t="s">
        <v>444</v>
      </c>
      <c r="C152" s="1" t="s">
        <v>445</v>
      </c>
      <c r="D152" s="1" t="s">
        <v>3</v>
      </c>
      <c r="E152" s="3">
        <v>0</v>
      </c>
      <c r="F152" s="3">
        <v>2523</v>
      </c>
      <c r="G152" s="3">
        <v>861.67</v>
      </c>
      <c r="H152" s="3">
        <v>0</v>
      </c>
      <c r="I152" s="3">
        <v>9443.33</v>
      </c>
      <c r="J152" s="1" t="s">
        <v>37</v>
      </c>
      <c r="K152" s="28"/>
      <c r="L152" s="28"/>
    </row>
    <row r="153" spans="1:12"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c r="L153" s="28"/>
    </row>
    <row r="154" spans="1:12"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c r="L154" s="28"/>
    </row>
    <row r="155" spans="1:12" s="2" customFormat="1" ht="24.95" customHeight="1" x14ac:dyDescent="0.25">
      <c r="A155" s="31" t="s">
        <v>452</v>
      </c>
      <c r="B155" s="1" t="s">
        <v>453</v>
      </c>
      <c r="C155" s="1" t="s">
        <v>454</v>
      </c>
      <c r="D155" s="1" t="s">
        <v>3</v>
      </c>
      <c r="E155" s="3">
        <v>419.1</v>
      </c>
      <c r="F155" s="3">
        <v>0</v>
      </c>
      <c r="G155" s="3">
        <v>0</v>
      </c>
      <c r="H155" s="3">
        <v>8006.1</v>
      </c>
      <c r="I155" s="3">
        <v>6142.57</v>
      </c>
      <c r="J155" s="1" t="s">
        <v>48</v>
      </c>
      <c r="K155" s="28"/>
      <c r="L155" s="28"/>
    </row>
    <row r="156" spans="1:12" s="2" customFormat="1" ht="24.95" customHeight="1" x14ac:dyDescent="0.25">
      <c r="A156" s="31" t="s">
        <v>455</v>
      </c>
      <c r="B156" s="1" t="s">
        <v>456</v>
      </c>
      <c r="C156" s="1" t="s">
        <v>457</v>
      </c>
      <c r="D156" s="1" t="s">
        <v>3</v>
      </c>
      <c r="E156" s="3">
        <v>0</v>
      </c>
      <c r="F156" s="3">
        <v>0</v>
      </c>
      <c r="G156" s="3">
        <v>1347.77</v>
      </c>
      <c r="H156" s="3">
        <v>5542.34</v>
      </c>
      <c r="I156" s="3">
        <v>0</v>
      </c>
      <c r="J156" s="1" t="s">
        <v>4</v>
      </c>
      <c r="K156" s="28"/>
      <c r="L156" s="28"/>
    </row>
    <row r="157" spans="1:12" s="2" customFormat="1" ht="24.95" customHeight="1" x14ac:dyDescent="0.25">
      <c r="A157" s="31" t="s">
        <v>458</v>
      </c>
      <c r="B157" s="1" t="s">
        <v>459</v>
      </c>
      <c r="C157" s="1" t="s">
        <v>460</v>
      </c>
      <c r="D157" s="1" t="s">
        <v>8</v>
      </c>
      <c r="E157" s="3">
        <v>7126.66</v>
      </c>
      <c r="F157" s="3">
        <v>0</v>
      </c>
      <c r="G157" s="3">
        <v>0</v>
      </c>
      <c r="H157" s="3">
        <v>4745.38</v>
      </c>
      <c r="I157" s="3">
        <v>823.28</v>
      </c>
      <c r="J157" s="1" t="s">
        <v>9</v>
      </c>
      <c r="K157" s="28"/>
      <c r="L157" s="28"/>
    </row>
    <row r="158" spans="1:12" s="2" customFormat="1" ht="24.95" customHeight="1" x14ac:dyDescent="0.25">
      <c r="A158" s="31" t="s">
        <v>461</v>
      </c>
      <c r="B158" s="1" t="s">
        <v>462</v>
      </c>
      <c r="C158" s="1" t="s">
        <v>463</v>
      </c>
      <c r="D158" s="1" t="s">
        <v>3027</v>
      </c>
      <c r="E158" s="3">
        <v>0</v>
      </c>
      <c r="F158" s="3">
        <v>0</v>
      </c>
      <c r="G158" s="3">
        <v>1393.07</v>
      </c>
      <c r="H158" s="3">
        <v>0</v>
      </c>
      <c r="I158" s="3">
        <v>0</v>
      </c>
      <c r="J158" s="1" t="s">
        <v>24</v>
      </c>
      <c r="K158" s="28"/>
      <c r="L158" s="28"/>
    </row>
    <row r="159" spans="1:12"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c r="L159" s="28"/>
    </row>
    <row r="160" spans="1:12" s="2" customFormat="1" ht="24.95" customHeight="1" x14ac:dyDescent="0.25">
      <c r="A160" s="31" t="s">
        <v>467</v>
      </c>
      <c r="B160" s="1" t="s">
        <v>468</v>
      </c>
      <c r="C160" s="1" t="s">
        <v>469</v>
      </c>
      <c r="D160" s="1" t="s">
        <v>13</v>
      </c>
      <c r="E160" s="3">
        <v>3574.38</v>
      </c>
      <c r="F160" s="3">
        <v>0</v>
      </c>
      <c r="G160" s="3">
        <v>0</v>
      </c>
      <c r="H160" s="3">
        <v>0</v>
      </c>
      <c r="I160" s="3">
        <v>1247</v>
      </c>
      <c r="J160" s="1" t="s">
        <v>4</v>
      </c>
      <c r="K160" s="28"/>
      <c r="L160" s="28"/>
    </row>
    <row r="161" spans="1:12" s="2" customFormat="1" ht="24.95" customHeight="1" x14ac:dyDescent="0.25">
      <c r="A161" s="31" t="s">
        <v>470</v>
      </c>
      <c r="B161" s="1" t="s">
        <v>471</v>
      </c>
      <c r="C161" s="1" t="s">
        <v>472</v>
      </c>
      <c r="D161" s="1" t="s">
        <v>3027</v>
      </c>
      <c r="E161" s="3">
        <v>0</v>
      </c>
      <c r="F161" s="3">
        <v>0</v>
      </c>
      <c r="G161" s="3">
        <v>2629.95</v>
      </c>
      <c r="H161" s="3">
        <v>0</v>
      </c>
      <c r="I161" s="3">
        <v>8595.64</v>
      </c>
      <c r="J161" s="1" t="s">
        <v>4</v>
      </c>
      <c r="K161" s="28"/>
      <c r="L161" s="28"/>
    </row>
    <row r="162" spans="1:12" s="2" customFormat="1" ht="24.95" customHeight="1" x14ac:dyDescent="0.25">
      <c r="A162" s="31" t="s">
        <v>473</v>
      </c>
      <c r="B162" s="1" t="s">
        <v>474</v>
      </c>
      <c r="C162" s="1" t="s">
        <v>475</v>
      </c>
      <c r="D162" s="1" t="s">
        <v>3027</v>
      </c>
      <c r="E162" s="3">
        <v>0</v>
      </c>
      <c r="F162" s="3">
        <v>0</v>
      </c>
      <c r="G162" s="3">
        <v>707.07</v>
      </c>
      <c r="H162" s="3">
        <v>3253.53</v>
      </c>
      <c r="I162" s="3">
        <v>7871.2</v>
      </c>
      <c r="J162" s="1" t="s">
        <v>19</v>
      </c>
      <c r="K162" s="28"/>
      <c r="L162" s="28"/>
    </row>
    <row r="163" spans="1:12" s="2" customFormat="1" ht="24.95" customHeight="1" x14ac:dyDescent="0.25">
      <c r="A163" s="31" t="s">
        <v>476</v>
      </c>
      <c r="B163" s="1" t="s">
        <v>477</v>
      </c>
      <c r="C163" s="1" t="s">
        <v>478</v>
      </c>
      <c r="D163" s="1" t="s">
        <v>8</v>
      </c>
      <c r="E163" s="3">
        <v>0</v>
      </c>
      <c r="F163" s="3">
        <v>0</v>
      </c>
      <c r="G163" s="3">
        <v>389.97</v>
      </c>
      <c r="H163" s="3">
        <v>10949.18</v>
      </c>
      <c r="I163" s="3">
        <v>0</v>
      </c>
      <c r="J163" s="1" t="s">
        <v>86</v>
      </c>
      <c r="K163" s="28"/>
      <c r="L163" s="28"/>
    </row>
    <row r="164" spans="1:12" s="2" customFormat="1" ht="24.95" customHeight="1" x14ac:dyDescent="0.25">
      <c r="A164" s="31" t="s">
        <v>479</v>
      </c>
      <c r="B164" s="1" t="s">
        <v>480</v>
      </c>
      <c r="C164" s="1" t="s">
        <v>481</v>
      </c>
      <c r="D164" s="1" t="s">
        <v>3</v>
      </c>
      <c r="E164" s="3">
        <v>0</v>
      </c>
      <c r="F164" s="3">
        <v>3690.39</v>
      </c>
      <c r="G164" s="3">
        <v>483.37</v>
      </c>
      <c r="H164" s="3">
        <v>10833.81</v>
      </c>
      <c r="I164" s="3">
        <v>0</v>
      </c>
      <c r="J164" s="1" t="s">
        <v>19</v>
      </c>
      <c r="K164" s="28"/>
      <c r="L164" s="28"/>
    </row>
    <row r="165" spans="1:12"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c r="L165" s="28"/>
    </row>
    <row r="166" spans="1:12" s="2" customFormat="1" ht="24.95" customHeight="1" x14ac:dyDescent="0.25">
      <c r="A166" s="31" t="s">
        <v>485</v>
      </c>
      <c r="B166" s="1" t="s">
        <v>486</v>
      </c>
      <c r="C166" s="1" t="s">
        <v>487</v>
      </c>
      <c r="D166" s="1" t="s">
        <v>3027</v>
      </c>
      <c r="E166" s="3">
        <v>0</v>
      </c>
      <c r="F166" s="3">
        <v>567.12</v>
      </c>
      <c r="G166" s="3">
        <v>0</v>
      </c>
      <c r="H166" s="3">
        <v>11144.12</v>
      </c>
      <c r="I166" s="3">
        <v>0</v>
      </c>
      <c r="J166" s="1" t="s">
        <v>4</v>
      </c>
      <c r="K166" s="28"/>
      <c r="L166" s="28"/>
    </row>
    <row r="167" spans="1:12" s="2" customFormat="1" ht="24.95" customHeight="1" x14ac:dyDescent="0.25">
      <c r="A167" s="31" t="s">
        <v>488</v>
      </c>
      <c r="B167" s="1" t="s">
        <v>489</v>
      </c>
      <c r="C167" s="1" t="s">
        <v>490</v>
      </c>
      <c r="D167" s="1" t="s">
        <v>13</v>
      </c>
      <c r="E167" s="3">
        <v>0</v>
      </c>
      <c r="F167" s="3">
        <v>0</v>
      </c>
      <c r="G167" s="3">
        <v>1558.38</v>
      </c>
      <c r="H167" s="3">
        <v>11507.59</v>
      </c>
      <c r="I167" s="3">
        <v>0</v>
      </c>
      <c r="J167" s="1" t="s">
        <v>24</v>
      </c>
      <c r="K167" s="28"/>
      <c r="L167" s="28"/>
    </row>
    <row r="168" spans="1:12"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c r="L168" s="28"/>
    </row>
    <row r="169" spans="1:12" s="2" customFormat="1" ht="24.95" customHeight="1" x14ac:dyDescent="0.25">
      <c r="A169" s="31" t="s">
        <v>494</v>
      </c>
      <c r="B169" s="1" t="s">
        <v>495</v>
      </c>
      <c r="C169" s="1" t="s">
        <v>496</v>
      </c>
      <c r="D169" s="1" t="s">
        <v>23</v>
      </c>
      <c r="E169" s="3">
        <v>7304.12</v>
      </c>
      <c r="F169" s="3">
        <v>0</v>
      </c>
      <c r="G169" s="3">
        <v>780.11</v>
      </c>
      <c r="H169" s="3">
        <v>3652.97</v>
      </c>
      <c r="I169" s="3">
        <v>0</v>
      </c>
      <c r="J169" s="1" t="s">
        <v>86</v>
      </c>
      <c r="K169" s="28"/>
      <c r="L169" s="28"/>
    </row>
    <row r="170" spans="1:12"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c r="L170" s="28"/>
    </row>
    <row r="171" spans="1:12"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c r="L171" s="28"/>
    </row>
    <row r="172" spans="1:12" s="2" customFormat="1" ht="24.95" customHeight="1" x14ac:dyDescent="0.25">
      <c r="A172" s="31" t="s">
        <v>503</v>
      </c>
      <c r="B172" s="1" t="s">
        <v>504</v>
      </c>
      <c r="C172" s="1" t="s">
        <v>505</v>
      </c>
      <c r="D172" s="1" t="s">
        <v>23</v>
      </c>
      <c r="E172" s="3">
        <v>0</v>
      </c>
      <c r="F172" s="3">
        <v>4195.05</v>
      </c>
      <c r="G172" s="3">
        <v>1446.91</v>
      </c>
      <c r="H172" s="3">
        <v>0</v>
      </c>
      <c r="I172" s="3">
        <v>0</v>
      </c>
      <c r="J172" s="1" t="s">
        <v>48</v>
      </c>
      <c r="K172" s="28"/>
      <c r="L172" s="28"/>
    </row>
    <row r="173" spans="1:12"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c r="L173" s="28"/>
    </row>
    <row r="174" spans="1:12" s="2" customFormat="1" ht="24.95" customHeight="1" x14ac:dyDescent="0.25">
      <c r="A174" s="31" t="s">
        <v>509</v>
      </c>
      <c r="B174" s="1" t="s">
        <v>510</v>
      </c>
      <c r="C174" s="1" t="s">
        <v>511</v>
      </c>
      <c r="D174" s="1" t="s">
        <v>3</v>
      </c>
      <c r="E174" s="3">
        <v>2792.82</v>
      </c>
      <c r="F174" s="3">
        <v>0</v>
      </c>
      <c r="G174" s="3">
        <v>0</v>
      </c>
      <c r="H174" s="3">
        <v>0</v>
      </c>
      <c r="I174" s="3">
        <v>0</v>
      </c>
      <c r="J174" s="1" t="s">
        <v>24</v>
      </c>
      <c r="K174" s="28"/>
      <c r="L174" s="28"/>
    </row>
    <row r="175" spans="1:12" s="2" customFormat="1" ht="24.95" customHeight="1" x14ac:dyDescent="0.25">
      <c r="A175" s="31" t="s">
        <v>512</v>
      </c>
      <c r="B175" s="1" t="s">
        <v>513</v>
      </c>
      <c r="C175" s="1" t="s">
        <v>514</v>
      </c>
      <c r="D175" s="1" t="s">
        <v>8</v>
      </c>
      <c r="E175" s="3">
        <v>0</v>
      </c>
      <c r="F175" s="3">
        <v>678.61</v>
      </c>
      <c r="G175" s="3">
        <v>1099.99</v>
      </c>
      <c r="H175" s="3">
        <v>0</v>
      </c>
      <c r="I175" s="3">
        <v>6835.01</v>
      </c>
      <c r="J175" s="1" t="s">
        <v>79</v>
      </c>
      <c r="K175" s="28"/>
      <c r="L175" s="28"/>
    </row>
    <row r="176" spans="1:12"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c r="L176" s="28"/>
    </row>
    <row r="177" spans="1:12" s="2" customFormat="1" ht="24.95" customHeight="1" x14ac:dyDescent="0.25">
      <c r="A177" s="31" t="s">
        <v>518</v>
      </c>
      <c r="B177" s="1" t="s">
        <v>519</v>
      </c>
      <c r="C177" s="1" t="s">
        <v>520</v>
      </c>
      <c r="D177" s="1" t="s">
        <v>23</v>
      </c>
      <c r="E177" s="3">
        <v>4600.3</v>
      </c>
      <c r="F177" s="3">
        <v>0</v>
      </c>
      <c r="G177" s="3">
        <v>0</v>
      </c>
      <c r="H177" s="3">
        <v>0</v>
      </c>
      <c r="I177" s="3">
        <v>3499.63</v>
      </c>
      <c r="J177" s="1" t="s">
        <v>24</v>
      </c>
      <c r="K177" s="28"/>
      <c r="L177" s="28"/>
    </row>
    <row r="178" spans="1:12" s="2" customFormat="1" ht="24.95" customHeight="1" x14ac:dyDescent="0.25">
      <c r="A178" s="31" t="s">
        <v>521</v>
      </c>
      <c r="B178" s="1" t="s">
        <v>522</v>
      </c>
      <c r="C178" s="1" t="s">
        <v>523</v>
      </c>
      <c r="D178" s="1" t="s">
        <v>18</v>
      </c>
      <c r="E178" s="3">
        <v>0</v>
      </c>
      <c r="F178" s="3">
        <v>2728.47</v>
      </c>
      <c r="G178" s="3">
        <v>1423.96</v>
      </c>
      <c r="H178" s="3">
        <v>0</v>
      </c>
      <c r="I178" s="3">
        <v>6517.19</v>
      </c>
      <c r="J178" s="1" t="s">
        <v>93</v>
      </c>
      <c r="K178" s="28"/>
      <c r="L178" s="28"/>
    </row>
    <row r="179" spans="1:12"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c r="L179" s="28"/>
    </row>
    <row r="180" spans="1:12" s="2" customFormat="1" ht="24.95" customHeight="1" x14ac:dyDescent="0.25">
      <c r="A180" s="31" t="s">
        <v>527</v>
      </c>
      <c r="B180" s="1" t="s">
        <v>528</v>
      </c>
      <c r="C180" s="1" t="s">
        <v>529</v>
      </c>
      <c r="D180" s="1" t="s">
        <v>18</v>
      </c>
      <c r="E180" s="3">
        <v>0</v>
      </c>
      <c r="F180" s="3">
        <v>438.99</v>
      </c>
      <c r="G180" s="3">
        <v>933.44</v>
      </c>
      <c r="H180" s="3">
        <v>0</v>
      </c>
      <c r="I180" s="3">
        <v>0</v>
      </c>
      <c r="J180" s="1" t="s">
        <v>79</v>
      </c>
      <c r="K180" s="28"/>
      <c r="L180" s="28"/>
    </row>
    <row r="181" spans="1:12"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c r="L181" s="28"/>
    </row>
    <row r="182" spans="1:12"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c r="L182" s="28"/>
    </row>
    <row r="183" spans="1:12" s="2" customFormat="1" ht="24.95" customHeight="1" x14ac:dyDescent="0.25">
      <c r="A183" s="31" t="s">
        <v>536</v>
      </c>
      <c r="B183" s="1" t="s">
        <v>537</v>
      </c>
      <c r="C183" s="1" t="s">
        <v>538</v>
      </c>
      <c r="D183" s="1" t="s">
        <v>8</v>
      </c>
      <c r="E183" s="3">
        <v>2529.19</v>
      </c>
      <c r="F183" s="3">
        <v>0</v>
      </c>
      <c r="G183" s="3">
        <v>0</v>
      </c>
      <c r="H183" s="3">
        <v>0</v>
      </c>
      <c r="I183" s="3">
        <v>0</v>
      </c>
      <c r="J183" s="1" t="s">
        <v>19</v>
      </c>
      <c r="K183" s="28"/>
      <c r="L183" s="28"/>
    </row>
    <row r="184" spans="1:12" s="2" customFormat="1" ht="24.95" customHeight="1" x14ac:dyDescent="0.25">
      <c r="A184" s="31" t="s">
        <v>539</v>
      </c>
      <c r="B184" s="1" t="s">
        <v>540</v>
      </c>
      <c r="C184" s="1" t="s">
        <v>541</v>
      </c>
      <c r="D184" s="1" t="s">
        <v>18</v>
      </c>
      <c r="E184" s="3">
        <v>0</v>
      </c>
      <c r="F184" s="3">
        <v>0</v>
      </c>
      <c r="G184" s="3">
        <v>1478.95</v>
      </c>
      <c r="H184" s="3">
        <v>2946.81</v>
      </c>
      <c r="I184" s="3">
        <v>0</v>
      </c>
      <c r="J184" s="1" t="s">
        <v>14</v>
      </c>
      <c r="K184" s="28"/>
      <c r="L184" s="28"/>
    </row>
    <row r="185" spans="1:12" s="2" customFormat="1" ht="24.95" customHeight="1" x14ac:dyDescent="0.25">
      <c r="A185" s="31" t="s">
        <v>542</v>
      </c>
      <c r="B185" s="1" t="s">
        <v>543</v>
      </c>
      <c r="C185" s="1" t="s">
        <v>544</v>
      </c>
      <c r="D185" s="1" t="s">
        <v>23</v>
      </c>
      <c r="E185" s="3">
        <v>1681.99</v>
      </c>
      <c r="F185" s="3">
        <v>3064.43</v>
      </c>
      <c r="G185" s="3">
        <v>2136.69</v>
      </c>
      <c r="H185" s="3">
        <v>0</v>
      </c>
      <c r="I185" s="3">
        <v>0</v>
      </c>
      <c r="J185" s="1" t="s">
        <v>93</v>
      </c>
      <c r="K185" s="28"/>
      <c r="L185" s="28"/>
    </row>
    <row r="186" spans="1:12"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c r="L186" s="28"/>
    </row>
    <row r="187" spans="1:12"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c r="L187" s="28"/>
    </row>
    <row r="188" spans="1:12" s="2" customFormat="1" ht="24.95" customHeight="1" x14ac:dyDescent="0.25">
      <c r="A188" s="31" t="s">
        <v>551</v>
      </c>
      <c r="B188" s="1" t="s">
        <v>552</v>
      </c>
      <c r="C188" s="1" t="s">
        <v>553</v>
      </c>
      <c r="D188" s="1" t="s">
        <v>23</v>
      </c>
      <c r="E188" s="3">
        <v>2844.14</v>
      </c>
      <c r="F188" s="3">
        <v>3835.26</v>
      </c>
      <c r="G188" s="3">
        <v>847.68</v>
      </c>
      <c r="H188" s="3">
        <v>0</v>
      </c>
      <c r="I188" s="3">
        <v>0</v>
      </c>
      <c r="J188" s="1" t="s">
        <v>86</v>
      </c>
      <c r="K188" s="28"/>
      <c r="L188" s="28"/>
    </row>
    <row r="189" spans="1:12" s="2" customFormat="1" ht="24.95" customHeight="1" x14ac:dyDescent="0.25">
      <c r="A189" s="31" t="s">
        <v>554</v>
      </c>
      <c r="B189" s="1" t="s">
        <v>555</v>
      </c>
      <c r="C189" s="1" t="s">
        <v>556</v>
      </c>
      <c r="D189" s="1" t="s">
        <v>18</v>
      </c>
      <c r="E189" s="3">
        <v>0</v>
      </c>
      <c r="F189" s="3">
        <v>3691.56</v>
      </c>
      <c r="G189" s="3">
        <v>165.47</v>
      </c>
      <c r="H189" s="3">
        <v>3168.97</v>
      </c>
      <c r="I189" s="3">
        <v>0</v>
      </c>
      <c r="J189" s="1" t="s">
        <v>4</v>
      </c>
      <c r="K189" s="28"/>
      <c r="L189" s="28"/>
    </row>
    <row r="190" spans="1:12"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c r="L190" s="28"/>
    </row>
    <row r="191" spans="1:12"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c r="L191" s="28"/>
    </row>
    <row r="192" spans="1:12" s="2" customFormat="1" ht="24.95" customHeight="1" x14ac:dyDescent="0.25">
      <c r="A192" s="31" t="s">
        <v>563</v>
      </c>
      <c r="B192" s="1" t="s">
        <v>564</v>
      </c>
      <c r="C192" s="1" t="s">
        <v>565</v>
      </c>
      <c r="D192" s="1" t="s">
        <v>13</v>
      </c>
      <c r="E192" s="3">
        <v>0</v>
      </c>
      <c r="F192" s="3">
        <v>0</v>
      </c>
      <c r="G192" s="3">
        <v>0</v>
      </c>
      <c r="H192" s="3">
        <v>0</v>
      </c>
      <c r="I192" s="3">
        <v>1858.55</v>
      </c>
      <c r="J192" s="1" t="s">
        <v>41</v>
      </c>
      <c r="K192" s="28"/>
      <c r="L192" s="28"/>
    </row>
    <row r="193" spans="1:12"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c r="L193" s="28"/>
    </row>
    <row r="194" spans="1:12"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c r="L194" s="28"/>
    </row>
    <row r="195" spans="1:12" s="2" customFormat="1" ht="24.95" customHeight="1" x14ac:dyDescent="0.25">
      <c r="A195" s="31" t="s">
        <v>572</v>
      </c>
      <c r="B195" s="1" t="s">
        <v>573</v>
      </c>
      <c r="C195" s="1" t="s">
        <v>574</v>
      </c>
      <c r="D195" s="1" t="s">
        <v>3027</v>
      </c>
      <c r="E195" s="3">
        <v>0</v>
      </c>
      <c r="F195" s="3">
        <v>3743.88</v>
      </c>
      <c r="G195" s="3">
        <v>970.16</v>
      </c>
      <c r="H195" s="3">
        <v>0</v>
      </c>
      <c r="I195" s="3">
        <v>6206.54</v>
      </c>
      <c r="J195" s="1" t="s">
        <v>19</v>
      </c>
      <c r="K195" s="28"/>
      <c r="L195" s="28"/>
    </row>
    <row r="196" spans="1:12" s="2" customFormat="1" ht="24.95" customHeight="1" x14ac:dyDescent="0.25">
      <c r="A196" s="31" t="s">
        <v>575</v>
      </c>
      <c r="B196" s="1" t="s">
        <v>576</v>
      </c>
      <c r="C196" s="1" t="s">
        <v>577</v>
      </c>
      <c r="D196" s="1" t="s">
        <v>18</v>
      </c>
      <c r="E196" s="3">
        <v>0</v>
      </c>
      <c r="F196" s="3">
        <v>0</v>
      </c>
      <c r="G196" s="3">
        <v>0</v>
      </c>
      <c r="H196" s="3">
        <v>0</v>
      </c>
      <c r="I196" s="3">
        <v>13784.46</v>
      </c>
      <c r="J196" s="1" t="s">
        <v>24</v>
      </c>
      <c r="K196" s="28"/>
      <c r="L196" s="28"/>
    </row>
    <row r="197" spans="1:12"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c r="L197" s="28"/>
    </row>
    <row r="198" spans="1:12"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c r="L198" s="28"/>
    </row>
    <row r="199" spans="1:12"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c r="L199" s="28"/>
    </row>
    <row r="200" spans="1:12" s="2" customFormat="1" ht="24.95" customHeight="1" x14ac:dyDescent="0.25">
      <c r="A200" s="31" t="s">
        <v>587</v>
      </c>
      <c r="B200" s="1" t="s">
        <v>588</v>
      </c>
      <c r="C200" s="1" t="s">
        <v>589</v>
      </c>
      <c r="D200" s="1" t="s">
        <v>3</v>
      </c>
      <c r="E200" s="3">
        <v>3271.3</v>
      </c>
      <c r="F200" s="3">
        <v>0</v>
      </c>
      <c r="G200" s="3">
        <v>0</v>
      </c>
      <c r="H200" s="3">
        <v>0</v>
      </c>
      <c r="I200" s="3">
        <v>14559.12</v>
      </c>
      <c r="J200" s="1" t="s">
        <v>86</v>
      </c>
      <c r="K200" s="28"/>
      <c r="L200" s="28"/>
    </row>
    <row r="201" spans="1:12"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c r="L201" s="28"/>
    </row>
    <row r="202" spans="1:12"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c r="L202" s="28"/>
    </row>
    <row r="203" spans="1:12" s="2" customFormat="1" ht="24.95" customHeight="1" x14ac:dyDescent="0.25">
      <c r="A203" s="31" t="s">
        <v>596</v>
      </c>
      <c r="B203" s="1" t="s">
        <v>597</v>
      </c>
      <c r="C203" s="1" t="s">
        <v>598</v>
      </c>
      <c r="D203" s="1" t="s">
        <v>3</v>
      </c>
      <c r="E203" s="3">
        <v>0</v>
      </c>
      <c r="F203" s="3">
        <v>2038.18</v>
      </c>
      <c r="G203" s="3">
        <v>0</v>
      </c>
      <c r="H203" s="3">
        <v>0</v>
      </c>
      <c r="I203" s="3">
        <v>0</v>
      </c>
      <c r="J203" s="1" t="s">
        <v>41</v>
      </c>
      <c r="K203" s="28"/>
      <c r="L203" s="28"/>
    </row>
    <row r="204" spans="1:12" s="2" customFormat="1" ht="24.95" customHeight="1" x14ac:dyDescent="0.25">
      <c r="A204" s="31" t="s">
        <v>599</v>
      </c>
      <c r="B204" s="1" t="s">
        <v>600</v>
      </c>
      <c r="C204" s="1" t="s">
        <v>601</v>
      </c>
      <c r="D204" s="1" t="s">
        <v>23</v>
      </c>
      <c r="E204" s="3">
        <v>0</v>
      </c>
      <c r="F204" s="3">
        <v>0</v>
      </c>
      <c r="G204" s="3">
        <v>0</v>
      </c>
      <c r="H204" s="3">
        <v>0</v>
      </c>
      <c r="I204" s="3">
        <v>11111.37</v>
      </c>
      <c r="J204" s="1" t="s">
        <v>4</v>
      </c>
      <c r="K204" s="28"/>
      <c r="L204" s="28"/>
    </row>
    <row r="205" spans="1:12" s="2" customFormat="1" ht="24.95" customHeight="1" x14ac:dyDescent="0.25">
      <c r="A205" s="31" t="s">
        <v>602</v>
      </c>
      <c r="B205" s="1" t="s">
        <v>603</v>
      </c>
      <c r="C205" s="1" t="s">
        <v>604</v>
      </c>
      <c r="D205" s="1" t="s">
        <v>3027</v>
      </c>
      <c r="E205" s="3">
        <v>0</v>
      </c>
      <c r="F205" s="3">
        <v>0</v>
      </c>
      <c r="G205" s="3">
        <v>1868.66</v>
      </c>
      <c r="H205" s="3">
        <v>0</v>
      </c>
      <c r="I205" s="3">
        <v>0</v>
      </c>
      <c r="J205" s="1" t="s">
        <v>86</v>
      </c>
      <c r="K205" s="28"/>
      <c r="L205" s="28"/>
    </row>
    <row r="206" spans="1:12" s="2" customFormat="1" ht="24.95" customHeight="1" x14ac:dyDescent="0.25">
      <c r="A206" s="31" t="s">
        <v>605</v>
      </c>
      <c r="B206" s="1" t="s">
        <v>606</v>
      </c>
      <c r="C206" s="1" t="s">
        <v>607</v>
      </c>
      <c r="D206" s="1" t="s">
        <v>3</v>
      </c>
      <c r="E206" s="3">
        <v>5185.74</v>
      </c>
      <c r="F206" s="3">
        <v>3382.44</v>
      </c>
      <c r="G206" s="3">
        <v>0</v>
      </c>
      <c r="H206" s="3">
        <v>0</v>
      </c>
      <c r="I206" s="3">
        <v>0</v>
      </c>
      <c r="J206" s="1" t="s">
        <v>79</v>
      </c>
      <c r="K206" s="28"/>
      <c r="L206" s="28"/>
    </row>
    <row r="207" spans="1:12" s="2" customFormat="1" ht="24.95" customHeight="1" x14ac:dyDescent="0.25">
      <c r="A207" s="31" t="s">
        <v>608</v>
      </c>
      <c r="B207" s="1" t="s">
        <v>609</v>
      </c>
      <c r="C207" s="1" t="s">
        <v>610</v>
      </c>
      <c r="D207" s="1" t="s">
        <v>23</v>
      </c>
      <c r="E207" s="3">
        <v>0</v>
      </c>
      <c r="F207" s="3">
        <v>2205.56</v>
      </c>
      <c r="G207" s="3">
        <v>0</v>
      </c>
      <c r="H207" s="3">
        <v>0</v>
      </c>
      <c r="I207" s="3">
        <v>0</v>
      </c>
      <c r="J207" s="1" t="s">
        <v>93</v>
      </c>
      <c r="K207" s="28"/>
      <c r="L207" s="28"/>
    </row>
    <row r="208" spans="1:12" s="2" customFormat="1" ht="24.95" customHeight="1" x14ac:dyDescent="0.25">
      <c r="A208" s="31" t="s">
        <v>611</v>
      </c>
      <c r="B208" s="1" t="s">
        <v>612</v>
      </c>
      <c r="C208" s="1" t="s">
        <v>613</v>
      </c>
      <c r="D208" s="1" t="s">
        <v>13</v>
      </c>
      <c r="E208" s="3">
        <v>0</v>
      </c>
      <c r="F208" s="3">
        <v>0</v>
      </c>
      <c r="G208" s="3">
        <v>2454.15</v>
      </c>
      <c r="H208" s="3">
        <v>0</v>
      </c>
      <c r="I208" s="3">
        <v>7334.14</v>
      </c>
      <c r="J208" s="1" t="s">
        <v>14</v>
      </c>
      <c r="K208" s="28"/>
      <c r="L208" s="28"/>
    </row>
    <row r="209" spans="1:12"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c r="L209" s="28"/>
    </row>
    <row r="210" spans="1:12"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c r="L210" s="28"/>
    </row>
    <row r="211" spans="1:12"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c r="L211" s="28"/>
    </row>
    <row r="212" spans="1:12" s="2" customFormat="1" ht="24.95" customHeight="1" x14ac:dyDescent="0.25">
      <c r="A212" s="31" t="s">
        <v>623</v>
      </c>
      <c r="B212" s="1" t="s">
        <v>624</v>
      </c>
      <c r="C212" s="1" t="s">
        <v>625</v>
      </c>
      <c r="D212" s="1" t="s">
        <v>3</v>
      </c>
      <c r="E212" s="3">
        <v>0</v>
      </c>
      <c r="F212" s="3">
        <v>0</v>
      </c>
      <c r="G212" s="3">
        <v>1140.21</v>
      </c>
      <c r="H212" s="3">
        <v>0</v>
      </c>
      <c r="I212" s="3">
        <v>0</v>
      </c>
      <c r="J212" s="1" t="s">
        <v>37</v>
      </c>
      <c r="K212" s="28"/>
      <c r="L212" s="28"/>
    </row>
    <row r="213" spans="1:12" s="2" customFormat="1" ht="24.95" customHeight="1" x14ac:dyDescent="0.25">
      <c r="A213" s="31" t="s">
        <v>626</v>
      </c>
      <c r="B213" s="1" t="s">
        <v>627</v>
      </c>
      <c r="C213" s="1" t="s">
        <v>628</v>
      </c>
      <c r="D213" s="1" t="s">
        <v>18</v>
      </c>
      <c r="E213" s="3">
        <v>0</v>
      </c>
      <c r="F213" s="3">
        <v>0</v>
      </c>
      <c r="G213" s="3">
        <v>582.27</v>
      </c>
      <c r="H213" s="3">
        <v>0</v>
      </c>
      <c r="I213" s="3">
        <v>14963.37</v>
      </c>
      <c r="J213" s="1" t="s">
        <v>9</v>
      </c>
      <c r="K213" s="28"/>
      <c r="L213" s="28"/>
    </row>
    <row r="214" spans="1:12" s="2" customFormat="1" ht="24.95" customHeight="1" x14ac:dyDescent="0.25">
      <c r="A214" s="31" t="s">
        <v>629</v>
      </c>
      <c r="B214" s="1" t="s">
        <v>630</v>
      </c>
      <c r="C214" s="1" t="s">
        <v>631</v>
      </c>
      <c r="D214" s="1" t="s">
        <v>13</v>
      </c>
      <c r="E214" s="3">
        <v>1571.43</v>
      </c>
      <c r="F214" s="3">
        <v>0</v>
      </c>
      <c r="G214" s="3">
        <v>0</v>
      </c>
      <c r="H214" s="3">
        <v>0</v>
      </c>
      <c r="I214" s="3">
        <v>7755.02</v>
      </c>
      <c r="J214" s="1" t="s">
        <v>48</v>
      </c>
      <c r="K214" s="28"/>
      <c r="L214" s="28"/>
    </row>
    <row r="215" spans="1:12" s="2" customFormat="1" ht="24.95" customHeight="1" x14ac:dyDescent="0.25">
      <c r="A215" s="31" t="s">
        <v>632</v>
      </c>
      <c r="B215" s="1" t="s">
        <v>633</v>
      </c>
      <c r="C215" s="1" t="s">
        <v>634</v>
      </c>
      <c r="D215" s="1" t="s">
        <v>18</v>
      </c>
      <c r="E215" s="3">
        <v>982.3</v>
      </c>
      <c r="F215" s="3">
        <v>0</v>
      </c>
      <c r="G215" s="3">
        <v>1775.67</v>
      </c>
      <c r="H215" s="3">
        <v>3075.25</v>
      </c>
      <c r="I215" s="3">
        <v>0</v>
      </c>
      <c r="J215" s="1" t="s">
        <v>41</v>
      </c>
      <c r="K215" s="28"/>
      <c r="L215" s="28"/>
    </row>
    <row r="216" spans="1:12"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c r="L216" s="28"/>
    </row>
    <row r="217" spans="1:12" s="2" customFormat="1" ht="24.95" customHeight="1" x14ac:dyDescent="0.25">
      <c r="A217" s="31" t="s">
        <v>638</v>
      </c>
      <c r="B217" s="1" t="s">
        <v>639</v>
      </c>
      <c r="C217" s="1" t="s">
        <v>640</v>
      </c>
      <c r="D217" s="1" t="s">
        <v>18</v>
      </c>
      <c r="E217" s="3">
        <v>0</v>
      </c>
      <c r="F217" s="3">
        <v>0</v>
      </c>
      <c r="G217" s="3">
        <v>0</v>
      </c>
      <c r="H217" s="3">
        <v>11298.03</v>
      </c>
      <c r="I217" s="3">
        <v>0</v>
      </c>
      <c r="J217" s="1" t="s">
        <v>106</v>
      </c>
      <c r="K217" s="28"/>
      <c r="L217" s="28"/>
    </row>
    <row r="218" spans="1:12" s="2" customFormat="1" ht="24.95" customHeight="1" x14ac:dyDescent="0.25">
      <c r="A218" s="31" t="s">
        <v>641</v>
      </c>
      <c r="B218" s="1" t="s">
        <v>642</v>
      </c>
      <c r="C218" s="1" t="s">
        <v>643</v>
      </c>
      <c r="D218" s="1" t="s">
        <v>23</v>
      </c>
      <c r="E218" s="3">
        <v>0</v>
      </c>
      <c r="F218" s="3">
        <v>0</v>
      </c>
      <c r="G218" s="3">
        <v>0</v>
      </c>
      <c r="H218" s="3">
        <v>4025.92</v>
      </c>
      <c r="I218" s="3">
        <v>3033.39</v>
      </c>
      <c r="J218" s="1" t="s">
        <v>86</v>
      </c>
      <c r="K218" s="28"/>
      <c r="L218" s="28"/>
    </row>
    <row r="219" spans="1:12"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c r="L219" s="28"/>
    </row>
    <row r="220" spans="1:12" s="2" customFormat="1" ht="24.95" customHeight="1" x14ac:dyDescent="0.25">
      <c r="A220" s="31" t="s">
        <v>647</v>
      </c>
      <c r="B220" s="1" t="s">
        <v>648</v>
      </c>
      <c r="C220" s="1" t="s">
        <v>649</v>
      </c>
      <c r="D220" s="1" t="s">
        <v>13</v>
      </c>
      <c r="E220" s="3">
        <v>3799.65</v>
      </c>
      <c r="F220" s="3">
        <v>0</v>
      </c>
      <c r="G220" s="3">
        <v>653.04</v>
      </c>
      <c r="H220" s="3">
        <v>0</v>
      </c>
      <c r="I220" s="3">
        <v>7225.89</v>
      </c>
      <c r="J220" s="1" t="s">
        <v>4</v>
      </c>
      <c r="K220" s="28"/>
      <c r="L220" s="28"/>
    </row>
    <row r="221" spans="1:12" s="2" customFormat="1" ht="24.95" customHeight="1" x14ac:dyDescent="0.25">
      <c r="A221" s="31" t="s">
        <v>650</v>
      </c>
      <c r="B221" s="1" t="s">
        <v>651</v>
      </c>
      <c r="C221" s="1" t="s">
        <v>652</v>
      </c>
      <c r="D221" s="1" t="s">
        <v>23</v>
      </c>
      <c r="E221" s="3">
        <v>0</v>
      </c>
      <c r="F221" s="3">
        <v>2472.61</v>
      </c>
      <c r="G221" s="3">
        <v>2356.61</v>
      </c>
      <c r="H221" s="3">
        <v>11733.99</v>
      </c>
      <c r="I221" s="3">
        <v>0</v>
      </c>
      <c r="J221" s="1" t="s">
        <v>41</v>
      </c>
      <c r="K221" s="28"/>
      <c r="L221" s="28"/>
    </row>
    <row r="222" spans="1:12" s="2" customFormat="1" ht="24.95" customHeight="1" x14ac:dyDescent="0.25">
      <c r="A222" s="31" t="s">
        <v>653</v>
      </c>
      <c r="B222" s="1" t="s">
        <v>654</v>
      </c>
      <c r="C222" s="1" t="s">
        <v>655</v>
      </c>
      <c r="D222" s="1" t="s">
        <v>3027</v>
      </c>
      <c r="E222" s="3">
        <v>467.74</v>
      </c>
      <c r="F222" s="3">
        <v>4041.77</v>
      </c>
      <c r="G222" s="3">
        <v>0</v>
      </c>
      <c r="H222" s="3">
        <v>0</v>
      </c>
      <c r="I222" s="3">
        <v>0</v>
      </c>
      <c r="J222" s="1" t="s">
        <v>79</v>
      </c>
      <c r="K222" s="28"/>
      <c r="L222" s="28"/>
    </row>
    <row r="223" spans="1:12" s="2" customFormat="1" ht="24.95" customHeight="1" x14ac:dyDescent="0.25">
      <c r="A223" s="31" t="s">
        <v>656</v>
      </c>
      <c r="B223" s="1" t="s">
        <v>657</v>
      </c>
      <c r="C223" s="1" t="s">
        <v>658</v>
      </c>
      <c r="D223" s="1" t="s">
        <v>3027</v>
      </c>
      <c r="E223" s="3">
        <v>7654.93</v>
      </c>
      <c r="F223" s="3">
        <v>0</v>
      </c>
      <c r="G223" s="3">
        <v>1361.21</v>
      </c>
      <c r="H223" s="3">
        <v>0</v>
      </c>
      <c r="I223" s="3">
        <v>0</v>
      </c>
      <c r="J223" s="1" t="s">
        <v>19</v>
      </c>
      <c r="K223" s="28"/>
      <c r="L223" s="28"/>
    </row>
    <row r="224" spans="1:12"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c r="L224" s="28"/>
    </row>
    <row r="225" spans="1:12" s="2" customFormat="1" ht="24.95" customHeight="1" x14ac:dyDescent="0.25">
      <c r="A225" s="31" t="s">
        <v>662</v>
      </c>
      <c r="B225" s="1" t="s">
        <v>663</v>
      </c>
      <c r="C225" s="1" t="s">
        <v>664</v>
      </c>
      <c r="D225" s="1" t="s">
        <v>13</v>
      </c>
      <c r="E225" s="3">
        <v>0</v>
      </c>
      <c r="F225" s="3">
        <v>3474.41</v>
      </c>
      <c r="G225" s="3">
        <v>0</v>
      </c>
      <c r="H225" s="3">
        <v>0</v>
      </c>
      <c r="I225" s="3">
        <v>0</v>
      </c>
      <c r="J225" s="1" t="s">
        <v>79</v>
      </c>
      <c r="K225" s="28"/>
      <c r="L225" s="28"/>
    </row>
    <row r="226" spans="1:12"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c r="L226" s="28"/>
    </row>
    <row r="227" spans="1:12" s="2" customFormat="1" ht="24.95" customHeight="1" x14ac:dyDescent="0.25">
      <c r="A227" s="31" t="s">
        <v>668</v>
      </c>
      <c r="B227" s="1" t="s">
        <v>669</v>
      </c>
      <c r="C227" s="1" t="s">
        <v>670</v>
      </c>
      <c r="D227" s="1" t="s">
        <v>8</v>
      </c>
      <c r="E227" s="3">
        <v>0</v>
      </c>
      <c r="F227" s="3">
        <v>0</v>
      </c>
      <c r="G227" s="3">
        <v>810.75</v>
      </c>
      <c r="H227" s="3">
        <v>9222.59</v>
      </c>
      <c r="I227" s="3">
        <v>0</v>
      </c>
      <c r="J227" s="1" t="s">
        <v>9</v>
      </c>
      <c r="K227" s="28"/>
      <c r="L227" s="28"/>
    </row>
    <row r="228" spans="1:12"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c r="L228" s="28"/>
    </row>
    <row r="229" spans="1:12"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c r="L229" s="28"/>
    </row>
    <row r="230" spans="1:12" s="2" customFormat="1" ht="24.95" customHeight="1" x14ac:dyDescent="0.25">
      <c r="A230" s="31" t="s">
        <v>677</v>
      </c>
      <c r="B230" s="1" t="s">
        <v>678</v>
      </c>
      <c r="C230" s="1" t="s">
        <v>679</v>
      </c>
      <c r="D230" s="1" t="s">
        <v>3</v>
      </c>
      <c r="E230" s="3">
        <v>963.24</v>
      </c>
      <c r="F230" s="3">
        <v>0</v>
      </c>
      <c r="G230" s="3">
        <v>0</v>
      </c>
      <c r="H230" s="3">
        <v>3999.62</v>
      </c>
      <c r="I230" s="3">
        <v>0</v>
      </c>
      <c r="J230" s="1" t="s">
        <v>86</v>
      </c>
      <c r="K230" s="28"/>
      <c r="L230" s="28"/>
    </row>
    <row r="231" spans="1:12" s="2" customFormat="1" ht="24.95" customHeight="1" x14ac:dyDescent="0.25">
      <c r="A231" s="31" t="s">
        <v>680</v>
      </c>
      <c r="B231" s="1" t="s">
        <v>681</v>
      </c>
      <c r="C231" s="1" t="s">
        <v>682</v>
      </c>
      <c r="D231" s="1" t="s">
        <v>8</v>
      </c>
      <c r="E231" s="3">
        <v>6972.65</v>
      </c>
      <c r="F231" s="3">
        <v>0</v>
      </c>
      <c r="G231" s="3">
        <v>0</v>
      </c>
      <c r="H231" s="3">
        <v>7920.22</v>
      </c>
      <c r="I231" s="3">
        <v>0</v>
      </c>
      <c r="J231" s="1" t="s">
        <v>79</v>
      </c>
      <c r="K231" s="28"/>
      <c r="L231" s="28"/>
    </row>
    <row r="232" spans="1:12" s="2" customFormat="1" ht="24.95" customHeight="1" x14ac:dyDescent="0.25">
      <c r="A232" s="31" t="s">
        <v>683</v>
      </c>
      <c r="B232" s="1" t="s">
        <v>684</v>
      </c>
      <c r="C232" s="1" t="s">
        <v>685</v>
      </c>
      <c r="D232" s="1" t="s">
        <v>3</v>
      </c>
      <c r="E232" s="3">
        <v>6938.71</v>
      </c>
      <c r="F232" s="3">
        <v>0</v>
      </c>
      <c r="G232" s="3">
        <v>0</v>
      </c>
      <c r="H232" s="3">
        <v>4483.75</v>
      </c>
      <c r="I232" s="3">
        <v>9666.69</v>
      </c>
      <c r="J232" s="1" t="s">
        <v>37</v>
      </c>
      <c r="K232" s="28"/>
      <c r="L232" s="28"/>
    </row>
    <row r="233" spans="1:12" s="2" customFormat="1" ht="24.95" customHeight="1" x14ac:dyDescent="0.25">
      <c r="A233" s="31" t="s">
        <v>686</v>
      </c>
      <c r="B233" s="1" t="s">
        <v>687</v>
      </c>
      <c r="C233" s="1" t="s">
        <v>688</v>
      </c>
      <c r="D233" s="1" t="s">
        <v>23</v>
      </c>
      <c r="E233" s="3">
        <v>2258.8000000000002</v>
      </c>
      <c r="F233" s="3">
        <v>0</v>
      </c>
      <c r="G233" s="3">
        <v>0</v>
      </c>
      <c r="H233" s="3">
        <v>0</v>
      </c>
      <c r="I233" s="3">
        <v>0</v>
      </c>
      <c r="J233" s="1" t="s">
        <v>86</v>
      </c>
      <c r="K233" s="28"/>
      <c r="L233" s="28"/>
    </row>
    <row r="234" spans="1:12" s="2" customFormat="1" ht="24.95" customHeight="1" x14ac:dyDescent="0.25">
      <c r="A234" s="31" t="s">
        <v>689</v>
      </c>
      <c r="B234" s="1" t="s">
        <v>690</v>
      </c>
      <c r="C234" s="1" t="s">
        <v>691</v>
      </c>
      <c r="D234" s="1" t="s">
        <v>3</v>
      </c>
      <c r="E234" s="3">
        <v>0</v>
      </c>
      <c r="F234" s="3">
        <v>4060.98</v>
      </c>
      <c r="G234" s="3">
        <v>0</v>
      </c>
      <c r="H234" s="3">
        <v>503.94</v>
      </c>
      <c r="I234" s="3">
        <v>0</v>
      </c>
      <c r="J234" s="1" t="s">
        <v>14</v>
      </c>
      <c r="K234" s="28"/>
      <c r="L234" s="28"/>
    </row>
    <row r="235" spans="1:12"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c r="L235" s="28"/>
    </row>
    <row r="236" spans="1:12"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c r="L236" s="28"/>
    </row>
    <row r="237" spans="1:12" s="2" customFormat="1" ht="24.95" customHeight="1" x14ac:dyDescent="0.25">
      <c r="A237" s="31" t="s">
        <v>698</v>
      </c>
      <c r="B237" s="1" t="s">
        <v>699</v>
      </c>
      <c r="C237" s="1" t="s">
        <v>700</v>
      </c>
      <c r="D237" s="1" t="s">
        <v>18</v>
      </c>
      <c r="E237" s="3">
        <v>2898.88</v>
      </c>
      <c r="F237" s="3">
        <v>1883.61</v>
      </c>
      <c r="G237" s="3">
        <v>0</v>
      </c>
      <c r="H237" s="3">
        <v>0</v>
      </c>
      <c r="I237" s="3">
        <v>12966.2</v>
      </c>
      <c r="J237" s="1" t="s">
        <v>19</v>
      </c>
      <c r="K237" s="28"/>
      <c r="L237" s="28"/>
    </row>
    <row r="238" spans="1:12" s="2" customFormat="1" ht="24.95" customHeight="1" x14ac:dyDescent="0.25">
      <c r="A238" s="31" t="s">
        <v>701</v>
      </c>
      <c r="B238" s="1" t="s">
        <v>702</v>
      </c>
      <c r="C238" s="1" t="s">
        <v>703</v>
      </c>
      <c r="D238" s="1" t="s">
        <v>3027</v>
      </c>
      <c r="E238" s="3">
        <v>0</v>
      </c>
      <c r="F238" s="3">
        <v>0</v>
      </c>
      <c r="G238" s="3">
        <v>0</v>
      </c>
      <c r="H238" s="3">
        <v>1136.01</v>
      </c>
      <c r="I238" s="3">
        <v>0</v>
      </c>
      <c r="J238" s="1" t="s">
        <v>4</v>
      </c>
      <c r="K238" s="28"/>
      <c r="L238" s="28"/>
    </row>
    <row r="239" spans="1:12" s="2" customFormat="1" ht="24.95" customHeight="1" x14ac:dyDescent="0.25">
      <c r="A239" s="31" t="s">
        <v>704</v>
      </c>
      <c r="B239" s="1" t="s">
        <v>705</v>
      </c>
      <c r="C239" s="1" t="s">
        <v>706</v>
      </c>
      <c r="D239" s="1" t="s">
        <v>18</v>
      </c>
      <c r="E239" s="3">
        <v>7024.3</v>
      </c>
      <c r="F239" s="3">
        <v>3702.13</v>
      </c>
      <c r="G239" s="3">
        <v>1848.24</v>
      </c>
      <c r="H239" s="3">
        <v>0</v>
      </c>
      <c r="I239" s="3">
        <v>0</v>
      </c>
      <c r="J239" s="1" t="s">
        <v>4</v>
      </c>
      <c r="K239" s="28"/>
      <c r="L239" s="28"/>
    </row>
    <row r="240" spans="1:12" s="2" customFormat="1" ht="24.95" customHeight="1" x14ac:dyDescent="0.25">
      <c r="A240" s="31" t="s">
        <v>707</v>
      </c>
      <c r="B240" s="1" t="s">
        <v>708</v>
      </c>
      <c r="C240" s="1" t="s">
        <v>709</v>
      </c>
      <c r="D240" s="1" t="s">
        <v>3027</v>
      </c>
      <c r="E240" s="3">
        <v>0</v>
      </c>
      <c r="F240" s="3">
        <v>0</v>
      </c>
      <c r="G240" s="3">
        <v>364.38</v>
      </c>
      <c r="H240" s="3">
        <v>8379.5</v>
      </c>
      <c r="I240" s="3">
        <v>4345.96</v>
      </c>
      <c r="J240" s="1" t="s">
        <v>106</v>
      </c>
      <c r="K240" s="28"/>
      <c r="L240" s="28"/>
    </row>
    <row r="241" spans="1:12"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c r="L241" s="28"/>
    </row>
    <row r="242" spans="1:12"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c r="L242" s="28"/>
    </row>
    <row r="243" spans="1:12" s="2" customFormat="1" ht="24.95" customHeight="1" x14ac:dyDescent="0.25">
      <c r="A243" s="31" t="s">
        <v>716</v>
      </c>
      <c r="B243" s="1" t="s">
        <v>717</v>
      </c>
      <c r="C243" s="1" t="s">
        <v>718</v>
      </c>
      <c r="D243" s="1" t="s">
        <v>8</v>
      </c>
      <c r="E243" s="3">
        <v>0</v>
      </c>
      <c r="F243" s="3">
        <v>3816.99</v>
      </c>
      <c r="G243" s="3">
        <v>0</v>
      </c>
      <c r="H243" s="3">
        <v>11869.7</v>
      </c>
      <c r="I243" s="3">
        <v>604.11</v>
      </c>
      <c r="J243" s="1" t="s">
        <v>14</v>
      </c>
      <c r="K243" s="28"/>
      <c r="L243" s="28"/>
    </row>
    <row r="244" spans="1:12" s="2" customFormat="1" ht="24.95" customHeight="1" x14ac:dyDescent="0.25">
      <c r="A244" s="31" t="s">
        <v>719</v>
      </c>
      <c r="B244" s="1" t="s">
        <v>720</v>
      </c>
      <c r="C244" s="1" t="s">
        <v>721</v>
      </c>
      <c r="D244" s="1" t="s">
        <v>3027</v>
      </c>
      <c r="E244" s="3">
        <v>867.66</v>
      </c>
      <c r="F244" s="3">
        <v>3048.06</v>
      </c>
      <c r="G244" s="3">
        <v>1082.08</v>
      </c>
      <c r="H244" s="3">
        <v>0</v>
      </c>
      <c r="I244" s="3">
        <v>0</v>
      </c>
      <c r="J244" s="1" t="s">
        <v>24</v>
      </c>
      <c r="K244" s="28"/>
      <c r="L244" s="28"/>
    </row>
    <row r="245" spans="1:12"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c r="L245" s="28"/>
    </row>
    <row r="246" spans="1:12" s="2" customFormat="1" ht="24.95" customHeight="1" x14ac:dyDescent="0.25">
      <c r="A246" s="31" t="s">
        <v>725</v>
      </c>
      <c r="B246" s="1" t="s">
        <v>726</v>
      </c>
      <c r="C246" s="1" t="s">
        <v>727</v>
      </c>
      <c r="D246" s="1" t="s">
        <v>13</v>
      </c>
      <c r="E246" s="3">
        <v>4989.38</v>
      </c>
      <c r="F246" s="3">
        <v>1485.51</v>
      </c>
      <c r="G246" s="3">
        <v>0</v>
      </c>
      <c r="H246" s="3">
        <v>9030.82</v>
      </c>
      <c r="I246" s="3">
        <v>0</v>
      </c>
      <c r="J246" s="1" t="s">
        <v>79</v>
      </c>
      <c r="K246" s="28"/>
      <c r="L246" s="28"/>
    </row>
    <row r="247" spans="1:12"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c r="L247" s="28"/>
    </row>
    <row r="248" spans="1:12" s="2" customFormat="1" ht="24.95" customHeight="1" x14ac:dyDescent="0.25">
      <c r="A248" s="31" t="s">
        <v>731</v>
      </c>
      <c r="B248" s="1" t="s">
        <v>732</v>
      </c>
      <c r="C248" s="1" t="s">
        <v>733</v>
      </c>
      <c r="D248" s="1" t="s">
        <v>23</v>
      </c>
      <c r="E248" s="3">
        <v>3931.43</v>
      </c>
      <c r="F248" s="3">
        <v>0</v>
      </c>
      <c r="G248" s="3">
        <v>0</v>
      </c>
      <c r="H248" s="3">
        <v>7660.73</v>
      </c>
      <c r="I248" s="3">
        <v>14863.04</v>
      </c>
      <c r="J248" s="1" t="s">
        <v>86</v>
      </c>
      <c r="K248" s="28"/>
      <c r="L248" s="28"/>
    </row>
    <row r="249" spans="1:12" s="2" customFormat="1" ht="24.95" customHeight="1" x14ac:dyDescent="0.25">
      <c r="A249" s="31" t="s">
        <v>734</v>
      </c>
      <c r="B249" s="1" t="s">
        <v>735</v>
      </c>
      <c r="C249" s="1" t="s">
        <v>736</v>
      </c>
      <c r="D249" s="1" t="s">
        <v>8</v>
      </c>
      <c r="E249" s="3">
        <v>0</v>
      </c>
      <c r="F249" s="3">
        <v>0</v>
      </c>
      <c r="G249" s="3">
        <v>0</v>
      </c>
      <c r="H249" s="3">
        <v>0</v>
      </c>
      <c r="I249" s="3">
        <v>7152.49</v>
      </c>
      <c r="J249" s="1" t="s">
        <v>37</v>
      </c>
      <c r="K249" s="28"/>
      <c r="L249" s="28"/>
    </row>
    <row r="250" spans="1:12" s="2" customFormat="1" ht="24.95" customHeight="1" x14ac:dyDescent="0.25">
      <c r="A250" s="31" t="s">
        <v>737</v>
      </c>
      <c r="B250" s="1" t="s">
        <v>738</v>
      </c>
      <c r="C250" s="1" t="s">
        <v>739</v>
      </c>
      <c r="D250" s="1" t="s">
        <v>3027</v>
      </c>
      <c r="E250" s="3">
        <v>0</v>
      </c>
      <c r="F250" s="3">
        <v>0</v>
      </c>
      <c r="G250" s="3">
        <v>1771.34</v>
      </c>
      <c r="H250" s="3">
        <v>9391.42</v>
      </c>
      <c r="I250" s="3">
        <v>0</v>
      </c>
      <c r="J250" s="1" t="s">
        <v>24</v>
      </c>
      <c r="K250" s="28"/>
      <c r="L250" s="28"/>
    </row>
    <row r="251" spans="1:12" s="2" customFormat="1" ht="24.95" customHeight="1" x14ac:dyDescent="0.25">
      <c r="A251" s="31" t="s">
        <v>740</v>
      </c>
      <c r="B251" s="1" t="s">
        <v>741</v>
      </c>
      <c r="C251" s="1" t="s">
        <v>742</v>
      </c>
      <c r="D251" s="1" t="s">
        <v>18</v>
      </c>
      <c r="E251" s="3">
        <v>0</v>
      </c>
      <c r="F251" s="3">
        <v>4527.84</v>
      </c>
      <c r="G251" s="3">
        <v>0</v>
      </c>
      <c r="H251" s="3">
        <v>0</v>
      </c>
      <c r="I251" s="3">
        <v>12944.24</v>
      </c>
      <c r="J251" s="1" t="s">
        <v>48</v>
      </c>
      <c r="K251" s="28"/>
      <c r="L251" s="28"/>
    </row>
    <row r="252" spans="1:12"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c r="L252" s="28"/>
    </row>
    <row r="253" spans="1:12" s="2" customFormat="1" ht="24.95" customHeight="1" x14ac:dyDescent="0.25">
      <c r="A253" s="31" t="s">
        <v>746</v>
      </c>
      <c r="B253" s="1" t="s">
        <v>747</v>
      </c>
      <c r="C253" s="1" t="s">
        <v>748</v>
      </c>
      <c r="D253" s="1" t="s">
        <v>3027</v>
      </c>
      <c r="E253" s="3">
        <v>0</v>
      </c>
      <c r="F253" s="3">
        <v>3293.01</v>
      </c>
      <c r="G253" s="3">
        <v>0</v>
      </c>
      <c r="H253" s="3">
        <v>0</v>
      </c>
      <c r="I253" s="3">
        <v>0</v>
      </c>
      <c r="J253" s="1" t="s">
        <v>106</v>
      </c>
      <c r="K253" s="28"/>
      <c r="L253" s="28"/>
    </row>
    <row r="254" spans="1:12"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c r="L254" s="28"/>
    </row>
    <row r="255" spans="1:12" s="2" customFormat="1" ht="24.95" customHeight="1" x14ac:dyDescent="0.25">
      <c r="A255" s="31" t="s">
        <v>752</v>
      </c>
      <c r="B255" s="1" t="s">
        <v>753</v>
      </c>
      <c r="C255" s="1" t="s">
        <v>754</v>
      </c>
      <c r="D255" s="1" t="s">
        <v>8</v>
      </c>
      <c r="E255" s="3">
        <v>5847.65</v>
      </c>
      <c r="F255" s="3">
        <v>4060.73</v>
      </c>
      <c r="G255" s="3">
        <v>0</v>
      </c>
      <c r="H255" s="3">
        <v>0</v>
      </c>
      <c r="I255" s="3">
        <v>8112.32</v>
      </c>
      <c r="J255" s="1" t="s">
        <v>24</v>
      </c>
      <c r="K255" s="28"/>
      <c r="L255" s="28"/>
    </row>
    <row r="256" spans="1:12" s="2" customFormat="1" ht="24.95" customHeight="1" x14ac:dyDescent="0.25">
      <c r="A256" s="31" t="s">
        <v>755</v>
      </c>
      <c r="B256" s="1" t="s">
        <v>756</v>
      </c>
      <c r="C256" s="1" t="s">
        <v>757</v>
      </c>
      <c r="D256" s="1" t="s">
        <v>8</v>
      </c>
      <c r="E256" s="3">
        <v>444.1</v>
      </c>
      <c r="F256" s="3">
        <v>0</v>
      </c>
      <c r="G256" s="3">
        <v>1741.16</v>
      </c>
      <c r="H256" s="3">
        <v>1180.55</v>
      </c>
      <c r="I256" s="3">
        <v>0</v>
      </c>
      <c r="J256" s="1" t="s">
        <v>79</v>
      </c>
      <c r="K256" s="28"/>
      <c r="L256" s="28"/>
    </row>
    <row r="257" spans="1:12"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c r="L257" s="28"/>
    </row>
    <row r="258" spans="1:12" s="2" customFormat="1" ht="24.95" customHeight="1" x14ac:dyDescent="0.25">
      <c r="A258" s="31" t="s">
        <v>761</v>
      </c>
      <c r="B258" s="1" t="s">
        <v>762</v>
      </c>
      <c r="C258" s="1" t="s">
        <v>763</v>
      </c>
      <c r="D258" s="1" t="s">
        <v>23</v>
      </c>
      <c r="E258" s="3">
        <v>0</v>
      </c>
      <c r="F258" s="3">
        <v>0</v>
      </c>
      <c r="G258" s="3">
        <v>0</v>
      </c>
      <c r="H258" s="3">
        <v>2370.09</v>
      </c>
      <c r="I258" s="3">
        <v>13419.91</v>
      </c>
      <c r="J258" s="1" t="s">
        <v>24</v>
      </c>
      <c r="K258" s="28"/>
      <c r="L258" s="28"/>
    </row>
    <row r="259" spans="1:12" s="2" customFormat="1" ht="24.95" customHeight="1" x14ac:dyDescent="0.25">
      <c r="A259" s="31" t="s">
        <v>764</v>
      </c>
      <c r="B259" s="1" t="s">
        <v>765</v>
      </c>
      <c r="C259" s="1" t="s">
        <v>766</v>
      </c>
      <c r="D259" s="1" t="s">
        <v>8</v>
      </c>
      <c r="E259" s="3">
        <v>0</v>
      </c>
      <c r="F259" s="3">
        <v>0</v>
      </c>
      <c r="G259" s="3">
        <v>0</v>
      </c>
      <c r="H259" s="3">
        <v>0</v>
      </c>
      <c r="I259" s="3">
        <v>1787.31</v>
      </c>
      <c r="J259" s="1" t="s">
        <v>9</v>
      </c>
      <c r="K259" s="28"/>
      <c r="L259" s="28"/>
    </row>
    <row r="260" spans="1:12" s="2" customFormat="1" ht="24.95" customHeight="1" x14ac:dyDescent="0.25">
      <c r="A260" s="31" t="s">
        <v>767</v>
      </c>
      <c r="B260" s="1" t="s">
        <v>768</v>
      </c>
      <c r="C260" s="1" t="s">
        <v>769</v>
      </c>
      <c r="D260" s="1" t="s">
        <v>18</v>
      </c>
      <c r="E260" s="3">
        <v>4339.79</v>
      </c>
      <c r="F260" s="3">
        <v>0</v>
      </c>
      <c r="G260" s="3">
        <v>0</v>
      </c>
      <c r="H260" s="3">
        <v>2685.88</v>
      </c>
      <c r="I260" s="3">
        <v>0</v>
      </c>
      <c r="J260" s="1" t="s">
        <v>14</v>
      </c>
      <c r="K260" s="28"/>
      <c r="L260" s="28"/>
    </row>
    <row r="261" spans="1:12" s="2" customFormat="1" ht="24.95" customHeight="1" x14ac:dyDescent="0.25">
      <c r="A261" s="31" t="s">
        <v>770</v>
      </c>
      <c r="B261" s="1" t="s">
        <v>771</v>
      </c>
      <c r="C261" s="1" t="s">
        <v>772</v>
      </c>
      <c r="D261" s="1" t="s">
        <v>8</v>
      </c>
      <c r="E261" s="3">
        <v>395.18</v>
      </c>
      <c r="F261" s="3">
        <v>0</v>
      </c>
      <c r="G261" s="3">
        <v>2471.71</v>
      </c>
      <c r="H261" s="3">
        <v>0</v>
      </c>
      <c r="I261" s="3">
        <v>0</v>
      </c>
      <c r="J261" s="1" t="s">
        <v>79</v>
      </c>
      <c r="K261" s="28"/>
      <c r="L261" s="28"/>
    </row>
    <row r="262" spans="1:12"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c r="L262" s="28"/>
    </row>
    <row r="263" spans="1:12"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c r="L263" s="28"/>
    </row>
    <row r="264" spans="1:12" s="2" customFormat="1" ht="24.95" customHeight="1" x14ac:dyDescent="0.25">
      <c r="A264" s="31" t="s">
        <v>779</v>
      </c>
      <c r="B264" s="1" t="s">
        <v>780</v>
      </c>
      <c r="C264" s="1" t="s">
        <v>781</v>
      </c>
      <c r="D264" s="1" t="s">
        <v>8</v>
      </c>
      <c r="E264" s="3">
        <v>0</v>
      </c>
      <c r="F264" s="3">
        <v>0</v>
      </c>
      <c r="G264" s="3">
        <v>0</v>
      </c>
      <c r="H264" s="3">
        <v>0</v>
      </c>
      <c r="I264" s="3">
        <v>211.38</v>
      </c>
      <c r="J264" s="1" t="s">
        <v>14</v>
      </c>
      <c r="K264" s="28"/>
      <c r="L264" s="28"/>
    </row>
    <row r="265" spans="1:12" s="2" customFormat="1" ht="24.95" customHeight="1" x14ac:dyDescent="0.25">
      <c r="A265" s="31" t="s">
        <v>782</v>
      </c>
      <c r="B265" s="1" t="s">
        <v>783</v>
      </c>
      <c r="C265" s="1" t="s">
        <v>784</v>
      </c>
      <c r="D265" s="1" t="s">
        <v>3</v>
      </c>
      <c r="E265" s="3">
        <v>0</v>
      </c>
      <c r="F265" s="3">
        <v>686.72</v>
      </c>
      <c r="G265" s="3">
        <v>1260.82</v>
      </c>
      <c r="H265" s="3">
        <v>0</v>
      </c>
      <c r="I265" s="3">
        <v>0</v>
      </c>
      <c r="J265" s="1" t="s">
        <v>79</v>
      </c>
      <c r="K265" s="28"/>
      <c r="L265" s="28"/>
    </row>
    <row r="266" spans="1:12" s="2" customFormat="1" ht="24.95" customHeight="1" x14ac:dyDescent="0.25">
      <c r="A266" s="31" t="s">
        <v>785</v>
      </c>
      <c r="B266" s="1" t="s">
        <v>786</v>
      </c>
      <c r="C266" s="1" t="s">
        <v>787</v>
      </c>
      <c r="D266" s="1" t="s">
        <v>18</v>
      </c>
      <c r="E266" s="3">
        <v>1386.22</v>
      </c>
      <c r="F266" s="3">
        <v>0</v>
      </c>
      <c r="G266" s="3">
        <v>519.86</v>
      </c>
      <c r="H266" s="3">
        <v>0</v>
      </c>
      <c r="I266" s="3">
        <v>10386.75</v>
      </c>
      <c r="J266" s="1" t="s">
        <v>48</v>
      </c>
      <c r="K266" s="28"/>
      <c r="L266" s="28"/>
    </row>
    <row r="267" spans="1:12" s="2" customFormat="1" ht="24.95" customHeight="1" x14ac:dyDescent="0.25">
      <c r="A267" s="31" t="s">
        <v>788</v>
      </c>
      <c r="B267" s="1" t="s">
        <v>789</v>
      </c>
      <c r="C267" s="1" t="s">
        <v>790</v>
      </c>
      <c r="D267" s="1" t="s">
        <v>3</v>
      </c>
      <c r="E267" s="3">
        <v>0</v>
      </c>
      <c r="F267" s="3">
        <v>2932.84</v>
      </c>
      <c r="G267" s="3">
        <v>0</v>
      </c>
      <c r="H267" s="3">
        <v>728.03</v>
      </c>
      <c r="I267" s="3">
        <v>0</v>
      </c>
      <c r="J267" s="1" t="s">
        <v>93</v>
      </c>
      <c r="K267" s="28"/>
      <c r="L267" s="28"/>
    </row>
    <row r="268" spans="1:12" s="2" customFormat="1" ht="24.95" customHeight="1" x14ac:dyDescent="0.25">
      <c r="A268" s="31" t="s">
        <v>791</v>
      </c>
      <c r="B268" s="1" t="s">
        <v>792</v>
      </c>
      <c r="C268" s="1" t="s">
        <v>793</v>
      </c>
      <c r="D268" s="1" t="s">
        <v>3027</v>
      </c>
      <c r="E268" s="3">
        <v>245.62</v>
      </c>
      <c r="F268" s="3">
        <v>2956.79</v>
      </c>
      <c r="G268" s="3">
        <v>0</v>
      </c>
      <c r="H268" s="3">
        <v>0</v>
      </c>
      <c r="I268" s="3">
        <v>0</v>
      </c>
      <c r="J268" s="1" t="s">
        <v>37</v>
      </c>
      <c r="K268" s="28"/>
      <c r="L268" s="28"/>
    </row>
    <row r="269" spans="1:12"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c r="L269" s="28"/>
    </row>
    <row r="270" spans="1:12" s="2" customFormat="1" ht="24.95" customHeight="1" x14ac:dyDescent="0.25">
      <c r="A270" s="31" t="s">
        <v>797</v>
      </c>
      <c r="B270" s="1" t="s">
        <v>798</v>
      </c>
      <c r="C270" s="1" t="s">
        <v>799</v>
      </c>
      <c r="D270" s="1" t="s">
        <v>3</v>
      </c>
      <c r="E270" s="3">
        <v>1761.65</v>
      </c>
      <c r="F270" s="3">
        <v>0</v>
      </c>
      <c r="G270" s="3">
        <v>0</v>
      </c>
      <c r="H270" s="3">
        <v>0</v>
      </c>
      <c r="I270" s="3">
        <v>0</v>
      </c>
      <c r="J270" s="1" t="s">
        <v>24</v>
      </c>
      <c r="K270" s="28"/>
      <c r="L270" s="28"/>
    </row>
    <row r="271" spans="1:12"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c r="L271" s="28"/>
    </row>
    <row r="272" spans="1:12" s="2" customFormat="1" ht="24.95" customHeight="1" x14ac:dyDescent="0.25">
      <c r="A272" s="31" t="s">
        <v>803</v>
      </c>
      <c r="B272" s="1" t="s">
        <v>804</v>
      </c>
      <c r="C272" s="1" t="s">
        <v>805</v>
      </c>
      <c r="D272" s="1" t="s">
        <v>3027</v>
      </c>
      <c r="E272" s="3">
        <v>7172.52</v>
      </c>
      <c r="F272" s="3">
        <v>0</v>
      </c>
      <c r="G272" s="3">
        <v>0</v>
      </c>
      <c r="H272" s="3">
        <v>6729.84</v>
      </c>
      <c r="I272" s="3">
        <v>0</v>
      </c>
      <c r="J272" s="1" t="s">
        <v>9</v>
      </c>
      <c r="K272" s="28"/>
      <c r="L272" s="28"/>
    </row>
    <row r="273" spans="1:12" s="2" customFormat="1" ht="24.95" customHeight="1" x14ac:dyDescent="0.25">
      <c r="A273" s="31" t="s">
        <v>806</v>
      </c>
      <c r="B273" s="1" t="s">
        <v>807</v>
      </c>
      <c r="C273" s="1" t="s">
        <v>808</v>
      </c>
      <c r="D273" s="1" t="s">
        <v>3</v>
      </c>
      <c r="E273" s="3">
        <v>0</v>
      </c>
      <c r="F273" s="3">
        <v>3854.86</v>
      </c>
      <c r="G273" s="3">
        <v>0</v>
      </c>
      <c r="H273" s="3">
        <v>0</v>
      </c>
      <c r="I273" s="3">
        <v>0</v>
      </c>
      <c r="J273" s="1" t="s">
        <v>37</v>
      </c>
      <c r="K273" s="28"/>
      <c r="L273" s="28"/>
    </row>
    <row r="274" spans="1:12" s="2" customFormat="1" ht="24.95" customHeight="1" x14ac:dyDescent="0.25">
      <c r="A274" s="31" t="s">
        <v>809</v>
      </c>
      <c r="B274" s="1" t="s">
        <v>810</v>
      </c>
      <c r="C274" s="1" t="s">
        <v>811</v>
      </c>
      <c r="D274" s="1" t="s">
        <v>3027</v>
      </c>
      <c r="E274" s="3">
        <v>0</v>
      </c>
      <c r="F274" s="3">
        <v>0</v>
      </c>
      <c r="G274" s="3">
        <v>2591.66</v>
      </c>
      <c r="H274" s="3">
        <v>5034.68</v>
      </c>
      <c r="I274" s="3">
        <v>0</v>
      </c>
      <c r="J274" s="1" t="s">
        <v>9</v>
      </c>
      <c r="K274" s="28"/>
      <c r="L274" s="28"/>
    </row>
    <row r="275" spans="1:12"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c r="L275" s="28"/>
    </row>
    <row r="276" spans="1:12" s="2" customFormat="1" ht="24.95" customHeight="1" x14ac:dyDescent="0.25">
      <c r="A276" s="31" t="s">
        <v>815</v>
      </c>
      <c r="B276" s="1" t="s">
        <v>816</v>
      </c>
      <c r="C276" s="1" t="s">
        <v>817</v>
      </c>
      <c r="D276" s="1" t="s">
        <v>13</v>
      </c>
      <c r="E276" s="3">
        <v>0</v>
      </c>
      <c r="F276" s="3">
        <v>0</v>
      </c>
      <c r="G276" s="3">
        <v>1422.3</v>
      </c>
      <c r="H276" s="3">
        <v>0</v>
      </c>
      <c r="I276" s="3">
        <v>684.39</v>
      </c>
      <c r="J276" s="1" t="s">
        <v>37</v>
      </c>
      <c r="K276" s="28"/>
      <c r="L276" s="28"/>
    </row>
    <row r="277" spans="1:12" s="2" customFormat="1" ht="24.95" customHeight="1" x14ac:dyDescent="0.25">
      <c r="A277" s="31" t="s">
        <v>818</v>
      </c>
      <c r="B277" s="1" t="s">
        <v>819</v>
      </c>
      <c r="C277" s="1" t="s">
        <v>820</v>
      </c>
      <c r="D277" s="1" t="s">
        <v>23</v>
      </c>
      <c r="E277" s="3">
        <v>0</v>
      </c>
      <c r="F277" s="3">
        <v>0</v>
      </c>
      <c r="G277" s="3">
        <v>917.99</v>
      </c>
      <c r="H277" s="3">
        <v>0</v>
      </c>
      <c r="I277" s="3">
        <v>0</v>
      </c>
      <c r="J277" s="1" t="s">
        <v>4</v>
      </c>
      <c r="K277" s="28"/>
      <c r="L277" s="28"/>
    </row>
    <row r="278" spans="1:12" s="2" customFormat="1" ht="24.95" customHeight="1" x14ac:dyDescent="0.25">
      <c r="A278" s="31" t="s">
        <v>821</v>
      </c>
      <c r="B278" s="1" t="s">
        <v>822</v>
      </c>
      <c r="C278" s="1" t="s">
        <v>823</v>
      </c>
      <c r="D278" s="1" t="s">
        <v>3027</v>
      </c>
      <c r="E278" s="3">
        <v>0</v>
      </c>
      <c r="F278" s="3">
        <v>0</v>
      </c>
      <c r="G278" s="3">
        <v>888.31</v>
      </c>
      <c r="H278" s="3">
        <v>0</v>
      </c>
      <c r="I278" s="3">
        <v>0</v>
      </c>
      <c r="J278" s="1" t="s">
        <v>19</v>
      </c>
      <c r="K278" s="28"/>
      <c r="L278" s="28"/>
    </row>
    <row r="279" spans="1:12" s="2" customFormat="1" ht="24.95" customHeight="1" x14ac:dyDescent="0.25">
      <c r="A279" s="31" t="s">
        <v>824</v>
      </c>
      <c r="B279" s="1" t="s">
        <v>825</v>
      </c>
      <c r="C279" s="1" t="s">
        <v>826</v>
      </c>
      <c r="D279" s="1" t="s">
        <v>3</v>
      </c>
      <c r="E279" s="3">
        <v>0</v>
      </c>
      <c r="F279" s="3">
        <v>0</v>
      </c>
      <c r="G279" s="3">
        <v>781.49</v>
      </c>
      <c r="H279" s="3">
        <v>0</v>
      </c>
      <c r="I279" s="3">
        <v>0</v>
      </c>
      <c r="J279" s="1" t="s">
        <v>41</v>
      </c>
      <c r="K279" s="28"/>
      <c r="L279" s="28"/>
    </row>
    <row r="280" spans="1:12"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c r="L280" s="28"/>
    </row>
    <row r="281" spans="1:12" s="2" customFormat="1" ht="24.95" customHeight="1" x14ac:dyDescent="0.25">
      <c r="A281" s="31" t="s">
        <v>830</v>
      </c>
      <c r="B281" s="1" t="s">
        <v>831</v>
      </c>
      <c r="C281" s="1" t="s">
        <v>832</v>
      </c>
      <c r="D281" s="1" t="s">
        <v>8</v>
      </c>
      <c r="E281" s="3">
        <v>3495.49</v>
      </c>
      <c r="F281" s="3">
        <v>1538.64</v>
      </c>
      <c r="G281" s="3">
        <v>0</v>
      </c>
      <c r="H281" s="3">
        <v>5554.7</v>
      </c>
      <c r="I281" s="3">
        <v>0</v>
      </c>
      <c r="J281" s="1" t="s">
        <v>19</v>
      </c>
      <c r="K281" s="28"/>
      <c r="L281" s="28"/>
    </row>
    <row r="282" spans="1:12" s="2" customFormat="1" ht="24.95" customHeight="1" x14ac:dyDescent="0.25">
      <c r="A282" s="31" t="s">
        <v>833</v>
      </c>
      <c r="B282" s="1" t="s">
        <v>834</v>
      </c>
      <c r="C282" s="1" t="s">
        <v>835</v>
      </c>
      <c r="D282" s="1" t="s">
        <v>3</v>
      </c>
      <c r="E282" s="3">
        <v>0</v>
      </c>
      <c r="F282" s="3">
        <v>0</v>
      </c>
      <c r="G282" s="3">
        <v>1754.43</v>
      </c>
      <c r="H282" s="3">
        <v>7933.32</v>
      </c>
      <c r="I282" s="3">
        <v>0</v>
      </c>
      <c r="J282" s="1" t="s">
        <v>41</v>
      </c>
      <c r="K282" s="28"/>
      <c r="L282" s="28"/>
    </row>
    <row r="283" spans="1:12"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c r="L283" s="28"/>
    </row>
    <row r="284" spans="1:12" s="2" customFormat="1" ht="24.95" customHeight="1" x14ac:dyDescent="0.25">
      <c r="A284" s="31" t="s">
        <v>839</v>
      </c>
      <c r="B284" s="1" t="s">
        <v>840</v>
      </c>
      <c r="C284" s="1" t="s">
        <v>841</v>
      </c>
      <c r="D284" s="1" t="s">
        <v>8</v>
      </c>
      <c r="E284" s="3">
        <v>0</v>
      </c>
      <c r="F284" s="3">
        <v>0</v>
      </c>
      <c r="G284" s="3">
        <v>235.13</v>
      </c>
      <c r="H284" s="3">
        <v>0</v>
      </c>
      <c r="I284" s="3">
        <v>0</v>
      </c>
      <c r="J284" s="1" t="s">
        <v>14</v>
      </c>
      <c r="K284" s="28"/>
      <c r="L284" s="28"/>
    </row>
    <row r="285" spans="1:12" s="2" customFormat="1" ht="24.95" customHeight="1" x14ac:dyDescent="0.25">
      <c r="A285" s="31" t="s">
        <v>842</v>
      </c>
      <c r="B285" s="1" t="s">
        <v>843</v>
      </c>
      <c r="C285" s="1" t="s">
        <v>844</v>
      </c>
      <c r="D285" s="1" t="s">
        <v>23</v>
      </c>
      <c r="E285" s="3">
        <v>0</v>
      </c>
      <c r="F285" s="3">
        <v>4414.17</v>
      </c>
      <c r="G285" s="3">
        <v>0</v>
      </c>
      <c r="H285" s="3">
        <v>0</v>
      </c>
      <c r="I285" s="3">
        <v>11758.79</v>
      </c>
      <c r="J285" s="1" t="s">
        <v>106</v>
      </c>
      <c r="K285" s="28"/>
      <c r="L285" s="28"/>
    </row>
    <row r="286" spans="1:12" s="2" customFormat="1" ht="24.95" customHeight="1" x14ac:dyDescent="0.25">
      <c r="A286" s="31" t="s">
        <v>845</v>
      </c>
      <c r="B286" s="1" t="s">
        <v>846</v>
      </c>
      <c r="C286" s="1" t="s">
        <v>847</v>
      </c>
      <c r="D286" s="1" t="s">
        <v>23</v>
      </c>
      <c r="E286" s="3">
        <v>0</v>
      </c>
      <c r="F286" s="3">
        <v>4762</v>
      </c>
      <c r="G286" s="3">
        <v>0</v>
      </c>
      <c r="H286" s="3">
        <v>0</v>
      </c>
      <c r="I286" s="3">
        <v>0</v>
      </c>
      <c r="J286" s="1" t="s">
        <v>41</v>
      </c>
      <c r="K286" s="28"/>
      <c r="L286" s="28"/>
    </row>
    <row r="287" spans="1:12" s="2" customFormat="1" ht="24.95" customHeight="1" x14ac:dyDescent="0.25">
      <c r="A287" s="31" t="s">
        <v>848</v>
      </c>
      <c r="B287" s="1" t="s">
        <v>849</v>
      </c>
      <c r="C287" s="1" t="s">
        <v>850</v>
      </c>
      <c r="D287" s="1" t="s">
        <v>8</v>
      </c>
      <c r="E287" s="3">
        <v>0</v>
      </c>
      <c r="F287" s="3">
        <v>0</v>
      </c>
      <c r="G287" s="3">
        <v>0</v>
      </c>
      <c r="H287" s="3">
        <v>0</v>
      </c>
      <c r="I287" s="3">
        <v>5502.46</v>
      </c>
      <c r="J287" s="1" t="s">
        <v>4</v>
      </c>
      <c r="K287" s="28"/>
      <c r="L287" s="28"/>
    </row>
    <row r="288" spans="1:12" s="2" customFormat="1" ht="24.95" customHeight="1" x14ac:dyDescent="0.25">
      <c r="A288" s="31" t="s">
        <v>851</v>
      </c>
      <c r="B288" s="1" t="s">
        <v>852</v>
      </c>
      <c r="C288" s="1" t="s">
        <v>853</v>
      </c>
      <c r="D288" s="1" t="s">
        <v>18</v>
      </c>
      <c r="E288" s="3">
        <v>0</v>
      </c>
      <c r="F288" s="3">
        <v>0</v>
      </c>
      <c r="G288" s="3">
        <v>308.69</v>
      </c>
      <c r="H288" s="3">
        <v>0</v>
      </c>
      <c r="I288" s="3">
        <v>11083.73</v>
      </c>
      <c r="J288" s="1" t="s">
        <v>9</v>
      </c>
      <c r="K288" s="28"/>
      <c r="L288" s="28"/>
    </row>
    <row r="289" spans="1:12" s="2" customFormat="1" ht="24.95" customHeight="1" x14ac:dyDescent="0.25">
      <c r="A289" s="31" t="s">
        <v>854</v>
      </c>
      <c r="B289" s="1" t="s">
        <v>855</v>
      </c>
      <c r="C289" s="1" t="s">
        <v>856</v>
      </c>
      <c r="D289" s="1" t="s">
        <v>8</v>
      </c>
      <c r="E289" s="3">
        <v>3202.08</v>
      </c>
      <c r="F289" s="3">
        <v>0</v>
      </c>
      <c r="G289" s="3">
        <v>1825.95</v>
      </c>
      <c r="H289" s="3">
        <v>6551.03</v>
      </c>
      <c r="I289" s="3">
        <v>0</v>
      </c>
      <c r="J289" s="1" t="s">
        <v>9</v>
      </c>
      <c r="K289" s="28"/>
      <c r="L289" s="28"/>
    </row>
    <row r="290" spans="1:12" s="2" customFormat="1" ht="24.95" customHeight="1" x14ac:dyDescent="0.25">
      <c r="A290" s="31" t="s">
        <v>857</v>
      </c>
      <c r="B290" s="1" t="s">
        <v>858</v>
      </c>
      <c r="C290" s="1" t="s">
        <v>859</v>
      </c>
      <c r="D290" s="1" t="s">
        <v>13</v>
      </c>
      <c r="E290" s="3">
        <v>0</v>
      </c>
      <c r="F290" s="3">
        <v>3419.6</v>
      </c>
      <c r="G290" s="3">
        <v>201.05</v>
      </c>
      <c r="H290" s="3">
        <v>0</v>
      </c>
      <c r="I290" s="3">
        <v>0</v>
      </c>
      <c r="J290" s="1" t="s">
        <v>37</v>
      </c>
      <c r="K290" s="28"/>
      <c r="L290" s="28"/>
    </row>
    <row r="291" spans="1:12"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c r="L291" s="28"/>
    </row>
    <row r="292" spans="1:12" s="2" customFormat="1" ht="24.95" customHeight="1" x14ac:dyDescent="0.25">
      <c r="A292" s="31" t="s">
        <v>863</v>
      </c>
      <c r="B292" s="1" t="s">
        <v>864</v>
      </c>
      <c r="C292" s="1" t="s">
        <v>865</v>
      </c>
      <c r="D292" s="1" t="s">
        <v>23</v>
      </c>
      <c r="E292" s="3">
        <v>0</v>
      </c>
      <c r="F292" s="3">
        <v>4025.36</v>
      </c>
      <c r="G292" s="3">
        <v>1606.95</v>
      </c>
      <c r="H292" s="3">
        <v>6594.21</v>
      </c>
      <c r="I292" s="3">
        <v>0</v>
      </c>
      <c r="J292" s="1" t="s">
        <v>4</v>
      </c>
      <c r="K292" s="28"/>
      <c r="L292" s="28"/>
    </row>
    <row r="293" spans="1:12" s="2" customFormat="1" ht="24.95" customHeight="1" x14ac:dyDescent="0.25">
      <c r="A293" s="31" t="s">
        <v>866</v>
      </c>
      <c r="B293" s="1" t="s">
        <v>867</v>
      </c>
      <c r="C293" s="1" t="s">
        <v>868</v>
      </c>
      <c r="D293" s="1" t="s">
        <v>8</v>
      </c>
      <c r="E293" s="3">
        <v>0</v>
      </c>
      <c r="F293" s="3">
        <v>2169.13</v>
      </c>
      <c r="G293" s="3">
        <v>1008.27</v>
      </c>
      <c r="H293" s="3">
        <v>0</v>
      </c>
      <c r="I293" s="3">
        <v>0</v>
      </c>
      <c r="J293" s="1" t="s">
        <v>86</v>
      </c>
      <c r="K293" s="28"/>
      <c r="L293" s="28"/>
    </row>
    <row r="294" spans="1:12" s="2" customFormat="1" ht="24.95" customHeight="1" x14ac:dyDescent="0.25">
      <c r="A294" s="31" t="s">
        <v>869</v>
      </c>
      <c r="B294" s="1" t="s">
        <v>870</v>
      </c>
      <c r="C294" s="1" t="s">
        <v>871</v>
      </c>
      <c r="D294" s="1" t="s">
        <v>18</v>
      </c>
      <c r="E294" s="3">
        <v>0</v>
      </c>
      <c r="F294" s="3">
        <v>4025.12</v>
      </c>
      <c r="G294" s="3">
        <v>0</v>
      </c>
      <c r="H294" s="3">
        <v>0</v>
      </c>
      <c r="I294" s="3">
        <v>0</v>
      </c>
      <c r="J294" s="1" t="s">
        <v>4</v>
      </c>
      <c r="K294" s="28"/>
      <c r="L294" s="28"/>
    </row>
    <row r="295" spans="1:12" s="2" customFormat="1" ht="24.95" customHeight="1" x14ac:dyDescent="0.25">
      <c r="A295" s="31" t="s">
        <v>872</v>
      </c>
      <c r="B295" s="1" t="s">
        <v>873</v>
      </c>
      <c r="C295" s="1" t="s">
        <v>874</v>
      </c>
      <c r="D295" s="1" t="s">
        <v>13</v>
      </c>
      <c r="E295" s="3">
        <v>7781.53</v>
      </c>
      <c r="F295" s="3">
        <v>839.29</v>
      </c>
      <c r="G295" s="3">
        <v>1605.37</v>
      </c>
      <c r="H295" s="3">
        <v>0</v>
      </c>
      <c r="I295" s="3">
        <v>0</v>
      </c>
      <c r="J295" s="1" t="s">
        <v>93</v>
      </c>
      <c r="K295" s="28"/>
      <c r="L295" s="28"/>
    </row>
    <row r="296" spans="1:12"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c r="L296" s="28"/>
    </row>
    <row r="297" spans="1:12" s="2" customFormat="1" ht="24.95" customHeight="1" x14ac:dyDescent="0.25">
      <c r="A297" s="31" t="s">
        <v>878</v>
      </c>
      <c r="B297" s="1" t="s">
        <v>879</v>
      </c>
      <c r="C297" s="1" t="s">
        <v>880</v>
      </c>
      <c r="D297" s="1" t="s">
        <v>8</v>
      </c>
      <c r="E297" s="3">
        <v>0</v>
      </c>
      <c r="F297" s="3">
        <v>1235.73</v>
      </c>
      <c r="G297" s="3">
        <v>0</v>
      </c>
      <c r="H297" s="3">
        <v>0</v>
      </c>
      <c r="I297" s="3">
        <v>0</v>
      </c>
      <c r="J297" s="1" t="s">
        <v>4</v>
      </c>
      <c r="K297" s="28"/>
      <c r="L297" s="28"/>
    </row>
    <row r="298" spans="1:12" s="2" customFormat="1" ht="24.95" customHeight="1" x14ac:dyDescent="0.25">
      <c r="A298" s="31" t="s">
        <v>881</v>
      </c>
      <c r="B298" s="1" t="s">
        <v>882</v>
      </c>
      <c r="C298" s="1" t="s">
        <v>883</v>
      </c>
      <c r="D298" s="1" t="s">
        <v>18</v>
      </c>
      <c r="E298" s="3">
        <v>0</v>
      </c>
      <c r="F298" s="3">
        <v>0</v>
      </c>
      <c r="G298" s="3">
        <v>2572.41</v>
      </c>
      <c r="H298" s="3">
        <v>0</v>
      </c>
      <c r="I298" s="3">
        <v>0</v>
      </c>
      <c r="J298" s="1" t="s">
        <v>93</v>
      </c>
      <c r="K298" s="28"/>
      <c r="L298" s="28"/>
    </row>
    <row r="299" spans="1:12" s="2" customFormat="1" ht="24.95" customHeight="1" x14ac:dyDescent="0.25">
      <c r="A299" s="31" t="s">
        <v>884</v>
      </c>
      <c r="B299" s="1" t="s">
        <v>885</v>
      </c>
      <c r="C299" s="1" t="s">
        <v>886</v>
      </c>
      <c r="D299" s="1" t="s">
        <v>8</v>
      </c>
      <c r="E299" s="3">
        <v>1966.59</v>
      </c>
      <c r="F299" s="3">
        <v>0</v>
      </c>
      <c r="G299" s="3">
        <v>2296.66</v>
      </c>
      <c r="H299" s="3">
        <v>7826.6</v>
      </c>
      <c r="I299" s="3">
        <v>0</v>
      </c>
      <c r="J299" s="1" t="s">
        <v>19</v>
      </c>
      <c r="K299" s="28"/>
      <c r="L299" s="28"/>
    </row>
    <row r="300" spans="1:12"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c r="L300" s="28"/>
    </row>
    <row r="301" spans="1:12"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c r="L301" s="28"/>
    </row>
    <row r="302" spans="1:12" s="2" customFormat="1" ht="24.95" customHeight="1" x14ac:dyDescent="0.25">
      <c r="A302" s="31" t="s">
        <v>893</v>
      </c>
      <c r="B302" s="1" t="s">
        <v>894</v>
      </c>
      <c r="C302" s="1" t="s">
        <v>895</v>
      </c>
      <c r="D302" s="1" t="s">
        <v>13</v>
      </c>
      <c r="E302" s="3">
        <v>0</v>
      </c>
      <c r="F302" s="3">
        <v>0</v>
      </c>
      <c r="G302" s="3">
        <v>0</v>
      </c>
      <c r="H302" s="3">
        <v>3201.65</v>
      </c>
      <c r="I302" s="3">
        <v>0</v>
      </c>
      <c r="J302" s="1" t="s">
        <v>4</v>
      </c>
      <c r="K302" s="28"/>
      <c r="L302" s="28"/>
    </row>
    <row r="303" spans="1:12" s="2" customFormat="1" ht="24.95" customHeight="1" x14ac:dyDescent="0.25">
      <c r="A303" s="31" t="s">
        <v>896</v>
      </c>
      <c r="B303" s="1" t="s">
        <v>897</v>
      </c>
      <c r="C303" s="1" t="s">
        <v>898</v>
      </c>
      <c r="D303" s="1" t="s">
        <v>13</v>
      </c>
      <c r="E303" s="3">
        <v>0</v>
      </c>
      <c r="F303" s="3">
        <v>1130.08</v>
      </c>
      <c r="G303" s="3">
        <v>1154.99</v>
      </c>
      <c r="H303" s="3">
        <v>0</v>
      </c>
      <c r="I303" s="3">
        <v>0</v>
      </c>
      <c r="J303" s="1" t="s">
        <v>37</v>
      </c>
      <c r="K303" s="28"/>
      <c r="L303" s="28"/>
    </row>
    <row r="304" spans="1:12" s="2" customFormat="1" ht="24.95" customHeight="1" x14ac:dyDescent="0.25">
      <c r="A304" s="31" t="s">
        <v>899</v>
      </c>
      <c r="B304" s="1" t="s">
        <v>900</v>
      </c>
      <c r="C304" s="1" t="s">
        <v>901</v>
      </c>
      <c r="D304" s="1" t="s">
        <v>3</v>
      </c>
      <c r="E304" s="3">
        <v>0</v>
      </c>
      <c r="F304" s="3">
        <v>974.97</v>
      </c>
      <c r="G304" s="3">
        <v>0</v>
      </c>
      <c r="H304" s="3">
        <v>0</v>
      </c>
      <c r="I304" s="3">
        <v>0</v>
      </c>
      <c r="J304" s="1" t="s">
        <v>37</v>
      </c>
      <c r="K304" s="28"/>
      <c r="L304" s="28"/>
    </row>
    <row r="305" spans="1:12"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c r="L305" s="28"/>
    </row>
    <row r="306" spans="1:12" s="2" customFormat="1" ht="24.95" customHeight="1" x14ac:dyDescent="0.25">
      <c r="A306" s="31" t="s">
        <v>905</v>
      </c>
      <c r="B306" s="1" t="s">
        <v>906</v>
      </c>
      <c r="C306" s="1" t="s">
        <v>907</v>
      </c>
      <c r="D306" s="1" t="s">
        <v>8</v>
      </c>
      <c r="E306" s="3">
        <v>7092.73</v>
      </c>
      <c r="F306" s="3">
        <v>0</v>
      </c>
      <c r="G306" s="3">
        <v>1580.73</v>
      </c>
      <c r="H306" s="3">
        <v>6849.09</v>
      </c>
      <c r="I306" s="3">
        <v>0</v>
      </c>
      <c r="J306" s="1" t="s">
        <v>41</v>
      </c>
      <c r="K306" s="28"/>
      <c r="L306" s="28"/>
    </row>
    <row r="307" spans="1:12"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c r="L307" s="28"/>
    </row>
    <row r="308" spans="1:12" s="2" customFormat="1" ht="24.95" customHeight="1" x14ac:dyDescent="0.25">
      <c r="A308" s="31" t="s">
        <v>911</v>
      </c>
      <c r="B308" s="1" t="s">
        <v>912</v>
      </c>
      <c r="C308" s="1" t="s">
        <v>913</v>
      </c>
      <c r="D308" s="1" t="s">
        <v>23</v>
      </c>
      <c r="E308" s="3">
        <v>0</v>
      </c>
      <c r="F308" s="3">
        <v>1750.14</v>
      </c>
      <c r="G308" s="3">
        <v>0</v>
      </c>
      <c r="H308" s="3">
        <v>11905.35</v>
      </c>
      <c r="I308" s="3">
        <v>0</v>
      </c>
      <c r="J308" s="1" t="s">
        <v>41</v>
      </c>
      <c r="K308" s="28"/>
      <c r="L308" s="28"/>
    </row>
    <row r="309" spans="1:12" s="2" customFormat="1" ht="24.95" customHeight="1" x14ac:dyDescent="0.25">
      <c r="A309" s="31" t="s">
        <v>914</v>
      </c>
      <c r="B309" s="1" t="s">
        <v>915</v>
      </c>
      <c r="C309" s="1" t="s">
        <v>916</v>
      </c>
      <c r="D309" s="1" t="s">
        <v>23</v>
      </c>
      <c r="E309" s="3">
        <v>0</v>
      </c>
      <c r="F309" s="3">
        <v>1437.42</v>
      </c>
      <c r="G309" s="3">
        <v>2676.02</v>
      </c>
      <c r="H309" s="3">
        <v>0</v>
      </c>
      <c r="I309" s="3">
        <v>2093.96</v>
      </c>
      <c r="J309" s="1" t="s">
        <v>37</v>
      </c>
      <c r="K309" s="28"/>
      <c r="L309" s="28"/>
    </row>
    <row r="310" spans="1:12" s="2" customFormat="1" ht="24.95" customHeight="1" x14ac:dyDescent="0.25">
      <c r="A310" s="31" t="s">
        <v>917</v>
      </c>
      <c r="B310" s="1" t="s">
        <v>918</v>
      </c>
      <c r="C310" s="1" t="s">
        <v>919</v>
      </c>
      <c r="D310" s="1" t="s">
        <v>8</v>
      </c>
      <c r="E310" s="3">
        <v>2862.73</v>
      </c>
      <c r="F310" s="3">
        <v>0</v>
      </c>
      <c r="G310" s="3">
        <v>0</v>
      </c>
      <c r="H310" s="3">
        <v>0</v>
      </c>
      <c r="I310" s="3">
        <v>0</v>
      </c>
      <c r="J310" s="1" t="s">
        <v>86</v>
      </c>
      <c r="K310" s="28"/>
      <c r="L310" s="28"/>
    </row>
    <row r="311" spans="1:12"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c r="L311" s="28"/>
    </row>
    <row r="312" spans="1:12" s="2" customFormat="1" ht="24.95" customHeight="1" x14ac:dyDescent="0.25">
      <c r="A312" s="31" t="s">
        <v>923</v>
      </c>
      <c r="B312" s="1" t="s">
        <v>924</v>
      </c>
      <c r="C312" s="1" t="s">
        <v>925</v>
      </c>
      <c r="D312" s="1" t="s">
        <v>3</v>
      </c>
      <c r="E312" s="3">
        <v>0</v>
      </c>
      <c r="F312" s="3">
        <v>1514.14</v>
      </c>
      <c r="G312" s="3">
        <v>0</v>
      </c>
      <c r="H312" s="3">
        <v>7120.47</v>
      </c>
      <c r="I312" s="3">
        <v>0</v>
      </c>
      <c r="J312" s="1" t="s">
        <v>37</v>
      </c>
      <c r="K312" s="28"/>
      <c r="L312" s="28"/>
    </row>
    <row r="313" spans="1:12" s="2" customFormat="1" ht="24.95" customHeight="1" x14ac:dyDescent="0.25">
      <c r="A313" s="31" t="s">
        <v>926</v>
      </c>
      <c r="B313" s="1" t="s">
        <v>927</v>
      </c>
      <c r="C313" s="1" t="s">
        <v>928</v>
      </c>
      <c r="D313" s="1" t="s">
        <v>18</v>
      </c>
      <c r="E313" s="3">
        <v>0</v>
      </c>
      <c r="F313" s="3">
        <v>690.94</v>
      </c>
      <c r="G313" s="3">
        <v>0</v>
      </c>
      <c r="H313" s="3">
        <v>0</v>
      </c>
      <c r="I313" s="3">
        <v>0</v>
      </c>
      <c r="J313" s="1" t="s">
        <v>79</v>
      </c>
      <c r="K313" s="28"/>
      <c r="L313" s="28"/>
    </row>
    <row r="314" spans="1:12" s="2" customFormat="1" ht="24.95" customHeight="1" x14ac:dyDescent="0.25">
      <c r="A314" s="31" t="s">
        <v>929</v>
      </c>
      <c r="B314" s="1" t="s">
        <v>930</v>
      </c>
      <c r="C314" s="1" t="s">
        <v>931</v>
      </c>
      <c r="D314" s="1" t="s">
        <v>3027</v>
      </c>
      <c r="E314" s="3">
        <v>0</v>
      </c>
      <c r="F314" s="3">
        <v>4858.17</v>
      </c>
      <c r="G314" s="3">
        <v>324.13</v>
      </c>
      <c r="H314" s="3">
        <v>0</v>
      </c>
      <c r="I314" s="3">
        <v>7732.73</v>
      </c>
      <c r="J314" s="1" t="s">
        <v>24</v>
      </c>
      <c r="K314" s="28"/>
      <c r="L314" s="28"/>
    </row>
    <row r="315" spans="1:12" s="2" customFormat="1" ht="24.95" customHeight="1" x14ac:dyDescent="0.25">
      <c r="A315" s="31" t="s">
        <v>932</v>
      </c>
      <c r="B315" s="1" t="s">
        <v>933</v>
      </c>
      <c r="C315" s="1" t="s">
        <v>934</v>
      </c>
      <c r="D315" s="1" t="s">
        <v>3027</v>
      </c>
      <c r="E315" s="3">
        <v>0</v>
      </c>
      <c r="F315" s="3">
        <v>353.18</v>
      </c>
      <c r="G315" s="3">
        <v>0</v>
      </c>
      <c r="H315" s="3">
        <v>0</v>
      </c>
      <c r="I315" s="3">
        <v>6999.72</v>
      </c>
      <c r="J315" s="1" t="s">
        <v>86</v>
      </c>
      <c r="K315" s="28"/>
      <c r="L315" s="28"/>
    </row>
    <row r="316" spans="1:12" s="2" customFormat="1" ht="24.95" customHeight="1" x14ac:dyDescent="0.25">
      <c r="A316" s="31" t="s">
        <v>935</v>
      </c>
      <c r="B316" s="1" t="s">
        <v>936</v>
      </c>
      <c r="C316" s="1" t="s">
        <v>937</v>
      </c>
      <c r="D316" s="1" t="s">
        <v>8</v>
      </c>
      <c r="E316" s="3">
        <v>6763.91</v>
      </c>
      <c r="F316" s="3">
        <v>0</v>
      </c>
      <c r="G316" s="3">
        <v>0</v>
      </c>
      <c r="H316" s="3">
        <v>0</v>
      </c>
      <c r="I316" s="3">
        <v>13488.85</v>
      </c>
      <c r="J316" s="1" t="s">
        <v>37</v>
      </c>
      <c r="K316" s="28"/>
      <c r="L316" s="28"/>
    </row>
    <row r="317" spans="1:12"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c r="L317" s="28"/>
    </row>
    <row r="318" spans="1:12" s="2" customFormat="1" ht="24.95" customHeight="1" x14ac:dyDescent="0.25">
      <c r="A318" s="31" t="s">
        <v>941</v>
      </c>
      <c r="B318" s="1" t="s">
        <v>942</v>
      </c>
      <c r="C318" s="1" t="s">
        <v>943</v>
      </c>
      <c r="D318" s="1" t="s">
        <v>23</v>
      </c>
      <c r="E318" s="3">
        <v>1751.18</v>
      </c>
      <c r="F318" s="3">
        <v>2260.86</v>
      </c>
      <c r="G318" s="3">
        <v>0</v>
      </c>
      <c r="H318" s="3">
        <v>0</v>
      </c>
      <c r="I318" s="3">
        <v>3431.93</v>
      </c>
      <c r="J318" s="1" t="s">
        <v>14</v>
      </c>
      <c r="K318" s="28"/>
      <c r="L318" s="28"/>
    </row>
    <row r="319" spans="1:12" s="2" customFormat="1" ht="24.95" customHeight="1" x14ac:dyDescent="0.25">
      <c r="A319" s="31" t="s">
        <v>944</v>
      </c>
      <c r="B319" s="1" t="s">
        <v>945</v>
      </c>
      <c r="C319" s="1" t="s">
        <v>946</v>
      </c>
      <c r="D319" s="1" t="s">
        <v>3</v>
      </c>
      <c r="E319" s="3">
        <v>0</v>
      </c>
      <c r="F319" s="3">
        <v>0</v>
      </c>
      <c r="G319" s="3">
        <v>407.6</v>
      </c>
      <c r="H319" s="3">
        <v>0</v>
      </c>
      <c r="I319" s="3">
        <v>0</v>
      </c>
      <c r="J319" s="1" t="s">
        <v>106</v>
      </c>
      <c r="K319" s="28"/>
      <c r="L319" s="28"/>
    </row>
    <row r="320" spans="1:12"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c r="L320" s="28"/>
    </row>
    <row r="321" spans="1:12" s="2" customFormat="1" ht="24.95" customHeight="1" x14ac:dyDescent="0.25">
      <c r="A321" s="31" t="s">
        <v>950</v>
      </c>
      <c r="B321" s="1" t="s">
        <v>951</v>
      </c>
      <c r="C321" s="1" t="s">
        <v>952</v>
      </c>
      <c r="D321" s="1" t="s">
        <v>3027</v>
      </c>
      <c r="E321" s="3">
        <v>0</v>
      </c>
      <c r="F321" s="3">
        <v>0</v>
      </c>
      <c r="G321" s="3">
        <v>2772.3</v>
      </c>
      <c r="H321" s="3">
        <v>0</v>
      </c>
      <c r="I321" s="3">
        <v>2922.85</v>
      </c>
      <c r="J321" s="1" t="s">
        <v>106</v>
      </c>
      <c r="K321" s="28"/>
      <c r="L321" s="28"/>
    </row>
    <row r="322" spans="1:12" s="2" customFormat="1" ht="24.95" customHeight="1" x14ac:dyDescent="0.25">
      <c r="A322" s="31" t="s">
        <v>953</v>
      </c>
      <c r="B322" s="1" t="s">
        <v>954</v>
      </c>
      <c r="C322" s="1" t="s">
        <v>955</v>
      </c>
      <c r="D322" s="1" t="s">
        <v>8</v>
      </c>
      <c r="E322" s="3">
        <v>0</v>
      </c>
      <c r="F322" s="3">
        <v>4409.49</v>
      </c>
      <c r="G322" s="3">
        <v>0</v>
      </c>
      <c r="H322" s="3">
        <v>1125.44</v>
      </c>
      <c r="I322" s="3">
        <v>0</v>
      </c>
      <c r="J322" s="1" t="s">
        <v>86</v>
      </c>
      <c r="K322" s="28"/>
      <c r="L322" s="28"/>
    </row>
    <row r="323" spans="1:12"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c r="L323" s="28"/>
    </row>
    <row r="324" spans="1:12" s="2" customFormat="1" ht="24.95" customHeight="1" x14ac:dyDescent="0.25">
      <c r="A324" s="31" t="s">
        <v>959</v>
      </c>
      <c r="B324" s="1" t="s">
        <v>960</v>
      </c>
      <c r="C324" s="1" t="s">
        <v>961</v>
      </c>
      <c r="D324" s="1" t="s">
        <v>3027</v>
      </c>
      <c r="E324" s="3">
        <v>0</v>
      </c>
      <c r="F324" s="3">
        <v>0</v>
      </c>
      <c r="G324" s="3">
        <v>0</v>
      </c>
      <c r="H324" s="3">
        <v>0</v>
      </c>
      <c r="I324" s="3">
        <v>444.58</v>
      </c>
      <c r="J324" s="1" t="s">
        <v>41</v>
      </c>
      <c r="K324" s="28"/>
      <c r="L324" s="28"/>
    </row>
    <row r="325" spans="1:12" s="2" customFormat="1" ht="24.95" customHeight="1" x14ac:dyDescent="0.25">
      <c r="A325" s="31" t="s">
        <v>962</v>
      </c>
      <c r="B325" s="1" t="s">
        <v>963</v>
      </c>
      <c r="C325" s="1" t="s">
        <v>964</v>
      </c>
      <c r="D325" s="1" t="s">
        <v>8</v>
      </c>
      <c r="E325" s="3">
        <v>404.99</v>
      </c>
      <c r="F325" s="3">
        <v>0</v>
      </c>
      <c r="G325" s="3">
        <v>1966.95</v>
      </c>
      <c r="H325" s="3">
        <v>9258.84</v>
      </c>
      <c r="I325" s="3">
        <v>0</v>
      </c>
      <c r="J325" s="1" t="s">
        <v>24</v>
      </c>
      <c r="K325" s="28"/>
      <c r="L325" s="28"/>
    </row>
    <row r="326" spans="1:12" s="2" customFormat="1" ht="24.95" customHeight="1" x14ac:dyDescent="0.25">
      <c r="A326" s="31" t="s">
        <v>965</v>
      </c>
      <c r="B326" s="1" t="s">
        <v>966</v>
      </c>
      <c r="C326" s="1" t="s">
        <v>967</v>
      </c>
      <c r="D326" s="1" t="s">
        <v>18</v>
      </c>
      <c r="E326" s="3">
        <v>0</v>
      </c>
      <c r="F326" s="3">
        <v>0</v>
      </c>
      <c r="G326" s="3">
        <v>0</v>
      </c>
      <c r="H326" s="3">
        <v>0</v>
      </c>
      <c r="I326" s="3">
        <v>678.6</v>
      </c>
      <c r="J326" s="1" t="s">
        <v>37</v>
      </c>
      <c r="K326" s="28"/>
      <c r="L326" s="28"/>
    </row>
    <row r="327" spans="1:12" s="2" customFormat="1" ht="24.95" customHeight="1" x14ac:dyDescent="0.25">
      <c r="A327" s="31" t="s">
        <v>968</v>
      </c>
      <c r="B327" s="1" t="s">
        <v>969</v>
      </c>
      <c r="C327" s="1" t="s">
        <v>970</v>
      </c>
      <c r="D327" s="1" t="s">
        <v>3</v>
      </c>
      <c r="E327" s="3">
        <v>0</v>
      </c>
      <c r="F327" s="3">
        <v>0</v>
      </c>
      <c r="G327" s="3">
        <v>229.68</v>
      </c>
      <c r="H327" s="3">
        <v>0</v>
      </c>
      <c r="I327" s="3">
        <v>0</v>
      </c>
      <c r="J327" s="1" t="s">
        <v>14</v>
      </c>
      <c r="K327" s="28"/>
      <c r="L327" s="28"/>
    </row>
    <row r="328" spans="1:12" s="2" customFormat="1" ht="24.95" customHeight="1" x14ac:dyDescent="0.25">
      <c r="A328" s="31" t="s">
        <v>971</v>
      </c>
      <c r="B328" s="1" t="s">
        <v>972</v>
      </c>
      <c r="C328" s="1" t="s">
        <v>973</v>
      </c>
      <c r="D328" s="1" t="s">
        <v>3</v>
      </c>
      <c r="E328" s="3">
        <v>0</v>
      </c>
      <c r="F328" s="3">
        <v>3235.86</v>
      </c>
      <c r="G328" s="3">
        <v>0</v>
      </c>
      <c r="H328" s="3">
        <v>0</v>
      </c>
      <c r="I328" s="3">
        <v>0</v>
      </c>
      <c r="J328" s="1" t="s">
        <v>24</v>
      </c>
      <c r="K328" s="28"/>
      <c r="L328" s="28"/>
    </row>
    <row r="329" spans="1:12" s="2" customFormat="1" ht="24.95" customHeight="1" x14ac:dyDescent="0.25">
      <c r="A329" s="31" t="s">
        <v>974</v>
      </c>
      <c r="B329" s="1" t="s">
        <v>975</v>
      </c>
      <c r="C329" s="1" t="s">
        <v>976</v>
      </c>
      <c r="D329" s="1" t="s">
        <v>23</v>
      </c>
      <c r="E329" s="3">
        <v>5543.21</v>
      </c>
      <c r="F329" s="3">
        <v>0</v>
      </c>
      <c r="G329" s="3">
        <v>0</v>
      </c>
      <c r="H329" s="3">
        <v>8684.76</v>
      </c>
      <c r="I329" s="3">
        <v>0</v>
      </c>
      <c r="J329" s="1" t="s">
        <v>79</v>
      </c>
      <c r="K329" s="28"/>
      <c r="L329" s="28"/>
    </row>
    <row r="330" spans="1:12"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c r="L330" s="28"/>
    </row>
    <row r="331" spans="1:12" s="2" customFormat="1" ht="24.95" customHeight="1" x14ac:dyDescent="0.25">
      <c r="A331" s="31" t="s">
        <v>980</v>
      </c>
      <c r="B331" s="1" t="s">
        <v>981</v>
      </c>
      <c r="C331" s="1" t="s">
        <v>982</v>
      </c>
      <c r="D331" s="1" t="s">
        <v>3</v>
      </c>
      <c r="E331" s="3">
        <v>0</v>
      </c>
      <c r="F331" s="3">
        <v>213.49</v>
      </c>
      <c r="G331" s="3">
        <v>0</v>
      </c>
      <c r="H331" s="3">
        <v>0</v>
      </c>
      <c r="I331" s="3">
        <v>0</v>
      </c>
      <c r="J331" s="1" t="s">
        <v>4</v>
      </c>
      <c r="K331" s="28"/>
      <c r="L331" s="28"/>
    </row>
    <row r="332" spans="1:12" s="2" customFormat="1" ht="24.95" customHeight="1" x14ac:dyDescent="0.25">
      <c r="A332" s="31" t="s">
        <v>983</v>
      </c>
      <c r="B332" s="1" t="s">
        <v>984</v>
      </c>
      <c r="C332" s="1" t="s">
        <v>985</v>
      </c>
      <c r="D332" s="1" t="s">
        <v>3</v>
      </c>
      <c r="E332" s="3">
        <v>0</v>
      </c>
      <c r="F332" s="3">
        <v>0</v>
      </c>
      <c r="G332" s="3">
        <v>0</v>
      </c>
      <c r="H332" s="3">
        <v>0</v>
      </c>
      <c r="I332" s="3">
        <v>1712.43</v>
      </c>
      <c r="J332" s="1" t="s">
        <v>48</v>
      </c>
      <c r="K332" s="28"/>
      <c r="L332" s="28"/>
    </row>
    <row r="333" spans="1:12"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c r="L333" s="28"/>
    </row>
    <row r="334" spans="1:12"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c r="L334" s="28"/>
    </row>
    <row r="335" spans="1:12" s="2" customFormat="1" ht="24.95" customHeight="1" x14ac:dyDescent="0.25">
      <c r="A335" s="31" t="s">
        <v>992</v>
      </c>
      <c r="B335" s="1" t="s">
        <v>993</v>
      </c>
      <c r="C335" s="1" t="s">
        <v>994</v>
      </c>
      <c r="D335" s="1" t="s">
        <v>3</v>
      </c>
      <c r="E335" s="3">
        <v>0</v>
      </c>
      <c r="F335" s="3">
        <v>2008.62</v>
      </c>
      <c r="G335" s="3">
        <v>0</v>
      </c>
      <c r="H335" s="3">
        <v>0</v>
      </c>
      <c r="I335" s="3">
        <v>0</v>
      </c>
      <c r="J335" s="1" t="s">
        <v>79</v>
      </c>
      <c r="K335" s="28"/>
      <c r="L335" s="28"/>
    </row>
    <row r="336" spans="1:12" s="2" customFormat="1" ht="24.95" customHeight="1" x14ac:dyDescent="0.25">
      <c r="A336" s="31" t="s">
        <v>995</v>
      </c>
      <c r="B336" s="1" t="s">
        <v>996</v>
      </c>
      <c r="C336" s="1" t="s">
        <v>997</v>
      </c>
      <c r="D336" s="1" t="s">
        <v>23</v>
      </c>
      <c r="E336" s="3">
        <v>0</v>
      </c>
      <c r="F336" s="3">
        <v>0</v>
      </c>
      <c r="G336" s="3">
        <v>0</v>
      </c>
      <c r="H336" s="3">
        <v>9010.35</v>
      </c>
      <c r="I336" s="3">
        <v>6982.38</v>
      </c>
      <c r="J336" s="1" t="s">
        <v>79</v>
      </c>
      <c r="K336" s="28"/>
      <c r="L336" s="28"/>
    </row>
    <row r="337" spans="1:12"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c r="L337" s="28"/>
    </row>
    <row r="338" spans="1:12"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c r="L338" s="28"/>
    </row>
    <row r="339" spans="1:12"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c r="L339" s="28"/>
    </row>
    <row r="340" spans="1:12" s="2" customFormat="1" ht="24.95" customHeight="1" x14ac:dyDescent="0.25">
      <c r="A340" s="31" t="s">
        <v>1007</v>
      </c>
      <c r="B340" s="1" t="s">
        <v>1008</v>
      </c>
      <c r="C340" s="1" t="s">
        <v>1009</v>
      </c>
      <c r="D340" s="1" t="s">
        <v>13</v>
      </c>
      <c r="E340" s="3">
        <v>0</v>
      </c>
      <c r="F340" s="3">
        <v>843.21</v>
      </c>
      <c r="G340" s="3">
        <v>0</v>
      </c>
      <c r="H340" s="3">
        <v>0</v>
      </c>
      <c r="I340" s="3">
        <v>8562.49</v>
      </c>
      <c r="J340" s="1" t="s">
        <v>9</v>
      </c>
      <c r="K340" s="28"/>
      <c r="L340" s="28"/>
    </row>
    <row r="341" spans="1:12" s="2" customFormat="1" ht="24.95" customHeight="1" x14ac:dyDescent="0.25">
      <c r="A341" s="31" t="s">
        <v>1010</v>
      </c>
      <c r="B341" s="1" t="s">
        <v>1011</v>
      </c>
      <c r="C341" s="1" t="s">
        <v>1012</v>
      </c>
      <c r="D341" s="1" t="s">
        <v>3</v>
      </c>
      <c r="E341" s="3">
        <v>136.26</v>
      </c>
      <c r="F341" s="3">
        <v>0</v>
      </c>
      <c r="G341" s="3">
        <v>0</v>
      </c>
      <c r="H341" s="3">
        <v>7612.71</v>
      </c>
      <c r="I341" s="3">
        <v>0</v>
      </c>
      <c r="J341" s="1" t="s">
        <v>86</v>
      </c>
      <c r="K341" s="28"/>
      <c r="L341" s="28"/>
    </row>
    <row r="342" spans="1:12" s="2" customFormat="1" ht="24.95" customHeight="1" x14ac:dyDescent="0.25">
      <c r="A342" s="31" t="s">
        <v>1013</v>
      </c>
      <c r="B342" s="1" t="s">
        <v>1014</v>
      </c>
      <c r="C342" s="1" t="s">
        <v>1015</v>
      </c>
      <c r="D342" s="1" t="s">
        <v>18</v>
      </c>
      <c r="E342" s="3">
        <v>0</v>
      </c>
      <c r="F342" s="3">
        <v>0</v>
      </c>
      <c r="G342" s="3">
        <v>0</v>
      </c>
      <c r="H342" s="3">
        <v>4170.96</v>
      </c>
      <c r="I342" s="3">
        <v>4323.93</v>
      </c>
      <c r="J342" s="1" t="s">
        <v>86</v>
      </c>
      <c r="K342" s="28"/>
      <c r="L342" s="28"/>
    </row>
    <row r="343" spans="1:12"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c r="L343" s="28"/>
    </row>
    <row r="344" spans="1:12"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c r="L344" s="28"/>
    </row>
    <row r="345" spans="1:12" s="2" customFormat="1" ht="24.95" customHeight="1" x14ac:dyDescent="0.25">
      <c r="A345" s="31" t="s">
        <v>1022</v>
      </c>
      <c r="B345" s="1" t="s">
        <v>1023</v>
      </c>
      <c r="C345" s="1" t="s">
        <v>1024</v>
      </c>
      <c r="D345" s="1" t="s">
        <v>3</v>
      </c>
      <c r="E345" s="3">
        <v>7984.31</v>
      </c>
      <c r="F345" s="3">
        <v>0</v>
      </c>
      <c r="G345" s="3">
        <v>0</v>
      </c>
      <c r="H345" s="3">
        <v>0</v>
      </c>
      <c r="I345" s="3">
        <v>0</v>
      </c>
      <c r="J345" s="1" t="s">
        <v>86</v>
      </c>
      <c r="K345" s="28"/>
      <c r="L345" s="28"/>
    </row>
    <row r="346" spans="1:12" s="2" customFormat="1" ht="24.95" customHeight="1" x14ac:dyDescent="0.25">
      <c r="A346" s="31" t="s">
        <v>1025</v>
      </c>
      <c r="B346" s="1" t="s">
        <v>1026</v>
      </c>
      <c r="C346" s="1" t="s">
        <v>1027</v>
      </c>
      <c r="D346" s="1" t="s">
        <v>23</v>
      </c>
      <c r="E346" s="3">
        <v>0</v>
      </c>
      <c r="F346" s="3">
        <v>0</v>
      </c>
      <c r="G346" s="3">
        <v>1941.53</v>
      </c>
      <c r="H346" s="3">
        <v>0</v>
      </c>
      <c r="I346" s="3">
        <v>0</v>
      </c>
      <c r="J346" s="1" t="s">
        <v>93</v>
      </c>
      <c r="K346" s="28"/>
      <c r="L346" s="28"/>
    </row>
    <row r="347" spans="1:12" s="2" customFormat="1" ht="24.95" customHeight="1" x14ac:dyDescent="0.25">
      <c r="A347" s="31" t="s">
        <v>1028</v>
      </c>
      <c r="B347" s="1" t="s">
        <v>1029</v>
      </c>
      <c r="C347" s="1" t="s">
        <v>1030</v>
      </c>
      <c r="D347" s="1" t="s">
        <v>13</v>
      </c>
      <c r="E347" s="3">
        <v>2912.64</v>
      </c>
      <c r="F347" s="3">
        <v>0</v>
      </c>
      <c r="G347" s="3">
        <v>0</v>
      </c>
      <c r="H347" s="3">
        <v>0</v>
      </c>
      <c r="I347" s="3">
        <v>0</v>
      </c>
      <c r="J347" s="1" t="s">
        <v>4</v>
      </c>
      <c r="K347" s="28"/>
      <c r="L347" s="28"/>
    </row>
    <row r="348" spans="1:12" s="2" customFormat="1" ht="24.95" customHeight="1" x14ac:dyDescent="0.25">
      <c r="A348" s="31" t="s">
        <v>1031</v>
      </c>
      <c r="B348" s="1" t="s">
        <v>1032</v>
      </c>
      <c r="C348" s="1" t="s">
        <v>1033</v>
      </c>
      <c r="D348" s="1" t="s">
        <v>13</v>
      </c>
      <c r="E348" s="3">
        <v>0</v>
      </c>
      <c r="F348" s="3">
        <v>0</v>
      </c>
      <c r="G348" s="3">
        <v>0</v>
      </c>
      <c r="H348" s="3">
        <v>11582.27</v>
      </c>
      <c r="I348" s="3">
        <v>0</v>
      </c>
      <c r="J348" s="1" t="s">
        <v>79</v>
      </c>
      <c r="K348" s="28"/>
      <c r="L348" s="28"/>
    </row>
    <row r="349" spans="1:12" s="2" customFormat="1" ht="24.95" customHeight="1" x14ac:dyDescent="0.25">
      <c r="A349" s="31" t="s">
        <v>1034</v>
      </c>
      <c r="B349" s="1" t="s">
        <v>1035</v>
      </c>
      <c r="C349" s="1" t="s">
        <v>1036</v>
      </c>
      <c r="D349" s="1" t="s">
        <v>3027</v>
      </c>
      <c r="E349" s="3">
        <v>0</v>
      </c>
      <c r="F349" s="3">
        <v>0</v>
      </c>
      <c r="G349" s="3">
        <v>0</v>
      </c>
      <c r="H349" s="3">
        <v>0</v>
      </c>
      <c r="I349" s="3">
        <v>5534.07</v>
      </c>
      <c r="J349" s="1" t="s">
        <v>79</v>
      </c>
      <c r="K349" s="28"/>
      <c r="L349" s="28"/>
    </row>
    <row r="350" spans="1:12" s="2" customFormat="1" ht="24.95" customHeight="1" x14ac:dyDescent="0.25">
      <c r="A350" s="31" t="s">
        <v>1037</v>
      </c>
      <c r="B350" s="1" t="s">
        <v>1038</v>
      </c>
      <c r="C350" s="1" t="s">
        <v>1039</v>
      </c>
      <c r="D350" s="1" t="s">
        <v>13</v>
      </c>
      <c r="E350" s="3">
        <v>0</v>
      </c>
      <c r="F350" s="3">
        <v>0</v>
      </c>
      <c r="G350" s="3">
        <v>2084.86</v>
      </c>
      <c r="H350" s="3">
        <v>521.37</v>
      </c>
      <c r="I350" s="3">
        <v>0</v>
      </c>
      <c r="J350" s="1" t="s">
        <v>93</v>
      </c>
      <c r="K350" s="28"/>
      <c r="L350" s="28"/>
    </row>
    <row r="351" spans="1:12"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c r="L351" s="28"/>
    </row>
    <row r="352" spans="1:12" s="2" customFormat="1" ht="24.95" customHeight="1" x14ac:dyDescent="0.25">
      <c r="A352" s="31" t="s">
        <v>1043</v>
      </c>
      <c r="B352" s="1" t="s">
        <v>1044</v>
      </c>
      <c r="C352" s="1" t="s">
        <v>1045</v>
      </c>
      <c r="D352" s="1" t="s">
        <v>3</v>
      </c>
      <c r="E352" s="3">
        <v>6309.03</v>
      </c>
      <c r="F352" s="3">
        <v>0</v>
      </c>
      <c r="G352" s="3">
        <v>419.71</v>
      </c>
      <c r="H352" s="3">
        <v>0</v>
      </c>
      <c r="I352" s="3">
        <v>0</v>
      </c>
      <c r="J352" s="1" t="s">
        <v>24</v>
      </c>
      <c r="K352" s="28"/>
      <c r="L352" s="28"/>
    </row>
    <row r="353" spans="1:12" s="2" customFormat="1" ht="24.95" customHeight="1" x14ac:dyDescent="0.25">
      <c r="A353" s="31" t="s">
        <v>1046</v>
      </c>
      <c r="B353" s="1" t="s">
        <v>1047</v>
      </c>
      <c r="C353" s="1" t="s">
        <v>1048</v>
      </c>
      <c r="D353" s="1" t="s">
        <v>23</v>
      </c>
      <c r="E353" s="3">
        <v>0</v>
      </c>
      <c r="F353" s="3">
        <v>2806.48</v>
      </c>
      <c r="G353" s="3">
        <v>368.67</v>
      </c>
      <c r="H353" s="3">
        <v>805.48</v>
      </c>
      <c r="I353" s="3">
        <v>0</v>
      </c>
      <c r="J353" s="1" t="s">
        <v>19</v>
      </c>
      <c r="K353" s="28"/>
      <c r="L353" s="28"/>
    </row>
    <row r="354" spans="1:12" s="2" customFormat="1" ht="24.95" customHeight="1" x14ac:dyDescent="0.25">
      <c r="A354" s="31" t="s">
        <v>1049</v>
      </c>
      <c r="B354" s="1" t="s">
        <v>1050</v>
      </c>
      <c r="C354" s="1" t="s">
        <v>1051</v>
      </c>
      <c r="D354" s="1" t="s">
        <v>18</v>
      </c>
      <c r="E354" s="3">
        <v>0</v>
      </c>
      <c r="F354" s="3">
        <v>0</v>
      </c>
      <c r="G354" s="3">
        <v>1008.4</v>
      </c>
      <c r="H354" s="3">
        <v>0</v>
      </c>
      <c r="I354" s="3">
        <v>2116.36</v>
      </c>
      <c r="J354" s="1" t="s">
        <v>41</v>
      </c>
      <c r="K354" s="28"/>
      <c r="L354" s="28"/>
    </row>
    <row r="355" spans="1:12"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c r="L355" s="28"/>
    </row>
    <row r="356" spans="1:12"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c r="L356" s="28"/>
    </row>
    <row r="357" spans="1:12"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c r="L357" s="28"/>
    </row>
    <row r="358" spans="1:12"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c r="L358" s="28"/>
    </row>
    <row r="359" spans="1:12" s="2" customFormat="1" ht="24.95" customHeight="1" x14ac:dyDescent="0.25">
      <c r="A359" s="31" t="s">
        <v>1064</v>
      </c>
      <c r="B359" s="1" t="s">
        <v>1065</v>
      </c>
      <c r="C359" s="1" t="s">
        <v>1066</v>
      </c>
      <c r="D359" s="1" t="s">
        <v>3</v>
      </c>
      <c r="E359" s="3">
        <v>4201.57</v>
      </c>
      <c r="F359" s="3">
        <v>0</v>
      </c>
      <c r="G359" s="3">
        <v>0</v>
      </c>
      <c r="H359" s="3">
        <v>0</v>
      </c>
      <c r="I359" s="3">
        <v>0</v>
      </c>
      <c r="J359" s="1" t="s">
        <v>48</v>
      </c>
      <c r="K359" s="28"/>
      <c r="L359" s="28"/>
    </row>
    <row r="360" spans="1:12" s="2" customFormat="1" ht="24.95" customHeight="1" x14ac:dyDescent="0.25">
      <c r="A360" s="31" t="s">
        <v>1067</v>
      </c>
      <c r="B360" s="1" t="s">
        <v>1068</v>
      </c>
      <c r="C360" s="1" t="s">
        <v>1069</v>
      </c>
      <c r="D360" s="1" t="s">
        <v>23</v>
      </c>
      <c r="E360" s="3">
        <v>0</v>
      </c>
      <c r="F360" s="3">
        <v>0</v>
      </c>
      <c r="G360" s="3">
        <v>1688.93</v>
      </c>
      <c r="H360" s="3">
        <v>0</v>
      </c>
      <c r="I360" s="3">
        <v>0</v>
      </c>
      <c r="J360" s="1" t="s">
        <v>41</v>
      </c>
      <c r="K360" s="28"/>
      <c r="L360" s="28"/>
    </row>
    <row r="361" spans="1:12" s="2" customFormat="1" ht="24.95" customHeight="1" x14ac:dyDescent="0.25">
      <c r="A361" s="31" t="s">
        <v>1070</v>
      </c>
      <c r="B361" s="1" t="s">
        <v>1071</v>
      </c>
      <c r="C361" s="1" t="s">
        <v>1072</v>
      </c>
      <c r="D361" s="1" t="s">
        <v>13</v>
      </c>
      <c r="E361" s="3">
        <v>0</v>
      </c>
      <c r="F361" s="3">
        <v>0</v>
      </c>
      <c r="G361" s="3">
        <v>0</v>
      </c>
      <c r="H361" s="3">
        <v>8662.6</v>
      </c>
      <c r="I361" s="3">
        <v>11408.2</v>
      </c>
      <c r="J361" s="1" t="s">
        <v>79</v>
      </c>
      <c r="K361" s="28"/>
      <c r="L361" s="28"/>
    </row>
    <row r="362" spans="1:12" s="2" customFormat="1" ht="24.95" customHeight="1" x14ac:dyDescent="0.25">
      <c r="A362" s="31" t="s">
        <v>1073</v>
      </c>
      <c r="B362" s="1" t="s">
        <v>1074</v>
      </c>
      <c r="C362" s="1" t="s">
        <v>1075</v>
      </c>
      <c r="D362" s="1" t="s">
        <v>3</v>
      </c>
      <c r="E362" s="3">
        <v>3341.59</v>
      </c>
      <c r="F362" s="3">
        <v>0</v>
      </c>
      <c r="G362" s="3">
        <v>0</v>
      </c>
      <c r="H362" s="3">
        <v>766.53</v>
      </c>
      <c r="I362" s="3">
        <v>7308.15</v>
      </c>
      <c r="J362" s="1" t="s">
        <v>19</v>
      </c>
      <c r="K362" s="28"/>
      <c r="L362" s="28"/>
    </row>
    <row r="363" spans="1:12" s="2" customFormat="1" ht="24.95" customHeight="1" x14ac:dyDescent="0.25">
      <c r="A363" s="31" t="s">
        <v>1076</v>
      </c>
      <c r="B363" s="1" t="s">
        <v>1077</v>
      </c>
      <c r="C363" s="1" t="s">
        <v>1078</v>
      </c>
      <c r="D363" s="1" t="s">
        <v>18</v>
      </c>
      <c r="E363" s="3">
        <v>0</v>
      </c>
      <c r="F363" s="3">
        <v>0</v>
      </c>
      <c r="G363" s="3">
        <v>0</v>
      </c>
      <c r="H363" s="3">
        <v>3667.76</v>
      </c>
      <c r="I363" s="3">
        <v>0</v>
      </c>
      <c r="J363" s="1" t="s">
        <v>48</v>
      </c>
      <c r="K363" s="28"/>
      <c r="L363" s="28"/>
    </row>
    <row r="364" spans="1:12" s="2" customFormat="1" ht="24.95" customHeight="1" x14ac:dyDescent="0.25">
      <c r="A364" s="31" t="s">
        <v>1079</v>
      </c>
      <c r="B364" s="1" t="s">
        <v>1080</v>
      </c>
      <c r="C364" s="1" t="s">
        <v>1081</v>
      </c>
      <c r="D364" s="1" t="s">
        <v>8</v>
      </c>
      <c r="E364" s="3">
        <v>0</v>
      </c>
      <c r="F364" s="3">
        <v>2515.02</v>
      </c>
      <c r="G364" s="3">
        <v>2353.42</v>
      </c>
      <c r="H364" s="3">
        <v>6123.63</v>
      </c>
      <c r="I364" s="3">
        <v>0</v>
      </c>
      <c r="J364" s="1" t="s">
        <v>4</v>
      </c>
      <c r="K364" s="28"/>
      <c r="L364" s="28"/>
    </row>
    <row r="365" spans="1:12"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c r="L365" s="28"/>
    </row>
    <row r="366" spans="1:12"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c r="L366" s="28"/>
    </row>
    <row r="367" spans="1:12" s="2" customFormat="1" ht="24.95" customHeight="1" x14ac:dyDescent="0.25">
      <c r="A367" s="31" t="s">
        <v>1088</v>
      </c>
      <c r="B367" s="1" t="s">
        <v>1089</v>
      </c>
      <c r="C367" s="1" t="s">
        <v>1090</v>
      </c>
      <c r="D367" s="1" t="s">
        <v>18</v>
      </c>
      <c r="E367" s="3">
        <v>611.34</v>
      </c>
      <c r="F367" s="3">
        <v>0</v>
      </c>
      <c r="G367" s="3">
        <v>0</v>
      </c>
      <c r="H367" s="3">
        <v>0</v>
      </c>
      <c r="I367" s="3">
        <v>0</v>
      </c>
      <c r="J367" s="1" t="s">
        <v>14</v>
      </c>
      <c r="K367" s="28"/>
      <c r="L367" s="28"/>
    </row>
    <row r="368" spans="1:12"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c r="L368" s="28"/>
    </row>
    <row r="369" spans="1:12" s="2" customFormat="1" ht="24.95" customHeight="1" x14ac:dyDescent="0.25">
      <c r="A369" s="31" t="s">
        <v>1094</v>
      </c>
      <c r="B369" s="1" t="s">
        <v>1095</v>
      </c>
      <c r="C369" s="1" t="s">
        <v>1096</v>
      </c>
      <c r="D369" s="1" t="s">
        <v>13</v>
      </c>
      <c r="E369" s="3">
        <v>0</v>
      </c>
      <c r="F369" s="3">
        <v>4107.18</v>
      </c>
      <c r="G369" s="3">
        <v>0</v>
      </c>
      <c r="H369" s="3">
        <v>0</v>
      </c>
      <c r="I369" s="3">
        <v>11475.65</v>
      </c>
      <c r="J369" s="1" t="s">
        <v>93</v>
      </c>
      <c r="K369" s="28"/>
      <c r="L369" s="28"/>
    </row>
    <row r="370" spans="1:12" s="2" customFormat="1" ht="24.95" customHeight="1" x14ac:dyDescent="0.25">
      <c r="A370" s="31" t="s">
        <v>1097</v>
      </c>
      <c r="B370" s="1" t="s">
        <v>1098</v>
      </c>
      <c r="C370" s="1" t="s">
        <v>1099</v>
      </c>
      <c r="D370" s="1" t="s">
        <v>3</v>
      </c>
      <c r="E370" s="3">
        <v>7547.63</v>
      </c>
      <c r="F370" s="3">
        <v>0</v>
      </c>
      <c r="G370" s="3">
        <v>0</v>
      </c>
      <c r="H370" s="3">
        <v>0</v>
      </c>
      <c r="I370" s="3">
        <v>0</v>
      </c>
      <c r="J370" s="1" t="s">
        <v>106</v>
      </c>
      <c r="K370" s="28"/>
      <c r="L370" s="28"/>
    </row>
    <row r="371" spans="1:12" s="2" customFormat="1" ht="24.95" customHeight="1" x14ac:dyDescent="0.25">
      <c r="A371" s="31" t="s">
        <v>1100</v>
      </c>
      <c r="B371" s="1" t="s">
        <v>1101</v>
      </c>
      <c r="C371" s="1" t="s">
        <v>1102</v>
      </c>
      <c r="D371" s="1" t="s">
        <v>3</v>
      </c>
      <c r="E371" s="3">
        <v>3663.74</v>
      </c>
      <c r="F371" s="3">
        <v>0</v>
      </c>
      <c r="G371" s="3">
        <v>1060.8</v>
      </c>
      <c r="H371" s="3">
        <v>2544.85</v>
      </c>
      <c r="I371" s="3">
        <v>0</v>
      </c>
      <c r="J371" s="1" t="s">
        <v>86</v>
      </c>
      <c r="K371" s="28"/>
      <c r="L371" s="28"/>
    </row>
    <row r="372" spans="1:12"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c r="L372" s="28"/>
    </row>
    <row r="373" spans="1:12" s="2" customFormat="1" ht="24.95" customHeight="1" x14ac:dyDescent="0.25">
      <c r="A373" s="31" t="s">
        <v>1106</v>
      </c>
      <c r="B373" s="1" t="s">
        <v>1107</v>
      </c>
      <c r="C373" s="1" t="s">
        <v>1108</v>
      </c>
      <c r="D373" s="1" t="s">
        <v>8</v>
      </c>
      <c r="E373" s="3">
        <v>6270.54</v>
      </c>
      <c r="F373" s="3">
        <v>799.46</v>
      </c>
      <c r="G373" s="3">
        <v>0</v>
      </c>
      <c r="H373" s="3">
        <v>8433.9</v>
      </c>
      <c r="I373" s="3">
        <v>0</v>
      </c>
      <c r="J373" s="1" t="s">
        <v>19</v>
      </c>
      <c r="K373" s="28"/>
      <c r="L373" s="28"/>
    </row>
    <row r="374" spans="1:12" s="2" customFormat="1" ht="24.95" customHeight="1" x14ac:dyDescent="0.25">
      <c r="A374" s="31" t="s">
        <v>1109</v>
      </c>
      <c r="B374" s="1" t="s">
        <v>1110</v>
      </c>
      <c r="C374" s="1" t="s">
        <v>1111</v>
      </c>
      <c r="D374" s="1" t="s">
        <v>18</v>
      </c>
      <c r="E374" s="3">
        <v>0</v>
      </c>
      <c r="F374" s="3">
        <v>530.36</v>
      </c>
      <c r="G374" s="3">
        <v>2762.52</v>
      </c>
      <c r="H374" s="3">
        <v>0</v>
      </c>
      <c r="I374" s="3">
        <v>0</v>
      </c>
      <c r="J374" s="1" t="s">
        <v>79</v>
      </c>
      <c r="K374" s="28"/>
      <c r="L374" s="28"/>
    </row>
    <row r="375" spans="1:12"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c r="L375" s="28"/>
    </row>
    <row r="376" spans="1:12" s="2" customFormat="1" ht="24.95" customHeight="1" x14ac:dyDescent="0.25">
      <c r="A376" s="31" t="s">
        <v>1115</v>
      </c>
      <c r="B376" s="1" t="s">
        <v>1116</v>
      </c>
      <c r="C376" s="1" t="s">
        <v>1117</v>
      </c>
      <c r="D376" s="1" t="s">
        <v>13</v>
      </c>
      <c r="E376" s="3">
        <v>0</v>
      </c>
      <c r="F376" s="3">
        <v>0</v>
      </c>
      <c r="G376" s="3">
        <v>0</v>
      </c>
      <c r="H376" s="3">
        <v>11739.02</v>
      </c>
      <c r="I376" s="3">
        <v>6130.31</v>
      </c>
      <c r="J376" s="1" t="s">
        <v>106</v>
      </c>
      <c r="K376" s="28"/>
      <c r="L376" s="28"/>
    </row>
    <row r="377" spans="1:12"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c r="L377" s="28"/>
    </row>
    <row r="378" spans="1:12"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c r="L378" s="28"/>
    </row>
    <row r="379" spans="1:12"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c r="L379" s="28"/>
    </row>
    <row r="380" spans="1:12"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c r="L380" s="28"/>
    </row>
    <row r="381" spans="1:12"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c r="L381" s="28"/>
    </row>
    <row r="382" spans="1:12"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c r="L382" s="28"/>
    </row>
    <row r="383" spans="1:12" s="2" customFormat="1" ht="24.95" customHeight="1" x14ac:dyDescent="0.25">
      <c r="A383" s="31" t="s">
        <v>1136</v>
      </c>
      <c r="B383" s="1" t="s">
        <v>1137</v>
      </c>
      <c r="C383" s="1" t="s">
        <v>1138</v>
      </c>
      <c r="D383" s="1" t="s">
        <v>13</v>
      </c>
      <c r="E383" s="3">
        <v>3250.89</v>
      </c>
      <c r="F383" s="3">
        <v>0</v>
      </c>
      <c r="G383" s="3">
        <v>0</v>
      </c>
      <c r="H383" s="3">
        <v>0</v>
      </c>
      <c r="I383" s="3">
        <v>0</v>
      </c>
      <c r="J383" s="1" t="s">
        <v>79</v>
      </c>
      <c r="K383" s="28"/>
      <c r="L383" s="28"/>
    </row>
    <row r="384" spans="1:12"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c r="L384" s="28"/>
    </row>
    <row r="385" spans="1:12" s="2" customFormat="1" ht="24.95" customHeight="1" x14ac:dyDescent="0.25">
      <c r="A385" s="31" t="s">
        <v>1142</v>
      </c>
      <c r="B385" s="1" t="s">
        <v>1143</v>
      </c>
      <c r="C385" s="1" t="s">
        <v>1144</v>
      </c>
      <c r="D385" s="1" t="s">
        <v>18</v>
      </c>
      <c r="E385" s="3">
        <v>986.44</v>
      </c>
      <c r="F385" s="3">
        <v>0</v>
      </c>
      <c r="G385" s="3">
        <v>0</v>
      </c>
      <c r="H385" s="3">
        <v>0</v>
      </c>
      <c r="I385" s="3">
        <v>0</v>
      </c>
      <c r="J385" s="1" t="s">
        <v>19</v>
      </c>
      <c r="K385" s="28"/>
      <c r="L385" s="28"/>
    </row>
    <row r="386" spans="1:12" s="2" customFormat="1" ht="24.95" customHeight="1" x14ac:dyDescent="0.25">
      <c r="A386" s="31" t="s">
        <v>1145</v>
      </c>
      <c r="B386" s="1" t="s">
        <v>1146</v>
      </c>
      <c r="C386" s="1" t="s">
        <v>1147</v>
      </c>
      <c r="D386" s="1" t="s">
        <v>3</v>
      </c>
      <c r="E386" s="3">
        <v>4775.37</v>
      </c>
      <c r="F386" s="3">
        <v>0</v>
      </c>
      <c r="G386" s="3">
        <v>0</v>
      </c>
      <c r="H386" s="3">
        <v>0</v>
      </c>
      <c r="I386" s="3">
        <v>0</v>
      </c>
      <c r="J386" s="1" t="s">
        <v>24</v>
      </c>
      <c r="K386" s="28"/>
      <c r="L386" s="28"/>
    </row>
    <row r="387" spans="1:12"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c r="L387" s="28"/>
    </row>
    <row r="388" spans="1:12" s="2" customFormat="1" ht="24.95" customHeight="1" x14ac:dyDescent="0.25">
      <c r="A388" s="31" t="s">
        <v>1151</v>
      </c>
      <c r="B388" s="1" t="s">
        <v>1152</v>
      </c>
      <c r="C388" s="1" t="s">
        <v>1153</v>
      </c>
      <c r="D388" s="1" t="s">
        <v>13</v>
      </c>
      <c r="E388" s="3">
        <v>0</v>
      </c>
      <c r="F388" s="3">
        <v>1219.04</v>
      </c>
      <c r="G388" s="3">
        <v>0</v>
      </c>
      <c r="H388" s="3">
        <v>0</v>
      </c>
      <c r="I388" s="3">
        <v>0</v>
      </c>
      <c r="J388" s="1" t="s">
        <v>106</v>
      </c>
      <c r="K388" s="28"/>
      <c r="L388" s="28"/>
    </row>
    <row r="389" spans="1:12" s="2" customFormat="1" ht="24.95" customHeight="1" x14ac:dyDescent="0.25">
      <c r="A389" s="31" t="s">
        <v>1154</v>
      </c>
      <c r="B389" s="1" t="s">
        <v>1155</v>
      </c>
      <c r="C389" s="1" t="s">
        <v>1156</v>
      </c>
      <c r="D389" s="1" t="s">
        <v>23</v>
      </c>
      <c r="E389" s="3">
        <v>0</v>
      </c>
      <c r="F389" s="3">
        <v>0</v>
      </c>
      <c r="G389" s="3">
        <v>0</v>
      </c>
      <c r="H389" s="3">
        <v>7275.62</v>
      </c>
      <c r="I389" s="3">
        <v>12014.34</v>
      </c>
      <c r="J389" s="1" t="s">
        <v>37</v>
      </c>
      <c r="K389" s="28"/>
      <c r="L389" s="28"/>
    </row>
    <row r="390" spans="1:12"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c r="L390" s="28"/>
    </row>
    <row r="391" spans="1:12"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c r="L391" s="28"/>
    </row>
    <row r="392" spans="1:12"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c r="L392" s="28"/>
    </row>
    <row r="393" spans="1:12" s="2" customFormat="1" ht="24.95" customHeight="1" x14ac:dyDescent="0.25">
      <c r="A393" s="31" t="s">
        <v>1166</v>
      </c>
      <c r="B393" s="1" t="s">
        <v>1167</v>
      </c>
      <c r="C393" s="1" t="s">
        <v>1168</v>
      </c>
      <c r="D393" s="1" t="s">
        <v>3027</v>
      </c>
      <c r="E393" s="3">
        <v>2600.17</v>
      </c>
      <c r="F393" s="3">
        <v>0</v>
      </c>
      <c r="G393" s="3">
        <v>0</v>
      </c>
      <c r="H393" s="3">
        <v>0</v>
      </c>
      <c r="I393" s="3">
        <v>6539.14</v>
      </c>
      <c r="J393" s="1" t="s">
        <v>37</v>
      </c>
      <c r="K393" s="28"/>
      <c r="L393" s="28"/>
    </row>
    <row r="394" spans="1:12"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c r="L394" s="28"/>
    </row>
    <row r="395" spans="1:12" s="2" customFormat="1" ht="24.95" customHeight="1" x14ac:dyDescent="0.25">
      <c r="A395" s="31" t="s">
        <v>1172</v>
      </c>
      <c r="B395" s="1" t="s">
        <v>1173</v>
      </c>
      <c r="C395" s="1" t="s">
        <v>1174</v>
      </c>
      <c r="D395" s="1" t="s">
        <v>3</v>
      </c>
      <c r="E395" s="3">
        <v>0</v>
      </c>
      <c r="F395" s="3">
        <v>1880.3</v>
      </c>
      <c r="G395" s="3">
        <v>2741.96</v>
      </c>
      <c r="H395" s="3">
        <v>0</v>
      </c>
      <c r="I395" s="3">
        <v>6932.29</v>
      </c>
      <c r="J395" s="1" t="s">
        <v>19</v>
      </c>
      <c r="K395" s="28"/>
      <c r="L395" s="28"/>
    </row>
    <row r="396" spans="1:12"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c r="L396" s="28"/>
    </row>
    <row r="397" spans="1:12"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c r="L397" s="28"/>
    </row>
    <row r="398" spans="1:12"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c r="L398" s="28"/>
    </row>
    <row r="399" spans="1:12" s="2" customFormat="1" ht="24.95" customHeight="1" x14ac:dyDescent="0.25">
      <c r="A399" s="31" t="s">
        <v>1184</v>
      </c>
      <c r="B399" s="1" t="s">
        <v>1185</v>
      </c>
      <c r="C399" s="1" t="s">
        <v>1186</v>
      </c>
      <c r="D399" s="1" t="s">
        <v>8</v>
      </c>
      <c r="E399" s="3">
        <v>0</v>
      </c>
      <c r="F399" s="3">
        <v>0</v>
      </c>
      <c r="G399" s="3">
        <v>0</v>
      </c>
      <c r="H399" s="3">
        <v>11793.56</v>
      </c>
      <c r="I399" s="3">
        <v>0</v>
      </c>
      <c r="J399" s="1" t="s">
        <v>93</v>
      </c>
      <c r="K399" s="28"/>
      <c r="L399" s="28"/>
    </row>
    <row r="400" spans="1:12" s="2" customFormat="1" ht="24.95" customHeight="1" x14ac:dyDescent="0.25">
      <c r="A400" s="31" t="s">
        <v>1187</v>
      </c>
      <c r="B400" s="1" t="s">
        <v>1188</v>
      </c>
      <c r="C400" s="1" t="s">
        <v>1189</v>
      </c>
      <c r="D400" s="1" t="s">
        <v>8</v>
      </c>
      <c r="E400" s="3">
        <v>6143.1</v>
      </c>
      <c r="F400" s="3">
        <v>0</v>
      </c>
      <c r="G400" s="3">
        <v>0</v>
      </c>
      <c r="H400" s="3">
        <v>0</v>
      </c>
      <c r="I400" s="3">
        <v>12863.37</v>
      </c>
      <c r="J400" s="1" t="s">
        <v>48</v>
      </c>
      <c r="K400" s="28"/>
      <c r="L400" s="28"/>
    </row>
    <row r="401" spans="1:12" s="2" customFormat="1" ht="24.95" customHeight="1" x14ac:dyDescent="0.25">
      <c r="A401" s="31" t="s">
        <v>1190</v>
      </c>
      <c r="B401" s="1" t="s">
        <v>1191</v>
      </c>
      <c r="C401" s="1" t="s">
        <v>1192</v>
      </c>
      <c r="D401" s="1" t="s">
        <v>8</v>
      </c>
      <c r="E401" s="3">
        <v>3359.98</v>
      </c>
      <c r="F401" s="3">
        <v>0</v>
      </c>
      <c r="G401" s="3">
        <v>0</v>
      </c>
      <c r="H401" s="3">
        <v>0</v>
      </c>
      <c r="I401" s="3">
        <v>0</v>
      </c>
      <c r="J401" s="1" t="s">
        <v>4</v>
      </c>
      <c r="K401" s="28"/>
      <c r="L401" s="28"/>
    </row>
    <row r="402" spans="1:12"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c r="L402" s="28"/>
    </row>
    <row r="403" spans="1:12" s="2" customFormat="1" ht="24.95" customHeight="1" x14ac:dyDescent="0.25">
      <c r="A403" s="31" t="s">
        <v>1196</v>
      </c>
      <c r="B403" s="1" t="s">
        <v>1197</v>
      </c>
      <c r="C403" s="1" t="s">
        <v>1198</v>
      </c>
      <c r="D403" s="1" t="s">
        <v>13</v>
      </c>
      <c r="E403" s="3">
        <v>0</v>
      </c>
      <c r="F403" s="3">
        <v>0</v>
      </c>
      <c r="G403" s="3">
        <v>0</v>
      </c>
      <c r="H403" s="3">
        <v>0</v>
      </c>
      <c r="I403" s="3">
        <v>9406.52</v>
      </c>
      <c r="J403" s="1" t="s">
        <v>4</v>
      </c>
      <c r="K403" s="28"/>
      <c r="L403" s="28"/>
    </row>
    <row r="404" spans="1:12" s="2" customFormat="1" ht="24.95" customHeight="1" x14ac:dyDescent="0.25">
      <c r="A404" s="31" t="s">
        <v>1199</v>
      </c>
      <c r="B404" s="1" t="s">
        <v>1200</v>
      </c>
      <c r="C404" s="1" t="s">
        <v>1201</v>
      </c>
      <c r="D404" s="1" t="s">
        <v>18</v>
      </c>
      <c r="E404" s="3">
        <v>0</v>
      </c>
      <c r="F404" s="3">
        <v>0</v>
      </c>
      <c r="G404" s="3">
        <v>2238.35</v>
      </c>
      <c r="H404" s="3">
        <v>0</v>
      </c>
      <c r="I404" s="3">
        <v>0</v>
      </c>
      <c r="J404" s="1" t="s">
        <v>9</v>
      </c>
      <c r="K404" s="28"/>
      <c r="L404" s="28"/>
    </row>
    <row r="405" spans="1:12" s="2" customFormat="1" ht="24.95" customHeight="1" x14ac:dyDescent="0.25">
      <c r="A405" s="31" t="s">
        <v>1202</v>
      </c>
      <c r="B405" s="1" t="s">
        <v>1203</v>
      </c>
      <c r="C405" s="1" t="s">
        <v>1204</v>
      </c>
      <c r="D405" s="1" t="s">
        <v>13</v>
      </c>
      <c r="E405" s="3">
        <v>0</v>
      </c>
      <c r="F405" s="3">
        <v>0</v>
      </c>
      <c r="G405" s="3">
        <v>925.77</v>
      </c>
      <c r="H405" s="3">
        <v>0</v>
      </c>
      <c r="I405" s="3">
        <v>0</v>
      </c>
      <c r="J405" s="1" t="s">
        <v>4</v>
      </c>
      <c r="K405" s="28"/>
      <c r="L405" s="28"/>
    </row>
    <row r="406" spans="1:12" s="2" customFormat="1" ht="24.95" customHeight="1" x14ac:dyDescent="0.25">
      <c r="A406" s="31" t="s">
        <v>1205</v>
      </c>
      <c r="B406" s="1" t="s">
        <v>1206</v>
      </c>
      <c r="C406" s="1" t="s">
        <v>1207</v>
      </c>
      <c r="D406" s="1" t="s">
        <v>3</v>
      </c>
      <c r="E406" s="3">
        <v>3901.78</v>
      </c>
      <c r="F406" s="3">
        <v>4341.04</v>
      </c>
      <c r="G406" s="3">
        <v>0</v>
      </c>
      <c r="H406" s="3">
        <v>0</v>
      </c>
      <c r="I406" s="3">
        <v>0</v>
      </c>
      <c r="J406" s="1" t="s">
        <v>4</v>
      </c>
      <c r="K406" s="28"/>
      <c r="L406" s="28"/>
    </row>
    <row r="407" spans="1:12"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c r="L407" s="28"/>
    </row>
    <row r="408" spans="1:12"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c r="L408" s="28"/>
    </row>
    <row r="409" spans="1:12" s="2" customFormat="1" ht="24.95" customHeight="1" x14ac:dyDescent="0.25">
      <c r="A409" s="31" t="s">
        <v>1214</v>
      </c>
      <c r="B409" s="1" t="s">
        <v>1215</v>
      </c>
      <c r="C409" s="1" t="s">
        <v>1216</v>
      </c>
      <c r="D409" s="1" t="s">
        <v>8</v>
      </c>
      <c r="E409" s="3">
        <v>0</v>
      </c>
      <c r="F409" s="3">
        <v>0</v>
      </c>
      <c r="G409" s="3">
        <v>874.85</v>
      </c>
      <c r="H409" s="3">
        <v>0</v>
      </c>
      <c r="I409" s="3">
        <v>0</v>
      </c>
      <c r="J409" s="1" t="s">
        <v>14</v>
      </c>
      <c r="K409" s="28"/>
      <c r="L409" s="28"/>
    </row>
    <row r="410" spans="1:12"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c r="L410" s="28"/>
    </row>
    <row r="411" spans="1:12" s="2" customFormat="1" ht="24.95" customHeight="1" x14ac:dyDescent="0.25">
      <c r="A411" s="31" t="s">
        <v>1220</v>
      </c>
      <c r="B411" s="1" t="s">
        <v>1221</v>
      </c>
      <c r="C411" s="1" t="s">
        <v>1222</v>
      </c>
      <c r="D411" s="1" t="s">
        <v>3027</v>
      </c>
      <c r="E411" s="3">
        <v>0</v>
      </c>
      <c r="F411" s="3">
        <v>0</v>
      </c>
      <c r="G411" s="3">
        <v>453.92</v>
      </c>
      <c r="H411" s="3">
        <v>7842.85</v>
      </c>
      <c r="I411" s="3">
        <v>0</v>
      </c>
      <c r="J411" s="1" t="s">
        <v>41</v>
      </c>
      <c r="K411" s="28"/>
      <c r="L411" s="28"/>
    </row>
    <row r="412" spans="1:12" s="2" customFormat="1" ht="24.95" customHeight="1" x14ac:dyDescent="0.25">
      <c r="A412" s="31" t="s">
        <v>1223</v>
      </c>
      <c r="B412" s="1" t="s">
        <v>1224</v>
      </c>
      <c r="C412" s="1" t="s">
        <v>1225</v>
      </c>
      <c r="D412" s="1" t="s">
        <v>13</v>
      </c>
      <c r="E412" s="3">
        <v>0</v>
      </c>
      <c r="F412" s="3">
        <v>0</v>
      </c>
      <c r="G412" s="3">
        <v>0</v>
      </c>
      <c r="H412" s="3">
        <v>3891.26</v>
      </c>
      <c r="I412" s="3">
        <v>0</v>
      </c>
      <c r="J412" s="1" t="s">
        <v>4</v>
      </c>
      <c r="K412" s="28"/>
      <c r="L412" s="28"/>
    </row>
    <row r="413" spans="1:12"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c r="L413" s="28"/>
    </row>
    <row r="414" spans="1:12"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c r="L414" s="28"/>
    </row>
    <row r="415" spans="1:12"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c r="L415" s="28"/>
    </row>
    <row r="416" spans="1:12"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c r="L416" s="28"/>
    </row>
    <row r="417" spans="1:12"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c r="L417" s="28"/>
    </row>
    <row r="418" spans="1:12"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c r="L418" s="28"/>
    </row>
    <row r="419" spans="1:12" s="2" customFormat="1" ht="24.95" customHeight="1" x14ac:dyDescent="0.25">
      <c r="A419" s="31" t="s">
        <v>1244</v>
      </c>
      <c r="B419" s="1" t="s">
        <v>1245</v>
      </c>
      <c r="C419" s="1" t="s">
        <v>1246</v>
      </c>
      <c r="D419" s="1" t="s">
        <v>3</v>
      </c>
      <c r="E419" s="3">
        <v>0</v>
      </c>
      <c r="F419" s="3">
        <v>0</v>
      </c>
      <c r="G419" s="3">
        <v>135.16</v>
      </c>
      <c r="H419" s="3">
        <v>4087.1</v>
      </c>
      <c r="I419" s="3">
        <v>7208.04</v>
      </c>
      <c r="J419" s="1" t="s">
        <v>86</v>
      </c>
      <c r="K419" s="28"/>
      <c r="L419" s="28"/>
    </row>
    <row r="420" spans="1:12" s="2" customFormat="1" ht="24.95" customHeight="1" x14ac:dyDescent="0.25">
      <c r="A420" s="31" t="s">
        <v>1247</v>
      </c>
      <c r="B420" s="1" t="s">
        <v>1248</v>
      </c>
      <c r="C420" s="1" t="s">
        <v>1249</v>
      </c>
      <c r="D420" s="1" t="s">
        <v>3027</v>
      </c>
      <c r="E420" s="3">
        <v>0</v>
      </c>
      <c r="F420" s="3">
        <v>0</v>
      </c>
      <c r="G420" s="3">
        <v>1995.06</v>
      </c>
      <c r="H420" s="3">
        <v>0</v>
      </c>
      <c r="I420" s="3">
        <v>0</v>
      </c>
      <c r="J420" s="1" t="s">
        <v>106</v>
      </c>
      <c r="K420" s="28"/>
      <c r="L420" s="28"/>
    </row>
    <row r="421" spans="1:12"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c r="L421" s="28"/>
    </row>
    <row r="422" spans="1:12" s="2" customFormat="1" ht="24.95" customHeight="1" x14ac:dyDescent="0.25">
      <c r="A422" s="31" t="s">
        <v>1253</v>
      </c>
      <c r="B422" s="1" t="s">
        <v>1254</v>
      </c>
      <c r="C422" s="1" t="s">
        <v>1255</v>
      </c>
      <c r="D422" s="1" t="s">
        <v>13</v>
      </c>
      <c r="E422" s="3">
        <v>0</v>
      </c>
      <c r="F422" s="3">
        <v>4955.57</v>
      </c>
      <c r="G422" s="3">
        <v>0</v>
      </c>
      <c r="H422" s="3">
        <v>0</v>
      </c>
      <c r="I422" s="3">
        <v>0</v>
      </c>
      <c r="J422" s="1" t="s">
        <v>19</v>
      </c>
      <c r="K422" s="28"/>
      <c r="L422" s="28"/>
    </row>
    <row r="423" spans="1:12" s="2" customFormat="1" ht="24.95" customHeight="1" x14ac:dyDescent="0.25">
      <c r="A423" s="31" t="s">
        <v>1256</v>
      </c>
      <c r="B423" s="1" t="s">
        <v>1257</v>
      </c>
      <c r="C423" s="1" t="s">
        <v>1258</v>
      </c>
      <c r="D423" s="1" t="s">
        <v>3027</v>
      </c>
      <c r="E423" s="3">
        <v>0</v>
      </c>
      <c r="F423" s="3">
        <v>0</v>
      </c>
      <c r="G423" s="3">
        <v>1126.97</v>
      </c>
      <c r="H423" s="3">
        <v>0</v>
      </c>
      <c r="I423" s="3">
        <v>0</v>
      </c>
      <c r="J423" s="1" t="s">
        <v>86</v>
      </c>
      <c r="K423" s="28"/>
      <c r="L423" s="28"/>
    </row>
    <row r="424" spans="1:12" s="2" customFormat="1" ht="24.95" customHeight="1" x14ac:dyDescent="0.25">
      <c r="A424" s="31" t="s">
        <v>1259</v>
      </c>
      <c r="B424" s="1" t="s">
        <v>1260</v>
      </c>
      <c r="C424" s="1" t="s">
        <v>1261</v>
      </c>
      <c r="D424" s="1" t="s">
        <v>18</v>
      </c>
      <c r="E424" s="3">
        <v>0</v>
      </c>
      <c r="F424" s="3">
        <v>0</v>
      </c>
      <c r="G424" s="3">
        <v>0</v>
      </c>
      <c r="H424" s="3">
        <v>0</v>
      </c>
      <c r="I424" s="3">
        <v>3652.67</v>
      </c>
      <c r="J424" s="1" t="s">
        <v>37</v>
      </c>
      <c r="K424" s="28"/>
      <c r="L424" s="28"/>
    </row>
    <row r="425" spans="1:12"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c r="L425" s="28"/>
    </row>
    <row r="426" spans="1:12" s="2" customFormat="1" ht="24.95" customHeight="1" x14ac:dyDescent="0.25">
      <c r="A426" s="31" t="s">
        <v>1265</v>
      </c>
      <c r="B426" s="1" t="s">
        <v>1266</v>
      </c>
      <c r="C426" s="1" t="s">
        <v>1267</v>
      </c>
      <c r="D426" s="1" t="s">
        <v>8</v>
      </c>
      <c r="E426" s="3">
        <v>0</v>
      </c>
      <c r="F426" s="3">
        <v>0</v>
      </c>
      <c r="G426" s="3">
        <v>1677.46</v>
      </c>
      <c r="H426" s="3">
        <v>0</v>
      </c>
      <c r="I426" s="3">
        <v>2932.8</v>
      </c>
      <c r="J426" s="1" t="s">
        <v>24</v>
      </c>
      <c r="K426" s="28"/>
      <c r="L426" s="28"/>
    </row>
    <row r="427" spans="1:12"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c r="L427" s="28"/>
    </row>
    <row r="428" spans="1:12" s="2" customFormat="1" ht="24.95" customHeight="1" x14ac:dyDescent="0.25">
      <c r="A428" s="31" t="s">
        <v>1271</v>
      </c>
      <c r="B428" s="1" t="s">
        <v>1272</v>
      </c>
      <c r="C428" s="1" t="s">
        <v>1273</v>
      </c>
      <c r="D428" s="1" t="s">
        <v>23</v>
      </c>
      <c r="E428" s="3">
        <v>0</v>
      </c>
      <c r="F428" s="3">
        <v>0</v>
      </c>
      <c r="G428" s="3">
        <v>2744.68</v>
      </c>
      <c r="H428" s="3">
        <v>0</v>
      </c>
      <c r="I428" s="3">
        <v>0</v>
      </c>
      <c r="J428" s="1" t="s">
        <v>24</v>
      </c>
      <c r="K428" s="28"/>
      <c r="L428" s="28"/>
    </row>
    <row r="429" spans="1:12"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c r="L429" s="28"/>
    </row>
    <row r="430" spans="1:12"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c r="L430" s="28"/>
    </row>
    <row r="431" spans="1:12" s="2" customFormat="1" ht="24.95" customHeight="1" x14ac:dyDescent="0.25">
      <c r="A431" s="31" t="s">
        <v>1280</v>
      </c>
      <c r="B431" s="1" t="s">
        <v>1281</v>
      </c>
      <c r="C431" s="1" t="s">
        <v>1282</v>
      </c>
      <c r="D431" s="1" t="s">
        <v>18</v>
      </c>
      <c r="E431" s="3">
        <v>0</v>
      </c>
      <c r="F431" s="3">
        <v>0</v>
      </c>
      <c r="G431" s="3">
        <v>236.14</v>
      </c>
      <c r="H431" s="3">
        <v>1910.16</v>
      </c>
      <c r="I431" s="3">
        <v>0</v>
      </c>
      <c r="J431" s="1" t="s">
        <v>19</v>
      </c>
      <c r="K431" s="28"/>
      <c r="L431" s="28"/>
    </row>
    <row r="432" spans="1:12" s="2" customFormat="1" ht="24.95" customHeight="1" x14ac:dyDescent="0.25">
      <c r="A432" s="31" t="s">
        <v>1283</v>
      </c>
      <c r="B432" s="1" t="s">
        <v>1284</v>
      </c>
      <c r="C432" s="1" t="s">
        <v>1285</v>
      </c>
      <c r="D432" s="1" t="s">
        <v>3027</v>
      </c>
      <c r="E432" s="3">
        <v>0</v>
      </c>
      <c r="F432" s="3">
        <v>0</v>
      </c>
      <c r="G432" s="3">
        <v>0</v>
      </c>
      <c r="H432" s="3">
        <v>0</v>
      </c>
      <c r="I432" s="3">
        <v>14773.57</v>
      </c>
      <c r="J432" s="1" t="s">
        <v>19</v>
      </c>
      <c r="K432" s="28"/>
      <c r="L432" s="28"/>
    </row>
    <row r="433" spans="1:12" s="2" customFormat="1" ht="24.95" customHeight="1" x14ac:dyDescent="0.25">
      <c r="A433" s="31" t="s">
        <v>1286</v>
      </c>
      <c r="B433" s="1" t="s">
        <v>1287</v>
      </c>
      <c r="C433" s="1" t="s">
        <v>1288</v>
      </c>
      <c r="D433" s="1" t="s">
        <v>3027</v>
      </c>
      <c r="E433" s="3">
        <v>6686.36</v>
      </c>
      <c r="F433" s="3">
        <v>0</v>
      </c>
      <c r="G433" s="3">
        <v>0</v>
      </c>
      <c r="H433" s="3">
        <v>0</v>
      </c>
      <c r="I433" s="3">
        <v>14052.74</v>
      </c>
      <c r="J433" s="1" t="s">
        <v>79</v>
      </c>
      <c r="K433" s="28"/>
      <c r="L433" s="28"/>
    </row>
    <row r="434" spans="1:12"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c r="L434" s="28"/>
    </row>
    <row r="435" spans="1:12" s="2" customFormat="1" ht="24.95" customHeight="1" x14ac:dyDescent="0.25">
      <c r="A435" s="31" t="s">
        <v>1292</v>
      </c>
      <c r="B435" s="1" t="s">
        <v>1293</v>
      </c>
      <c r="C435" s="1" t="s">
        <v>1294</v>
      </c>
      <c r="D435" s="1" t="s">
        <v>8</v>
      </c>
      <c r="E435" s="3">
        <v>4281.62</v>
      </c>
      <c r="F435" s="3">
        <v>910.09</v>
      </c>
      <c r="G435" s="3">
        <v>862.86</v>
      </c>
      <c r="H435" s="3">
        <v>0</v>
      </c>
      <c r="I435" s="3">
        <v>0</v>
      </c>
      <c r="J435" s="1" t="s">
        <v>93</v>
      </c>
      <c r="K435" s="28"/>
      <c r="L435" s="28"/>
    </row>
    <row r="436" spans="1:12" s="2" customFormat="1" ht="24.95" customHeight="1" x14ac:dyDescent="0.25">
      <c r="A436" s="31" t="s">
        <v>1295</v>
      </c>
      <c r="B436" s="1" t="s">
        <v>1296</v>
      </c>
      <c r="C436" s="1" t="s">
        <v>1297</v>
      </c>
      <c r="D436" s="1" t="s">
        <v>13</v>
      </c>
      <c r="E436" s="3">
        <v>0</v>
      </c>
      <c r="F436" s="3">
        <v>0</v>
      </c>
      <c r="G436" s="3">
        <v>0</v>
      </c>
      <c r="H436" s="3">
        <v>11058.91</v>
      </c>
      <c r="I436" s="3">
        <v>4490.45</v>
      </c>
      <c r="J436" s="1" t="s">
        <v>37</v>
      </c>
      <c r="K436" s="28"/>
      <c r="L436" s="28"/>
    </row>
    <row r="437" spans="1:12" s="2" customFormat="1" ht="24.95" customHeight="1" x14ac:dyDescent="0.25">
      <c r="A437" s="31" t="s">
        <v>1298</v>
      </c>
      <c r="B437" s="1" t="s">
        <v>1299</v>
      </c>
      <c r="C437" s="1" t="s">
        <v>1300</v>
      </c>
      <c r="D437" s="1" t="s">
        <v>18</v>
      </c>
      <c r="E437" s="3">
        <v>6235.37</v>
      </c>
      <c r="F437" s="3">
        <v>0</v>
      </c>
      <c r="G437" s="3">
        <v>0</v>
      </c>
      <c r="H437" s="3">
        <v>6430.18</v>
      </c>
      <c r="I437" s="3">
        <v>0</v>
      </c>
      <c r="J437" s="1" t="s">
        <v>79</v>
      </c>
      <c r="K437" s="28"/>
      <c r="L437" s="28"/>
    </row>
    <row r="438" spans="1:12" s="2" customFormat="1" ht="24.95" customHeight="1" x14ac:dyDescent="0.25">
      <c r="A438" s="31" t="s">
        <v>1301</v>
      </c>
      <c r="B438" s="1" t="s">
        <v>1302</v>
      </c>
      <c r="C438" s="1" t="s">
        <v>1303</v>
      </c>
      <c r="D438" s="1" t="s">
        <v>13</v>
      </c>
      <c r="E438" s="3">
        <v>3471.11</v>
      </c>
      <c r="F438" s="3">
        <v>0</v>
      </c>
      <c r="G438" s="3">
        <v>0</v>
      </c>
      <c r="H438" s="3">
        <v>7727.55</v>
      </c>
      <c r="I438" s="3">
        <v>0</v>
      </c>
      <c r="J438" s="1" t="s">
        <v>41</v>
      </c>
      <c r="K438" s="28"/>
      <c r="L438" s="28"/>
    </row>
    <row r="439" spans="1:12" s="2" customFormat="1" ht="24.95" customHeight="1" x14ac:dyDescent="0.25">
      <c r="A439" s="31" t="s">
        <v>1304</v>
      </c>
      <c r="B439" s="1" t="s">
        <v>1305</v>
      </c>
      <c r="C439" s="1" t="s">
        <v>1306</v>
      </c>
      <c r="D439" s="1" t="s">
        <v>13</v>
      </c>
      <c r="E439" s="3">
        <v>0</v>
      </c>
      <c r="F439" s="3">
        <v>2010.58</v>
      </c>
      <c r="G439" s="3">
        <v>1554</v>
      </c>
      <c r="H439" s="3">
        <v>0</v>
      </c>
      <c r="I439" s="3">
        <v>0</v>
      </c>
      <c r="J439" s="1" t="s">
        <v>106</v>
      </c>
      <c r="K439" s="28"/>
      <c r="L439" s="28"/>
    </row>
    <row r="440" spans="1:12"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c r="L440" s="28"/>
    </row>
    <row r="441" spans="1:12"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c r="L441" s="28"/>
    </row>
    <row r="442" spans="1:12" s="2" customFormat="1" ht="24.95" customHeight="1" x14ac:dyDescent="0.25">
      <c r="A442" s="31" t="s">
        <v>1313</v>
      </c>
      <c r="B442" s="1" t="s">
        <v>1314</v>
      </c>
      <c r="C442" s="1" t="s">
        <v>1315</v>
      </c>
      <c r="D442" s="1" t="s">
        <v>13</v>
      </c>
      <c r="E442" s="3">
        <v>0</v>
      </c>
      <c r="F442" s="3">
        <v>0</v>
      </c>
      <c r="G442" s="3">
        <v>1925.17</v>
      </c>
      <c r="H442" s="3">
        <v>0</v>
      </c>
      <c r="I442" s="3">
        <v>0</v>
      </c>
      <c r="J442" s="1" t="s">
        <v>37</v>
      </c>
      <c r="K442" s="28"/>
      <c r="L442" s="28"/>
    </row>
    <row r="443" spans="1:12" s="2" customFormat="1" ht="24.95" customHeight="1" x14ac:dyDescent="0.25">
      <c r="A443" s="31" t="s">
        <v>1316</v>
      </c>
      <c r="B443" s="1" t="s">
        <v>1317</v>
      </c>
      <c r="C443" s="1" t="s">
        <v>1318</v>
      </c>
      <c r="D443" s="1" t="s">
        <v>23</v>
      </c>
      <c r="E443" s="3">
        <v>0</v>
      </c>
      <c r="F443" s="3">
        <v>1003.36</v>
      </c>
      <c r="G443" s="3">
        <v>0</v>
      </c>
      <c r="H443" s="3">
        <v>0</v>
      </c>
      <c r="I443" s="3">
        <v>0</v>
      </c>
      <c r="J443" s="1" t="s">
        <v>93</v>
      </c>
      <c r="K443" s="28"/>
      <c r="L443" s="28"/>
    </row>
    <row r="444" spans="1:12"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c r="L444" s="28"/>
    </row>
    <row r="445" spans="1:12"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c r="L445" s="28"/>
    </row>
    <row r="446" spans="1:12"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c r="L446" s="28"/>
    </row>
    <row r="447" spans="1:12" s="2" customFormat="1" ht="24.95" customHeight="1" x14ac:dyDescent="0.25">
      <c r="A447" s="31" t="s">
        <v>1328</v>
      </c>
      <c r="B447" s="1" t="s">
        <v>1329</v>
      </c>
      <c r="C447" s="1" t="s">
        <v>1330</v>
      </c>
      <c r="D447" s="1" t="s">
        <v>18</v>
      </c>
      <c r="E447" s="3">
        <v>0</v>
      </c>
      <c r="F447" s="3">
        <v>0</v>
      </c>
      <c r="G447" s="3">
        <v>1685.2</v>
      </c>
      <c r="H447" s="3">
        <v>0</v>
      </c>
      <c r="I447" s="3">
        <v>0</v>
      </c>
      <c r="J447" s="1" t="s">
        <v>48</v>
      </c>
      <c r="K447" s="28"/>
      <c r="L447" s="28"/>
    </row>
    <row r="448" spans="1:12"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c r="L448" s="28"/>
    </row>
    <row r="449" spans="1:12"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c r="L449" s="28"/>
    </row>
    <row r="450" spans="1:12" s="2" customFormat="1" ht="24.95" customHeight="1" x14ac:dyDescent="0.25">
      <c r="A450" s="31" t="s">
        <v>1337</v>
      </c>
      <c r="B450" s="1" t="s">
        <v>1338</v>
      </c>
      <c r="C450" s="1" t="s">
        <v>1339</v>
      </c>
      <c r="D450" s="1" t="s">
        <v>3</v>
      </c>
      <c r="E450" s="3">
        <v>0</v>
      </c>
      <c r="F450" s="3">
        <v>2209.37</v>
      </c>
      <c r="G450" s="3">
        <v>0</v>
      </c>
      <c r="H450" s="3">
        <v>0</v>
      </c>
      <c r="I450" s="3">
        <v>8523.4</v>
      </c>
      <c r="J450" s="1" t="s">
        <v>79</v>
      </c>
      <c r="K450" s="28"/>
      <c r="L450" s="28"/>
    </row>
    <row r="451" spans="1:12" s="2" customFormat="1" ht="24.95" customHeight="1" x14ac:dyDescent="0.25">
      <c r="A451" s="31" t="s">
        <v>1340</v>
      </c>
      <c r="B451" s="1" t="s">
        <v>1341</v>
      </c>
      <c r="C451" s="1" t="s">
        <v>1342</v>
      </c>
      <c r="D451" s="1" t="s">
        <v>3</v>
      </c>
      <c r="E451" s="3">
        <v>0</v>
      </c>
      <c r="F451" s="3">
        <v>0</v>
      </c>
      <c r="G451" s="3">
        <v>1526.37</v>
      </c>
      <c r="H451" s="3">
        <v>0</v>
      </c>
      <c r="I451" s="3">
        <v>13393.79</v>
      </c>
      <c r="J451" s="1" t="s">
        <v>79</v>
      </c>
      <c r="K451" s="28"/>
      <c r="L451" s="28"/>
    </row>
    <row r="452" spans="1:12"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c r="L452" s="28"/>
    </row>
    <row r="453" spans="1:12"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c r="L453" s="28"/>
    </row>
    <row r="454" spans="1:12" s="2" customFormat="1" ht="24.95" customHeight="1" x14ac:dyDescent="0.25">
      <c r="A454" s="31" t="s">
        <v>1349</v>
      </c>
      <c r="B454" s="1" t="s">
        <v>1350</v>
      </c>
      <c r="C454" s="1" t="s">
        <v>1351</v>
      </c>
      <c r="D454" s="1" t="s">
        <v>3027</v>
      </c>
      <c r="E454" s="3">
        <v>121.97</v>
      </c>
      <c r="F454" s="3">
        <v>0</v>
      </c>
      <c r="G454" s="3">
        <v>0</v>
      </c>
      <c r="H454" s="3">
        <v>3544.13</v>
      </c>
      <c r="I454" s="3">
        <v>0</v>
      </c>
      <c r="J454" s="1" t="s">
        <v>14</v>
      </c>
      <c r="K454" s="28"/>
      <c r="L454" s="28"/>
    </row>
    <row r="455" spans="1:12" s="2" customFormat="1" ht="24.95" customHeight="1" x14ac:dyDescent="0.25">
      <c r="A455" s="31" t="s">
        <v>1352</v>
      </c>
      <c r="B455" s="1" t="s">
        <v>1353</v>
      </c>
      <c r="C455" s="1" t="s">
        <v>1354</v>
      </c>
      <c r="D455" s="1" t="s">
        <v>23</v>
      </c>
      <c r="E455" s="3">
        <v>0</v>
      </c>
      <c r="F455" s="3">
        <v>0</v>
      </c>
      <c r="G455" s="3">
        <v>0</v>
      </c>
      <c r="H455" s="3">
        <v>0</v>
      </c>
      <c r="I455" s="3">
        <v>12706.24</v>
      </c>
      <c r="J455" s="1" t="s">
        <v>19</v>
      </c>
      <c r="K455" s="28"/>
      <c r="L455" s="28"/>
    </row>
    <row r="456" spans="1:12"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c r="L456" s="28"/>
    </row>
    <row r="457" spans="1:12" s="2" customFormat="1" ht="24.95" customHeight="1" x14ac:dyDescent="0.25">
      <c r="A457" s="31" t="s">
        <v>1358</v>
      </c>
      <c r="B457" s="1" t="s">
        <v>1359</v>
      </c>
      <c r="C457" s="1" t="s">
        <v>1360</v>
      </c>
      <c r="D457" s="1" t="s">
        <v>18</v>
      </c>
      <c r="E457" s="3">
        <v>0</v>
      </c>
      <c r="F457" s="3">
        <v>1795.7</v>
      </c>
      <c r="G457" s="3">
        <v>1973.5</v>
      </c>
      <c r="H457" s="3">
        <v>0</v>
      </c>
      <c r="I457" s="3">
        <v>0</v>
      </c>
      <c r="J457" s="1" t="s">
        <v>4</v>
      </c>
      <c r="K457" s="28"/>
      <c r="L457" s="28"/>
    </row>
    <row r="458" spans="1:12"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c r="L458" s="28"/>
    </row>
    <row r="459" spans="1:12"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c r="L459" s="28"/>
    </row>
    <row r="460" spans="1:12" s="2" customFormat="1" ht="24.95" customHeight="1" x14ac:dyDescent="0.25">
      <c r="A460" s="31" t="s">
        <v>1367</v>
      </c>
      <c r="B460" s="1" t="s">
        <v>1368</v>
      </c>
      <c r="C460" s="1" t="s">
        <v>1369</v>
      </c>
      <c r="D460" s="1" t="s">
        <v>13</v>
      </c>
      <c r="E460" s="3">
        <v>0</v>
      </c>
      <c r="F460" s="3">
        <v>0</v>
      </c>
      <c r="G460" s="3">
        <v>1843.66</v>
      </c>
      <c r="H460" s="3">
        <v>0</v>
      </c>
      <c r="I460" s="3">
        <v>0</v>
      </c>
      <c r="J460" s="1" t="s">
        <v>9</v>
      </c>
      <c r="K460" s="28"/>
      <c r="L460" s="28"/>
    </row>
    <row r="461" spans="1:12"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c r="L461" s="28"/>
    </row>
    <row r="462" spans="1:12"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c r="L462" s="28"/>
    </row>
    <row r="463" spans="1:12"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c r="L463" s="28"/>
    </row>
    <row r="464" spans="1:12" s="2" customFormat="1" ht="24.95" customHeight="1" x14ac:dyDescent="0.25">
      <c r="A464" s="31" t="s">
        <v>1379</v>
      </c>
      <c r="B464" s="1" t="s">
        <v>1380</v>
      </c>
      <c r="C464" s="1" t="s">
        <v>1381</v>
      </c>
      <c r="D464" s="1" t="s">
        <v>8</v>
      </c>
      <c r="E464" s="3">
        <v>1320.07</v>
      </c>
      <c r="F464" s="3">
        <v>0</v>
      </c>
      <c r="G464" s="3">
        <v>0</v>
      </c>
      <c r="H464" s="3">
        <v>0</v>
      </c>
      <c r="I464" s="3">
        <v>4177.3</v>
      </c>
      <c r="J464" s="1" t="s">
        <v>86</v>
      </c>
      <c r="K464" s="28"/>
      <c r="L464" s="28"/>
    </row>
    <row r="465" spans="1:12"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c r="L465" s="28"/>
    </row>
    <row r="466" spans="1:12" s="2" customFormat="1" ht="24.95" customHeight="1" x14ac:dyDescent="0.25">
      <c r="A466" s="31" t="s">
        <v>1385</v>
      </c>
      <c r="B466" s="1" t="s">
        <v>1386</v>
      </c>
      <c r="C466" s="1" t="s">
        <v>1387</v>
      </c>
      <c r="D466" s="1" t="s">
        <v>23</v>
      </c>
      <c r="E466" s="3">
        <v>5526.63</v>
      </c>
      <c r="F466" s="3">
        <v>0</v>
      </c>
      <c r="G466" s="3">
        <v>0</v>
      </c>
      <c r="H466" s="3">
        <v>0</v>
      </c>
      <c r="I466" s="3">
        <v>9865.76</v>
      </c>
      <c r="J466" s="1" t="s">
        <v>4</v>
      </c>
      <c r="K466" s="28"/>
      <c r="L466" s="28"/>
    </row>
    <row r="467" spans="1:12"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c r="L467" s="28"/>
    </row>
    <row r="468" spans="1:12" s="2" customFormat="1" ht="24.95" customHeight="1" x14ac:dyDescent="0.25">
      <c r="A468" s="31" t="s">
        <v>1391</v>
      </c>
      <c r="B468" s="1" t="s">
        <v>1392</v>
      </c>
      <c r="C468" s="1" t="s">
        <v>1393</v>
      </c>
      <c r="D468" s="1" t="s">
        <v>8</v>
      </c>
      <c r="E468" s="3">
        <v>1558.38</v>
      </c>
      <c r="F468" s="3">
        <v>2469.9</v>
      </c>
      <c r="G468" s="3">
        <v>409.28</v>
      </c>
      <c r="H468" s="3">
        <v>0</v>
      </c>
      <c r="I468" s="3">
        <v>0</v>
      </c>
      <c r="J468" s="1" t="s">
        <v>79</v>
      </c>
      <c r="K468" s="28"/>
      <c r="L468" s="28"/>
    </row>
    <row r="469" spans="1:12"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c r="L469" s="28"/>
    </row>
    <row r="470" spans="1:12"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c r="L470" s="28"/>
    </row>
    <row r="471" spans="1:12"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c r="L471" s="28"/>
    </row>
    <row r="472" spans="1:12"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c r="L472" s="28"/>
    </row>
    <row r="473" spans="1:12"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c r="L473" s="28"/>
    </row>
    <row r="474" spans="1:12"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c r="L474" s="28"/>
    </row>
    <row r="475" spans="1:12" s="2" customFormat="1" ht="24.95" customHeight="1" x14ac:dyDescent="0.25">
      <c r="A475" s="31" t="s">
        <v>1412</v>
      </c>
      <c r="B475" s="1" t="s">
        <v>1413</v>
      </c>
      <c r="C475" s="1" t="s">
        <v>1414</v>
      </c>
      <c r="D475" s="1" t="s">
        <v>3</v>
      </c>
      <c r="E475" s="3">
        <v>0</v>
      </c>
      <c r="F475" s="3">
        <v>3601.56</v>
      </c>
      <c r="G475" s="3">
        <v>0</v>
      </c>
      <c r="H475" s="3">
        <v>0</v>
      </c>
      <c r="I475" s="3">
        <v>0</v>
      </c>
      <c r="J475" s="1" t="s">
        <v>37</v>
      </c>
      <c r="K475" s="28"/>
      <c r="L475" s="28"/>
    </row>
    <row r="476" spans="1:12" s="2" customFormat="1" ht="24.95" customHeight="1" x14ac:dyDescent="0.25">
      <c r="A476" s="31" t="s">
        <v>1415</v>
      </c>
      <c r="B476" s="1" t="s">
        <v>1416</v>
      </c>
      <c r="C476" s="1" t="s">
        <v>1417</v>
      </c>
      <c r="D476" s="1" t="s">
        <v>3027</v>
      </c>
      <c r="E476" s="3">
        <v>5068.91</v>
      </c>
      <c r="F476" s="3">
        <v>0</v>
      </c>
      <c r="G476" s="3">
        <v>0</v>
      </c>
      <c r="H476" s="3">
        <v>0</v>
      </c>
      <c r="I476" s="3">
        <v>0</v>
      </c>
      <c r="J476" s="1" t="s">
        <v>14</v>
      </c>
      <c r="K476" s="28"/>
      <c r="L476" s="28"/>
    </row>
    <row r="477" spans="1:12"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c r="L477" s="28"/>
    </row>
    <row r="478" spans="1:12" s="2" customFormat="1" ht="24.95" customHeight="1" x14ac:dyDescent="0.25">
      <c r="A478" s="31" t="s">
        <v>1421</v>
      </c>
      <c r="B478" s="1" t="s">
        <v>1422</v>
      </c>
      <c r="C478" s="1" t="s">
        <v>1423</v>
      </c>
      <c r="D478" s="1" t="s">
        <v>18</v>
      </c>
      <c r="E478" s="3">
        <v>7217.37</v>
      </c>
      <c r="F478" s="3">
        <v>0</v>
      </c>
      <c r="G478" s="3">
        <v>0</v>
      </c>
      <c r="H478" s="3">
        <v>0</v>
      </c>
      <c r="I478" s="3">
        <v>3433.67</v>
      </c>
      <c r="J478" s="1" t="s">
        <v>19</v>
      </c>
      <c r="K478" s="28"/>
      <c r="L478" s="28"/>
    </row>
    <row r="479" spans="1:12" s="2" customFormat="1" ht="24.95" customHeight="1" x14ac:dyDescent="0.25">
      <c r="A479" s="31" t="s">
        <v>1424</v>
      </c>
      <c r="B479" s="1" t="s">
        <v>1425</v>
      </c>
      <c r="C479" s="1" t="s">
        <v>1426</v>
      </c>
      <c r="D479" s="1" t="s">
        <v>23</v>
      </c>
      <c r="E479" s="3">
        <v>0</v>
      </c>
      <c r="F479" s="3">
        <v>0</v>
      </c>
      <c r="G479" s="3">
        <v>955.87</v>
      </c>
      <c r="H479" s="3">
        <v>0</v>
      </c>
      <c r="I479" s="3">
        <v>0</v>
      </c>
      <c r="J479" s="1" t="s">
        <v>48</v>
      </c>
      <c r="K479" s="28"/>
      <c r="L479" s="28"/>
    </row>
    <row r="480" spans="1:12"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c r="L480" s="28"/>
    </row>
    <row r="481" spans="1:12"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c r="L481" s="28"/>
    </row>
    <row r="482" spans="1:12"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c r="L482" s="28"/>
    </row>
    <row r="483" spans="1:12"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c r="L483" s="28"/>
    </row>
    <row r="484" spans="1:12"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c r="L484" s="28"/>
    </row>
    <row r="485" spans="1:12"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c r="L485" s="28"/>
    </row>
    <row r="486" spans="1:12" s="2" customFormat="1" ht="24.95" customHeight="1" x14ac:dyDescent="0.25">
      <c r="A486" s="31" t="s">
        <v>1445</v>
      </c>
      <c r="B486" s="1" t="s">
        <v>1446</v>
      </c>
      <c r="C486" s="1" t="s">
        <v>1447</v>
      </c>
      <c r="D486" s="1" t="s">
        <v>18</v>
      </c>
      <c r="E486" s="3">
        <v>5650.02</v>
      </c>
      <c r="F486" s="3">
        <v>0</v>
      </c>
      <c r="G486" s="3">
        <v>0</v>
      </c>
      <c r="H486" s="3">
        <v>6009.04</v>
      </c>
      <c r="I486" s="3">
        <v>0</v>
      </c>
      <c r="J486" s="1" t="s">
        <v>86</v>
      </c>
      <c r="K486" s="28"/>
      <c r="L486" s="28"/>
    </row>
    <row r="487" spans="1:12" s="2" customFormat="1" ht="24.95" customHeight="1" x14ac:dyDescent="0.25">
      <c r="A487" s="31" t="s">
        <v>1448</v>
      </c>
      <c r="B487" s="1" t="s">
        <v>1449</v>
      </c>
      <c r="C487" s="1" t="s">
        <v>1450</v>
      </c>
      <c r="D487" s="1" t="s">
        <v>3027</v>
      </c>
      <c r="E487" s="3">
        <v>0</v>
      </c>
      <c r="F487" s="3">
        <v>0</v>
      </c>
      <c r="G487" s="3">
        <v>0</v>
      </c>
      <c r="H487" s="3">
        <v>2972.38</v>
      </c>
      <c r="I487" s="3">
        <v>0</v>
      </c>
      <c r="J487" s="1" t="s">
        <v>24</v>
      </c>
      <c r="K487" s="28"/>
      <c r="L487" s="28"/>
    </row>
    <row r="488" spans="1:12" s="2" customFormat="1" ht="24.95" customHeight="1" x14ac:dyDescent="0.25">
      <c r="A488" s="31" t="s">
        <v>1451</v>
      </c>
      <c r="B488" s="1" t="s">
        <v>1452</v>
      </c>
      <c r="C488" s="1" t="s">
        <v>1453</v>
      </c>
      <c r="D488" s="1" t="s">
        <v>23</v>
      </c>
      <c r="E488" s="3">
        <v>7939.46</v>
      </c>
      <c r="F488" s="3">
        <v>0</v>
      </c>
      <c r="G488" s="3">
        <v>0</v>
      </c>
      <c r="H488" s="3">
        <v>8206.58</v>
      </c>
      <c r="I488" s="3">
        <v>0</v>
      </c>
      <c r="J488" s="1" t="s">
        <v>93</v>
      </c>
      <c r="K488" s="28"/>
      <c r="L488" s="28"/>
    </row>
    <row r="489" spans="1:12" s="2" customFormat="1" ht="24.95" customHeight="1" x14ac:dyDescent="0.25">
      <c r="A489" s="31" t="s">
        <v>1454</v>
      </c>
      <c r="B489" s="1" t="s">
        <v>1455</v>
      </c>
      <c r="C489" s="1" t="s">
        <v>1456</v>
      </c>
      <c r="D489" s="1" t="s">
        <v>3</v>
      </c>
      <c r="E489" s="3">
        <v>0</v>
      </c>
      <c r="F489" s="3">
        <v>0</v>
      </c>
      <c r="G489" s="3">
        <v>0</v>
      </c>
      <c r="H489" s="3">
        <v>1757.82</v>
      </c>
      <c r="I489" s="3">
        <v>0</v>
      </c>
      <c r="J489" s="1" t="s">
        <v>19</v>
      </c>
      <c r="K489" s="28"/>
      <c r="L489" s="28"/>
    </row>
    <row r="490" spans="1:12"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c r="L490" s="28"/>
    </row>
    <row r="491" spans="1:12"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c r="L491" s="28"/>
    </row>
    <row r="492" spans="1:12"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c r="L492" s="28"/>
    </row>
    <row r="493" spans="1:12"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c r="L493" s="28"/>
    </row>
    <row r="494" spans="1:12" s="2" customFormat="1" ht="24.95" customHeight="1" x14ac:dyDescent="0.25">
      <c r="A494" s="31" t="s">
        <v>1469</v>
      </c>
      <c r="B494" s="1" t="s">
        <v>1470</v>
      </c>
      <c r="C494" s="1" t="s">
        <v>1471</v>
      </c>
      <c r="D494" s="1" t="s">
        <v>3027</v>
      </c>
      <c r="E494" s="3">
        <v>0</v>
      </c>
      <c r="F494" s="3">
        <v>0</v>
      </c>
      <c r="G494" s="3">
        <v>0</v>
      </c>
      <c r="H494" s="3">
        <v>10826.13</v>
      </c>
      <c r="I494" s="3">
        <v>0</v>
      </c>
      <c r="J494" s="1" t="s">
        <v>24</v>
      </c>
      <c r="K494" s="28"/>
      <c r="L494" s="28"/>
    </row>
    <row r="495" spans="1:12" s="2" customFormat="1" ht="24.95" customHeight="1" x14ac:dyDescent="0.25">
      <c r="A495" s="31" t="s">
        <v>1472</v>
      </c>
      <c r="B495" s="1" t="s">
        <v>1473</v>
      </c>
      <c r="C495" s="1" t="s">
        <v>1474</v>
      </c>
      <c r="D495" s="1" t="s">
        <v>3</v>
      </c>
      <c r="E495" s="3">
        <v>0</v>
      </c>
      <c r="F495" s="3">
        <v>0</v>
      </c>
      <c r="G495" s="3">
        <v>1512.48</v>
      </c>
      <c r="H495" s="3">
        <v>4697.25</v>
      </c>
      <c r="I495" s="3">
        <v>0</v>
      </c>
      <c r="J495" s="1" t="s">
        <v>106</v>
      </c>
      <c r="K495" s="28"/>
      <c r="L495" s="28"/>
    </row>
    <row r="496" spans="1:12" s="2" customFormat="1" ht="24.95" customHeight="1" x14ac:dyDescent="0.25">
      <c r="A496" s="31" t="s">
        <v>1475</v>
      </c>
      <c r="B496" s="1" t="s">
        <v>1476</v>
      </c>
      <c r="C496" s="1" t="s">
        <v>1477</v>
      </c>
      <c r="D496" s="1" t="s">
        <v>18</v>
      </c>
      <c r="E496" s="3">
        <v>820.11</v>
      </c>
      <c r="F496" s="3">
        <v>308.25</v>
      </c>
      <c r="G496" s="3">
        <v>0</v>
      </c>
      <c r="H496" s="3">
        <v>5145.03</v>
      </c>
      <c r="I496" s="3">
        <v>0</v>
      </c>
      <c r="J496" s="1" t="s">
        <v>9</v>
      </c>
      <c r="K496" s="28"/>
      <c r="L496" s="28"/>
    </row>
    <row r="497" spans="1:12" s="2" customFormat="1" ht="24.95" customHeight="1" x14ac:dyDescent="0.25">
      <c r="A497" s="31" t="s">
        <v>1478</v>
      </c>
      <c r="B497" s="1" t="s">
        <v>1479</v>
      </c>
      <c r="C497" s="1" t="s">
        <v>1480</v>
      </c>
      <c r="D497" s="1" t="s">
        <v>3</v>
      </c>
      <c r="E497" s="3">
        <v>6905.87</v>
      </c>
      <c r="F497" s="3">
        <v>0</v>
      </c>
      <c r="G497" s="3">
        <v>0</v>
      </c>
      <c r="H497" s="3">
        <v>9345.18</v>
      </c>
      <c r="I497" s="3">
        <v>0</v>
      </c>
      <c r="J497" s="1" t="s">
        <v>24</v>
      </c>
      <c r="K497" s="28"/>
      <c r="L497" s="28"/>
    </row>
    <row r="498" spans="1:12" s="2" customFormat="1" ht="24.95" customHeight="1" x14ac:dyDescent="0.25">
      <c r="A498" s="31" t="s">
        <v>1481</v>
      </c>
      <c r="B498" s="1" t="s">
        <v>1482</v>
      </c>
      <c r="C498" s="1" t="s">
        <v>1483</v>
      </c>
      <c r="D498" s="1" t="s">
        <v>13</v>
      </c>
      <c r="E498" s="3">
        <v>7072.53</v>
      </c>
      <c r="F498" s="3">
        <v>2303.44</v>
      </c>
      <c r="G498" s="3">
        <v>0</v>
      </c>
      <c r="H498" s="3">
        <v>0</v>
      </c>
      <c r="I498" s="3">
        <v>0</v>
      </c>
      <c r="J498" s="1" t="s">
        <v>86</v>
      </c>
      <c r="K498" s="28"/>
      <c r="L498" s="28"/>
    </row>
    <row r="499" spans="1:12" s="2" customFormat="1" ht="24.95" customHeight="1" x14ac:dyDescent="0.25">
      <c r="A499" s="31" t="s">
        <v>1484</v>
      </c>
      <c r="B499" s="1" t="s">
        <v>1485</v>
      </c>
      <c r="C499" s="1" t="s">
        <v>1486</v>
      </c>
      <c r="D499" s="1" t="s">
        <v>18</v>
      </c>
      <c r="E499" s="3">
        <v>4755.03</v>
      </c>
      <c r="F499" s="3">
        <v>3421.88</v>
      </c>
      <c r="G499" s="3">
        <v>0</v>
      </c>
      <c r="H499" s="3">
        <v>0</v>
      </c>
      <c r="I499" s="3">
        <v>0</v>
      </c>
      <c r="J499" s="1" t="s">
        <v>41</v>
      </c>
      <c r="K499" s="28"/>
      <c r="L499" s="28"/>
    </row>
    <row r="500" spans="1:12"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c r="L500" s="28"/>
    </row>
    <row r="501" spans="1:12" s="2" customFormat="1" ht="24.95" customHeight="1" x14ac:dyDescent="0.25">
      <c r="A501" s="31" t="s">
        <v>1490</v>
      </c>
      <c r="B501" s="1" t="s">
        <v>1491</v>
      </c>
      <c r="C501" s="1" t="s">
        <v>1492</v>
      </c>
      <c r="D501" s="1" t="s">
        <v>3027</v>
      </c>
      <c r="E501" s="3">
        <v>0</v>
      </c>
      <c r="F501" s="3">
        <v>0</v>
      </c>
      <c r="G501" s="3">
        <v>0</v>
      </c>
      <c r="H501" s="3">
        <v>4830.5</v>
      </c>
      <c r="I501" s="3">
        <v>0</v>
      </c>
      <c r="J501" s="1" t="s">
        <v>41</v>
      </c>
      <c r="K501" s="28"/>
      <c r="L501" s="28"/>
    </row>
    <row r="502" spans="1:12"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c r="L502" s="28"/>
    </row>
    <row r="503" spans="1:12"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c r="L503" s="28"/>
    </row>
    <row r="504" spans="1:12" s="2" customFormat="1" ht="24.95" customHeight="1" x14ac:dyDescent="0.25">
      <c r="A504" s="31" t="s">
        <v>1499</v>
      </c>
      <c r="B504" s="1" t="s">
        <v>1500</v>
      </c>
      <c r="C504" s="1" t="s">
        <v>1501</v>
      </c>
      <c r="D504" s="1" t="s">
        <v>18</v>
      </c>
      <c r="E504" s="3">
        <v>0</v>
      </c>
      <c r="F504" s="3">
        <v>0</v>
      </c>
      <c r="G504" s="3">
        <v>0</v>
      </c>
      <c r="H504" s="3">
        <v>3537.72</v>
      </c>
      <c r="I504" s="3">
        <v>7739.54</v>
      </c>
      <c r="J504" s="1" t="s">
        <v>14</v>
      </c>
      <c r="K504" s="28"/>
      <c r="L504" s="28"/>
    </row>
    <row r="505" spans="1:12" s="2" customFormat="1" ht="24.95" customHeight="1" x14ac:dyDescent="0.25">
      <c r="A505" s="31" t="s">
        <v>1502</v>
      </c>
      <c r="B505" s="1" t="s">
        <v>1503</v>
      </c>
      <c r="C505" s="1" t="s">
        <v>1504</v>
      </c>
      <c r="D505" s="1" t="s">
        <v>13</v>
      </c>
      <c r="E505" s="3">
        <v>0</v>
      </c>
      <c r="F505" s="3">
        <v>835.44</v>
      </c>
      <c r="G505" s="3">
        <v>0</v>
      </c>
      <c r="H505" s="3">
        <v>0</v>
      </c>
      <c r="I505" s="3">
        <v>0</v>
      </c>
      <c r="J505" s="1" t="s">
        <v>37</v>
      </c>
      <c r="K505" s="28"/>
      <c r="L505" s="28"/>
    </row>
    <row r="506" spans="1:12" s="2" customFormat="1" ht="24.95" customHeight="1" x14ac:dyDescent="0.25">
      <c r="A506" s="31" t="s">
        <v>1505</v>
      </c>
      <c r="B506" s="1" t="s">
        <v>1506</v>
      </c>
      <c r="C506" s="1" t="s">
        <v>1507</v>
      </c>
      <c r="D506" s="1" t="s">
        <v>23</v>
      </c>
      <c r="E506" s="3">
        <v>0</v>
      </c>
      <c r="F506" s="3">
        <v>1954.19</v>
      </c>
      <c r="G506" s="3">
        <v>0</v>
      </c>
      <c r="H506" s="3">
        <v>0</v>
      </c>
      <c r="I506" s="3">
        <v>3429.22</v>
      </c>
      <c r="J506" s="1" t="s">
        <v>24</v>
      </c>
      <c r="K506" s="28"/>
      <c r="L506" s="28"/>
    </row>
    <row r="507" spans="1:12" s="2" customFormat="1" ht="24.95" customHeight="1" x14ac:dyDescent="0.25">
      <c r="A507" s="31" t="s">
        <v>1508</v>
      </c>
      <c r="B507" s="1" t="s">
        <v>1509</v>
      </c>
      <c r="C507" s="1" t="s">
        <v>1510</v>
      </c>
      <c r="D507" s="1" t="s">
        <v>13</v>
      </c>
      <c r="E507" s="3">
        <v>3020.08</v>
      </c>
      <c r="F507" s="3">
        <v>3474.09</v>
      </c>
      <c r="G507" s="3">
        <v>611.91</v>
      </c>
      <c r="H507" s="3">
        <v>0</v>
      </c>
      <c r="I507" s="3">
        <v>0</v>
      </c>
      <c r="J507" s="1" t="s">
        <v>4</v>
      </c>
      <c r="K507" s="28"/>
      <c r="L507" s="28"/>
    </row>
    <row r="508" spans="1:12"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c r="L508" s="28"/>
    </row>
    <row r="509" spans="1:12"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c r="L509" s="28"/>
    </row>
    <row r="510" spans="1:12" s="2" customFormat="1" ht="24.95" customHeight="1" x14ac:dyDescent="0.25">
      <c r="A510" s="31" t="s">
        <v>1517</v>
      </c>
      <c r="B510" s="1" t="s">
        <v>1518</v>
      </c>
      <c r="C510" s="1" t="s">
        <v>1519</v>
      </c>
      <c r="D510" s="1" t="s">
        <v>3027</v>
      </c>
      <c r="E510" s="3">
        <v>7925.98</v>
      </c>
      <c r="F510" s="3">
        <v>0</v>
      </c>
      <c r="G510" s="3">
        <v>0</v>
      </c>
      <c r="H510" s="3">
        <v>7985.4</v>
      </c>
      <c r="I510" s="3">
        <v>0</v>
      </c>
      <c r="J510" s="1" t="s">
        <v>24</v>
      </c>
      <c r="K510" s="28"/>
      <c r="L510" s="28"/>
    </row>
    <row r="511" spans="1:12"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c r="L511" s="28"/>
    </row>
    <row r="512" spans="1:12"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c r="L512" s="28"/>
    </row>
    <row r="513" spans="1:12" s="2" customFormat="1" ht="24.95" customHeight="1" x14ac:dyDescent="0.25">
      <c r="A513" s="31" t="s">
        <v>1526</v>
      </c>
      <c r="B513" s="1" t="s">
        <v>1527</v>
      </c>
      <c r="C513" s="1" t="s">
        <v>1528</v>
      </c>
      <c r="D513" s="1" t="s">
        <v>23</v>
      </c>
      <c r="E513" s="3">
        <v>0</v>
      </c>
      <c r="F513" s="3">
        <v>0</v>
      </c>
      <c r="G513" s="3">
        <v>2871.86</v>
      </c>
      <c r="H513" s="3">
        <v>0</v>
      </c>
      <c r="I513" s="3">
        <v>8677.56</v>
      </c>
      <c r="J513" s="1" t="s">
        <v>48</v>
      </c>
      <c r="K513" s="28"/>
      <c r="L513" s="28"/>
    </row>
    <row r="514" spans="1:12" s="2" customFormat="1" ht="24.95" customHeight="1" x14ac:dyDescent="0.25">
      <c r="A514" s="31" t="s">
        <v>1529</v>
      </c>
      <c r="B514" s="1" t="s">
        <v>1530</v>
      </c>
      <c r="C514" s="1" t="s">
        <v>1531</v>
      </c>
      <c r="D514" s="1" t="s">
        <v>3027</v>
      </c>
      <c r="E514" s="3">
        <v>5378.36</v>
      </c>
      <c r="F514" s="3">
        <v>0</v>
      </c>
      <c r="G514" s="3">
        <v>335.4</v>
      </c>
      <c r="H514" s="3">
        <v>0</v>
      </c>
      <c r="I514" s="3">
        <v>0</v>
      </c>
      <c r="J514" s="1" t="s">
        <v>19</v>
      </c>
      <c r="K514" s="28"/>
      <c r="L514" s="28"/>
    </row>
    <row r="515" spans="1:12"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c r="L515" s="28"/>
    </row>
    <row r="516" spans="1:12" s="2" customFormat="1" ht="24.95" customHeight="1" x14ac:dyDescent="0.25">
      <c r="A516" s="31" t="s">
        <v>1535</v>
      </c>
      <c r="B516" s="1" t="s">
        <v>1536</v>
      </c>
      <c r="C516" s="1" t="s">
        <v>1537</v>
      </c>
      <c r="D516" s="1" t="s">
        <v>8</v>
      </c>
      <c r="E516" s="3">
        <v>1321.6</v>
      </c>
      <c r="F516" s="3">
        <v>0</v>
      </c>
      <c r="G516" s="3">
        <v>2516.06</v>
      </c>
      <c r="H516" s="3">
        <v>0</v>
      </c>
      <c r="I516" s="3">
        <v>7480.64</v>
      </c>
      <c r="J516" s="1" t="s">
        <v>86</v>
      </c>
      <c r="K516" s="28"/>
      <c r="L516" s="28"/>
    </row>
    <row r="517" spans="1:12"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c r="L517" s="28"/>
    </row>
    <row r="518" spans="1:12"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c r="L518" s="28"/>
    </row>
    <row r="519" spans="1:12"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c r="L519" s="28"/>
    </row>
    <row r="520" spans="1:12"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c r="L520" s="28"/>
    </row>
    <row r="521" spans="1:12"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c r="L521" s="28"/>
    </row>
    <row r="522" spans="1:12" s="2" customFormat="1" ht="24.95" customHeight="1" x14ac:dyDescent="0.25">
      <c r="A522" s="31" t="s">
        <v>1553</v>
      </c>
      <c r="B522" s="1" t="s">
        <v>1554</v>
      </c>
      <c r="C522" s="1" t="s">
        <v>1555</v>
      </c>
      <c r="D522" s="1" t="s">
        <v>3</v>
      </c>
      <c r="E522" s="3">
        <v>881.51</v>
      </c>
      <c r="F522" s="3">
        <v>4101.21</v>
      </c>
      <c r="G522" s="3">
        <v>202.1</v>
      </c>
      <c r="H522" s="3">
        <v>0</v>
      </c>
      <c r="I522" s="3">
        <v>0</v>
      </c>
      <c r="J522" s="1" t="s">
        <v>48</v>
      </c>
      <c r="K522" s="28"/>
      <c r="L522" s="28"/>
    </row>
    <row r="523" spans="1:12"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c r="L523" s="28"/>
    </row>
    <row r="524" spans="1:12"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c r="L524" s="28"/>
    </row>
    <row r="525" spans="1:12" s="2" customFormat="1" ht="24.95" customHeight="1" x14ac:dyDescent="0.25">
      <c r="A525" s="31" t="s">
        <v>1562</v>
      </c>
      <c r="B525" s="1" t="s">
        <v>1563</v>
      </c>
      <c r="C525" s="1" t="s">
        <v>1564</v>
      </c>
      <c r="D525" s="1" t="s">
        <v>23</v>
      </c>
      <c r="E525" s="3">
        <v>0</v>
      </c>
      <c r="F525" s="3">
        <v>0</v>
      </c>
      <c r="G525" s="3">
        <v>435.66</v>
      </c>
      <c r="H525" s="3">
        <v>0</v>
      </c>
      <c r="I525" s="3">
        <v>11342.36</v>
      </c>
      <c r="J525" s="1" t="s">
        <v>48</v>
      </c>
      <c r="K525" s="28"/>
      <c r="L525" s="28"/>
    </row>
    <row r="526" spans="1:12" s="2" customFormat="1" ht="24.95" customHeight="1" x14ac:dyDescent="0.25">
      <c r="A526" s="31" t="s">
        <v>1565</v>
      </c>
      <c r="B526" s="1" t="s">
        <v>1566</v>
      </c>
      <c r="C526" s="1" t="s">
        <v>1567</v>
      </c>
      <c r="D526" s="1" t="s">
        <v>23</v>
      </c>
      <c r="E526" s="3">
        <v>0</v>
      </c>
      <c r="F526" s="3">
        <v>4253.62</v>
      </c>
      <c r="G526" s="3">
        <v>0</v>
      </c>
      <c r="H526" s="3">
        <v>0</v>
      </c>
      <c r="I526" s="3">
        <v>1936.53</v>
      </c>
      <c r="J526" s="1" t="s">
        <v>48</v>
      </c>
      <c r="K526" s="28"/>
      <c r="L526" s="28"/>
    </row>
    <row r="527" spans="1:12" s="2" customFormat="1" ht="24.95" customHeight="1" x14ac:dyDescent="0.25">
      <c r="A527" s="31" t="s">
        <v>1568</v>
      </c>
      <c r="B527" s="1" t="s">
        <v>1569</v>
      </c>
      <c r="C527" s="1" t="s">
        <v>1570</v>
      </c>
      <c r="D527" s="1" t="s">
        <v>8</v>
      </c>
      <c r="E527" s="3">
        <v>0</v>
      </c>
      <c r="F527" s="3">
        <v>4522.8</v>
      </c>
      <c r="G527" s="3">
        <v>0</v>
      </c>
      <c r="H527" s="3">
        <v>389.72</v>
      </c>
      <c r="I527" s="3">
        <v>0</v>
      </c>
      <c r="J527" s="1" t="s">
        <v>19</v>
      </c>
      <c r="K527" s="28"/>
      <c r="L527" s="28"/>
    </row>
    <row r="528" spans="1:12" s="2" customFormat="1" ht="24.95" customHeight="1" x14ac:dyDescent="0.25">
      <c r="A528" s="31" t="s">
        <v>1571</v>
      </c>
      <c r="B528" s="1" t="s">
        <v>1572</v>
      </c>
      <c r="C528" s="1" t="s">
        <v>1573</v>
      </c>
      <c r="D528" s="1" t="s">
        <v>3027</v>
      </c>
      <c r="E528" s="3">
        <v>0</v>
      </c>
      <c r="F528" s="3">
        <v>0</v>
      </c>
      <c r="G528" s="3">
        <v>0</v>
      </c>
      <c r="H528" s="3">
        <v>10943.7</v>
      </c>
      <c r="I528" s="3">
        <v>2937.93</v>
      </c>
      <c r="J528" s="1" t="s">
        <v>9</v>
      </c>
      <c r="K528" s="28"/>
      <c r="L528" s="28"/>
    </row>
    <row r="529" spans="1:12" s="2" customFormat="1" ht="24.95" customHeight="1" x14ac:dyDescent="0.25">
      <c r="A529" s="31" t="s">
        <v>1574</v>
      </c>
      <c r="B529" s="1" t="s">
        <v>1575</v>
      </c>
      <c r="C529" s="1" t="s">
        <v>1576</v>
      </c>
      <c r="D529" s="1" t="s">
        <v>23</v>
      </c>
      <c r="E529" s="3">
        <v>6750.77</v>
      </c>
      <c r="F529" s="3">
        <v>4014.47</v>
      </c>
      <c r="G529" s="3">
        <v>0</v>
      </c>
      <c r="H529" s="3">
        <v>0</v>
      </c>
      <c r="I529" s="3">
        <v>0</v>
      </c>
      <c r="J529" s="1" t="s">
        <v>4</v>
      </c>
      <c r="K529" s="28"/>
      <c r="L529" s="28"/>
    </row>
    <row r="530" spans="1:12" s="2" customFormat="1" ht="24.95" customHeight="1" x14ac:dyDescent="0.25">
      <c r="A530" s="31" t="s">
        <v>1577</v>
      </c>
      <c r="B530" s="1" t="s">
        <v>1578</v>
      </c>
      <c r="C530" s="1" t="s">
        <v>1579</v>
      </c>
      <c r="D530" s="1" t="s">
        <v>18</v>
      </c>
      <c r="E530" s="3">
        <v>6506.78</v>
      </c>
      <c r="F530" s="3">
        <v>0</v>
      </c>
      <c r="G530" s="3">
        <v>0</v>
      </c>
      <c r="H530" s="3">
        <v>0</v>
      </c>
      <c r="I530" s="3">
        <v>0</v>
      </c>
      <c r="J530" s="1" t="s">
        <v>41</v>
      </c>
      <c r="K530" s="28"/>
      <c r="L530" s="28"/>
    </row>
    <row r="531" spans="1:12"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c r="L531" s="28"/>
    </row>
    <row r="532" spans="1:12"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c r="L532" s="28"/>
    </row>
    <row r="533" spans="1:12"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c r="L533" s="28"/>
    </row>
    <row r="534" spans="1:12"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c r="L534" s="28"/>
    </row>
    <row r="535" spans="1:12"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c r="L535" s="28"/>
    </row>
    <row r="536" spans="1:12" s="2" customFormat="1" ht="24.95" customHeight="1" x14ac:dyDescent="0.25">
      <c r="A536" s="31" t="s">
        <v>1595</v>
      </c>
      <c r="B536" s="1" t="s">
        <v>1596</v>
      </c>
      <c r="C536" s="1" t="s">
        <v>1597</v>
      </c>
      <c r="D536" s="1" t="s">
        <v>3027</v>
      </c>
      <c r="E536" s="3">
        <v>0</v>
      </c>
      <c r="F536" s="3">
        <v>0</v>
      </c>
      <c r="G536" s="3">
        <v>0</v>
      </c>
      <c r="H536" s="3">
        <v>4856.72</v>
      </c>
      <c r="I536" s="3">
        <v>13768.24</v>
      </c>
      <c r="J536" s="1" t="s">
        <v>24</v>
      </c>
      <c r="K536" s="28"/>
      <c r="L536" s="28"/>
    </row>
    <row r="537" spans="1:12"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c r="L537" s="28"/>
    </row>
    <row r="538" spans="1:12" s="2" customFormat="1" ht="24.95" customHeight="1" x14ac:dyDescent="0.25">
      <c r="A538" s="31" t="s">
        <v>1601</v>
      </c>
      <c r="B538" s="1" t="s">
        <v>1602</v>
      </c>
      <c r="C538" s="1" t="s">
        <v>1603</v>
      </c>
      <c r="D538" s="1" t="s">
        <v>8</v>
      </c>
      <c r="E538" s="3">
        <v>0</v>
      </c>
      <c r="F538" s="3">
        <v>0</v>
      </c>
      <c r="G538" s="3">
        <v>0</v>
      </c>
      <c r="H538" s="3">
        <v>0</v>
      </c>
      <c r="I538" s="3">
        <v>10173.61</v>
      </c>
      <c r="J538" s="1" t="s">
        <v>19</v>
      </c>
      <c r="K538" s="28"/>
      <c r="L538" s="28"/>
    </row>
    <row r="539" spans="1:12" s="2" customFormat="1" ht="24.95" customHeight="1" x14ac:dyDescent="0.25">
      <c r="A539" s="31" t="s">
        <v>1604</v>
      </c>
      <c r="B539" s="1" t="s">
        <v>1605</v>
      </c>
      <c r="C539" s="1" t="s">
        <v>1606</v>
      </c>
      <c r="D539" s="1" t="s">
        <v>3</v>
      </c>
      <c r="E539" s="3">
        <v>0</v>
      </c>
      <c r="F539" s="3">
        <v>0</v>
      </c>
      <c r="G539" s="3">
        <v>1641.46</v>
      </c>
      <c r="H539" s="3">
        <v>0</v>
      </c>
      <c r="I539" s="3">
        <v>0</v>
      </c>
      <c r="J539" s="1" t="s">
        <v>24</v>
      </c>
      <c r="K539" s="28"/>
      <c r="L539" s="28"/>
    </row>
    <row r="540" spans="1:12" s="2" customFormat="1" ht="24.95" customHeight="1" x14ac:dyDescent="0.25">
      <c r="A540" s="31" t="s">
        <v>1607</v>
      </c>
      <c r="B540" s="1" t="s">
        <v>1608</v>
      </c>
      <c r="C540" s="1" t="s">
        <v>1609</v>
      </c>
      <c r="D540" s="1" t="s">
        <v>8</v>
      </c>
      <c r="E540" s="3">
        <v>0</v>
      </c>
      <c r="F540" s="3">
        <v>569.4</v>
      </c>
      <c r="G540" s="3">
        <v>0</v>
      </c>
      <c r="H540" s="3">
        <v>0</v>
      </c>
      <c r="I540" s="3">
        <v>0</v>
      </c>
      <c r="J540" s="1" t="s">
        <v>24</v>
      </c>
      <c r="K540" s="28"/>
      <c r="L540" s="28"/>
    </row>
    <row r="541" spans="1:12" s="2" customFormat="1" ht="24.95" customHeight="1" x14ac:dyDescent="0.25">
      <c r="A541" s="31" t="s">
        <v>1610</v>
      </c>
      <c r="B541" s="1" t="s">
        <v>1611</v>
      </c>
      <c r="C541" s="1" t="s">
        <v>1612</v>
      </c>
      <c r="D541" s="1" t="s">
        <v>13</v>
      </c>
      <c r="E541" s="3">
        <v>0</v>
      </c>
      <c r="F541" s="3">
        <v>0</v>
      </c>
      <c r="G541" s="3">
        <v>0</v>
      </c>
      <c r="H541" s="3">
        <v>0</v>
      </c>
      <c r="I541" s="3">
        <v>4300.63</v>
      </c>
      <c r="J541" s="1" t="s">
        <v>48</v>
      </c>
      <c r="K541" s="28"/>
      <c r="L541" s="28"/>
    </row>
    <row r="542" spans="1:12" s="2" customFormat="1" ht="24.95" customHeight="1" x14ac:dyDescent="0.25">
      <c r="A542" s="31" t="s">
        <v>1613</v>
      </c>
      <c r="B542" s="1" t="s">
        <v>1614</v>
      </c>
      <c r="C542" s="1" t="s">
        <v>1615</v>
      </c>
      <c r="D542" s="1" t="s">
        <v>18</v>
      </c>
      <c r="E542" s="3">
        <v>0</v>
      </c>
      <c r="F542" s="3">
        <v>0</v>
      </c>
      <c r="G542" s="3">
        <v>980.63</v>
      </c>
      <c r="H542" s="3">
        <v>0</v>
      </c>
      <c r="I542" s="3">
        <v>0</v>
      </c>
      <c r="J542" s="1" t="s">
        <v>37</v>
      </c>
      <c r="K542" s="28"/>
      <c r="L542" s="28"/>
    </row>
    <row r="543" spans="1:12"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c r="L543" s="28"/>
    </row>
    <row r="544" spans="1:12" s="2" customFormat="1" ht="24.95" customHeight="1" x14ac:dyDescent="0.25">
      <c r="A544" s="31" t="s">
        <v>1619</v>
      </c>
      <c r="B544" s="1" t="s">
        <v>1620</v>
      </c>
      <c r="C544" s="1" t="s">
        <v>1621</v>
      </c>
      <c r="D544" s="1" t="s">
        <v>18</v>
      </c>
      <c r="E544" s="3">
        <v>0</v>
      </c>
      <c r="F544" s="3">
        <v>1434.14</v>
      </c>
      <c r="G544" s="3">
        <v>0</v>
      </c>
      <c r="H544" s="3">
        <v>0</v>
      </c>
      <c r="I544" s="3">
        <v>0</v>
      </c>
      <c r="J544" s="1" t="s">
        <v>41</v>
      </c>
      <c r="K544" s="28"/>
      <c r="L544" s="28"/>
    </row>
    <row r="545" spans="1:12"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c r="L545" s="28"/>
    </row>
    <row r="546" spans="1:12" s="2" customFormat="1" ht="24.95" customHeight="1" x14ac:dyDescent="0.25">
      <c r="A546" s="31" t="s">
        <v>1625</v>
      </c>
      <c r="B546" s="1" t="s">
        <v>1626</v>
      </c>
      <c r="C546" s="1" t="s">
        <v>1627</v>
      </c>
      <c r="D546" s="1" t="s">
        <v>18</v>
      </c>
      <c r="E546" s="3">
        <v>0</v>
      </c>
      <c r="F546" s="3">
        <v>0</v>
      </c>
      <c r="G546" s="3">
        <v>0</v>
      </c>
      <c r="H546" s="3">
        <v>0</v>
      </c>
      <c r="I546" s="3">
        <v>1950.87</v>
      </c>
      <c r="J546" s="1" t="s">
        <v>48</v>
      </c>
      <c r="K546" s="28"/>
      <c r="L546" s="28"/>
    </row>
    <row r="547" spans="1:12" s="2" customFormat="1" ht="24.95" customHeight="1" x14ac:dyDescent="0.25">
      <c r="A547" s="31" t="s">
        <v>1628</v>
      </c>
      <c r="B547" s="1" t="s">
        <v>1629</v>
      </c>
      <c r="C547" s="1" t="s">
        <v>1630</v>
      </c>
      <c r="D547" s="1" t="s">
        <v>3027</v>
      </c>
      <c r="E547" s="3">
        <v>0</v>
      </c>
      <c r="F547" s="3">
        <v>0</v>
      </c>
      <c r="G547" s="3">
        <v>228.61</v>
      </c>
      <c r="H547" s="3">
        <v>0</v>
      </c>
      <c r="I547" s="3">
        <v>275.93</v>
      </c>
      <c r="J547" s="1" t="s">
        <v>14</v>
      </c>
      <c r="K547" s="28"/>
      <c r="L547" s="28"/>
    </row>
    <row r="548" spans="1:12"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c r="L548" s="28"/>
    </row>
    <row r="549" spans="1:12"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c r="L549" s="28"/>
    </row>
    <row r="550" spans="1:12" s="2" customFormat="1" ht="24.95" customHeight="1" x14ac:dyDescent="0.25">
      <c r="A550" s="31" t="s">
        <v>1637</v>
      </c>
      <c r="B550" s="1" t="s">
        <v>1638</v>
      </c>
      <c r="C550" s="1" t="s">
        <v>1639</v>
      </c>
      <c r="D550" s="1" t="s">
        <v>8</v>
      </c>
      <c r="E550" s="3">
        <v>0</v>
      </c>
      <c r="F550" s="3">
        <v>0</v>
      </c>
      <c r="G550" s="3">
        <v>0</v>
      </c>
      <c r="H550" s="3">
        <v>872.58</v>
      </c>
      <c r="I550" s="3">
        <v>0</v>
      </c>
      <c r="J550" s="1" t="s">
        <v>24</v>
      </c>
      <c r="K550" s="28"/>
      <c r="L550" s="28"/>
    </row>
    <row r="551" spans="1:12"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c r="L551" s="28"/>
    </row>
    <row r="552" spans="1:12" s="2" customFormat="1" ht="24.95" customHeight="1" x14ac:dyDescent="0.25">
      <c r="A552" s="31" t="s">
        <v>1643</v>
      </c>
      <c r="B552" s="1" t="s">
        <v>1644</v>
      </c>
      <c r="C552" s="1" t="s">
        <v>1645</v>
      </c>
      <c r="D552" s="1" t="s">
        <v>8</v>
      </c>
      <c r="E552" s="3">
        <v>0</v>
      </c>
      <c r="F552" s="3">
        <v>0</v>
      </c>
      <c r="G552" s="3">
        <v>0</v>
      </c>
      <c r="H552" s="3">
        <v>631.75</v>
      </c>
      <c r="I552" s="3">
        <v>12840.45</v>
      </c>
      <c r="J552" s="1" t="s">
        <v>19</v>
      </c>
      <c r="K552" s="28"/>
      <c r="L552" s="28"/>
    </row>
    <row r="553" spans="1:12"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c r="L553" s="28"/>
    </row>
    <row r="554" spans="1:12" s="2" customFormat="1" ht="24.95" customHeight="1" x14ac:dyDescent="0.25">
      <c r="A554" s="31" t="s">
        <v>1649</v>
      </c>
      <c r="B554" s="1" t="s">
        <v>1650</v>
      </c>
      <c r="C554" s="1" t="s">
        <v>1651</v>
      </c>
      <c r="D554" s="1" t="s">
        <v>13</v>
      </c>
      <c r="E554" s="3">
        <v>7450.34</v>
      </c>
      <c r="F554" s="3">
        <v>0</v>
      </c>
      <c r="G554" s="3">
        <v>149.68</v>
      </c>
      <c r="H554" s="3">
        <v>413.29</v>
      </c>
      <c r="I554" s="3">
        <v>0</v>
      </c>
      <c r="J554" s="1" t="s">
        <v>19</v>
      </c>
      <c r="K554" s="28"/>
      <c r="L554" s="28"/>
    </row>
    <row r="555" spans="1:12"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c r="L555" s="28"/>
    </row>
    <row r="556" spans="1:12"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c r="L556" s="28"/>
    </row>
    <row r="557" spans="1:12" s="2" customFormat="1" ht="24.95" customHeight="1" x14ac:dyDescent="0.25">
      <c r="A557" s="31" t="s">
        <v>1658</v>
      </c>
      <c r="B557" s="1" t="s">
        <v>1659</v>
      </c>
      <c r="C557" s="1" t="s">
        <v>1660</v>
      </c>
      <c r="D557" s="1" t="s">
        <v>3</v>
      </c>
      <c r="E557" s="3">
        <v>496.51</v>
      </c>
      <c r="F557" s="3">
        <v>0</v>
      </c>
      <c r="G557" s="3">
        <v>1481.11</v>
      </c>
      <c r="H557" s="3">
        <v>8239.82</v>
      </c>
      <c r="I557" s="3">
        <v>0</v>
      </c>
      <c r="J557" s="1" t="s">
        <v>41</v>
      </c>
      <c r="K557" s="28"/>
      <c r="L557" s="28"/>
    </row>
    <row r="558" spans="1:12"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c r="L558" s="28"/>
    </row>
    <row r="559" spans="1:12" s="2" customFormat="1" ht="24.95" customHeight="1" x14ac:dyDescent="0.25">
      <c r="A559" s="31" t="s">
        <v>1664</v>
      </c>
      <c r="B559" s="1" t="s">
        <v>1665</v>
      </c>
      <c r="C559" s="1" t="s">
        <v>1666</v>
      </c>
      <c r="D559" s="1" t="s">
        <v>18</v>
      </c>
      <c r="E559" s="3">
        <v>3172.62</v>
      </c>
      <c r="F559" s="3">
        <v>0</v>
      </c>
      <c r="G559" s="3">
        <v>0</v>
      </c>
      <c r="H559" s="3">
        <v>0</v>
      </c>
      <c r="I559" s="3">
        <v>13113.41</v>
      </c>
      <c r="J559" s="1" t="s">
        <v>106</v>
      </c>
      <c r="K559" s="28"/>
      <c r="L559" s="28"/>
    </row>
    <row r="560" spans="1:12" s="2" customFormat="1" ht="24.95" customHeight="1" x14ac:dyDescent="0.25">
      <c r="A560" s="31" t="s">
        <v>1667</v>
      </c>
      <c r="B560" s="1" t="s">
        <v>1668</v>
      </c>
      <c r="C560" s="1" t="s">
        <v>1669</v>
      </c>
      <c r="D560" s="1" t="s">
        <v>8</v>
      </c>
      <c r="E560" s="3">
        <v>0</v>
      </c>
      <c r="F560" s="3">
        <v>2314.12</v>
      </c>
      <c r="G560" s="3">
        <v>0</v>
      </c>
      <c r="H560" s="3">
        <v>0</v>
      </c>
      <c r="I560" s="3">
        <v>0</v>
      </c>
      <c r="J560" s="1" t="s">
        <v>37</v>
      </c>
      <c r="K560" s="28"/>
      <c r="L560" s="28"/>
    </row>
    <row r="561" spans="1:12"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c r="L561" s="28"/>
    </row>
    <row r="562" spans="1:12"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c r="L562" s="28"/>
    </row>
    <row r="563" spans="1:12" s="2" customFormat="1" ht="24.95" customHeight="1" x14ac:dyDescent="0.25">
      <c r="A563" s="31" t="s">
        <v>1676</v>
      </c>
      <c r="B563" s="1" t="s">
        <v>1677</v>
      </c>
      <c r="C563" s="1" t="s">
        <v>1678</v>
      </c>
      <c r="D563" s="1" t="s">
        <v>8</v>
      </c>
      <c r="E563" s="3">
        <v>3158.3</v>
      </c>
      <c r="F563" s="3">
        <v>769.21</v>
      </c>
      <c r="G563" s="3">
        <v>1211.7</v>
      </c>
      <c r="H563" s="3">
        <v>0</v>
      </c>
      <c r="I563" s="3">
        <v>0</v>
      </c>
      <c r="J563" s="1" t="s">
        <v>79</v>
      </c>
      <c r="K563" s="28"/>
      <c r="L563" s="28"/>
    </row>
    <row r="564" spans="1:12"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c r="L564" s="28"/>
    </row>
    <row r="565" spans="1:12" s="2" customFormat="1" ht="24.95" customHeight="1" x14ac:dyDescent="0.25">
      <c r="A565" s="31" t="s">
        <v>1682</v>
      </c>
      <c r="B565" s="1" t="s">
        <v>1683</v>
      </c>
      <c r="C565" s="1" t="s">
        <v>1684</v>
      </c>
      <c r="D565" s="1" t="s">
        <v>23</v>
      </c>
      <c r="E565" s="3">
        <v>0</v>
      </c>
      <c r="F565" s="3">
        <v>1676.56</v>
      </c>
      <c r="G565" s="3">
        <v>1192.76</v>
      </c>
      <c r="H565" s="3">
        <v>0</v>
      </c>
      <c r="I565" s="3">
        <v>0</v>
      </c>
      <c r="J565" s="1" t="s">
        <v>106</v>
      </c>
      <c r="K565" s="28"/>
      <c r="L565" s="28"/>
    </row>
    <row r="566" spans="1:12"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c r="L566" s="28"/>
    </row>
    <row r="567" spans="1:12" s="2" customFormat="1" ht="24.95" customHeight="1" x14ac:dyDescent="0.25">
      <c r="A567" s="31" t="s">
        <v>1688</v>
      </c>
      <c r="B567" s="1" t="s">
        <v>1689</v>
      </c>
      <c r="C567" s="1" t="s">
        <v>1690</v>
      </c>
      <c r="D567" s="1" t="s">
        <v>8</v>
      </c>
      <c r="E567" s="3">
        <v>0</v>
      </c>
      <c r="F567" s="3">
        <v>0</v>
      </c>
      <c r="G567" s="3">
        <v>0</v>
      </c>
      <c r="H567" s="3">
        <v>0</v>
      </c>
      <c r="I567" s="3">
        <v>12209.59</v>
      </c>
      <c r="J567" s="1" t="s">
        <v>48</v>
      </c>
      <c r="K567" s="28"/>
      <c r="L567" s="28"/>
    </row>
    <row r="568" spans="1:12"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c r="L568" s="28"/>
    </row>
    <row r="569" spans="1:12"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c r="L569" s="28"/>
    </row>
    <row r="570" spans="1:12"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c r="L570" s="28"/>
    </row>
    <row r="571" spans="1:12"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c r="L571" s="28"/>
    </row>
    <row r="572" spans="1:12"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c r="L572" s="28"/>
    </row>
    <row r="573" spans="1:12" s="2" customFormat="1" ht="24.95" customHeight="1" x14ac:dyDescent="0.25">
      <c r="A573" s="31" t="s">
        <v>1706</v>
      </c>
      <c r="B573" s="1" t="s">
        <v>1707</v>
      </c>
      <c r="C573" s="1" t="s">
        <v>1708</v>
      </c>
      <c r="D573" s="1" t="s">
        <v>18</v>
      </c>
      <c r="E573" s="3">
        <v>3561.9</v>
      </c>
      <c r="F573" s="3">
        <v>0</v>
      </c>
      <c r="G573" s="3">
        <v>2128.83</v>
      </c>
      <c r="H573" s="3">
        <v>0</v>
      </c>
      <c r="I573" s="3">
        <v>0</v>
      </c>
      <c r="J573" s="1" t="s">
        <v>79</v>
      </c>
      <c r="K573" s="28"/>
      <c r="L573" s="28"/>
    </row>
    <row r="574" spans="1:12"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c r="L574" s="28"/>
    </row>
    <row r="575" spans="1:12" s="2" customFormat="1" ht="24.95" customHeight="1" x14ac:dyDescent="0.25">
      <c r="A575" s="31" t="s">
        <v>1712</v>
      </c>
      <c r="B575" s="1" t="s">
        <v>1713</v>
      </c>
      <c r="C575" s="1" t="s">
        <v>1714</v>
      </c>
      <c r="D575" s="1" t="s">
        <v>3027</v>
      </c>
      <c r="E575" s="3">
        <v>0</v>
      </c>
      <c r="F575" s="3">
        <v>0</v>
      </c>
      <c r="G575" s="3">
        <v>0</v>
      </c>
      <c r="H575" s="3">
        <v>0</v>
      </c>
      <c r="I575" s="3">
        <v>2850.74</v>
      </c>
      <c r="J575" s="1" t="s">
        <v>9</v>
      </c>
      <c r="K575" s="28"/>
      <c r="L575" s="28"/>
    </row>
    <row r="576" spans="1:12"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c r="L576" s="28"/>
    </row>
    <row r="577" spans="1:12" s="2" customFormat="1" ht="24.95" customHeight="1" x14ac:dyDescent="0.25">
      <c r="A577" s="31" t="s">
        <v>1718</v>
      </c>
      <c r="B577" s="1" t="s">
        <v>1719</v>
      </c>
      <c r="C577" s="1" t="s">
        <v>1720</v>
      </c>
      <c r="D577" s="1" t="s">
        <v>13</v>
      </c>
      <c r="E577" s="3">
        <v>4124.41</v>
      </c>
      <c r="F577" s="3">
        <v>3284.44</v>
      </c>
      <c r="G577" s="3">
        <v>0</v>
      </c>
      <c r="H577" s="3">
        <v>0</v>
      </c>
      <c r="I577" s="3">
        <v>0</v>
      </c>
      <c r="J577" s="1" t="s">
        <v>48</v>
      </c>
      <c r="K577" s="28"/>
      <c r="L577" s="28"/>
    </row>
    <row r="578" spans="1:12" s="2" customFormat="1" ht="24.95" customHeight="1" x14ac:dyDescent="0.25">
      <c r="A578" s="31" t="s">
        <v>1721</v>
      </c>
      <c r="B578" s="1" t="s">
        <v>1722</v>
      </c>
      <c r="C578" s="1" t="s">
        <v>1723</v>
      </c>
      <c r="D578" s="1" t="s">
        <v>8</v>
      </c>
      <c r="E578" s="3">
        <v>7712.31</v>
      </c>
      <c r="F578" s="3">
        <v>0</v>
      </c>
      <c r="G578" s="3">
        <v>0</v>
      </c>
      <c r="H578" s="3">
        <v>0</v>
      </c>
      <c r="I578" s="3">
        <v>0</v>
      </c>
      <c r="J578" s="1" t="s">
        <v>106</v>
      </c>
      <c r="K578" s="28"/>
      <c r="L578" s="28"/>
    </row>
    <row r="579" spans="1:12"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c r="L579" s="28"/>
    </row>
    <row r="580" spans="1:12" s="2" customFormat="1" ht="24.95" customHeight="1" x14ac:dyDescent="0.25">
      <c r="A580" s="31" t="s">
        <v>1727</v>
      </c>
      <c r="B580" s="1" t="s">
        <v>1728</v>
      </c>
      <c r="C580" s="1" t="s">
        <v>1729</v>
      </c>
      <c r="D580" s="1" t="s">
        <v>3</v>
      </c>
      <c r="E580" s="3">
        <v>0</v>
      </c>
      <c r="F580" s="3">
        <v>0</v>
      </c>
      <c r="G580" s="3">
        <v>0</v>
      </c>
      <c r="H580" s="3">
        <v>1338.6</v>
      </c>
      <c r="I580" s="3">
        <v>13839.98</v>
      </c>
      <c r="J580" s="1" t="s">
        <v>37</v>
      </c>
      <c r="K580" s="28"/>
      <c r="L580" s="28"/>
    </row>
    <row r="581" spans="1:12" s="2" customFormat="1" ht="24.95" customHeight="1" x14ac:dyDescent="0.25">
      <c r="A581" s="31" t="s">
        <v>1730</v>
      </c>
      <c r="B581" s="1" t="s">
        <v>1731</v>
      </c>
      <c r="C581" s="1" t="s">
        <v>1732</v>
      </c>
      <c r="D581" s="1" t="s">
        <v>3027</v>
      </c>
      <c r="E581" s="3">
        <v>0</v>
      </c>
      <c r="F581" s="3">
        <v>0</v>
      </c>
      <c r="G581" s="3">
        <v>2555.37</v>
      </c>
      <c r="H581" s="3">
        <v>4480.49</v>
      </c>
      <c r="I581" s="3">
        <v>0</v>
      </c>
      <c r="J581" s="1" t="s">
        <v>14</v>
      </c>
      <c r="K581" s="28"/>
      <c r="L581" s="28"/>
    </row>
    <row r="582" spans="1:12" s="2" customFormat="1" ht="24.95" customHeight="1" x14ac:dyDescent="0.25">
      <c r="A582" s="31" t="s">
        <v>1733</v>
      </c>
      <c r="B582" s="1" t="s">
        <v>1734</v>
      </c>
      <c r="C582" s="1" t="s">
        <v>1735</v>
      </c>
      <c r="D582" s="1" t="s">
        <v>13</v>
      </c>
      <c r="E582" s="3">
        <v>2199.91</v>
      </c>
      <c r="F582" s="3">
        <v>0</v>
      </c>
      <c r="G582" s="3">
        <v>0</v>
      </c>
      <c r="H582" s="3">
        <v>1009.18</v>
      </c>
      <c r="I582" s="3">
        <v>0</v>
      </c>
      <c r="J582" s="1" t="s">
        <v>79</v>
      </c>
      <c r="K582" s="28"/>
      <c r="L582" s="28"/>
    </row>
    <row r="583" spans="1:12" s="2" customFormat="1" ht="24.95" customHeight="1" x14ac:dyDescent="0.25">
      <c r="A583" s="31" t="s">
        <v>1736</v>
      </c>
      <c r="B583" s="1" t="s">
        <v>1737</v>
      </c>
      <c r="C583" s="1" t="s">
        <v>1738</v>
      </c>
      <c r="D583" s="1" t="s">
        <v>13</v>
      </c>
      <c r="E583" s="3">
        <v>4049.83</v>
      </c>
      <c r="F583" s="3">
        <v>1020.5</v>
      </c>
      <c r="G583" s="3">
        <v>0</v>
      </c>
      <c r="H583" s="3">
        <v>0</v>
      </c>
      <c r="I583" s="3">
        <v>0</v>
      </c>
      <c r="J583" s="1" t="s">
        <v>14</v>
      </c>
      <c r="K583" s="28"/>
      <c r="L583" s="28"/>
    </row>
    <row r="584" spans="1:12" s="2" customFormat="1" ht="24.95" customHeight="1" x14ac:dyDescent="0.25">
      <c r="A584" s="31" t="s">
        <v>1739</v>
      </c>
      <c r="B584" s="1" t="s">
        <v>1740</v>
      </c>
      <c r="C584" s="1" t="s">
        <v>1741</v>
      </c>
      <c r="D584" s="1" t="s">
        <v>23</v>
      </c>
      <c r="E584" s="3">
        <v>0</v>
      </c>
      <c r="F584" s="3">
        <v>2129.35</v>
      </c>
      <c r="G584" s="3">
        <v>2442.08</v>
      </c>
      <c r="H584" s="3">
        <v>0</v>
      </c>
      <c r="I584" s="3">
        <v>0</v>
      </c>
      <c r="J584" s="1" t="s">
        <v>41</v>
      </c>
      <c r="K584" s="28"/>
      <c r="L584" s="28"/>
    </row>
    <row r="585" spans="1:12"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c r="L585" s="28"/>
    </row>
    <row r="586" spans="1:12" s="2" customFormat="1" ht="24.95" customHeight="1" x14ac:dyDescent="0.25">
      <c r="A586" s="31" t="s">
        <v>1745</v>
      </c>
      <c r="B586" s="1" t="s">
        <v>1746</v>
      </c>
      <c r="C586" s="1" t="s">
        <v>1747</v>
      </c>
      <c r="D586" s="1" t="s">
        <v>13</v>
      </c>
      <c r="E586" s="3">
        <v>794.98</v>
      </c>
      <c r="F586" s="3">
        <v>0</v>
      </c>
      <c r="G586" s="3">
        <v>686.7</v>
      </c>
      <c r="H586" s="3">
        <v>11986.17</v>
      </c>
      <c r="I586" s="3">
        <v>0</v>
      </c>
      <c r="J586" s="1" t="s">
        <v>86</v>
      </c>
      <c r="K586" s="28"/>
      <c r="L586" s="28"/>
    </row>
    <row r="587" spans="1:12"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c r="L587" s="28"/>
    </row>
    <row r="588" spans="1:12" s="2" customFormat="1" ht="24.95" customHeight="1" x14ac:dyDescent="0.25">
      <c r="A588" s="31" t="s">
        <v>1751</v>
      </c>
      <c r="B588" s="1" t="s">
        <v>1752</v>
      </c>
      <c r="C588" s="1" t="s">
        <v>1753</v>
      </c>
      <c r="D588" s="1" t="s">
        <v>23</v>
      </c>
      <c r="E588" s="3">
        <v>0</v>
      </c>
      <c r="F588" s="3">
        <v>0</v>
      </c>
      <c r="G588" s="3">
        <v>255.41</v>
      </c>
      <c r="H588" s="3">
        <v>3547.84</v>
      </c>
      <c r="I588" s="3">
        <v>0</v>
      </c>
      <c r="J588" s="1" t="s">
        <v>93</v>
      </c>
      <c r="K588" s="28"/>
      <c r="L588" s="28"/>
    </row>
    <row r="589" spans="1:12"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c r="L589" s="28"/>
    </row>
    <row r="590" spans="1:12" s="2" customFormat="1" ht="24.95" customHeight="1" x14ac:dyDescent="0.25">
      <c r="A590" s="31" t="s">
        <v>1757</v>
      </c>
      <c r="B590" s="1" t="s">
        <v>1758</v>
      </c>
      <c r="C590" s="1" t="s">
        <v>1759</v>
      </c>
      <c r="D590" s="1" t="s">
        <v>3027</v>
      </c>
      <c r="E590" s="3">
        <v>0</v>
      </c>
      <c r="F590" s="3">
        <v>149.21</v>
      </c>
      <c r="G590" s="3">
        <v>0</v>
      </c>
      <c r="H590" s="3">
        <v>5496</v>
      </c>
      <c r="I590" s="3">
        <v>0</v>
      </c>
      <c r="J590" s="1" t="s">
        <v>48</v>
      </c>
      <c r="K590" s="28"/>
      <c r="L590" s="28"/>
    </row>
    <row r="591" spans="1:12"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c r="L591" s="28"/>
    </row>
    <row r="592" spans="1:12" s="2" customFormat="1" ht="24.95" customHeight="1" x14ac:dyDescent="0.25">
      <c r="A592" s="31" t="s">
        <v>1763</v>
      </c>
      <c r="B592" s="1" t="s">
        <v>1764</v>
      </c>
      <c r="C592" s="1" t="s">
        <v>1765</v>
      </c>
      <c r="D592" s="1" t="s">
        <v>18</v>
      </c>
      <c r="E592" s="3">
        <v>2964.82</v>
      </c>
      <c r="F592" s="3">
        <v>0</v>
      </c>
      <c r="G592" s="3">
        <v>1883.26</v>
      </c>
      <c r="H592" s="3">
        <v>0</v>
      </c>
      <c r="I592" s="3">
        <v>0</v>
      </c>
      <c r="J592" s="1" t="s">
        <v>41</v>
      </c>
      <c r="K592" s="28"/>
      <c r="L592" s="28"/>
    </row>
    <row r="593" spans="1:12"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c r="L593" s="28"/>
    </row>
    <row r="594" spans="1:12" s="2" customFormat="1" ht="24.95" customHeight="1" x14ac:dyDescent="0.25">
      <c r="A594" s="31" t="s">
        <v>1769</v>
      </c>
      <c r="B594" s="1" t="s">
        <v>1770</v>
      </c>
      <c r="C594" s="1" t="s">
        <v>1771</v>
      </c>
      <c r="D594" s="1" t="s">
        <v>3</v>
      </c>
      <c r="E594" s="3">
        <v>0</v>
      </c>
      <c r="F594" s="3">
        <v>0</v>
      </c>
      <c r="G594" s="3">
        <v>0</v>
      </c>
      <c r="H594" s="3">
        <v>6695.45</v>
      </c>
      <c r="I594" s="3">
        <v>5811.82</v>
      </c>
      <c r="J594" s="1" t="s">
        <v>4</v>
      </c>
      <c r="K594" s="28"/>
      <c r="L594" s="28"/>
    </row>
    <row r="595" spans="1:12"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c r="L595" s="28"/>
    </row>
    <row r="596" spans="1:12"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c r="L596" s="28"/>
    </row>
    <row r="597" spans="1:12"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c r="L597" s="28"/>
    </row>
    <row r="598" spans="1:12" s="2" customFormat="1" ht="24.95" customHeight="1" x14ac:dyDescent="0.25">
      <c r="A598" s="31" t="s">
        <v>1781</v>
      </c>
      <c r="B598" s="1" t="s">
        <v>1782</v>
      </c>
      <c r="C598" s="1" t="s">
        <v>1783</v>
      </c>
      <c r="D598" s="1" t="s">
        <v>3</v>
      </c>
      <c r="E598" s="3">
        <v>6969.2</v>
      </c>
      <c r="F598" s="3">
        <v>0</v>
      </c>
      <c r="G598" s="3">
        <v>0</v>
      </c>
      <c r="H598" s="3">
        <v>7991.45</v>
      </c>
      <c r="I598" s="3">
        <v>0</v>
      </c>
      <c r="J598" s="1" t="s">
        <v>37</v>
      </c>
      <c r="K598" s="28"/>
      <c r="L598" s="28"/>
    </row>
    <row r="599" spans="1:12" s="2" customFormat="1" ht="24.95" customHeight="1" x14ac:dyDescent="0.25">
      <c r="A599" s="31" t="s">
        <v>1784</v>
      </c>
      <c r="B599" s="1" t="s">
        <v>1785</v>
      </c>
      <c r="C599" s="1" t="s">
        <v>1786</v>
      </c>
      <c r="D599" s="1" t="s">
        <v>3027</v>
      </c>
      <c r="E599" s="3">
        <v>0</v>
      </c>
      <c r="F599" s="3">
        <v>4224.41</v>
      </c>
      <c r="G599" s="3">
        <v>2009.26</v>
      </c>
      <c r="H599" s="3">
        <v>0</v>
      </c>
      <c r="I599" s="3">
        <v>0</v>
      </c>
      <c r="J599" s="1" t="s">
        <v>41</v>
      </c>
      <c r="K599" s="28"/>
      <c r="L599" s="28"/>
    </row>
    <row r="600" spans="1:12"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c r="L600" s="28"/>
    </row>
    <row r="601" spans="1:12"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c r="L601" s="28"/>
    </row>
    <row r="602" spans="1:12" s="2" customFormat="1" ht="24.95" customHeight="1" x14ac:dyDescent="0.25">
      <c r="A602" s="31" t="s">
        <v>1793</v>
      </c>
      <c r="B602" s="1" t="s">
        <v>1794</v>
      </c>
      <c r="C602" s="1" t="s">
        <v>1795</v>
      </c>
      <c r="D602" s="1" t="s">
        <v>3027</v>
      </c>
      <c r="E602" s="3">
        <v>0</v>
      </c>
      <c r="F602" s="3">
        <v>0</v>
      </c>
      <c r="G602" s="3">
        <v>2809.89</v>
      </c>
      <c r="H602" s="3">
        <v>0</v>
      </c>
      <c r="I602" s="3">
        <v>0</v>
      </c>
      <c r="J602" s="1" t="s">
        <v>93</v>
      </c>
      <c r="K602" s="28"/>
      <c r="L602" s="28"/>
    </row>
    <row r="603" spans="1:12" s="2" customFormat="1" ht="24.95" customHeight="1" x14ac:dyDescent="0.25">
      <c r="A603" s="31" t="s">
        <v>1796</v>
      </c>
      <c r="B603" s="1" t="s">
        <v>1797</v>
      </c>
      <c r="C603" s="1" t="s">
        <v>1798</v>
      </c>
      <c r="D603" s="1" t="s">
        <v>3027</v>
      </c>
      <c r="E603" s="3">
        <v>3650.89</v>
      </c>
      <c r="F603" s="3">
        <v>0</v>
      </c>
      <c r="G603" s="3">
        <v>0</v>
      </c>
      <c r="H603" s="3">
        <v>0</v>
      </c>
      <c r="I603" s="3">
        <v>0</v>
      </c>
      <c r="J603" s="1" t="s">
        <v>19</v>
      </c>
      <c r="K603" s="28"/>
      <c r="L603" s="28"/>
    </row>
    <row r="604" spans="1:12" s="2" customFormat="1" ht="24.95" customHeight="1" x14ac:dyDescent="0.25">
      <c r="A604" s="31" t="s">
        <v>1799</v>
      </c>
      <c r="B604" s="1" t="s">
        <v>1800</v>
      </c>
      <c r="C604" s="1" t="s">
        <v>1801</v>
      </c>
      <c r="D604" s="1" t="s">
        <v>3</v>
      </c>
      <c r="E604" s="3">
        <v>4323.46</v>
      </c>
      <c r="F604" s="3">
        <v>0</v>
      </c>
      <c r="G604" s="3">
        <v>0</v>
      </c>
      <c r="H604" s="3">
        <v>1526.03</v>
      </c>
      <c r="I604" s="3">
        <v>0</v>
      </c>
      <c r="J604" s="1" t="s">
        <v>14</v>
      </c>
      <c r="K604" s="28"/>
      <c r="L604" s="28"/>
    </row>
    <row r="605" spans="1:12" s="2" customFormat="1" ht="24.95" customHeight="1" x14ac:dyDescent="0.25">
      <c r="A605" s="31" t="s">
        <v>1802</v>
      </c>
      <c r="B605" s="1" t="s">
        <v>1803</v>
      </c>
      <c r="C605" s="1" t="s">
        <v>1804</v>
      </c>
      <c r="D605" s="1" t="s">
        <v>3</v>
      </c>
      <c r="E605" s="3">
        <v>4276.92</v>
      </c>
      <c r="F605" s="3">
        <v>0</v>
      </c>
      <c r="G605" s="3">
        <v>0</v>
      </c>
      <c r="H605" s="3">
        <v>0</v>
      </c>
      <c r="I605" s="3">
        <v>8864.09</v>
      </c>
      <c r="J605" s="1" t="s">
        <v>14</v>
      </c>
      <c r="K605" s="28"/>
      <c r="L605" s="28"/>
    </row>
    <row r="606" spans="1:12" s="2" customFormat="1" ht="24.95" customHeight="1" x14ac:dyDescent="0.25">
      <c r="A606" s="31" t="s">
        <v>1805</v>
      </c>
      <c r="B606" s="1" t="s">
        <v>1806</v>
      </c>
      <c r="C606" s="1" t="s">
        <v>1807</v>
      </c>
      <c r="D606" s="1" t="s">
        <v>3027</v>
      </c>
      <c r="E606" s="3">
        <v>0</v>
      </c>
      <c r="F606" s="3">
        <v>0</v>
      </c>
      <c r="G606" s="3">
        <v>2791.52</v>
      </c>
      <c r="H606" s="3">
        <v>0</v>
      </c>
      <c r="I606" s="3">
        <v>0</v>
      </c>
      <c r="J606" s="1" t="s">
        <v>14</v>
      </c>
      <c r="K606" s="28"/>
      <c r="L606" s="28"/>
    </row>
    <row r="607" spans="1:12" s="2" customFormat="1" ht="24.95" customHeight="1" x14ac:dyDescent="0.25">
      <c r="A607" s="31" t="s">
        <v>1808</v>
      </c>
      <c r="B607" s="1" t="s">
        <v>1809</v>
      </c>
      <c r="C607" s="1" t="s">
        <v>1810</v>
      </c>
      <c r="D607" s="1" t="s">
        <v>3027</v>
      </c>
      <c r="E607" s="3">
        <v>0</v>
      </c>
      <c r="F607" s="3">
        <v>4678.41</v>
      </c>
      <c r="G607" s="3">
        <v>2827.25</v>
      </c>
      <c r="H607" s="3">
        <v>0</v>
      </c>
      <c r="I607" s="3">
        <v>0</v>
      </c>
      <c r="J607" s="1" t="s">
        <v>106</v>
      </c>
      <c r="K607" s="28"/>
      <c r="L607" s="28"/>
    </row>
    <row r="608" spans="1:12" s="2" customFormat="1" ht="24.95" customHeight="1" x14ac:dyDescent="0.25">
      <c r="A608" s="31" t="s">
        <v>1811</v>
      </c>
      <c r="B608" s="1" t="s">
        <v>1812</v>
      </c>
      <c r="C608" s="1" t="s">
        <v>1813</v>
      </c>
      <c r="D608" s="1" t="s">
        <v>3</v>
      </c>
      <c r="E608" s="3">
        <v>0</v>
      </c>
      <c r="F608" s="3">
        <v>0</v>
      </c>
      <c r="G608" s="3">
        <v>0</v>
      </c>
      <c r="H608" s="3">
        <v>0</v>
      </c>
      <c r="I608" s="3">
        <v>671.68</v>
      </c>
      <c r="J608" s="1" t="s">
        <v>14</v>
      </c>
      <c r="K608" s="28"/>
      <c r="L608" s="28"/>
    </row>
    <row r="609" spans="1:12" s="2" customFormat="1" ht="24.95" customHeight="1" x14ac:dyDescent="0.25">
      <c r="A609" s="31" t="s">
        <v>1814</v>
      </c>
      <c r="B609" s="1" t="s">
        <v>1815</v>
      </c>
      <c r="C609" s="1" t="s">
        <v>1816</v>
      </c>
      <c r="D609" s="1" t="s">
        <v>18</v>
      </c>
      <c r="E609" s="3">
        <v>0</v>
      </c>
      <c r="F609" s="3">
        <v>0</v>
      </c>
      <c r="G609" s="3">
        <v>112.59</v>
      </c>
      <c r="H609" s="3">
        <v>6673.09</v>
      </c>
      <c r="I609" s="3">
        <v>0</v>
      </c>
      <c r="J609" s="1" t="s">
        <v>93</v>
      </c>
      <c r="K609" s="28"/>
      <c r="L609" s="28"/>
    </row>
    <row r="610" spans="1:12" s="2" customFormat="1" ht="24.95" customHeight="1" x14ac:dyDescent="0.25">
      <c r="A610" s="31" t="s">
        <v>1817</v>
      </c>
      <c r="B610" s="1" t="s">
        <v>1818</v>
      </c>
      <c r="C610" s="1" t="s">
        <v>1819</v>
      </c>
      <c r="D610" s="1" t="s">
        <v>23</v>
      </c>
      <c r="E610" s="3">
        <v>0</v>
      </c>
      <c r="F610" s="3">
        <v>3113.38</v>
      </c>
      <c r="G610" s="3">
        <v>0</v>
      </c>
      <c r="H610" s="3">
        <v>0</v>
      </c>
      <c r="I610" s="3">
        <v>5036.75</v>
      </c>
      <c r="J610" s="1" t="s">
        <v>93</v>
      </c>
      <c r="K610" s="28"/>
      <c r="L610" s="28"/>
    </row>
    <row r="611" spans="1:12" s="2" customFormat="1" ht="24.95" customHeight="1" x14ac:dyDescent="0.25">
      <c r="A611" s="31" t="s">
        <v>1820</v>
      </c>
      <c r="B611" s="1" t="s">
        <v>1821</v>
      </c>
      <c r="C611" s="1" t="s">
        <v>1822</v>
      </c>
      <c r="D611" s="1" t="s">
        <v>23</v>
      </c>
      <c r="E611" s="3">
        <v>1416.87</v>
      </c>
      <c r="F611" s="3">
        <v>0</v>
      </c>
      <c r="G611" s="3">
        <v>0</v>
      </c>
      <c r="H611" s="3">
        <v>0</v>
      </c>
      <c r="I611" s="3">
        <v>0</v>
      </c>
      <c r="J611" s="1" t="s">
        <v>48</v>
      </c>
      <c r="K611" s="28"/>
      <c r="L611" s="28"/>
    </row>
    <row r="612" spans="1:12" s="2" customFormat="1" ht="24.95" customHeight="1" x14ac:dyDescent="0.25">
      <c r="A612" s="31" t="s">
        <v>1823</v>
      </c>
      <c r="B612" s="1" t="s">
        <v>1824</v>
      </c>
      <c r="C612" s="1" t="s">
        <v>1825</v>
      </c>
      <c r="D612" s="1" t="s">
        <v>3</v>
      </c>
      <c r="E612" s="3">
        <v>503.06</v>
      </c>
      <c r="F612" s="3">
        <v>0</v>
      </c>
      <c r="G612" s="3">
        <v>2397.29</v>
      </c>
      <c r="H612" s="3">
        <v>0</v>
      </c>
      <c r="I612" s="3">
        <v>0</v>
      </c>
      <c r="J612" s="1" t="s">
        <v>48</v>
      </c>
      <c r="K612" s="28"/>
      <c r="L612" s="28"/>
    </row>
    <row r="613" spans="1:12" s="2" customFormat="1" ht="24.95" customHeight="1" x14ac:dyDescent="0.25">
      <c r="A613" s="31" t="s">
        <v>1826</v>
      </c>
      <c r="B613" s="1" t="s">
        <v>1827</v>
      </c>
      <c r="C613" s="1" t="s">
        <v>1828</v>
      </c>
      <c r="D613" s="1" t="s">
        <v>23</v>
      </c>
      <c r="E613" s="3">
        <v>0</v>
      </c>
      <c r="F613" s="3">
        <v>0</v>
      </c>
      <c r="G613" s="3">
        <v>0</v>
      </c>
      <c r="H613" s="3">
        <v>7674.08</v>
      </c>
      <c r="I613" s="3">
        <v>514.65</v>
      </c>
      <c r="J613" s="1" t="s">
        <v>19</v>
      </c>
      <c r="K613" s="28"/>
      <c r="L613" s="28"/>
    </row>
    <row r="614" spans="1:12" s="2" customFormat="1" ht="24.95" customHeight="1" x14ac:dyDescent="0.25">
      <c r="A614" s="31" t="s">
        <v>1829</v>
      </c>
      <c r="B614" s="1" t="s">
        <v>1830</v>
      </c>
      <c r="C614" s="1" t="s">
        <v>1831</v>
      </c>
      <c r="D614" s="1" t="s">
        <v>3027</v>
      </c>
      <c r="E614" s="3">
        <v>0</v>
      </c>
      <c r="F614" s="3">
        <v>0</v>
      </c>
      <c r="G614" s="3">
        <v>1368.73</v>
      </c>
      <c r="H614" s="3">
        <v>0</v>
      </c>
      <c r="I614" s="3">
        <v>0</v>
      </c>
      <c r="J614" s="1" t="s">
        <v>93</v>
      </c>
      <c r="K614" s="28"/>
      <c r="L614" s="28"/>
    </row>
    <row r="615" spans="1:12" s="2" customFormat="1" ht="24.95" customHeight="1" x14ac:dyDescent="0.25">
      <c r="A615" s="31" t="s">
        <v>1832</v>
      </c>
      <c r="B615" s="1" t="s">
        <v>1833</v>
      </c>
      <c r="C615" s="1" t="s">
        <v>1834</v>
      </c>
      <c r="D615" s="1" t="s">
        <v>8</v>
      </c>
      <c r="E615" s="3">
        <v>0</v>
      </c>
      <c r="F615" s="3">
        <v>0</v>
      </c>
      <c r="G615" s="3">
        <v>0</v>
      </c>
      <c r="H615" s="3">
        <v>11120.03</v>
      </c>
      <c r="I615" s="3">
        <v>0</v>
      </c>
      <c r="J615" s="1" t="s">
        <v>93</v>
      </c>
      <c r="K615" s="28"/>
      <c r="L615" s="28"/>
    </row>
    <row r="616" spans="1:12" s="2" customFormat="1" ht="24.95" customHeight="1" x14ac:dyDescent="0.25">
      <c r="A616" s="31" t="s">
        <v>1835</v>
      </c>
      <c r="B616" s="1" t="s">
        <v>1836</v>
      </c>
      <c r="C616" s="1" t="s">
        <v>1837</v>
      </c>
      <c r="D616" s="1" t="s">
        <v>18</v>
      </c>
      <c r="E616" s="3">
        <v>0</v>
      </c>
      <c r="F616" s="3">
        <v>3584.65</v>
      </c>
      <c r="G616" s="3">
        <v>0</v>
      </c>
      <c r="H616" s="3">
        <v>0</v>
      </c>
      <c r="I616" s="3">
        <v>0</v>
      </c>
      <c r="J616" s="1" t="s">
        <v>41</v>
      </c>
      <c r="K616" s="28"/>
      <c r="L616" s="28"/>
    </row>
    <row r="617" spans="1:12" s="2" customFormat="1" ht="24.95" customHeight="1" x14ac:dyDescent="0.25">
      <c r="A617" s="31" t="s">
        <v>1838</v>
      </c>
      <c r="B617" s="1" t="s">
        <v>1839</v>
      </c>
      <c r="C617" s="1" t="s">
        <v>1840</v>
      </c>
      <c r="D617" s="1" t="s">
        <v>13</v>
      </c>
      <c r="E617" s="3">
        <v>0</v>
      </c>
      <c r="F617" s="3">
        <v>3920.07</v>
      </c>
      <c r="G617" s="3">
        <v>0</v>
      </c>
      <c r="H617" s="3">
        <v>0</v>
      </c>
      <c r="I617" s="3">
        <v>0</v>
      </c>
      <c r="J617" s="1" t="s">
        <v>24</v>
      </c>
      <c r="K617" s="28"/>
      <c r="L617" s="28"/>
    </row>
    <row r="618" spans="1:12"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c r="L618" s="28"/>
    </row>
    <row r="619" spans="1:12" s="2" customFormat="1" ht="24.95" customHeight="1" x14ac:dyDescent="0.25">
      <c r="A619" s="31" t="s">
        <v>1844</v>
      </c>
      <c r="B619" s="1" t="s">
        <v>1845</v>
      </c>
      <c r="C619" s="1" t="s">
        <v>1846</v>
      </c>
      <c r="D619" s="1" t="s">
        <v>13</v>
      </c>
      <c r="E619" s="3">
        <v>0</v>
      </c>
      <c r="F619" s="3">
        <v>0</v>
      </c>
      <c r="G619" s="3">
        <v>1066.01</v>
      </c>
      <c r="H619" s="3">
        <v>0</v>
      </c>
      <c r="I619" s="3">
        <v>0</v>
      </c>
      <c r="J619" s="1" t="s">
        <v>9</v>
      </c>
      <c r="K619" s="28"/>
      <c r="L619" s="28"/>
    </row>
    <row r="620" spans="1:12" s="2" customFormat="1" ht="24.95" customHeight="1" x14ac:dyDescent="0.25">
      <c r="A620" s="31" t="s">
        <v>1847</v>
      </c>
      <c r="B620" s="1" t="s">
        <v>1848</v>
      </c>
      <c r="C620" s="1" t="s">
        <v>1849</v>
      </c>
      <c r="D620" s="1" t="s">
        <v>13</v>
      </c>
      <c r="E620" s="3">
        <v>0</v>
      </c>
      <c r="F620" s="3">
        <v>0</v>
      </c>
      <c r="G620" s="3">
        <v>0</v>
      </c>
      <c r="H620" s="3">
        <v>0</v>
      </c>
      <c r="I620" s="3">
        <v>1412.82</v>
      </c>
      <c r="J620" s="1" t="s">
        <v>9</v>
      </c>
      <c r="K620" s="28"/>
      <c r="L620" s="28"/>
    </row>
    <row r="621" spans="1:12"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c r="L621" s="28"/>
    </row>
    <row r="622" spans="1:12" s="2" customFormat="1" ht="24.95" customHeight="1" x14ac:dyDescent="0.25">
      <c r="A622" s="31" t="s">
        <v>1853</v>
      </c>
      <c r="B622" s="1" t="s">
        <v>1854</v>
      </c>
      <c r="C622" s="1" t="s">
        <v>1855</v>
      </c>
      <c r="D622" s="1" t="s">
        <v>3</v>
      </c>
      <c r="E622" s="3">
        <v>0</v>
      </c>
      <c r="F622" s="3">
        <v>0</v>
      </c>
      <c r="G622" s="3">
        <v>0</v>
      </c>
      <c r="H622" s="3">
        <v>1383.14</v>
      </c>
      <c r="I622" s="3">
        <v>14725.94</v>
      </c>
      <c r="J622" s="1" t="s">
        <v>37</v>
      </c>
      <c r="K622" s="28"/>
      <c r="L622" s="28"/>
    </row>
    <row r="623" spans="1:12"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c r="L623" s="28"/>
    </row>
    <row r="624" spans="1:12" s="2" customFormat="1" ht="24.95" customHeight="1" x14ac:dyDescent="0.25">
      <c r="A624" s="31" t="s">
        <v>1859</v>
      </c>
      <c r="B624" s="1" t="s">
        <v>1860</v>
      </c>
      <c r="C624" s="1" t="s">
        <v>1861</v>
      </c>
      <c r="D624" s="1" t="s">
        <v>3</v>
      </c>
      <c r="E624" s="3">
        <v>0</v>
      </c>
      <c r="F624" s="3">
        <v>4848.95</v>
      </c>
      <c r="G624" s="3">
        <v>0</v>
      </c>
      <c r="H624" s="3">
        <v>0</v>
      </c>
      <c r="I624" s="3">
        <v>14656.03</v>
      </c>
      <c r="J624" s="1" t="s">
        <v>106</v>
      </c>
      <c r="K624" s="28"/>
      <c r="L624" s="28"/>
    </row>
    <row r="625" spans="1:12" s="2" customFormat="1" ht="24.95" customHeight="1" x14ac:dyDescent="0.25">
      <c r="A625" s="31" t="s">
        <v>1862</v>
      </c>
      <c r="B625" s="1" t="s">
        <v>1863</v>
      </c>
      <c r="C625" s="1" t="s">
        <v>1864</v>
      </c>
      <c r="D625" s="1" t="s">
        <v>13</v>
      </c>
      <c r="E625" s="3">
        <v>5455.02</v>
      </c>
      <c r="F625" s="3">
        <v>0</v>
      </c>
      <c r="G625" s="3">
        <v>0</v>
      </c>
      <c r="H625" s="3">
        <v>0</v>
      </c>
      <c r="I625" s="3">
        <v>0</v>
      </c>
      <c r="J625" s="1" t="s">
        <v>14</v>
      </c>
      <c r="K625" s="28"/>
      <c r="L625" s="28"/>
    </row>
    <row r="626" spans="1:12"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c r="L626" s="28"/>
    </row>
    <row r="627" spans="1:12" s="2" customFormat="1" ht="24.95" customHeight="1" x14ac:dyDescent="0.25">
      <c r="A627" s="31" t="s">
        <v>1868</v>
      </c>
      <c r="B627" s="1" t="s">
        <v>1869</v>
      </c>
      <c r="C627" s="1" t="s">
        <v>1870</v>
      </c>
      <c r="D627" s="1" t="s">
        <v>23</v>
      </c>
      <c r="E627" s="3">
        <v>7591.68</v>
      </c>
      <c r="F627" s="3">
        <v>0</v>
      </c>
      <c r="G627" s="3">
        <v>0</v>
      </c>
      <c r="H627" s="3">
        <v>0</v>
      </c>
      <c r="I627" s="3">
        <v>4651.99</v>
      </c>
      <c r="J627" s="1" t="s">
        <v>19</v>
      </c>
      <c r="K627" s="28"/>
      <c r="L627" s="28"/>
    </row>
    <row r="628" spans="1:12" s="2" customFormat="1" ht="24.95" customHeight="1" x14ac:dyDescent="0.25">
      <c r="A628" s="31" t="s">
        <v>1871</v>
      </c>
      <c r="B628" s="1" t="s">
        <v>1872</v>
      </c>
      <c r="C628" s="1" t="s">
        <v>1873</v>
      </c>
      <c r="D628" s="1" t="s">
        <v>13</v>
      </c>
      <c r="E628" s="3">
        <v>4881.79</v>
      </c>
      <c r="F628" s="3">
        <v>0</v>
      </c>
      <c r="G628" s="3">
        <v>1483.1</v>
      </c>
      <c r="H628" s="3">
        <v>0</v>
      </c>
      <c r="I628" s="3">
        <v>0</v>
      </c>
      <c r="J628" s="1" t="s">
        <v>24</v>
      </c>
      <c r="K628" s="28"/>
      <c r="L628" s="28"/>
    </row>
    <row r="629" spans="1:12"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c r="L629" s="28"/>
    </row>
    <row r="630" spans="1:12"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c r="L630" s="28"/>
    </row>
    <row r="631" spans="1:12"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c r="L631" s="28"/>
    </row>
    <row r="632" spans="1:12"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c r="L632" s="28"/>
    </row>
    <row r="633" spans="1:12"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c r="L633" s="28"/>
    </row>
    <row r="634" spans="1:12" s="2" customFormat="1" ht="24.95" customHeight="1" x14ac:dyDescent="0.25">
      <c r="A634" s="31" t="s">
        <v>1889</v>
      </c>
      <c r="B634" s="1" t="s">
        <v>1890</v>
      </c>
      <c r="C634" s="1" t="s">
        <v>1891</v>
      </c>
      <c r="D634" s="1" t="s">
        <v>23</v>
      </c>
      <c r="E634" s="3">
        <v>0</v>
      </c>
      <c r="F634" s="3">
        <v>0</v>
      </c>
      <c r="G634" s="3">
        <v>0</v>
      </c>
      <c r="H634" s="3">
        <v>7275.12</v>
      </c>
      <c r="I634" s="3">
        <v>0</v>
      </c>
      <c r="J634" s="1" t="s">
        <v>24</v>
      </c>
      <c r="K634" s="28"/>
      <c r="L634" s="28"/>
    </row>
    <row r="635" spans="1:12"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c r="L635" s="28"/>
    </row>
    <row r="636" spans="1:12"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c r="L636" s="28"/>
    </row>
    <row r="637" spans="1:12" s="2" customFormat="1" ht="24.95" customHeight="1" x14ac:dyDescent="0.25">
      <c r="A637" s="31" t="s">
        <v>1898</v>
      </c>
      <c r="B637" s="1" t="s">
        <v>1899</v>
      </c>
      <c r="C637" s="1" t="s">
        <v>1900</v>
      </c>
      <c r="D637" s="1" t="s">
        <v>18</v>
      </c>
      <c r="E637" s="3">
        <v>0</v>
      </c>
      <c r="F637" s="3">
        <v>0</v>
      </c>
      <c r="G637" s="3">
        <v>2626.75</v>
      </c>
      <c r="H637" s="3">
        <v>0</v>
      </c>
      <c r="I637" s="3">
        <v>0</v>
      </c>
      <c r="J637" s="1" t="s">
        <v>41</v>
      </c>
      <c r="K637" s="28"/>
      <c r="L637" s="28"/>
    </row>
    <row r="638" spans="1:12"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c r="L638" s="28"/>
    </row>
    <row r="639" spans="1:12" s="2" customFormat="1" ht="24.95" customHeight="1" x14ac:dyDescent="0.25">
      <c r="A639" s="31" t="s">
        <v>1904</v>
      </c>
      <c r="B639" s="1" t="s">
        <v>1905</v>
      </c>
      <c r="C639" s="1" t="s">
        <v>1906</v>
      </c>
      <c r="D639" s="1" t="s">
        <v>3027</v>
      </c>
      <c r="E639" s="3">
        <v>0</v>
      </c>
      <c r="F639" s="3">
        <v>0</v>
      </c>
      <c r="G639" s="3">
        <v>0</v>
      </c>
      <c r="H639" s="3">
        <v>10847.25</v>
      </c>
      <c r="I639" s="3">
        <v>5831.73</v>
      </c>
      <c r="J639" s="1" t="s">
        <v>4</v>
      </c>
      <c r="K639" s="28"/>
      <c r="L639" s="28"/>
    </row>
    <row r="640" spans="1:12"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c r="L640" s="28"/>
    </row>
    <row r="641" spans="1:12"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c r="L641" s="28"/>
    </row>
    <row r="642" spans="1:12"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c r="L642" s="28"/>
    </row>
    <row r="643" spans="1:12"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c r="L643" s="28"/>
    </row>
    <row r="644" spans="1:12" s="2" customFormat="1" ht="24.95" customHeight="1" x14ac:dyDescent="0.25">
      <c r="A644" s="31" t="s">
        <v>1919</v>
      </c>
      <c r="B644" s="1" t="s">
        <v>1920</v>
      </c>
      <c r="C644" s="1" t="s">
        <v>1921</v>
      </c>
      <c r="D644" s="1" t="s">
        <v>3</v>
      </c>
      <c r="E644" s="3">
        <v>7569.73</v>
      </c>
      <c r="F644" s="3">
        <v>4598.49</v>
      </c>
      <c r="G644" s="3">
        <v>0</v>
      </c>
      <c r="H644" s="3">
        <v>0</v>
      </c>
      <c r="I644" s="3">
        <v>0</v>
      </c>
      <c r="J644" s="1" t="s">
        <v>4</v>
      </c>
      <c r="K644" s="28"/>
      <c r="L644" s="28"/>
    </row>
    <row r="645" spans="1:12"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c r="L645" s="28"/>
    </row>
    <row r="646" spans="1:12"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c r="L646" s="28"/>
    </row>
    <row r="647" spans="1:12" s="2" customFormat="1" ht="24.95" customHeight="1" x14ac:dyDescent="0.25">
      <c r="A647" s="31" t="s">
        <v>1928</v>
      </c>
      <c r="B647" s="1" t="s">
        <v>1929</v>
      </c>
      <c r="C647" s="1" t="s">
        <v>1930</v>
      </c>
      <c r="D647" s="1" t="s">
        <v>3</v>
      </c>
      <c r="E647" s="3">
        <v>0</v>
      </c>
      <c r="F647" s="3">
        <v>3750.75</v>
      </c>
      <c r="G647" s="3">
        <v>0</v>
      </c>
      <c r="H647" s="3">
        <v>0</v>
      </c>
      <c r="I647" s="3">
        <v>0</v>
      </c>
      <c r="J647" s="1" t="s">
        <v>79</v>
      </c>
      <c r="K647" s="28"/>
      <c r="L647" s="28"/>
    </row>
    <row r="648" spans="1:12" s="2" customFormat="1" ht="24.95" customHeight="1" x14ac:dyDescent="0.25">
      <c r="A648" s="31" t="s">
        <v>1931</v>
      </c>
      <c r="B648" s="1" t="s">
        <v>1932</v>
      </c>
      <c r="C648" s="1" t="s">
        <v>1933</v>
      </c>
      <c r="D648" s="1" t="s">
        <v>3027</v>
      </c>
      <c r="E648" s="3">
        <v>2071.56</v>
      </c>
      <c r="F648" s="3">
        <v>2334.96</v>
      </c>
      <c r="G648" s="3">
        <v>0</v>
      </c>
      <c r="H648" s="3">
        <v>0</v>
      </c>
      <c r="I648" s="3">
        <v>0</v>
      </c>
      <c r="J648" s="1" t="s">
        <v>41</v>
      </c>
      <c r="K648" s="28"/>
      <c r="L648" s="28"/>
    </row>
    <row r="649" spans="1:12" s="2" customFormat="1" ht="24.95" customHeight="1" x14ac:dyDescent="0.25">
      <c r="A649" s="31" t="s">
        <v>1934</v>
      </c>
      <c r="B649" s="1" t="s">
        <v>1935</v>
      </c>
      <c r="C649" s="1" t="s">
        <v>1936</v>
      </c>
      <c r="D649" s="1" t="s">
        <v>23</v>
      </c>
      <c r="E649" s="3">
        <v>0</v>
      </c>
      <c r="F649" s="3">
        <v>4326.7</v>
      </c>
      <c r="G649" s="3">
        <v>0</v>
      </c>
      <c r="H649" s="3">
        <v>3963.04</v>
      </c>
      <c r="I649" s="3">
        <v>0</v>
      </c>
      <c r="J649" s="1" t="s">
        <v>4</v>
      </c>
      <c r="K649" s="28"/>
      <c r="L649" s="28"/>
    </row>
    <row r="650" spans="1:12" s="2" customFormat="1" ht="24.95" customHeight="1" x14ac:dyDescent="0.25">
      <c r="A650" s="31" t="s">
        <v>1937</v>
      </c>
      <c r="B650" s="1" t="s">
        <v>1938</v>
      </c>
      <c r="C650" s="1" t="s">
        <v>1939</v>
      </c>
      <c r="D650" s="1" t="s">
        <v>3027</v>
      </c>
      <c r="E650" s="3">
        <v>978.45</v>
      </c>
      <c r="F650" s="3">
        <v>0</v>
      </c>
      <c r="G650" s="3">
        <v>0</v>
      </c>
      <c r="H650" s="3">
        <v>0</v>
      </c>
      <c r="I650" s="3">
        <v>0</v>
      </c>
      <c r="J650" s="1" t="s">
        <v>9</v>
      </c>
      <c r="K650" s="28"/>
      <c r="L650" s="28"/>
    </row>
    <row r="651" spans="1:12"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c r="L651" s="28"/>
    </row>
    <row r="652" spans="1:12" s="2" customFormat="1" ht="24.95" customHeight="1" x14ac:dyDescent="0.25">
      <c r="A652" s="31" t="s">
        <v>1943</v>
      </c>
      <c r="B652" s="1" t="s">
        <v>1944</v>
      </c>
      <c r="C652" s="1" t="s">
        <v>1945</v>
      </c>
      <c r="D652" s="1" t="s">
        <v>3027</v>
      </c>
      <c r="E652" s="3">
        <v>0</v>
      </c>
      <c r="F652" s="3">
        <v>0</v>
      </c>
      <c r="G652" s="3">
        <v>1319.55</v>
      </c>
      <c r="H652" s="3">
        <v>0</v>
      </c>
      <c r="I652" s="3">
        <v>0</v>
      </c>
      <c r="J652" s="1" t="s">
        <v>24</v>
      </c>
      <c r="K652" s="28"/>
      <c r="L652" s="28"/>
    </row>
    <row r="653" spans="1:12" s="2" customFormat="1" ht="24.95" customHeight="1" x14ac:dyDescent="0.25">
      <c r="A653" s="31" t="s">
        <v>1946</v>
      </c>
      <c r="B653" s="1" t="s">
        <v>1947</v>
      </c>
      <c r="C653" s="1" t="s">
        <v>1948</v>
      </c>
      <c r="D653" s="1" t="s">
        <v>3027</v>
      </c>
      <c r="E653" s="3">
        <v>5950.28</v>
      </c>
      <c r="F653" s="3">
        <v>0</v>
      </c>
      <c r="G653" s="3">
        <v>0</v>
      </c>
      <c r="H653" s="3">
        <v>0</v>
      </c>
      <c r="I653" s="3">
        <v>0</v>
      </c>
      <c r="J653" s="1" t="s">
        <v>106</v>
      </c>
      <c r="K653" s="28"/>
      <c r="L653" s="28"/>
    </row>
    <row r="654" spans="1:12" s="2" customFormat="1" ht="24.95" customHeight="1" x14ac:dyDescent="0.25">
      <c r="A654" s="31" t="s">
        <v>1949</v>
      </c>
      <c r="B654" s="1" t="s">
        <v>1950</v>
      </c>
      <c r="C654" s="1" t="s">
        <v>1951</v>
      </c>
      <c r="D654" s="1" t="s">
        <v>8</v>
      </c>
      <c r="E654" s="3">
        <v>5490.05</v>
      </c>
      <c r="F654" s="3">
        <v>0</v>
      </c>
      <c r="G654" s="3">
        <v>0</v>
      </c>
      <c r="H654" s="3">
        <v>0</v>
      </c>
      <c r="I654" s="3">
        <v>9845.15</v>
      </c>
      <c r="J654" s="1" t="s">
        <v>14</v>
      </c>
      <c r="K654" s="28"/>
      <c r="L654" s="28"/>
    </row>
    <row r="655" spans="1:12"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c r="L655" s="28"/>
    </row>
    <row r="656" spans="1:12" s="2" customFormat="1" ht="24.95" customHeight="1" x14ac:dyDescent="0.25">
      <c r="A656" s="31" t="s">
        <v>1955</v>
      </c>
      <c r="B656" s="1" t="s">
        <v>1956</v>
      </c>
      <c r="C656" s="1" t="s">
        <v>1957</v>
      </c>
      <c r="D656" s="1" t="s">
        <v>23</v>
      </c>
      <c r="E656" s="3">
        <v>0</v>
      </c>
      <c r="F656" s="3">
        <v>1715.82</v>
      </c>
      <c r="G656" s="3">
        <v>0</v>
      </c>
      <c r="H656" s="3">
        <v>0</v>
      </c>
      <c r="I656" s="3">
        <v>0</v>
      </c>
      <c r="J656" s="1" t="s">
        <v>48</v>
      </c>
      <c r="K656" s="28"/>
      <c r="L656" s="28"/>
    </row>
    <row r="657" spans="1:12" s="2" customFormat="1" ht="24.95" customHeight="1" x14ac:dyDescent="0.25">
      <c r="A657" s="31" t="s">
        <v>1958</v>
      </c>
      <c r="B657" s="1" t="s">
        <v>1959</v>
      </c>
      <c r="C657" s="1" t="s">
        <v>1960</v>
      </c>
      <c r="D657" s="1" t="s">
        <v>13</v>
      </c>
      <c r="E657" s="3">
        <v>3756.21</v>
      </c>
      <c r="F657" s="3">
        <v>0</v>
      </c>
      <c r="G657" s="3">
        <v>0</v>
      </c>
      <c r="H657" s="3">
        <v>2821.43</v>
      </c>
      <c r="I657" s="3">
        <v>0</v>
      </c>
      <c r="J657" s="1" t="s">
        <v>14</v>
      </c>
      <c r="K657" s="28"/>
      <c r="L657" s="28"/>
    </row>
    <row r="658" spans="1:12"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c r="L658" s="28"/>
    </row>
    <row r="659" spans="1:12" s="2" customFormat="1" ht="24.95" customHeight="1" x14ac:dyDescent="0.25">
      <c r="A659" s="31" t="s">
        <v>1964</v>
      </c>
      <c r="B659" s="1" t="s">
        <v>1965</v>
      </c>
      <c r="C659" s="1" t="s">
        <v>1966</v>
      </c>
      <c r="D659" s="1" t="s">
        <v>3027</v>
      </c>
      <c r="E659" s="3">
        <v>0</v>
      </c>
      <c r="F659" s="3">
        <v>4402.62</v>
      </c>
      <c r="G659" s="3">
        <v>763.32</v>
      </c>
      <c r="H659" s="3">
        <v>0</v>
      </c>
      <c r="I659" s="3">
        <v>0</v>
      </c>
      <c r="J659" s="1" t="s">
        <v>9</v>
      </c>
      <c r="K659" s="28"/>
      <c r="L659" s="28"/>
    </row>
    <row r="660" spans="1:12" s="2" customFormat="1" ht="24.95" customHeight="1" x14ac:dyDescent="0.25">
      <c r="A660" s="31" t="s">
        <v>1967</v>
      </c>
      <c r="B660" s="1" t="s">
        <v>1968</v>
      </c>
      <c r="C660" s="1" t="s">
        <v>1969</v>
      </c>
      <c r="D660" s="1" t="s">
        <v>13</v>
      </c>
      <c r="E660" s="3">
        <v>0</v>
      </c>
      <c r="F660" s="3">
        <v>507.69</v>
      </c>
      <c r="G660" s="3">
        <v>0</v>
      </c>
      <c r="H660" s="3">
        <v>0</v>
      </c>
      <c r="I660" s="3">
        <v>0</v>
      </c>
      <c r="J660" s="1" t="s">
        <v>86</v>
      </c>
      <c r="K660" s="28"/>
      <c r="L660" s="28"/>
    </row>
    <row r="661" spans="1:12" s="2" customFormat="1" ht="24.95" customHeight="1" x14ac:dyDescent="0.25">
      <c r="A661" s="31" t="s">
        <v>1970</v>
      </c>
      <c r="B661" s="1" t="s">
        <v>1971</v>
      </c>
      <c r="C661" s="1" t="s">
        <v>1972</v>
      </c>
      <c r="D661" s="1" t="s">
        <v>18</v>
      </c>
      <c r="E661" s="3">
        <v>0</v>
      </c>
      <c r="F661" s="3">
        <v>4683.2</v>
      </c>
      <c r="G661" s="3">
        <v>0</v>
      </c>
      <c r="H661" s="3">
        <v>0</v>
      </c>
      <c r="I661" s="3">
        <v>0</v>
      </c>
      <c r="J661" s="1" t="s">
        <v>106</v>
      </c>
      <c r="K661" s="28"/>
      <c r="L661" s="28"/>
    </row>
    <row r="662" spans="1:12"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c r="L662" s="28"/>
    </row>
    <row r="663" spans="1:12" s="2" customFormat="1" ht="24.95" customHeight="1" x14ac:dyDescent="0.25">
      <c r="A663" s="31" t="s">
        <v>1976</v>
      </c>
      <c r="B663" s="1" t="s">
        <v>1977</v>
      </c>
      <c r="C663" s="1" t="s">
        <v>1978</v>
      </c>
      <c r="D663" s="1" t="s">
        <v>23</v>
      </c>
      <c r="E663" s="3">
        <v>0</v>
      </c>
      <c r="F663" s="3">
        <v>0</v>
      </c>
      <c r="G663" s="3">
        <v>1964.44</v>
      </c>
      <c r="H663" s="3">
        <v>0</v>
      </c>
      <c r="I663" s="3">
        <v>0</v>
      </c>
      <c r="J663" s="1" t="s">
        <v>9</v>
      </c>
      <c r="K663" s="28"/>
      <c r="L663" s="28"/>
    </row>
    <row r="664" spans="1:12" s="2" customFormat="1" ht="24.95" customHeight="1" x14ac:dyDescent="0.25">
      <c r="A664" s="31" t="s">
        <v>1979</v>
      </c>
      <c r="B664" s="1" t="s">
        <v>1980</v>
      </c>
      <c r="C664" s="1" t="s">
        <v>1981</v>
      </c>
      <c r="D664" s="1" t="s">
        <v>3</v>
      </c>
      <c r="E664" s="3">
        <v>0</v>
      </c>
      <c r="F664" s="3">
        <v>3440.57</v>
      </c>
      <c r="G664" s="3">
        <v>0</v>
      </c>
      <c r="H664" s="3">
        <v>0</v>
      </c>
      <c r="I664" s="3">
        <v>8997.42</v>
      </c>
      <c r="J664" s="1" t="s">
        <v>48</v>
      </c>
      <c r="K664" s="28"/>
      <c r="L664" s="28"/>
    </row>
    <row r="665" spans="1:12" s="2" customFormat="1" ht="24.95" customHeight="1" x14ac:dyDescent="0.25">
      <c r="A665" s="31" t="s">
        <v>1982</v>
      </c>
      <c r="B665" s="1" t="s">
        <v>1983</v>
      </c>
      <c r="C665" s="1" t="s">
        <v>1984</v>
      </c>
      <c r="D665" s="1" t="s">
        <v>23</v>
      </c>
      <c r="E665" s="3">
        <v>0</v>
      </c>
      <c r="F665" s="3">
        <v>0</v>
      </c>
      <c r="G665" s="3">
        <v>0</v>
      </c>
      <c r="H665" s="3">
        <v>8730.32</v>
      </c>
      <c r="I665" s="3">
        <v>6367.34</v>
      </c>
      <c r="J665" s="1" t="s">
        <v>37</v>
      </c>
      <c r="K665" s="28"/>
      <c r="L665" s="28"/>
    </row>
    <row r="666" spans="1:12" s="2" customFormat="1" ht="24.95" customHeight="1" x14ac:dyDescent="0.25">
      <c r="A666" s="31" t="s">
        <v>1985</v>
      </c>
      <c r="B666" s="1" t="s">
        <v>1986</v>
      </c>
      <c r="C666" s="1" t="s">
        <v>1987</v>
      </c>
      <c r="D666" s="1" t="s">
        <v>3027</v>
      </c>
      <c r="E666" s="3">
        <v>0</v>
      </c>
      <c r="F666" s="3">
        <v>0</v>
      </c>
      <c r="G666" s="3">
        <v>2621.13</v>
      </c>
      <c r="H666" s="3">
        <v>0</v>
      </c>
      <c r="I666" s="3">
        <v>0</v>
      </c>
      <c r="J666" s="1" t="s">
        <v>37</v>
      </c>
      <c r="K666" s="28"/>
      <c r="L666" s="28"/>
    </row>
    <row r="667" spans="1:12"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c r="L667" s="28"/>
    </row>
    <row r="668" spans="1:12"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c r="L668" s="28"/>
    </row>
    <row r="669" spans="1:12"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c r="L669" s="28"/>
    </row>
    <row r="670" spans="1:12" s="2" customFormat="1" ht="24.95" customHeight="1" x14ac:dyDescent="0.25">
      <c r="A670" s="31" t="s">
        <v>1997</v>
      </c>
      <c r="B670" s="1" t="s">
        <v>1998</v>
      </c>
      <c r="C670" s="1" t="s">
        <v>1999</v>
      </c>
      <c r="D670" s="1" t="s">
        <v>13</v>
      </c>
      <c r="E670" s="3">
        <v>7427.24</v>
      </c>
      <c r="F670" s="3">
        <v>0</v>
      </c>
      <c r="G670" s="3">
        <v>0</v>
      </c>
      <c r="H670" s="3">
        <v>0</v>
      </c>
      <c r="I670" s="3">
        <v>0</v>
      </c>
      <c r="J670" s="1" t="s">
        <v>24</v>
      </c>
      <c r="K670" s="28"/>
      <c r="L670" s="28"/>
    </row>
    <row r="671" spans="1:12"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c r="L671" s="28"/>
    </row>
    <row r="672" spans="1:12" s="2" customFormat="1" ht="24.95" customHeight="1" x14ac:dyDescent="0.25">
      <c r="A672" s="31" t="s">
        <v>2003</v>
      </c>
      <c r="B672" s="1" t="s">
        <v>2004</v>
      </c>
      <c r="C672" s="1" t="s">
        <v>2005</v>
      </c>
      <c r="D672" s="1" t="s">
        <v>23</v>
      </c>
      <c r="E672" s="3">
        <v>800.85</v>
      </c>
      <c r="F672" s="3">
        <v>0</v>
      </c>
      <c r="G672" s="3">
        <v>0</v>
      </c>
      <c r="H672" s="3">
        <v>858.97</v>
      </c>
      <c r="I672" s="3">
        <v>0</v>
      </c>
      <c r="J672" s="1" t="s">
        <v>79</v>
      </c>
      <c r="K672" s="28"/>
      <c r="L672" s="28"/>
    </row>
    <row r="673" spans="1:12"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c r="L673" s="28"/>
    </row>
    <row r="674" spans="1:12" s="2" customFormat="1" ht="24.95" customHeight="1" x14ac:dyDescent="0.25">
      <c r="A674" s="31" t="s">
        <v>2009</v>
      </c>
      <c r="B674" s="1" t="s">
        <v>2010</v>
      </c>
      <c r="C674" s="1" t="s">
        <v>2011</v>
      </c>
      <c r="D674" s="1" t="s">
        <v>3</v>
      </c>
      <c r="E674" s="3">
        <v>0</v>
      </c>
      <c r="F674" s="3">
        <v>0</v>
      </c>
      <c r="G674" s="3">
        <v>0</v>
      </c>
      <c r="H674" s="3">
        <v>7675.16</v>
      </c>
      <c r="I674" s="3">
        <v>0</v>
      </c>
      <c r="J674" s="1" t="s">
        <v>14</v>
      </c>
      <c r="K674" s="28"/>
      <c r="L674" s="28"/>
    </row>
    <row r="675" spans="1:12" s="2" customFormat="1" ht="24.95" customHeight="1" x14ac:dyDescent="0.25">
      <c r="A675" s="31" t="s">
        <v>2012</v>
      </c>
      <c r="B675" s="1" t="s">
        <v>2013</v>
      </c>
      <c r="C675" s="1" t="s">
        <v>2014</v>
      </c>
      <c r="D675" s="1" t="s">
        <v>8</v>
      </c>
      <c r="E675" s="3">
        <v>0</v>
      </c>
      <c r="F675" s="3">
        <v>0</v>
      </c>
      <c r="G675" s="3">
        <v>0</v>
      </c>
      <c r="H675" s="3">
        <v>1916.99</v>
      </c>
      <c r="I675" s="3">
        <v>1611.61</v>
      </c>
      <c r="J675" s="1" t="s">
        <v>19</v>
      </c>
      <c r="K675" s="28"/>
      <c r="L675" s="28"/>
    </row>
    <row r="676" spans="1:12"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c r="L676" s="28"/>
    </row>
    <row r="677" spans="1:12"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c r="L677" s="28"/>
    </row>
    <row r="678" spans="1:12"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c r="L678" s="28"/>
    </row>
    <row r="679" spans="1:12" s="2" customFormat="1" ht="24.95" customHeight="1" x14ac:dyDescent="0.25">
      <c r="A679" s="31" t="s">
        <v>2024</v>
      </c>
      <c r="B679" s="1" t="s">
        <v>2025</v>
      </c>
      <c r="C679" s="1" t="s">
        <v>2026</v>
      </c>
      <c r="D679" s="1" t="s">
        <v>3027</v>
      </c>
      <c r="E679" s="3">
        <v>7257.4</v>
      </c>
      <c r="F679" s="3">
        <v>1319.14</v>
      </c>
      <c r="G679" s="3">
        <v>0</v>
      </c>
      <c r="H679" s="3">
        <v>0</v>
      </c>
      <c r="I679" s="3">
        <v>0</v>
      </c>
      <c r="J679" s="1" t="s">
        <v>86</v>
      </c>
      <c r="K679" s="28"/>
      <c r="L679" s="28"/>
    </row>
    <row r="680" spans="1:12" s="2" customFormat="1" ht="24.95" customHeight="1" x14ac:dyDescent="0.25">
      <c r="A680" s="31" t="s">
        <v>2027</v>
      </c>
      <c r="B680" s="1" t="s">
        <v>2028</v>
      </c>
      <c r="C680" s="1" t="s">
        <v>2029</v>
      </c>
      <c r="D680" s="1" t="s">
        <v>8</v>
      </c>
      <c r="E680" s="3">
        <v>2646.74</v>
      </c>
      <c r="F680" s="3">
        <v>0</v>
      </c>
      <c r="G680" s="3">
        <v>0</v>
      </c>
      <c r="H680" s="3">
        <v>0</v>
      </c>
      <c r="I680" s="3">
        <v>4067.17</v>
      </c>
      <c r="J680" s="1" t="s">
        <v>19</v>
      </c>
      <c r="K680" s="28"/>
      <c r="L680" s="28"/>
    </row>
    <row r="681" spans="1:12"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c r="L681" s="28"/>
    </row>
    <row r="682" spans="1:12"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c r="L682" s="28"/>
    </row>
    <row r="683" spans="1:12" s="2" customFormat="1" ht="24.95" customHeight="1" x14ac:dyDescent="0.25">
      <c r="A683" s="31" t="s">
        <v>2036</v>
      </c>
      <c r="B683" s="1" t="s">
        <v>2037</v>
      </c>
      <c r="C683" s="1" t="s">
        <v>2038</v>
      </c>
      <c r="D683" s="1" t="s">
        <v>13</v>
      </c>
      <c r="E683" s="3">
        <v>0</v>
      </c>
      <c r="F683" s="3">
        <v>1687.01</v>
      </c>
      <c r="G683" s="3">
        <v>2306.81</v>
      </c>
      <c r="H683" s="3">
        <v>0</v>
      </c>
      <c r="I683" s="3">
        <v>0</v>
      </c>
      <c r="J683" s="1" t="s">
        <v>48</v>
      </c>
      <c r="K683" s="28"/>
      <c r="L683" s="28"/>
    </row>
    <row r="684" spans="1:12" s="2" customFormat="1" ht="24.95" customHeight="1" x14ac:dyDescent="0.25">
      <c r="A684" s="31" t="s">
        <v>2039</v>
      </c>
      <c r="B684" s="1" t="s">
        <v>2040</v>
      </c>
      <c r="C684" s="1" t="s">
        <v>2041</v>
      </c>
      <c r="D684" s="1" t="s">
        <v>23</v>
      </c>
      <c r="E684" s="3">
        <v>0</v>
      </c>
      <c r="F684" s="3">
        <v>0</v>
      </c>
      <c r="G684" s="3">
        <v>1321.72</v>
      </c>
      <c r="H684" s="3">
        <v>0</v>
      </c>
      <c r="I684" s="3">
        <v>0</v>
      </c>
      <c r="J684" s="1" t="s">
        <v>24</v>
      </c>
      <c r="K684" s="28"/>
      <c r="L684" s="28"/>
    </row>
    <row r="685" spans="1:12" s="2" customFormat="1" ht="24.95" customHeight="1" x14ac:dyDescent="0.25">
      <c r="A685" s="31" t="s">
        <v>2042</v>
      </c>
      <c r="B685" s="1" t="s">
        <v>2043</v>
      </c>
      <c r="C685" s="1" t="s">
        <v>2044</v>
      </c>
      <c r="D685" s="1" t="s">
        <v>18</v>
      </c>
      <c r="E685" s="3">
        <v>2113.33</v>
      </c>
      <c r="F685" s="3">
        <v>0</v>
      </c>
      <c r="G685" s="3">
        <v>0</v>
      </c>
      <c r="H685" s="3">
        <v>0</v>
      </c>
      <c r="I685" s="3">
        <v>13722.73</v>
      </c>
      <c r="J685" s="1" t="s">
        <v>86</v>
      </c>
      <c r="K685" s="28"/>
      <c r="L685" s="28"/>
    </row>
    <row r="686" spans="1:12"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c r="L686" s="28"/>
    </row>
    <row r="687" spans="1:12" s="2" customFormat="1" ht="24.95" customHeight="1" x14ac:dyDescent="0.25">
      <c r="A687" s="31" t="s">
        <v>2048</v>
      </c>
      <c r="B687" s="1" t="s">
        <v>2049</v>
      </c>
      <c r="C687" s="1" t="s">
        <v>2050</v>
      </c>
      <c r="D687" s="1" t="s">
        <v>18</v>
      </c>
      <c r="E687" s="3">
        <v>0</v>
      </c>
      <c r="F687" s="3">
        <v>1650.22</v>
      </c>
      <c r="G687" s="3">
        <v>0</v>
      </c>
      <c r="H687" s="3">
        <v>8163.2</v>
      </c>
      <c r="I687" s="3">
        <v>403.68</v>
      </c>
      <c r="J687" s="1" t="s">
        <v>14</v>
      </c>
      <c r="K687" s="28"/>
      <c r="L687" s="28"/>
    </row>
    <row r="688" spans="1:12"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c r="L688" s="28"/>
    </row>
    <row r="689" spans="1:12"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c r="L689" s="28"/>
    </row>
    <row r="690" spans="1:12"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c r="L690" s="28"/>
    </row>
    <row r="691" spans="1:12" s="2" customFormat="1" ht="24.95" customHeight="1" x14ac:dyDescent="0.25">
      <c r="A691" s="31" t="s">
        <v>2060</v>
      </c>
      <c r="B691" s="1" t="s">
        <v>2061</v>
      </c>
      <c r="C691" s="1" t="s">
        <v>2062</v>
      </c>
      <c r="D691" s="1" t="s">
        <v>3027</v>
      </c>
      <c r="E691" s="3">
        <v>1896.01</v>
      </c>
      <c r="F691" s="3">
        <v>4746.33</v>
      </c>
      <c r="G691" s="3">
        <v>0</v>
      </c>
      <c r="H691" s="3">
        <v>0</v>
      </c>
      <c r="I691" s="3">
        <v>0</v>
      </c>
      <c r="J691" s="1" t="s">
        <v>14</v>
      </c>
      <c r="K691" s="28"/>
      <c r="L691" s="28"/>
    </row>
    <row r="692" spans="1:12"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c r="L692" s="28"/>
    </row>
    <row r="693" spans="1:12" s="2" customFormat="1" ht="24.95" customHeight="1" x14ac:dyDescent="0.25">
      <c r="A693" s="31" t="s">
        <v>2066</v>
      </c>
      <c r="B693" s="1" t="s">
        <v>2067</v>
      </c>
      <c r="C693" s="1" t="s">
        <v>2068</v>
      </c>
      <c r="D693" s="1" t="s">
        <v>8</v>
      </c>
      <c r="E693" s="3">
        <v>0</v>
      </c>
      <c r="F693" s="3">
        <v>0</v>
      </c>
      <c r="G693" s="3">
        <v>605.41</v>
      </c>
      <c r="H693" s="3">
        <v>7120.39</v>
      </c>
      <c r="I693" s="3">
        <v>0</v>
      </c>
      <c r="J693" s="1" t="s">
        <v>93</v>
      </c>
      <c r="K693" s="28"/>
      <c r="L693" s="28"/>
    </row>
    <row r="694" spans="1:12" s="2" customFormat="1" ht="24.95" customHeight="1" x14ac:dyDescent="0.25">
      <c r="A694" s="31" t="s">
        <v>2069</v>
      </c>
      <c r="B694" s="1" t="s">
        <v>2070</v>
      </c>
      <c r="C694" s="1" t="s">
        <v>2071</v>
      </c>
      <c r="D694" s="1" t="s">
        <v>13</v>
      </c>
      <c r="E694" s="3">
        <v>6721.69</v>
      </c>
      <c r="F694" s="3">
        <v>0</v>
      </c>
      <c r="G694" s="3">
        <v>0</v>
      </c>
      <c r="H694" s="3">
        <v>0</v>
      </c>
      <c r="I694" s="3">
        <v>2612.19</v>
      </c>
      <c r="J694" s="1" t="s">
        <v>48</v>
      </c>
      <c r="K694" s="28"/>
      <c r="L694" s="28"/>
    </row>
    <row r="695" spans="1:12"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c r="L695" s="28"/>
    </row>
    <row r="696" spans="1:12"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c r="L696" s="28"/>
    </row>
    <row r="697" spans="1:12"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c r="L697" s="28"/>
    </row>
    <row r="698" spans="1:12"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c r="L698" s="28"/>
    </row>
    <row r="699" spans="1:12" s="2" customFormat="1" ht="24.95" customHeight="1" x14ac:dyDescent="0.25">
      <c r="A699" s="31" t="s">
        <v>2084</v>
      </c>
      <c r="B699" s="1" t="s">
        <v>2085</v>
      </c>
      <c r="C699" s="1" t="s">
        <v>2086</v>
      </c>
      <c r="D699" s="1" t="s">
        <v>3</v>
      </c>
      <c r="E699" s="3">
        <v>0</v>
      </c>
      <c r="F699" s="3">
        <v>0</v>
      </c>
      <c r="G699" s="3">
        <v>2219.1</v>
      </c>
      <c r="H699" s="3">
        <v>7649.7</v>
      </c>
      <c r="I699" s="3">
        <v>0</v>
      </c>
      <c r="J699" s="1" t="s">
        <v>37</v>
      </c>
      <c r="K699" s="28"/>
      <c r="L699" s="28"/>
    </row>
    <row r="700" spans="1:12" s="2" customFormat="1" ht="24.95" customHeight="1" x14ac:dyDescent="0.25">
      <c r="A700" s="31" t="s">
        <v>2087</v>
      </c>
      <c r="B700" s="1" t="s">
        <v>2088</v>
      </c>
      <c r="C700" s="1" t="s">
        <v>2089</v>
      </c>
      <c r="D700" s="1" t="s">
        <v>8</v>
      </c>
      <c r="E700" s="3">
        <v>0</v>
      </c>
      <c r="F700" s="3">
        <v>0</v>
      </c>
      <c r="G700" s="3">
        <v>748.42</v>
      </c>
      <c r="H700" s="3">
        <v>7427</v>
      </c>
      <c r="I700" s="3">
        <v>5922.03</v>
      </c>
      <c r="J700" s="1" t="s">
        <v>41</v>
      </c>
      <c r="K700" s="28"/>
      <c r="L700" s="28"/>
    </row>
    <row r="701" spans="1:12"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c r="L701" s="28"/>
    </row>
    <row r="702" spans="1:12"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c r="L702" s="28"/>
    </row>
    <row r="703" spans="1:12" s="2" customFormat="1" ht="24.95" customHeight="1" x14ac:dyDescent="0.25">
      <c r="A703" s="31" t="s">
        <v>2096</v>
      </c>
      <c r="B703" s="1" t="s">
        <v>2097</v>
      </c>
      <c r="C703" s="1" t="s">
        <v>2098</v>
      </c>
      <c r="D703" s="1" t="s">
        <v>13</v>
      </c>
      <c r="E703" s="3">
        <v>7328.43</v>
      </c>
      <c r="F703" s="3">
        <v>0</v>
      </c>
      <c r="G703" s="3">
        <v>0</v>
      </c>
      <c r="H703" s="3">
        <v>6148.2</v>
      </c>
      <c r="I703" s="3">
        <v>1708.04</v>
      </c>
      <c r="J703" s="1" t="s">
        <v>9</v>
      </c>
      <c r="K703" s="28"/>
      <c r="L703" s="28"/>
    </row>
    <row r="704" spans="1:12" s="2" customFormat="1" ht="24.95" customHeight="1" x14ac:dyDescent="0.25">
      <c r="A704" s="31" t="s">
        <v>2099</v>
      </c>
      <c r="B704" s="1" t="s">
        <v>2100</v>
      </c>
      <c r="C704" s="1" t="s">
        <v>2101</v>
      </c>
      <c r="D704" s="1" t="s">
        <v>3</v>
      </c>
      <c r="E704" s="3">
        <v>0</v>
      </c>
      <c r="F704" s="3">
        <v>0</v>
      </c>
      <c r="G704" s="3">
        <v>1322.71</v>
      </c>
      <c r="H704" s="3">
        <v>0</v>
      </c>
      <c r="I704" s="3">
        <v>6469.61</v>
      </c>
      <c r="J704" s="1" t="s">
        <v>37</v>
      </c>
      <c r="K704" s="28"/>
      <c r="L704" s="28"/>
    </row>
    <row r="705" spans="1:12"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c r="L705" s="28"/>
    </row>
    <row r="706" spans="1:12" s="2" customFormat="1" ht="24.95" customHeight="1" x14ac:dyDescent="0.25">
      <c r="A706" s="31" t="s">
        <v>2105</v>
      </c>
      <c r="B706" s="1" t="s">
        <v>2106</v>
      </c>
      <c r="C706" s="1" t="s">
        <v>2107</v>
      </c>
      <c r="D706" s="1" t="s">
        <v>23</v>
      </c>
      <c r="E706" s="3">
        <v>0</v>
      </c>
      <c r="F706" s="3">
        <v>846.91</v>
      </c>
      <c r="G706" s="3">
        <v>0</v>
      </c>
      <c r="H706" s="3">
        <v>0</v>
      </c>
      <c r="I706" s="3">
        <v>0</v>
      </c>
      <c r="J706" s="1" t="s">
        <v>24</v>
      </c>
      <c r="K706" s="28"/>
      <c r="L706" s="28"/>
    </row>
    <row r="707" spans="1:12" s="2" customFormat="1" ht="24.95" customHeight="1" x14ac:dyDescent="0.25">
      <c r="A707" s="31" t="s">
        <v>2108</v>
      </c>
      <c r="B707" s="1" t="s">
        <v>2109</v>
      </c>
      <c r="C707" s="1" t="s">
        <v>2110</v>
      </c>
      <c r="D707" s="1" t="s">
        <v>23</v>
      </c>
      <c r="E707" s="3">
        <v>4358.53</v>
      </c>
      <c r="F707" s="3">
        <v>0</v>
      </c>
      <c r="G707" s="3">
        <v>0</v>
      </c>
      <c r="H707" s="3">
        <v>0</v>
      </c>
      <c r="I707" s="3">
        <v>14677.41</v>
      </c>
      <c r="J707" s="1" t="s">
        <v>37</v>
      </c>
      <c r="K707" s="28"/>
      <c r="L707" s="28"/>
    </row>
    <row r="708" spans="1:12" s="2" customFormat="1" ht="24.95" customHeight="1" x14ac:dyDescent="0.25">
      <c r="A708" s="31" t="s">
        <v>2111</v>
      </c>
      <c r="B708" s="1" t="s">
        <v>2112</v>
      </c>
      <c r="C708" s="1" t="s">
        <v>2113</v>
      </c>
      <c r="D708" s="1" t="s">
        <v>8</v>
      </c>
      <c r="E708" s="3">
        <v>0</v>
      </c>
      <c r="F708" s="3">
        <v>919.88</v>
      </c>
      <c r="G708" s="3">
        <v>2090.75</v>
      </c>
      <c r="H708" s="3">
        <v>0</v>
      </c>
      <c r="I708" s="3">
        <v>6709.57</v>
      </c>
      <c r="J708" s="1" t="s">
        <v>79</v>
      </c>
      <c r="K708" s="28"/>
      <c r="L708" s="28"/>
    </row>
    <row r="709" spans="1:12"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c r="L709" s="28"/>
    </row>
    <row r="710" spans="1:12"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c r="L710" s="28"/>
    </row>
    <row r="711" spans="1:12" s="2" customFormat="1" ht="24.95" customHeight="1" x14ac:dyDescent="0.25">
      <c r="A711" s="31" t="s">
        <v>2120</v>
      </c>
      <c r="B711" s="1" t="s">
        <v>2121</v>
      </c>
      <c r="C711" s="1" t="s">
        <v>2122</v>
      </c>
      <c r="D711" s="1" t="s">
        <v>3</v>
      </c>
      <c r="E711" s="3">
        <v>0</v>
      </c>
      <c r="F711" s="3">
        <v>0</v>
      </c>
      <c r="G711" s="3">
        <v>1414.9</v>
      </c>
      <c r="H711" s="3">
        <v>0</v>
      </c>
      <c r="I711" s="3">
        <v>0</v>
      </c>
      <c r="J711" s="1" t="s">
        <v>4</v>
      </c>
      <c r="K711" s="28"/>
      <c r="L711" s="28"/>
    </row>
    <row r="712" spans="1:12"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c r="L712" s="28"/>
    </row>
    <row r="713" spans="1:12"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c r="L713" s="28"/>
    </row>
    <row r="714" spans="1:12" s="2" customFormat="1" ht="24.95" customHeight="1" x14ac:dyDescent="0.25">
      <c r="A714" s="31" t="s">
        <v>2129</v>
      </c>
      <c r="B714" s="1" t="s">
        <v>2130</v>
      </c>
      <c r="C714" s="1" t="s">
        <v>2131</v>
      </c>
      <c r="D714" s="1" t="s">
        <v>13</v>
      </c>
      <c r="E714" s="3">
        <v>0</v>
      </c>
      <c r="F714" s="3">
        <v>0</v>
      </c>
      <c r="G714" s="3">
        <v>0</v>
      </c>
      <c r="H714" s="3">
        <v>6025.64</v>
      </c>
      <c r="I714" s="3">
        <v>0</v>
      </c>
      <c r="J714" s="1" t="s">
        <v>106</v>
      </c>
      <c r="K714" s="28"/>
      <c r="L714" s="28"/>
    </row>
    <row r="715" spans="1:12"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c r="L715" s="28"/>
    </row>
    <row r="716" spans="1:12"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c r="L716" s="28"/>
    </row>
    <row r="717" spans="1:12"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c r="L717" s="28"/>
    </row>
    <row r="718" spans="1:12" s="2" customFormat="1" ht="24.95" customHeight="1" x14ac:dyDescent="0.25">
      <c r="A718" s="31" t="s">
        <v>2141</v>
      </c>
      <c r="B718" s="1" t="s">
        <v>2142</v>
      </c>
      <c r="C718" s="1" t="s">
        <v>2143</v>
      </c>
      <c r="D718" s="1" t="s">
        <v>8</v>
      </c>
      <c r="E718" s="3">
        <v>233.87</v>
      </c>
      <c r="F718" s="3">
        <v>0</v>
      </c>
      <c r="G718" s="3">
        <v>430.48</v>
      </c>
      <c r="H718" s="3">
        <v>0</v>
      </c>
      <c r="I718" s="3">
        <v>9167.58</v>
      </c>
      <c r="J718" s="1" t="s">
        <v>19</v>
      </c>
      <c r="K718" s="28"/>
      <c r="L718" s="28"/>
    </row>
    <row r="719" spans="1:12" s="2" customFormat="1" ht="24.95" customHeight="1" x14ac:dyDescent="0.25">
      <c r="A719" s="31" t="s">
        <v>2144</v>
      </c>
      <c r="B719" s="1" t="s">
        <v>2145</v>
      </c>
      <c r="C719" s="1" t="s">
        <v>2146</v>
      </c>
      <c r="D719" s="1" t="s">
        <v>18</v>
      </c>
      <c r="E719" s="3">
        <v>6645.81</v>
      </c>
      <c r="F719" s="3">
        <v>0</v>
      </c>
      <c r="G719" s="3">
        <v>0</v>
      </c>
      <c r="H719" s="3">
        <v>700.14</v>
      </c>
      <c r="I719" s="3">
        <v>0</v>
      </c>
      <c r="J719" s="1" t="s">
        <v>106</v>
      </c>
      <c r="K719" s="28"/>
      <c r="L719" s="28"/>
    </row>
    <row r="720" spans="1:12" s="2" customFormat="1" ht="24.95" customHeight="1" x14ac:dyDescent="0.25">
      <c r="A720" s="31" t="s">
        <v>2147</v>
      </c>
      <c r="B720" s="1" t="s">
        <v>2148</v>
      </c>
      <c r="C720" s="1" t="s">
        <v>2149</v>
      </c>
      <c r="D720" s="1" t="s">
        <v>3</v>
      </c>
      <c r="E720" s="3">
        <v>1221.44</v>
      </c>
      <c r="F720" s="3">
        <v>0</v>
      </c>
      <c r="G720" s="3">
        <v>0</v>
      </c>
      <c r="H720" s="3">
        <v>0</v>
      </c>
      <c r="I720" s="3">
        <v>0</v>
      </c>
      <c r="J720" s="1" t="s">
        <v>48</v>
      </c>
      <c r="K720" s="28"/>
      <c r="L720" s="28"/>
    </row>
    <row r="721" spans="1:12" s="2" customFormat="1" ht="24.95" customHeight="1" x14ac:dyDescent="0.25">
      <c r="A721" s="31" t="s">
        <v>2150</v>
      </c>
      <c r="B721" s="1" t="s">
        <v>2151</v>
      </c>
      <c r="C721" s="1" t="s">
        <v>2152</v>
      </c>
      <c r="D721" s="1" t="s">
        <v>23</v>
      </c>
      <c r="E721" s="3">
        <v>0</v>
      </c>
      <c r="F721" s="3">
        <v>0</v>
      </c>
      <c r="G721" s="3">
        <v>0</v>
      </c>
      <c r="H721" s="3">
        <v>0</v>
      </c>
      <c r="I721" s="3">
        <v>4833.12</v>
      </c>
      <c r="J721" s="1" t="s">
        <v>14</v>
      </c>
      <c r="K721" s="28"/>
      <c r="L721" s="28"/>
    </row>
    <row r="722" spans="1:12"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c r="L722" s="28"/>
    </row>
    <row r="723" spans="1:12"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c r="L723" s="28"/>
    </row>
    <row r="724" spans="1:12" s="2" customFormat="1" ht="24.95" customHeight="1" x14ac:dyDescent="0.25">
      <c r="A724" s="31" t="s">
        <v>2159</v>
      </c>
      <c r="B724" s="1" t="s">
        <v>2160</v>
      </c>
      <c r="C724" s="1" t="s">
        <v>2161</v>
      </c>
      <c r="D724" s="1" t="s">
        <v>23</v>
      </c>
      <c r="E724" s="3">
        <v>0</v>
      </c>
      <c r="F724" s="3">
        <v>1871.77</v>
      </c>
      <c r="G724" s="3">
        <v>0</v>
      </c>
      <c r="H724" s="3">
        <v>0</v>
      </c>
      <c r="I724" s="3">
        <v>0</v>
      </c>
      <c r="J724" s="1" t="s">
        <v>93</v>
      </c>
      <c r="K724" s="28"/>
      <c r="L724" s="28"/>
    </row>
    <row r="725" spans="1:12" s="2" customFormat="1" ht="24.95" customHeight="1" x14ac:dyDescent="0.25">
      <c r="A725" s="31" t="s">
        <v>2162</v>
      </c>
      <c r="B725" s="1" t="s">
        <v>2163</v>
      </c>
      <c r="C725" s="1" t="s">
        <v>2164</v>
      </c>
      <c r="D725" s="1" t="s">
        <v>3027</v>
      </c>
      <c r="E725" s="3">
        <v>0</v>
      </c>
      <c r="F725" s="3">
        <v>0</v>
      </c>
      <c r="G725" s="3">
        <v>0</v>
      </c>
      <c r="H725" s="3">
        <v>9949.24</v>
      </c>
      <c r="I725" s="3">
        <v>0</v>
      </c>
      <c r="J725" s="1" t="s">
        <v>93</v>
      </c>
      <c r="K725" s="28"/>
      <c r="L725" s="28"/>
    </row>
    <row r="726" spans="1:12"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c r="L726" s="28"/>
    </row>
    <row r="727" spans="1:12"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c r="L727" s="28"/>
    </row>
    <row r="728" spans="1:12" s="2" customFormat="1" ht="24.95" customHeight="1" x14ac:dyDescent="0.25">
      <c r="A728" s="31" t="s">
        <v>2171</v>
      </c>
      <c r="B728" s="1" t="s">
        <v>2172</v>
      </c>
      <c r="C728" s="1" t="s">
        <v>2173</v>
      </c>
      <c r="D728" s="1" t="s">
        <v>3027</v>
      </c>
      <c r="E728" s="3">
        <v>0</v>
      </c>
      <c r="F728" s="3">
        <v>0</v>
      </c>
      <c r="G728" s="3">
        <v>4090.68</v>
      </c>
      <c r="H728" s="3">
        <v>0</v>
      </c>
      <c r="I728" s="3">
        <v>0</v>
      </c>
      <c r="J728" s="1" t="s">
        <v>106</v>
      </c>
      <c r="K728" s="28"/>
      <c r="L728" s="28"/>
    </row>
    <row r="729" spans="1:12" s="2" customFormat="1" ht="24.95" customHeight="1" x14ac:dyDescent="0.25">
      <c r="A729" s="31" t="s">
        <v>2174</v>
      </c>
      <c r="B729" s="1" t="s">
        <v>2175</v>
      </c>
      <c r="C729" s="1" t="s">
        <v>2176</v>
      </c>
      <c r="D729" s="1" t="s">
        <v>3</v>
      </c>
      <c r="E729" s="3">
        <v>7340.06</v>
      </c>
      <c r="F729" s="3">
        <v>0</v>
      </c>
      <c r="G729" s="3">
        <v>0</v>
      </c>
      <c r="H729" s="3">
        <v>0</v>
      </c>
      <c r="I729" s="3">
        <v>0</v>
      </c>
      <c r="J729" s="1" t="s">
        <v>86</v>
      </c>
      <c r="K729" s="28"/>
      <c r="L729" s="28"/>
    </row>
    <row r="730" spans="1:12"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c r="L730" s="28"/>
    </row>
    <row r="731" spans="1:12" s="2" customFormat="1" ht="24.95" customHeight="1" x14ac:dyDescent="0.25">
      <c r="A731" s="31" t="s">
        <v>2180</v>
      </c>
      <c r="B731" s="1" t="s">
        <v>2181</v>
      </c>
      <c r="C731" s="1" t="s">
        <v>2182</v>
      </c>
      <c r="D731" s="1" t="s">
        <v>8</v>
      </c>
      <c r="E731" s="3">
        <v>0</v>
      </c>
      <c r="F731" s="3">
        <v>0</v>
      </c>
      <c r="G731" s="3">
        <v>0</v>
      </c>
      <c r="H731" s="3">
        <v>3306.03</v>
      </c>
      <c r="I731" s="3">
        <v>0</v>
      </c>
      <c r="J731" s="1" t="s">
        <v>4</v>
      </c>
      <c r="K731" s="28"/>
      <c r="L731" s="28"/>
    </row>
    <row r="732" spans="1:12"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c r="L732" s="28"/>
    </row>
    <row r="733" spans="1:12"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c r="L733" s="28"/>
    </row>
    <row r="734" spans="1:12"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c r="L734" s="28"/>
    </row>
    <row r="735" spans="1:12"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c r="L735" s="28"/>
    </row>
    <row r="736" spans="1:12" s="2" customFormat="1" ht="24.95" customHeight="1" x14ac:dyDescent="0.25">
      <c r="A736" s="31" t="s">
        <v>2195</v>
      </c>
      <c r="B736" s="1" t="s">
        <v>2196</v>
      </c>
      <c r="C736" s="1" t="s">
        <v>2197</v>
      </c>
      <c r="D736" s="1" t="s">
        <v>18</v>
      </c>
      <c r="E736" s="3">
        <v>0</v>
      </c>
      <c r="F736" s="3">
        <v>4553</v>
      </c>
      <c r="G736" s="3">
        <v>0</v>
      </c>
      <c r="H736" s="3">
        <v>0</v>
      </c>
      <c r="I736" s="3">
        <v>0</v>
      </c>
      <c r="J736" s="1" t="s">
        <v>19</v>
      </c>
      <c r="K736" s="28"/>
      <c r="L736" s="28"/>
    </row>
    <row r="737" spans="1:12"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c r="L737" s="28"/>
    </row>
    <row r="738" spans="1:12" s="2" customFormat="1" ht="24.95" customHeight="1" x14ac:dyDescent="0.25">
      <c r="A738" s="31" t="s">
        <v>2201</v>
      </c>
      <c r="B738" s="1" t="s">
        <v>2202</v>
      </c>
      <c r="C738" s="1" t="s">
        <v>2203</v>
      </c>
      <c r="D738" s="1" t="s">
        <v>23</v>
      </c>
      <c r="E738" s="3">
        <v>3659.19</v>
      </c>
      <c r="F738" s="3">
        <v>0</v>
      </c>
      <c r="G738" s="3">
        <v>283.82</v>
      </c>
      <c r="H738" s="3">
        <v>1471.3</v>
      </c>
      <c r="I738" s="3">
        <v>0</v>
      </c>
      <c r="J738" s="1" t="s">
        <v>4</v>
      </c>
      <c r="K738" s="28"/>
      <c r="L738" s="28"/>
    </row>
    <row r="739" spans="1:12" s="2" customFormat="1" ht="24.95" customHeight="1" x14ac:dyDescent="0.25">
      <c r="A739" s="31" t="s">
        <v>2204</v>
      </c>
      <c r="B739" s="1" t="s">
        <v>2205</v>
      </c>
      <c r="C739" s="1" t="s">
        <v>2206</v>
      </c>
      <c r="D739" s="1" t="s">
        <v>18</v>
      </c>
      <c r="E739" s="3">
        <v>0</v>
      </c>
      <c r="F739" s="3">
        <v>2423.38</v>
      </c>
      <c r="G739" s="3">
        <v>0</v>
      </c>
      <c r="H739" s="3">
        <v>0</v>
      </c>
      <c r="I739" s="3">
        <v>1428.38</v>
      </c>
      <c r="J739" s="1" t="s">
        <v>14</v>
      </c>
      <c r="K739" s="28"/>
      <c r="L739" s="28"/>
    </row>
    <row r="740" spans="1:12"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c r="L740" s="28"/>
    </row>
    <row r="741" spans="1:12" s="2" customFormat="1" ht="24.95" customHeight="1" x14ac:dyDescent="0.25">
      <c r="A741" s="31" t="s">
        <v>2210</v>
      </c>
      <c r="B741" s="1" t="s">
        <v>2211</v>
      </c>
      <c r="C741" s="1" t="s">
        <v>2212</v>
      </c>
      <c r="D741" s="1" t="s">
        <v>3027</v>
      </c>
      <c r="E741" s="3">
        <v>3392.02</v>
      </c>
      <c r="F741" s="3">
        <v>0</v>
      </c>
      <c r="G741" s="3">
        <v>0</v>
      </c>
      <c r="H741" s="3">
        <v>0</v>
      </c>
      <c r="I741" s="3">
        <v>0</v>
      </c>
      <c r="J741" s="1" t="s">
        <v>93</v>
      </c>
      <c r="K741" s="28"/>
      <c r="L741" s="28"/>
    </row>
    <row r="742" spans="1:12" s="2" customFormat="1" ht="24.95" customHeight="1" x14ac:dyDescent="0.25">
      <c r="A742" s="31" t="s">
        <v>2213</v>
      </c>
      <c r="B742" s="1" t="s">
        <v>2214</v>
      </c>
      <c r="C742" s="1" t="s">
        <v>2215</v>
      </c>
      <c r="D742" s="1" t="s">
        <v>13</v>
      </c>
      <c r="E742" s="3">
        <v>0</v>
      </c>
      <c r="F742" s="3">
        <v>0</v>
      </c>
      <c r="G742" s="3">
        <v>895.83</v>
      </c>
      <c r="H742" s="3">
        <v>3425.09</v>
      </c>
      <c r="I742" s="3">
        <v>0</v>
      </c>
      <c r="J742" s="1" t="s">
        <v>4</v>
      </c>
      <c r="K742" s="28"/>
      <c r="L742" s="28"/>
    </row>
    <row r="743" spans="1:12" s="2" customFormat="1" ht="24.95" customHeight="1" x14ac:dyDescent="0.25">
      <c r="A743" s="31" t="s">
        <v>2216</v>
      </c>
      <c r="B743" s="1" t="s">
        <v>2217</v>
      </c>
      <c r="C743" s="1" t="s">
        <v>2218</v>
      </c>
      <c r="D743" s="1" t="s">
        <v>13</v>
      </c>
      <c r="E743" s="3">
        <v>5557.23</v>
      </c>
      <c r="F743" s="3">
        <v>0</v>
      </c>
      <c r="G743" s="3">
        <v>1166.78</v>
      </c>
      <c r="H743" s="3">
        <v>0</v>
      </c>
      <c r="I743" s="3">
        <v>0</v>
      </c>
      <c r="J743" s="1" t="s">
        <v>14</v>
      </c>
      <c r="K743" s="28"/>
      <c r="L743" s="28"/>
    </row>
    <row r="744" spans="1:12" s="2" customFormat="1" ht="24.95" customHeight="1" x14ac:dyDescent="0.25">
      <c r="A744" s="31" t="s">
        <v>2219</v>
      </c>
      <c r="B744" s="1" t="s">
        <v>2220</v>
      </c>
      <c r="C744" s="1" t="s">
        <v>2221</v>
      </c>
      <c r="D744" s="1" t="s">
        <v>23</v>
      </c>
      <c r="E744" s="3">
        <v>0</v>
      </c>
      <c r="F744" s="3">
        <v>0</v>
      </c>
      <c r="G744" s="3">
        <v>1694.18</v>
      </c>
      <c r="H744" s="3">
        <v>0</v>
      </c>
      <c r="I744" s="3">
        <v>0</v>
      </c>
      <c r="J744" s="1" t="s">
        <v>41</v>
      </c>
      <c r="K744" s="28"/>
      <c r="L744" s="28"/>
    </row>
    <row r="745" spans="1:12"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c r="L745" s="28"/>
    </row>
    <row r="746" spans="1:12" s="2" customFormat="1" ht="24.95" customHeight="1" x14ac:dyDescent="0.25">
      <c r="A746" s="31" t="s">
        <v>2225</v>
      </c>
      <c r="B746" s="1" t="s">
        <v>2226</v>
      </c>
      <c r="C746" s="1" t="s">
        <v>2227</v>
      </c>
      <c r="D746" s="1" t="s">
        <v>13</v>
      </c>
      <c r="E746" s="3">
        <v>0</v>
      </c>
      <c r="F746" s="3">
        <v>3320.68</v>
      </c>
      <c r="G746" s="3">
        <v>699.87</v>
      </c>
      <c r="H746" s="3">
        <v>0</v>
      </c>
      <c r="I746" s="3">
        <v>7535.59</v>
      </c>
      <c r="J746" s="1" t="s">
        <v>9</v>
      </c>
      <c r="K746" s="28"/>
      <c r="L746" s="28"/>
    </row>
    <row r="747" spans="1:12"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c r="L747" s="28"/>
    </row>
    <row r="748" spans="1:12"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c r="L748" s="28"/>
    </row>
    <row r="749" spans="1:12" s="2" customFormat="1" ht="24.95" customHeight="1" x14ac:dyDescent="0.25">
      <c r="A749" s="31" t="s">
        <v>2234</v>
      </c>
      <c r="B749" s="1" t="s">
        <v>2235</v>
      </c>
      <c r="C749" s="1" t="s">
        <v>2236</v>
      </c>
      <c r="D749" s="1" t="s">
        <v>8</v>
      </c>
      <c r="E749" s="3">
        <v>0</v>
      </c>
      <c r="F749" s="3">
        <v>0</v>
      </c>
      <c r="G749" s="3">
        <v>481.97</v>
      </c>
      <c r="H749" s="3">
        <v>0</v>
      </c>
      <c r="I749" s="3">
        <v>0</v>
      </c>
      <c r="J749" s="1" t="s">
        <v>9</v>
      </c>
      <c r="K749" s="28"/>
      <c r="L749" s="28"/>
    </row>
    <row r="750" spans="1:12" s="2" customFormat="1" ht="24.95" customHeight="1" x14ac:dyDescent="0.25">
      <c r="A750" s="31" t="s">
        <v>2237</v>
      </c>
      <c r="B750" s="1" t="s">
        <v>2238</v>
      </c>
      <c r="C750" s="1" t="s">
        <v>2239</v>
      </c>
      <c r="D750" s="1" t="s">
        <v>3</v>
      </c>
      <c r="E750" s="3">
        <v>4126.22</v>
      </c>
      <c r="F750" s="3">
        <v>0</v>
      </c>
      <c r="G750" s="3">
        <v>0</v>
      </c>
      <c r="H750" s="3">
        <v>0</v>
      </c>
      <c r="I750" s="3">
        <v>0</v>
      </c>
      <c r="J750" s="1" t="s">
        <v>4</v>
      </c>
      <c r="K750" s="28"/>
      <c r="L750" s="28"/>
    </row>
    <row r="751" spans="1:12"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c r="L751" s="28"/>
    </row>
    <row r="752" spans="1:12"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c r="L752" s="28"/>
    </row>
    <row r="753" spans="1:12"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c r="L753" s="28"/>
    </row>
    <row r="754" spans="1:12" s="2" customFormat="1" ht="24.95" customHeight="1" x14ac:dyDescent="0.25">
      <c r="A754" s="31" t="s">
        <v>2249</v>
      </c>
      <c r="B754" s="1" t="s">
        <v>2250</v>
      </c>
      <c r="C754" s="1" t="s">
        <v>2251</v>
      </c>
      <c r="D754" s="1" t="s">
        <v>3027</v>
      </c>
      <c r="E754" s="3">
        <v>0</v>
      </c>
      <c r="F754" s="3">
        <v>3600.84</v>
      </c>
      <c r="G754" s="3">
        <v>980.4</v>
      </c>
      <c r="H754" s="3">
        <v>0</v>
      </c>
      <c r="I754" s="3">
        <v>0</v>
      </c>
      <c r="J754" s="1" t="s">
        <v>48</v>
      </c>
      <c r="K754" s="28"/>
      <c r="L754" s="28"/>
    </row>
    <row r="755" spans="1:12" s="2" customFormat="1" ht="24.95" customHeight="1" x14ac:dyDescent="0.25">
      <c r="A755" s="31" t="s">
        <v>2252</v>
      </c>
      <c r="B755" s="1" t="s">
        <v>2253</v>
      </c>
      <c r="C755" s="1" t="s">
        <v>2254</v>
      </c>
      <c r="D755" s="1" t="s">
        <v>3</v>
      </c>
      <c r="E755" s="3">
        <v>0</v>
      </c>
      <c r="F755" s="3">
        <v>4361.54</v>
      </c>
      <c r="G755" s="3">
        <v>0</v>
      </c>
      <c r="H755" s="3">
        <v>0</v>
      </c>
      <c r="I755" s="3">
        <v>14597.39</v>
      </c>
      <c r="J755" s="1" t="s">
        <v>19</v>
      </c>
      <c r="K755" s="28"/>
      <c r="L755" s="28"/>
    </row>
    <row r="756" spans="1:12" s="2" customFormat="1" ht="24.95" customHeight="1" x14ac:dyDescent="0.25">
      <c r="A756" s="31" t="s">
        <v>2255</v>
      </c>
      <c r="B756" s="1" t="s">
        <v>2256</v>
      </c>
      <c r="C756" s="1" t="s">
        <v>2257</v>
      </c>
      <c r="D756" s="1" t="s">
        <v>3027</v>
      </c>
      <c r="E756" s="3">
        <v>7380.77</v>
      </c>
      <c r="F756" s="3">
        <v>0</v>
      </c>
      <c r="G756" s="3">
        <v>0</v>
      </c>
      <c r="H756" s="3">
        <v>0</v>
      </c>
      <c r="I756" s="3">
        <v>0</v>
      </c>
      <c r="J756" s="1" t="s">
        <v>4</v>
      </c>
      <c r="K756" s="28"/>
      <c r="L756" s="28"/>
    </row>
    <row r="757" spans="1:12" s="2" customFormat="1" ht="24.95" customHeight="1" x14ac:dyDescent="0.25">
      <c r="A757" s="31" t="s">
        <v>2258</v>
      </c>
      <c r="B757" s="1" t="s">
        <v>2259</v>
      </c>
      <c r="C757" s="1" t="s">
        <v>2260</v>
      </c>
      <c r="D757" s="1" t="s">
        <v>18</v>
      </c>
      <c r="E757" s="3">
        <v>2724.42</v>
      </c>
      <c r="F757" s="3">
        <v>830.52</v>
      </c>
      <c r="G757" s="3">
        <v>0</v>
      </c>
      <c r="H757" s="3">
        <v>0</v>
      </c>
      <c r="I757" s="3">
        <v>0</v>
      </c>
      <c r="J757" s="1" t="s">
        <v>4</v>
      </c>
      <c r="K757" s="28"/>
      <c r="L757" s="28"/>
    </row>
    <row r="758" spans="1:12" s="2" customFormat="1" ht="24.95" customHeight="1" x14ac:dyDescent="0.25">
      <c r="A758" s="31" t="s">
        <v>2261</v>
      </c>
      <c r="B758" s="1" t="s">
        <v>2262</v>
      </c>
      <c r="C758" s="1" t="s">
        <v>2263</v>
      </c>
      <c r="D758" s="1" t="s">
        <v>3</v>
      </c>
      <c r="E758" s="3">
        <v>0</v>
      </c>
      <c r="F758" s="3">
        <v>0</v>
      </c>
      <c r="G758" s="3">
        <v>723.61</v>
      </c>
      <c r="H758" s="3">
        <v>6304.88</v>
      </c>
      <c r="I758" s="3">
        <v>0</v>
      </c>
      <c r="J758" s="1" t="s">
        <v>86</v>
      </c>
      <c r="K758" s="28"/>
      <c r="L758" s="28"/>
    </row>
    <row r="759" spans="1:12"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c r="L759" s="28"/>
    </row>
    <row r="760" spans="1:12" s="2" customFormat="1" ht="24.95" customHeight="1" x14ac:dyDescent="0.25">
      <c r="A760" s="31" t="s">
        <v>2267</v>
      </c>
      <c r="B760" s="1" t="s">
        <v>2268</v>
      </c>
      <c r="C760" s="1" t="s">
        <v>2269</v>
      </c>
      <c r="D760" s="1" t="s">
        <v>23</v>
      </c>
      <c r="E760" s="3">
        <v>0</v>
      </c>
      <c r="F760" s="3">
        <v>0</v>
      </c>
      <c r="G760" s="3">
        <v>500.84</v>
      </c>
      <c r="H760" s="3">
        <v>0</v>
      </c>
      <c r="I760" s="3">
        <v>0</v>
      </c>
      <c r="J760" s="1" t="s">
        <v>24</v>
      </c>
      <c r="K760" s="28"/>
      <c r="L760" s="28"/>
    </row>
    <row r="761" spans="1:12"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c r="L761" s="28"/>
    </row>
    <row r="762" spans="1:12"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c r="L762" s="28"/>
    </row>
    <row r="763" spans="1:12"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c r="L763" s="28"/>
    </row>
    <row r="764" spans="1:12"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c r="L764" s="28"/>
    </row>
    <row r="765" spans="1:12" s="2" customFormat="1" ht="24.95" customHeight="1" x14ac:dyDescent="0.25">
      <c r="A765" s="31" t="s">
        <v>2282</v>
      </c>
      <c r="B765" s="1" t="s">
        <v>2283</v>
      </c>
      <c r="C765" s="1" t="s">
        <v>2284</v>
      </c>
      <c r="D765" s="1" t="s">
        <v>23</v>
      </c>
      <c r="E765" s="3">
        <v>6335.88</v>
      </c>
      <c r="F765" s="3">
        <v>0</v>
      </c>
      <c r="G765" s="3">
        <v>0</v>
      </c>
      <c r="H765" s="3">
        <v>0</v>
      </c>
      <c r="I765" s="3">
        <v>12399.88</v>
      </c>
      <c r="J765" s="1" t="s">
        <v>86</v>
      </c>
      <c r="K765" s="28"/>
      <c r="L765" s="28"/>
    </row>
    <row r="766" spans="1:12" s="2" customFormat="1" ht="24.95" customHeight="1" x14ac:dyDescent="0.25">
      <c r="A766" s="31" t="s">
        <v>2285</v>
      </c>
      <c r="B766" s="1" t="s">
        <v>2286</v>
      </c>
      <c r="C766" s="1" t="s">
        <v>2287</v>
      </c>
      <c r="D766" s="1" t="s">
        <v>18</v>
      </c>
      <c r="E766" s="3">
        <v>0</v>
      </c>
      <c r="F766" s="3">
        <v>0</v>
      </c>
      <c r="G766" s="3">
        <v>0</v>
      </c>
      <c r="H766" s="3">
        <v>0</v>
      </c>
      <c r="I766" s="3">
        <v>13957.92</v>
      </c>
      <c r="J766" s="1" t="s">
        <v>41</v>
      </c>
      <c r="K766" s="28"/>
      <c r="L766" s="28"/>
    </row>
    <row r="767" spans="1:12" s="2" customFormat="1" ht="24.95" customHeight="1" x14ac:dyDescent="0.25">
      <c r="A767" s="31" t="s">
        <v>2288</v>
      </c>
      <c r="B767" s="1" t="s">
        <v>2289</v>
      </c>
      <c r="C767" s="1" t="s">
        <v>2290</v>
      </c>
      <c r="D767" s="1" t="s">
        <v>18</v>
      </c>
      <c r="E767" s="3">
        <v>0</v>
      </c>
      <c r="F767" s="3">
        <v>0</v>
      </c>
      <c r="G767" s="3">
        <v>0</v>
      </c>
      <c r="H767" s="3">
        <v>0</v>
      </c>
      <c r="I767" s="3">
        <v>14895.49</v>
      </c>
      <c r="J767" s="1" t="s">
        <v>14</v>
      </c>
      <c r="K767" s="28"/>
      <c r="L767" s="28"/>
    </row>
    <row r="768" spans="1:12"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c r="L768" s="28"/>
    </row>
    <row r="769" spans="1:12"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c r="L769" s="28"/>
    </row>
    <row r="770" spans="1:12" s="2" customFormat="1" ht="24.95" customHeight="1" x14ac:dyDescent="0.25">
      <c r="A770" s="31" t="s">
        <v>2297</v>
      </c>
      <c r="B770" s="1" t="s">
        <v>2298</v>
      </c>
      <c r="C770" s="1" t="s">
        <v>2299</v>
      </c>
      <c r="D770" s="1" t="s">
        <v>18</v>
      </c>
      <c r="E770" s="3">
        <v>0</v>
      </c>
      <c r="F770" s="3">
        <v>1993.31</v>
      </c>
      <c r="G770" s="3">
        <v>2636.79</v>
      </c>
      <c r="H770" s="3">
        <v>0</v>
      </c>
      <c r="I770" s="3">
        <v>0</v>
      </c>
      <c r="J770" s="1" t="s">
        <v>24</v>
      </c>
      <c r="K770" s="28"/>
      <c r="L770" s="28"/>
    </row>
    <row r="771" spans="1:12"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c r="L771" s="28"/>
    </row>
    <row r="772" spans="1:12"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c r="L772" s="28"/>
    </row>
    <row r="773" spans="1:12" s="2" customFormat="1" ht="24.95" customHeight="1" x14ac:dyDescent="0.25">
      <c r="A773" s="31" t="s">
        <v>2306</v>
      </c>
      <c r="B773" s="1" t="s">
        <v>2307</v>
      </c>
      <c r="C773" s="1" t="s">
        <v>2308</v>
      </c>
      <c r="D773" s="1" t="s">
        <v>18</v>
      </c>
      <c r="E773" s="3">
        <v>0</v>
      </c>
      <c r="F773" s="3">
        <v>0</v>
      </c>
      <c r="G773" s="3">
        <v>2915.04</v>
      </c>
      <c r="H773" s="3">
        <v>0</v>
      </c>
      <c r="I773" s="3">
        <v>0</v>
      </c>
      <c r="J773" s="1" t="s">
        <v>79</v>
      </c>
      <c r="K773" s="28"/>
      <c r="L773" s="28"/>
    </row>
    <row r="774" spans="1:12" s="2" customFormat="1" ht="24.95" customHeight="1" x14ac:dyDescent="0.25">
      <c r="A774" s="31" t="s">
        <v>2309</v>
      </c>
      <c r="B774" s="1" t="s">
        <v>2310</v>
      </c>
      <c r="C774" s="1" t="s">
        <v>2311</v>
      </c>
      <c r="D774" s="1" t="s">
        <v>18</v>
      </c>
      <c r="E774" s="3">
        <v>697.89</v>
      </c>
      <c r="F774" s="3">
        <v>0</v>
      </c>
      <c r="G774" s="3">
        <v>0</v>
      </c>
      <c r="H774" s="3">
        <v>10687.52</v>
      </c>
      <c r="I774" s="3">
        <v>0</v>
      </c>
      <c r="J774" s="1" t="s">
        <v>48</v>
      </c>
      <c r="K774" s="28"/>
      <c r="L774" s="28"/>
    </row>
    <row r="775" spans="1:12" s="2" customFormat="1" ht="24.95" customHeight="1" x14ac:dyDescent="0.25">
      <c r="A775" s="31" t="s">
        <v>2312</v>
      </c>
      <c r="B775" s="1" t="s">
        <v>2313</v>
      </c>
      <c r="C775" s="1" t="s">
        <v>2314</v>
      </c>
      <c r="D775" s="1" t="s">
        <v>8</v>
      </c>
      <c r="E775" s="3">
        <v>0</v>
      </c>
      <c r="F775" s="3">
        <v>0</v>
      </c>
      <c r="G775" s="3">
        <v>440</v>
      </c>
      <c r="H775" s="3">
        <v>0</v>
      </c>
      <c r="I775" s="3">
        <v>4093.79</v>
      </c>
      <c r="J775" s="1" t="s">
        <v>86</v>
      </c>
      <c r="K775" s="28"/>
      <c r="L775" s="28"/>
    </row>
    <row r="776" spans="1:12"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c r="L776" s="28"/>
    </row>
    <row r="777" spans="1:12"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c r="L777" s="28"/>
    </row>
    <row r="778" spans="1:12" s="2" customFormat="1" ht="24.95" customHeight="1" x14ac:dyDescent="0.25">
      <c r="A778" s="31" t="s">
        <v>2321</v>
      </c>
      <c r="B778" s="1" t="s">
        <v>2322</v>
      </c>
      <c r="C778" s="1" t="s">
        <v>2323</v>
      </c>
      <c r="D778" s="1" t="s">
        <v>13</v>
      </c>
      <c r="E778" s="3">
        <v>0</v>
      </c>
      <c r="F778" s="3">
        <v>4663.87</v>
      </c>
      <c r="G778" s="3">
        <v>0</v>
      </c>
      <c r="H778" s="3">
        <v>0</v>
      </c>
      <c r="I778" s="3">
        <v>9731.08</v>
      </c>
      <c r="J778" s="1" t="s">
        <v>93</v>
      </c>
      <c r="K778" s="28"/>
      <c r="L778" s="28"/>
    </row>
    <row r="779" spans="1:12"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c r="L779" s="28"/>
    </row>
    <row r="780" spans="1:12"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c r="L780" s="28"/>
    </row>
    <row r="781" spans="1:12" s="2" customFormat="1" ht="24.95" customHeight="1" x14ac:dyDescent="0.25">
      <c r="A781" s="31" t="s">
        <v>2330</v>
      </c>
      <c r="B781" s="1" t="s">
        <v>2331</v>
      </c>
      <c r="C781" s="1" t="s">
        <v>2332</v>
      </c>
      <c r="D781" s="1" t="s">
        <v>13</v>
      </c>
      <c r="E781" s="3">
        <v>5804.42</v>
      </c>
      <c r="F781" s="3">
        <v>0</v>
      </c>
      <c r="G781" s="3">
        <v>1769.71</v>
      </c>
      <c r="H781" s="3">
        <v>0</v>
      </c>
      <c r="I781" s="3">
        <v>0</v>
      </c>
      <c r="J781" s="1" t="s">
        <v>93</v>
      </c>
      <c r="K781" s="28"/>
      <c r="L781" s="28"/>
    </row>
    <row r="782" spans="1:12" s="2" customFormat="1" ht="24.95" customHeight="1" x14ac:dyDescent="0.25">
      <c r="A782" s="31" t="s">
        <v>2333</v>
      </c>
      <c r="B782" s="1" t="s">
        <v>2334</v>
      </c>
      <c r="C782" s="1" t="s">
        <v>2335</v>
      </c>
      <c r="D782" s="1" t="s">
        <v>8</v>
      </c>
      <c r="E782" s="3">
        <v>0</v>
      </c>
      <c r="F782" s="3">
        <v>0</v>
      </c>
      <c r="G782" s="3">
        <v>2262.56</v>
      </c>
      <c r="H782" s="3">
        <v>7299.41</v>
      </c>
      <c r="I782" s="3">
        <v>0</v>
      </c>
      <c r="J782" s="1" t="s">
        <v>41</v>
      </c>
      <c r="K782" s="28"/>
      <c r="L782" s="28"/>
    </row>
    <row r="783" spans="1:12"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c r="L783" s="28"/>
    </row>
    <row r="784" spans="1:12"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c r="L784" s="28"/>
    </row>
    <row r="785" spans="1:12"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c r="L785" s="28"/>
    </row>
    <row r="786" spans="1:12"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c r="L786" s="28"/>
    </row>
    <row r="787" spans="1:12"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c r="L787" s="28"/>
    </row>
    <row r="788" spans="1:12" s="2" customFormat="1" ht="24.95" customHeight="1" x14ac:dyDescent="0.25">
      <c r="A788" s="31" t="s">
        <v>2351</v>
      </c>
      <c r="B788" s="1" t="s">
        <v>2352</v>
      </c>
      <c r="C788" s="1" t="s">
        <v>2353</v>
      </c>
      <c r="D788" s="1" t="s">
        <v>3</v>
      </c>
      <c r="E788" s="3">
        <v>0</v>
      </c>
      <c r="F788" s="3">
        <v>3891.47</v>
      </c>
      <c r="G788" s="3">
        <v>214.99</v>
      </c>
      <c r="H788" s="3">
        <v>3561.06</v>
      </c>
      <c r="I788" s="3">
        <v>0</v>
      </c>
      <c r="J788" s="1" t="s">
        <v>93</v>
      </c>
      <c r="K788" s="28"/>
      <c r="L788" s="28"/>
    </row>
    <row r="789" spans="1:12"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c r="L789" s="28"/>
    </row>
    <row r="790" spans="1:12" s="2" customFormat="1" ht="24.95" customHeight="1" x14ac:dyDescent="0.25">
      <c r="A790" s="31" t="s">
        <v>2357</v>
      </c>
      <c r="B790" s="1" t="s">
        <v>2358</v>
      </c>
      <c r="C790" s="1" t="s">
        <v>2359</v>
      </c>
      <c r="D790" s="1" t="s">
        <v>18</v>
      </c>
      <c r="E790" s="3">
        <v>7612.9</v>
      </c>
      <c r="F790" s="3">
        <v>0</v>
      </c>
      <c r="G790" s="3">
        <v>1303.42</v>
      </c>
      <c r="H790" s="3">
        <v>0</v>
      </c>
      <c r="I790" s="3">
        <v>0</v>
      </c>
      <c r="J790" s="1" t="s">
        <v>48</v>
      </c>
      <c r="K790" s="28"/>
      <c r="L790" s="28"/>
    </row>
    <row r="791" spans="1:12"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c r="L791" s="28"/>
    </row>
    <row r="792" spans="1:12"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c r="L792" s="28"/>
    </row>
    <row r="793" spans="1:12"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c r="L793" s="28"/>
    </row>
    <row r="794" spans="1:12" s="2" customFormat="1" ht="24.95" customHeight="1" x14ac:dyDescent="0.25">
      <c r="A794" s="31" t="s">
        <v>2369</v>
      </c>
      <c r="B794" s="1" t="s">
        <v>2370</v>
      </c>
      <c r="C794" s="1" t="s">
        <v>2371</v>
      </c>
      <c r="D794" s="1" t="s">
        <v>3</v>
      </c>
      <c r="E794" s="3">
        <v>0</v>
      </c>
      <c r="F794" s="3">
        <v>2366.91</v>
      </c>
      <c r="G794" s="3">
        <v>0</v>
      </c>
      <c r="H794" s="3">
        <v>0</v>
      </c>
      <c r="I794" s="3">
        <v>3903.21</v>
      </c>
      <c r="J794" s="1" t="s">
        <v>93</v>
      </c>
      <c r="K794" s="28"/>
      <c r="L794" s="28"/>
    </row>
    <row r="795" spans="1:12"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c r="L795" s="28"/>
    </row>
    <row r="796" spans="1:12" s="2" customFormat="1" ht="24.95" customHeight="1" x14ac:dyDescent="0.25">
      <c r="A796" s="31" t="s">
        <v>2375</v>
      </c>
      <c r="B796" s="1" t="s">
        <v>2376</v>
      </c>
      <c r="C796" s="1" t="s">
        <v>2377</v>
      </c>
      <c r="D796" s="1" t="s">
        <v>18</v>
      </c>
      <c r="E796" s="3">
        <v>2785.89</v>
      </c>
      <c r="F796" s="3">
        <v>0</v>
      </c>
      <c r="G796" s="3">
        <v>1777.99</v>
      </c>
      <c r="H796" s="3">
        <v>0</v>
      </c>
      <c r="I796" s="3">
        <v>0</v>
      </c>
      <c r="J796" s="1" t="s">
        <v>37</v>
      </c>
      <c r="K796" s="28"/>
      <c r="L796" s="28"/>
    </row>
    <row r="797" spans="1:12" s="2" customFormat="1" ht="24.95" customHeight="1" x14ac:dyDescent="0.25">
      <c r="A797" s="31" t="s">
        <v>2378</v>
      </c>
      <c r="B797" s="1" t="s">
        <v>2379</v>
      </c>
      <c r="C797" s="1" t="s">
        <v>2380</v>
      </c>
      <c r="D797" s="1" t="s">
        <v>3</v>
      </c>
      <c r="E797" s="3">
        <v>0</v>
      </c>
      <c r="F797" s="3">
        <v>0</v>
      </c>
      <c r="G797" s="3">
        <v>0</v>
      </c>
      <c r="H797" s="3">
        <v>5221.88</v>
      </c>
      <c r="I797" s="3">
        <v>0</v>
      </c>
      <c r="J797" s="1" t="s">
        <v>37</v>
      </c>
      <c r="K797" s="28"/>
      <c r="L797" s="28"/>
    </row>
    <row r="798" spans="1:12"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c r="L798" s="28"/>
    </row>
    <row r="799" spans="1:12" s="2" customFormat="1" ht="24.95" customHeight="1" x14ac:dyDescent="0.25">
      <c r="A799" s="31" t="s">
        <v>2384</v>
      </c>
      <c r="B799" s="1" t="s">
        <v>2385</v>
      </c>
      <c r="C799" s="1" t="s">
        <v>2386</v>
      </c>
      <c r="D799" s="1" t="s">
        <v>8</v>
      </c>
      <c r="E799" s="3">
        <v>0</v>
      </c>
      <c r="F799" s="3">
        <v>623.88</v>
      </c>
      <c r="G799" s="3">
        <v>0</v>
      </c>
      <c r="H799" s="3">
        <v>0</v>
      </c>
      <c r="I799" s="3">
        <v>0</v>
      </c>
      <c r="J799" s="1" t="s">
        <v>24</v>
      </c>
      <c r="K799" s="28"/>
      <c r="L799" s="28"/>
    </row>
    <row r="800" spans="1:12"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c r="L800" s="28"/>
    </row>
    <row r="801" spans="1:12" s="2" customFormat="1" ht="24.95" customHeight="1" x14ac:dyDescent="0.25">
      <c r="A801" s="31" t="s">
        <v>2390</v>
      </c>
      <c r="B801" s="1" t="s">
        <v>2391</v>
      </c>
      <c r="C801" s="1" t="s">
        <v>2392</v>
      </c>
      <c r="D801" s="1" t="s">
        <v>3027</v>
      </c>
      <c r="E801" s="3">
        <v>3470.72</v>
      </c>
      <c r="F801" s="3">
        <v>0</v>
      </c>
      <c r="G801" s="3">
        <v>898.42</v>
      </c>
      <c r="H801" s="3">
        <v>0</v>
      </c>
      <c r="I801" s="3">
        <v>0</v>
      </c>
      <c r="J801" s="1" t="s">
        <v>79</v>
      </c>
      <c r="K801" s="28"/>
      <c r="L801" s="28"/>
    </row>
    <row r="802" spans="1:12"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c r="L802" s="28"/>
    </row>
    <row r="803" spans="1:12"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c r="L803" s="28"/>
    </row>
    <row r="804" spans="1:12"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c r="L804" s="28"/>
    </row>
    <row r="805" spans="1:12"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c r="L805" s="28"/>
    </row>
    <row r="806" spans="1:12"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c r="L806" s="28"/>
    </row>
    <row r="807" spans="1:12" s="2" customFormat="1" ht="24.95" customHeight="1" x14ac:dyDescent="0.25">
      <c r="A807" s="31" t="s">
        <v>2408</v>
      </c>
      <c r="B807" s="1" t="s">
        <v>2409</v>
      </c>
      <c r="C807" s="1" t="s">
        <v>2410</v>
      </c>
      <c r="D807" s="1" t="s">
        <v>23</v>
      </c>
      <c r="E807" s="3">
        <v>0</v>
      </c>
      <c r="F807" s="3">
        <v>0</v>
      </c>
      <c r="G807" s="3">
        <v>1856.95</v>
      </c>
      <c r="H807" s="3">
        <v>0</v>
      </c>
      <c r="I807" s="3">
        <v>7401.78</v>
      </c>
      <c r="J807" s="1" t="s">
        <v>106</v>
      </c>
      <c r="K807" s="28"/>
      <c r="L807" s="28"/>
    </row>
    <row r="808" spans="1:12" s="2" customFormat="1" ht="24.95" customHeight="1" x14ac:dyDescent="0.25">
      <c r="A808" s="31" t="s">
        <v>2411</v>
      </c>
      <c r="B808" s="1" t="s">
        <v>2412</v>
      </c>
      <c r="C808" s="1" t="s">
        <v>2413</v>
      </c>
      <c r="D808" s="1" t="s">
        <v>18</v>
      </c>
      <c r="E808" s="3">
        <v>0</v>
      </c>
      <c r="F808" s="3">
        <v>0</v>
      </c>
      <c r="G808" s="3">
        <v>0</v>
      </c>
      <c r="H808" s="3">
        <v>0</v>
      </c>
      <c r="I808" s="3">
        <v>3764.52</v>
      </c>
      <c r="J808" s="1" t="s">
        <v>4</v>
      </c>
      <c r="K808" s="28"/>
      <c r="L808" s="28"/>
    </row>
    <row r="809" spans="1:12" s="2" customFormat="1" ht="24.95" customHeight="1" x14ac:dyDescent="0.25">
      <c r="A809" s="31" t="s">
        <v>2414</v>
      </c>
      <c r="B809" s="1" t="s">
        <v>2415</v>
      </c>
      <c r="C809" s="1" t="s">
        <v>2416</v>
      </c>
      <c r="D809" s="1" t="s">
        <v>3027</v>
      </c>
      <c r="E809" s="3">
        <v>0</v>
      </c>
      <c r="F809" s="3">
        <v>0</v>
      </c>
      <c r="G809" s="3">
        <v>0</v>
      </c>
      <c r="H809" s="3">
        <v>3646.51</v>
      </c>
      <c r="I809" s="3">
        <v>0</v>
      </c>
      <c r="J809" s="1" t="s">
        <v>79</v>
      </c>
      <c r="K809" s="28"/>
      <c r="L809" s="28"/>
    </row>
    <row r="810" spans="1:12" s="2" customFormat="1" ht="24.95" customHeight="1" x14ac:dyDescent="0.25">
      <c r="A810" s="31" t="s">
        <v>2417</v>
      </c>
      <c r="B810" s="1" t="s">
        <v>2418</v>
      </c>
      <c r="C810" s="1" t="s">
        <v>2419</v>
      </c>
      <c r="D810" s="1" t="s">
        <v>3027</v>
      </c>
      <c r="E810" s="3">
        <v>0</v>
      </c>
      <c r="F810" s="3">
        <v>0</v>
      </c>
      <c r="G810" s="3">
        <v>0</v>
      </c>
      <c r="H810" s="3">
        <v>11482.72</v>
      </c>
      <c r="I810" s="3">
        <v>0</v>
      </c>
      <c r="J810" s="1" t="s">
        <v>41</v>
      </c>
      <c r="K810" s="28"/>
      <c r="L810" s="28"/>
    </row>
    <row r="811" spans="1:12"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c r="L811" s="28"/>
    </row>
    <row r="812" spans="1:12"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c r="L812" s="28"/>
    </row>
    <row r="813" spans="1:12"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c r="L813" s="28"/>
    </row>
    <row r="814" spans="1:12" s="2" customFormat="1" ht="24.95" customHeight="1" x14ac:dyDescent="0.25">
      <c r="A814" s="31" t="s">
        <v>2429</v>
      </c>
      <c r="B814" s="1" t="s">
        <v>2430</v>
      </c>
      <c r="C814" s="1" t="s">
        <v>2431</v>
      </c>
      <c r="D814" s="1" t="s">
        <v>23</v>
      </c>
      <c r="E814" s="3">
        <v>0</v>
      </c>
      <c r="F814" s="3">
        <v>1878.35</v>
      </c>
      <c r="G814" s="3">
        <v>1353.09</v>
      </c>
      <c r="H814" s="3">
        <v>243.3</v>
      </c>
      <c r="I814" s="3">
        <v>0</v>
      </c>
      <c r="J814" s="1" t="s">
        <v>93</v>
      </c>
      <c r="K814" s="28"/>
      <c r="L814" s="28"/>
    </row>
    <row r="815" spans="1:12"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c r="L815" s="28"/>
    </row>
    <row r="816" spans="1:12" s="2" customFormat="1" ht="24.95" customHeight="1" x14ac:dyDescent="0.25">
      <c r="A816" s="31" t="s">
        <v>2435</v>
      </c>
      <c r="B816" s="1" t="s">
        <v>2436</v>
      </c>
      <c r="C816" s="1" t="s">
        <v>2437</v>
      </c>
      <c r="D816" s="1" t="s">
        <v>3</v>
      </c>
      <c r="E816" s="3">
        <v>2393.65</v>
      </c>
      <c r="F816" s="3">
        <v>4215.91</v>
      </c>
      <c r="G816" s="3">
        <v>136.19</v>
      </c>
      <c r="H816" s="3">
        <v>0</v>
      </c>
      <c r="I816" s="3">
        <v>0</v>
      </c>
      <c r="J816" s="1" t="s">
        <v>79</v>
      </c>
      <c r="K816" s="28"/>
      <c r="L816" s="28"/>
    </row>
    <row r="817" spans="1:12"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c r="L817" s="28"/>
    </row>
    <row r="818" spans="1:12" s="2" customFormat="1" ht="24.95" customHeight="1" x14ac:dyDescent="0.25">
      <c r="A818" s="31" t="s">
        <v>2441</v>
      </c>
      <c r="B818" s="1" t="s">
        <v>2442</v>
      </c>
      <c r="C818" s="1" t="s">
        <v>2443</v>
      </c>
      <c r="D818" s="1" t="s">
        <v>3</v>
      </c>
      <c r="E818" s="3">
        <v>6626.5</v>
      </c>
      <c r="F818" s="3">
        <v>0</v>
      </c>
      <c r="G818" s="3">
        <v>0</v>
      </c>
      <c r="H818" s="3">
        <v>0</v>
      </c>
      <c r="I818" s="3">
        <v>10690.33</v>
      </c>
      <c r="J818" s="1" t="s">
        <v>86</v>
      </c>
      <c r="K818" s="28"/>
      <c r="L818" s="28"/>
    </row>
    <row r="819" spans="1:12"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c r="L819" s="28"/>
    </row>
    <row r="820" spans="1:12"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c r="L820" s="28"/>
    </row>
    <row r="821" spans="1:12" s="2" customFormat="1" ht="24.95" customHeight="1" x14ac:dyDescent="0.25">
      <c r="A821" s="31" t="s">
        <v>2450</v>
      </c>
      <c r="B821" s="1" t="s">
        <v>2451</v>
      </c>
      <c r="C821" s="1" t="s">
        <v>2452</v>
      </c>
      <c r="D821" s="1" t="s">
        <v>8</v>
      </c>
      <c r="E821" s="3">
        <v>0</v>
      </c>
      <c r="F821" s="3">
        <v>0</v>
      </c>
      <c r="G821" s="3">
        <v>2481.96</v>
      </c>
      <c r="H821" s="3">
        <v>0</v>
      </c>
      <c r="I821" s="3">
        <v>0</v>
      </c>
      <c r="J821" s="1" t="s">
        <v>93</v>
      </c>
      <c r="K821" s="28"/>
      <c r="L821" s="28"/>
    </row>
    <row r="822" spans="1:12"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c r="L822" s="28"/>
    </row>
    <row r="823" spans="1:12" s="2" customFormat="1" ht="24.95" customHeight="1" x14ac:dyDescent="0.25">
      <c r="A823" s="31" t="s">
        <v>2456</v>
      </c>
      <c r="B823" s="1" t="s">
        <v>2457</v>
      </c>
      <c r="C823" s="1" t="s">
        <v>2458</v>
      </c>
      <c r="D823" s="1" t="s">
        <v>23</v>
      </c>
      <c r="E823" s="3">
        <v>0</v>
      </c>
      <c r="F823" s="3">
        <v>3163.3</v>
      </c>
      <c r="G823" s="3">
        <v>0</v>
      </c>
      <c r="H823" s="3">
        <v>0</v>
      </c>
      <c r="I823" s="3">
        <v>3265.05</v>
      </c>
      <c r="J823" s="1" t="s">
        <v>19</v>
      </c>
      <c r="K823" s="28"/>
      <c r="L823" s="28"/>
    </row>
    <row r="824" spans="1:12"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c r="L824" s="28"/>
    </row>
    <row r="825" spans="1:12" s="2" customFormat="1" ht="24.95" customHeight="1" x14ac:dyDescent="0.25">
      <c r="A825" s="31" t="s">
        <v>2462</v>
      </c>
      <c r="B825" s="1" t="s">
        <v>2463</v>
      </c>
      <c r="C825" s="1" t="s">
        <v>2464</v>
      </c>
      <c r="D825" s="1" t="s">
        <v>3</v>
      </c>
      <c r="E825" s="3">
        <v>6186.85</v>
      </c>
      <c r="F825" s="3">
        <v>0</v>
      </c>
      <c r="G825" s="3">
        <v>104.84</v>
      </c>
      <c r="H825" s="3">
        <v>0</v>
      </c>
      <c r="I825" s="3">
        <v>0</v>
      </c>
      <c r="J825" s="1" t="s">
        <v>106</v>
      </c>
      <c r="K825" s="28"/>
      <c r="L825" s="28"/>
    </row>
    <row r="826" spans="1:12"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c r="L826" s="28"/>
    </row>
    <row r="827" spans="1:12"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c r="L827" s="28"/>
    </row>
    <row r="828" spans="1:12"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c r="L828" s="28"/>
    </row>
    <row r="829" spans="1:12"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c r="L829" s="28"/>
    </row>
    <row r="830" spans="1:12"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c r="L830" s="28"/>
    </row>
    <row r="831" spans="1:12"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c r="L831" s="28"/>
    </row>
    <row r="832" spans="1:12" s="2" customFormat="1" ht="24.95" customHeight="1" x14ac:dyDescent="0.25">
      <c r="A832" s="31" t="s">
        <v>2483</v>
      </c>
      <c r="B832" s="1" t="s">
        <v>2484</v>
      </c>
      <c r="C832" s="1" t="s">
        <v>2485</v>
      </c>
      <c r="D832" s="1" t="s">
        <v>23</v>
      </c>
      <c r="E832" s="3">
        <v>3076.37</v>
      </c>
      <c r="F832" s="3">
        <v>0</v>
      </c>
      <c r="G832" s="3">
        <v>1727.45</v>
      </c>
      <c r="H832" s="3">
        <v>0</v>
      </c>
      <c r="I832" s="3">
        <v>0</v>
      </c>
      <c r="J832" s="1" t="s">
        <v>14</v>
      </c>
      <c r="K832" s="28"/>
      <c r="L832" s="28"/>
    </row>
    <row r="833" spans="1:12"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c r="L833" s="28"/>
    </row>
    <row r="834" spans="1:12" s="2" customFormat="1" ht="24.95" customHeight="1" x14ac:dyDescent="0.25">
      <c r="A834" s="31" t="s">
        <v>2489</v>
      </c>
      <c r="B834" s="1" t="s">
        <v>2490</v>
      </c>
      <c r="C834" s="1" t="s">
        <v>2491</v>
      </c>
      <c r="D834" s="1" t="s">
        <v>3027</v>
      </c>
      <c r="E834" s="3">
        <v>0</v>
      </c>
      <c r="F834" s="3">
        <v>210.29</v>
      </c>
      <c r="G834" s="3">
        <v>0</v>
      </c>
      <c r="H834" s="3">
        <v>0</v>
      </c>
      <c r="I834" s="3">
        <v>0</v>
      </c>
      <c r="J834" s="1" t="s">
        <v>37</v>
      </c>
      <c r="K834" s="28"/>
      <c r="L834" s="28"/>
    </row>
    <row r="835" spans="1:12"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c r="L835" s="28"/>
    </row>
    <row r="836" spans="1:12" s="2" customFormat="1" ht="24.95" customHeight="1" x14ac:dyDescent="0.25">
      <c r="A836" s="31" t="s">
        <v>2495</v>
      </c>
      <c r="B836" s="1" t="s">
        <v>2496</v>
      </c>
      <c r="C836" s="1" t="s">
        <v>2497</v>
      </c>
      <c r="D836" s="1" t="s">
        <v>3027</v>
      </c>
      <c r="E836" s="3">
        <v>6333.37</v>
      </c>
      <c r="F836" s="3">
        <v>0</v>
      </c>
      <c r="G836" s="3">
        <v>304.82</v>
      </c>
      <c r="H836" s="3">
        <v>0</v>
      </c>
      <c r="I836" s="3">
        <v>0</v>
      </c>
      <c r="J836" s="1" t="s">
        <v>48</v>
      </c>
      <c r="K836" s="28"/>
      <c r="L836" s="28"/>
    </row>
    <row r="837" spans="1:12"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c r="L837" s="28"/>
    </row>
    <row r="838" spans="1:12" s="2" customFormat="1" ht="24.95" customHeight="1" x14ac:dyDescent="0.25">
      <c r="A838" s="31" t="s">
        <v>2501</v>
      </c>
      <c r="B838" s="1" t="s">
        <v>2502</v>
      </c>
      <c r="C838" s="1" t="s">
        <v>2503</v>
      </c>
      <c r="D838" s="1" t="s">
        <v>3027</v>
      </c>
      <c r="E838" s="3">
        <v>7130.9</v>
      </c>
      <c r="F838" s="3">
        <v>0</v>
      </c>
      <c r="G838" s="3">
        <v>514.13</v>
      </c>
      <c r="H838" s="3">
        <v>0</v>
      </c>
      <c r="I838" s="3">
        <v>0</v>
      </c>
      <c r="J838" s="1" t="s">
        <v>86</v>
      </c>
      <c r="K838" s="28"/>
      <c r="L838" s="28"/>
    </row>
    <row r="839" spans="1:12" s="2" customFormat="1" ht="24.95" customHeight="1" x14ac:dyDescent="0.25">
      <c r="A839" s="31" t="s">
        <v>2504</v>
      </c>
      <c r="B839" s="1" t="s">
        <v>2505</v>
      </c>
      <c r="C839" s="1" t="s">
        <v>2506</v>
      </c>
      <c r="D839" s="1" t="s">
        <v>3027</v>
      </c>
      <c r="E839" s="3">
        <v>0</v>
      </c>
      <c r="F839" s="3">
        <v>0</v>
      </c>
      <c r="G839" s="3">
        <v>828.25</v>
      </c>
      <c r="H839" s="3">
        <v>0</v>
      </c>
      <c r="I839" s="3">
        <v>0</v>
      </c>
      <c r="J839" s="1" t="s">
        <v>24</v>
      </c>
      <c r="K839" s="28"/>
      <c r="L839" s="28"/>
    </row>
    <row r="840" spans="1:12" s="2" customFormat="1" ht="24.95" customHeight="1" x14ac:dyDescent="0.25">
      <c r="A840" s="31" t="s">
        <v>2507</v>
      </c>
      <c r="B840" s="1" t="s">
        <v>2508</v>
      </c>
      <c r="C840" s="1" t="s">
        <v>2509</v>
      </c>
      <c r="D840" s="1" t="s">
        <v>3027</v>
      </c>
      <c r="E840" s="3">
        <v>0</v>
      </c>
      <c r="F840" s="3">
        <v>0</v>
      </c>
      <c r="G840" s="3">
        <v>0</v>
      </c>
      <c r="H840" s="3">
        <v>2100.4</v>
      </c>
      <c r="I840" s="3">
        <v>1842.44</v>
      </c>
      <c r="J840" s="1" t="s">
        <v>86</v>
      </c>
      <c r="K840" s="28"/>
      <c r="L840" s="28"/>
    </row>
    <row r="841" spans="1:12" s="2" customFormat="1" ht="24.95" customHeight="1" x14ac:dyDescent="0.25">
      <c r="A841" s="31" t="s">
        <v>2510</v>
      </c>
      <c r="B841" s="1" t="s">
        <v>2511</v>
      </c>
      <c r="C841" s="1" t="s">
        <v>2512</v>
      </c>
      <c r="D841" s="1" t="s">
        <v>8</v>
      </c>
      <c r="E841" s="3">
        <v>3480.33</v>
      </c>
      <c r="F841" s="3">
        <v>0</v>
      </c>
      <c r="G841" s="3">
        <v>0</v>
      </c>
      <c r="H841" s="3">
        <v>7848.92</v>
      </c>
      <c r="I841" s="3">
        <v>0</v>
      </c>
      <c r="J841" s="1" t="s">
        <v>48</v>
      </c>
      <c r="K841" s="28"/>
      <c r="L841" s="28"/>
    </row>
    <row r="842" spans="1:12" s="2" customFormat="1" ht="24.95" customHeight="1" x14ac:dyDescent="0.25">
      <c r="A842" s="31" t="s">
        <v>2513</v>
      </c>
      <c r="B842" s="1" t="s">
        <v>2514</v>
      </c>
      <c r="C842" s="1" t="s">
        <v>2515</v>
      </c>
      <c r="D842" s="1" t="s">
        <v>18</v>
      </c>
      <c r="E842" s="3">
        <v>0</v>
      </c>
      <c r="F842" s="3">
        <v>0</v>
      </c>
      <c r="G842" s="3">
        <v>0</v>
      </c>
      <c r="H842" s="3">
        <v>0</v>
      </c>
      <c r="I842" s="3">
        <v>10209.74</v>
      </c>
      <c r="J842" s="1" t="s">
        <v>93</v>
      </c>
      <c r="K842" s="28"/>
      <c r="L842" s="28"/>
    </row>
    <row r="843" spans="1:12"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c r="L843" s="28"/>
    </row>
    <row r="844" spans="1:12" s="2" customFormat="1" ht="24.95" customHeight="1" x14ac:dyDescent="0.25">
      <c r="A844" s="31" t="s">
        <v>2519</v>
      </c>
      <c r="B844" s="1" t="s">
        <v>2520</v>
      </c>
      <c r="C844" s="1" t="s">
        <v>2521</v>
      </c>
      <c r="D844" s="1" t="s">
        <v>3</v>
      </c>
      <c r="E844" s="3">
        <v>4703.05</v>
      </c>
      <c r="F844" s="3">
        <v>0</v>
      </c>
      <c r="G844" s="3">
        <v>0</v>
      </c>
      <c r="H844" s="3">
        <v>0</v>
      </c>
      <c r="I844" s="3">
        <v>0</v>
      </c>
      <c r="J844" s="1" t="s">
        <v>24</v>
      </c>
      <c r="K844" s="28"/>
      <c r="L844" s="28"/>
    </row>
    <row r="845" spans="1:12"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c r="L845" s="28"/>
    </row>
    <row r="846" spans="1:12" s="2" customFormat="1" ht="24.95" customHeight="1" x14ac:dyDescent="0.25">
      <c r="A846" s="31" t="s">
        <v>2525</v>
      </c>
      <c r="B846" s="1" t="s">
        <v>2526</v>
      </c>
      <c r="C846" s="1" t="s">
        <v>2527</v>
      </c>
      <c r="D846" s="1" t="s">
        <v>23</v>
      </c>
      <c r="E846" s="3">
        <v>0</v>
      </c>
      <c r="F846" s="3">
        <v>0</v>
      </c>
      <c r="G846" s="3">
        <v>0</v>
      </c>
      <c r="H846" s="3">
        <v>5622.03</v>
      </c>
      <c r="I846" s="3">
        <v>0</v>
      </c>
      <c r="J846" s="1" t="s">
        <v>9</v>
      </c>
      <c r="K846" s="28"/>
      <c r="L846" s="28"/>
    </row>
    <row r="847" spans="1:12"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c r="L847" s="28"/>
    </row>
    <row r="848" spans="1:12"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c r="L848" s="28"/>
    </row>
    <row r="849" spans="1:12"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c r="L849" s="28"/>
    </row>
    <row r="850" spans="1:12"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c r="L850" s="28"/>
    </row>
    <row r="851" spans="1:12"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c r="L851" s="28"/>
    </row>
    <row r="852" spans="1:12" s="2" customFormat="1" ht="24.95" customHeight="1" x14ac:dyDescent="0.25">
      <c r="A852" s="31" t="s">
        <v>2543</v>
      </c>
      <c r="B852" s="1" t="s">
        <v>2544</v>
      </c>
      <c r="C852" s="1" t="s">
        <v>2545</v>
      </c>
      <c r="D852" s="1" t="s">
        <v>23</v>
      </c>
      <c r="E852" s="3">
        <v>0</v>
      </c>
      <c r="F852" s="3">
        <v>0</v>
      </c>
      <c r="G852" s="3">
        <v>0</v>
      </c>
      <c r="H852" s="3">
        <v>4042.82</v>
      </c>
      <c r="I852" s="3">
        <v>14077.93</v>
      </c>
      <c r="J852" s="1" t="s">
        <v>37</v>
      </c>
      <c r="K852" s="28"/>
      <c r="L852" s="28"/>
    </row>
    <row r="853" spans="1:12"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c r="L853" s="28"/>
    </row>
    <row r="854" spans="1:12"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c r="L854" s="28"/>
    </row>
    <row r="855" spans="1:12"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c r="L855" s="28"/>
    </row>
    <row r="856" spans="1:12" s="2" customFormat="1" ht="24.95" customHeight="1" x14ac:dyDescent="0.25">
      <c r="A856" s="31" t="s">
        <v>2555</v>
      </c>
      <c r="B856" s="1" t="s">
        <v>2556</v>
      </c>
      <c r="C856" s="1" t="s">
        <v>2557</v>
      </c>
      <c r="D856" s="1" t="s">
        <v>23</v>
      </c>
      <c r="E856" s="3">
        <v>0</v>
      </c>
      <c r="F856" s="3">
        <v>4550.04</v>
      </c>
      <c r="G856" s="3">
        <v>0</v>
      </c>
      <c r="H856" s="3">
        <v>0</v>
      </c>
      <c r="I856" s="3">
        <v>0</v>
      </c>
      <c r="J856" s="1" t="s">
        <v>48</v>
      </c>
      <c r="K856" s="28"/>
      <c r="L856" s="28"/>
    </row>
    <row r="857" spans="1:12"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c r="L857" s="28"/>
    </row>
    <row r="858" spans="1:12" s="2" customFormat="1" ht="24.95" customHeight="1" x14ac:dyDescent="0.25">
      <c r="A858" s="31" t="s">
        <v>2561</v>
      </c>
      <c r="B858" s="1" t="s">
        <v>2562</v>
      </c>
      <c r="C858" s="1" t="s">
        <v>2563</v>
      </c>
      <c r="D858" s="1" t="s">
        <v>13</v>
      </c>
      <c r="E858" s="3">
        <v>0</v>
      </c>
      <c r="F858" s="3">
        <v>4410.38</v>
      </c>
      <c r="G858" s="3">
        <v>425.23</v>
      </c>
      <c r="H858" s="3">
        <v>0</v>
      </c>
      <c r="I858" s="3">
        <v>0</v>
      </c>
      <c r="J858" s="1" t="s">
        <v>14</v>
      </c>
      <c r="K858" s="28"/>
      <c r="L858" s="28"/>
    </row>
    <row r="859" spans="1:12"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c r="L859" s="28"/>
    </row>
    <row r="860" spans="1:12" s="2" customFormat="1" ht="24.95" customHeight="1" x14ac:dyDescent="0.25">
      <c r="A860" s="31" t="s">
        <v>2567</v>
      </c>
      <c r="B860" s="1" t="s">
        <v>2568</v>
      </c>
      <c r="C860" s="1" t="s">
        <v>2569</v>
      </c>
      <c r="D860" s="1" t="s">
        <v>3027</v>
      </c>
      <c r="E860" s="3">
        <v>0</v>
      </c>
      <c r="F860" s="3">
        <v>3421.09</v>
      </c>
      <c r="G860" s="3">
        <v>0</v>
      </c>
      <c r="H860" s="3">
        <v>0</v>
      </c>
      <c r="I860" s="3">
        <v>14916.75</v>
      </c>
      <c r="J860" s="1" t="s">
        <v>79</v>
      </c>
      <c r="K860" s="28"/>
      <c r="L860" s="28"/>
    </row>
    <row r="861" spans="1:12" s="2" customFormat="1" ht="24.95" customHeight="1" x14ac:dyDescent="0.25">
      <c r="A861" s="31" t="s">
        <v>2570</v>
      </c>
      <c r="B861" s="1" t="s">
        <v>2571</v>
      </c>
      <c r="C861" s="1" t="s">
        <v>2572</v>
      </c>
      <c r="D861" s="1" t="s">
        <v>13</v>
      </c>
      <c r="E861" s="3">
        <v>2759.98</v>
      </c>
      <c r="F861" s="3">
        <v>0</v>
      </c>
      <c r="G861" s="3">
        <v>0</v>
      </c>
      <c r="H861" s="3">
        <v>0</v>
      </c>
      <c r="I861" s="3">
        <v>0</v>
      </c>
      <c r="J861" s="1" t="s">
        <v>79</v>
      </c>
      <c r="K861" s="28"/>
      <c r="L861" s="28"/>
    </row>
    <row r="862" spans="1:12"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c r="L862" s="28"/>
    </row>
    <row r="863" spans="1:12" s="2" customFormat="1" ht="24.95" customHeight="1" x14ac:dyDescent="0.25">
      <c r="A863" s="31" t="s">
        <v>2576</v>
      </c>
      <c r="B863" s="1" t="s">
        <v>2577</v>
      </c>
      <c r="C863" s="1" t="s">
        <v>2578</v>
      </c>
      <c r="D863" s="1" t="s">
        <v>13</v>
      </c>
      <c r="E863" s="3">
        <v>0</v>
      </c>
      <c r="F863" s="3">
        <v>0</v>
      </c>
      <c r="G863" s="3">
        <v>1434.53</v>
      </c>
      <c r="H863" s="3">
        <v>4698.41</v>
      </c>
      <c r="I863" s="3">
        <v>0</v>
      </c>
      <c r="J863" s="1" t="s">
        <v>93</v>
      </c>
      <c r="K863" s="28"/>
      <c r="L863" s="28"/>
    </row>
    <row r="864" spans="1:12" s="2" customFormat="1" ht="24.95" customHeight="1" x14ac:dyDescent="0.25">
      <c r="A864" s="31" t="s">
        <v>2579</v>
      </c>
      <c r="B864" s="1" t="s">
        <v>2580</v>
      </c>
      <c r="C864" s="1" t="s">
        <v>2581</v>
      </c>
      <c r="D864" s="1" t="s">
        <v>3</v>
      </c>
      <c r="E864" s="3">
        <v>0</v>
      </c>
      <c r="F864" s="3">
        <v>0</v>
      </c>
      <c r="G864" s="3">
        <v>0</v>
      </c>
      <c r="H864" s="3">
        <v>0</v>
      </c>
      <c r="I864" s="3">
        <v>3208.77</v>
      </c>
      <c r="J864" s="1" t="s">
        <v>19</v>
      </c>
      <c r="K864" s="28"/>
      <c r="L864" s="28"/>
    </row>
    <row r="865" spans="1:12" s="2" customFormat="1" ht="24.95" customHeight="1" x14ac:dyDescent="0.25">
      <c r="A865" s="31" t="s">
        <v>2582</v>
      </c>
      <c r="B865" s="1" t="s">
        <v>2583</v>
      </c>
      <c r="C865" s="1" t="s">
        <v>2584</v>
      </c>
      <c r="D865" s="1" t="s">
        <v>23</v>
      </c>
      <c r="E865" s="3">
        <v>0</v>
      </c>
      <c r="F865" s="3">
        <v>0</v>
      </c>
      <c r="G865" s="3">
        <v>990.31</v>
      </c>
      <c r="H865" s="3">
        <v>0</v>
      </c>
      <c r="I865" s="3">
        <v>3946.28</v>
      </c>
      <c r="J865" s="1" t="s">
        <v>4</v>
      </c>
      <c r="K865" s="28"/>
      <c r="L865" s="28"/>
    </row>
    <row r="866" spans="1:12"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c r="L866" s="28"/>
    </row>
    <row r="867" spans="1:12"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c r="L867" s="28"/>
    </row>
    <row r="868" spans="1:12" s="2" customFormat="1" ht="24.95" customHeight="1" x14ac:dyDescent="0.25">
      <c r="A868" s="31" t="s">
        <v>2591</v>
      </c>
      <c r="B868" s="1" t="s">
        <v>2592</v>
      </c>
      <c r="C868" s="1" t="s">
        <v>2593</v>
      </c>
      <c r="D868" s="1" t="s">
        <v>3027</v>
      </c>
      <c r="E868" s="3">
        <v>0</v>
      </c>
      <c r="F868" s="3">
        <v>0</v>
      </c>
      <c r="G868" s="3">
        <v>1020.08</v>
      </c>
      <c r="H868" s="3">
        <v>0</v>
      </c>
      <c r="I868" s="3">
        <v>10667.75</v>
      </c>
      <c r="J868" s="1" t="s">
        <v>19</v>
      </c>
      <c r="K868" s="28"/>
      <c r="L868" s="28"/>
    </row>
    <row r="869" spans="1:12" s="2" customFormat="1" ht="24.95" customHeight="1" x14ac:dyDescent="0.25">
      <c r="A869" s="31" t="s">
        <v>2594</v>
      </c>
      <c r="B869" s="1" t="s">
        <v>2595</v>
      </c>
      <c r="C869" s="1" t="s">
        <v>2596</v>
      </c>
      <c r="D869" s="1" t="s">
        <v>18</v>
      </c>
      <c r="E869" s="3">
        <v>0</v>
      </c>
      <c r="F869" s="3">
        <v>0</v>
      </c>
      <c r="G869" s="3">
        <v>546.46</v>
      </c>
      <c r="H869" s="3">
        <v>1427.06</v>
      </c>
      <c r="I869" s="3">
        <v>0</v>
      </c>
      <c r="J869" s="1" t="s">
        <v>9</v>
      </c>
      <c r="K869" s="28"/>
      <c r="L869" s="28"/>
    </row>
    <row r="870" spans="1:12" s="2" customFormat="1" ht="24.95" customHeight="1" x14ac:dyDescent="0.25">
      <c r="A870" s="31" t="s">
        <v>2597</v>
      </c>
      <c r="B870" s="1" t="s">
        <v>2598</v>
      </c>
      <c r="C870" s="1" t="s">
        <v>2599</v>
      </c>
      <c r="D870" s="1" t="s">
        <v>3</v>
      </c>
      <c r="E870" s="3">
        <v>1563.08</v>
      </c>
      <c r="F870" s="3">
        <v>0</v>
      </c>
      <c r="G870" s="3">
        <v>1000.28</v>
      </c>
      <c r="H870" s="3">
        <v>0</v>
      </c>
      <c r="I870" s="3">
        <v>0</v>
      </c>
      <c r="J870" s="1" t="s">
        <v>106</v>
      </c>
      <c r="K870" s="28"/>
      <c r="L870" s="28"/>
    </row>
    <row r="871" spans="1:12"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c r="L871" s="28"/>
    </row>
    <row r="872" spans="1:12" s="2" customFormat="1" ht="24.95" customHeight="1" x14ac:dyDescent="0.25">
      <c r="A872" s="31" t="s">
        <v>2603</v>
      </c>
      <c r="B872" s="1" t="s">
        <v>2604</v>
      </c>
      <c r="C872" s="1" t="s">
        <v>2605</v>
      </c>
      <c r="D872" s="1" t="s">
        <v>8</v>
      </c>
      <c r="E872" s="3">
        <v>0</v>
      </c>
      <c r="F872" s="3">
        <v>4253.95</v>
      </c>
      <c r="G872" s="3">
        <v>0</v>
      </c>
      <c r="H872" s="3">
        <v>11108.05</v>
      </c>
      <c r="I872" s="3">
        <v>0</v>
      </c>
      <c r="J872" s="1" t="s">
        <v>86</v>
      </c>
      <c r="K872" s="28"/>
      <c r="L872" s="28"/>
    </row>
    <row r="873" spans="1:12" s="2" customFormat="1" ht="24.95" customHeight="1" x14ac:dyDescent="0.25">
      <c r="A873" s="31" t="s">
        <v>2606</v>
      </c>
      <c r="B873" s="1" t="s">
        <v>2607</v>
      </c>
      <c r="C873" s="1" t="s">
        <v>2608</v>
      </c>
      <c r="D873" s="1" t="s">
        <v>8</v>
      </c>
      <c r="E873" s="3">
        <v>0</v>
      </c>
      <c r="F873" s="3">
        <v>0</v>
      </c>
      <c r="G873" s="3">
        <v>0</v>
      </c>
      <c r="H873" s="3">
        <v>0</v>
      </c>
      <c r="I873" s="3">
        <v>14897.62</v>
      </c>
      <c r="J873" s="1" t="s">
        <v>4</v>
      </c>
      <c r="K873" s="28"/>
      <c r="L873" s="28"/>
    </row>
    <row r="874" spans="1:12" s="2" customFormat="1" ht="24.95" customHeight="1" x14ac:dyDescent="0.25">
      <c r="A874" s="31" t="s">
        <v>2609</v>
      </c>
      <c r="B874" s="1" t="s">
        <v>2610</v>
      </c>
      <c r="C874" s="1" t="s">
        <v>2611</v>
      </c>
      <c r="D874" s="1" t="s">
        <v>13</v>
      </c>
      <c r="E874" s="3">
        <v>0</v>
      </c>
      <c r="F874" s="3">
        <v>0</v>
      </c>
      <c r="G874" s="3">
        <v>0</v>
      </c>
      <c r="H874" s="3">
        <v>6454.58</v>
      </c>
      <c r="I874" s="3">
        <v>0</v>
      </c>
      <c r="J874" s="1" t="s">
        <v>37</v>
      </c>
      <c r="K874" s="28"/>
      <c r="L874" s="28"/>
    </row>
    <row r="875" spans="1:12"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c r="L875" s="28"/>
    </row>
    <row r="876" spans="1:12" s="2" customFormat="1" ht="24.95" customHeight="1" x14ac:dyDescent="0.25">
      <c r="A876" s="31" t="s">
        <v>2615</v>
      </c>
      <c r="B876" s="1" t="s">
        <v>2616</v>
      </c>
      <c r="C876" s="1" t="s">
        <v>2617</v>
      </c>
      <c r="D876" s="1" t="s">
        <v>18</v>
      </c>
      <c r="E876" s="3">
        <v>5762.31</v>
      </c>
      <c r="F876" s="3">
        <v>0</v>
      </c>
      <c r="G876" s="3">
        <v>0</v>
      </c>
      <c r="H876" s="3">
        <v>0</v>
      </c>
      <c r="I876" s="3">
        <v>0</v>
      </c>
      <c r="J876" s="1" t="s">
        <v>14</v>
      </c>
      <c r="K876" s="28"/>
      <c r="L876" s="28"/>
    </row>
    <row r="877" spans="1:12" s="2" customFormat="1" ht="24.95" customHeight="1" x14ac:dyDescent="0.25">
      <c r="A877" s="31" t="s">
        <v>2618</v>
      </c>
      <c r="B877" s="1" t="s">
        <v>2619</v>
      </c>
      <c r="C877" s="1" t="s">
        <v>2620</v>
      </c>
      <c r="D877" s="1" t="s">
        <v>23</v>
      </c>
      <c r="E877" s="3">
        <v>478.07</v>
      </c>
      <c r="F877" s="3">
        <v>0</v>
      </c>
      <c r="G877" s="3">
        <v>0</v>
      </c>
      <c r="H877" s="3">
        <v>9689.69</v>
      </c>
      <c r="I877" s="3">
        <v>0</v>
      </c>
      <c r="J877" s="1" t="s">
        <v>37</v>
      </c>
      <c r="K877" s="28"/>
      <c r="L877" s="28"/>
    </row>
    <row r="878" spans="1:12"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c r="L878" s="28"/>
    </row>
    <row r="879" spans="1:12" s="2" customFormat="1" ht="24.95" customHeight="1" x14ac:dyDescent="0.25">
      <c r="A879" s="31" t="s">
        <v>2624</v>
      </c>
      <c r="B879" s="1" t="s">
        <v>2625</v>
      </c>
      <c r="C879" s="1" t="s">
        <v>2626</v>
      </c>
      <c r="D879" s="1" t="s">
        <v>13</v>
      </c>
      <c r="E879" s="3">
        <v>0</v>
      </c>
      <c r="F879" s="3">
        <v>1394.81</v>
      </c>
      <c r="G879" s="3">
        <v>0</v>
      </c>
      <c r="H879" s="3">
        <v>3685.86</v>
      </c>
      <c r="I879" s="3">
        <v>0</v>
      </c>
      <c r="J879" s="1" t="s">
        <v>86</v>
      </c>
      <c r="K879" s="28"/>
      <c r="L879" s="28"/>
    </row>
    <row r="880" spans="1:12" s="2" customFormat="1" ht="24.95" customHeight="1" x14ac:dyDescent="0.25">
      <c r="A880" s="31" t="s">
        <v>2627</v>
      </c>
      <c r="B880" s="1" t="s">
        <v>2628</v>
      </c>
      <c r="C880" s="1" t="s">
        <v>2629</v>
      </c>
      <c r="D880" s="1" t="s">
        <v>18</v>
      </c>
      <c r="E880" s="3">
        <v>0</v>
      </c>
      <c r="F880" s="3">
        <v>0</v>
      </c>
      <c r="G880" s="3">
        <v>0</v>
      </c>
      <c r="H880" s="3">
        <v>6663.01</v>
      </c>
      <c r="I880" s="3">
        <v>991.33</v>
      </c>
      <c r="J880" s="1" t="s">
        <v>9</v>
      </c>
      <c r="K880" s="28"/>
      <c r="L880" s="28"/>
    </row>
    <row r="881" spans="1:12"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c r="L881" s="28"/>
    </row>
    <row r="882" spans="1:12" s="2" customFormat="1" ht="24.95" customHeight="1" x14ac:dyDescent="0.25">
      <c r="A882" s="31" t="s">
        <v>2633</v>
      </c>
      <c r="B882" s="1" t="s">
        <v>2634</v>
      </c>
      <c r="C882" s="1" t="s">
        <v>2635</v>
      </c>
      <c r="D882" s="1" t="s">
        <v>3027</v>
      </c>
      <c r="E882" s="3">
        <v>0</v>
      </c>
      <c r="F882" s="3">
        <v>0</v>
      </c>
      <c r="G882" s="3">
        <v>0</v>
      </c>
      <c r="H882" s="3">
        <v>11146.17</v>
      </c>
      <c r="I882" s="3">
        <v>0</v>
      </c>
      <c r="J882" s="1" t="s">
        <v>14</v>
      </c>
      <c r="K882" s="28"/>
      <c r="L882" s="28"/>
    </row>
    <row r="883" spans="1:12" s="2" customFormat="1" ht="24.95" customHeight="1" x14ac:dyDescent="0.25">
      <c r="A883" s="31" t="s">
        <v>2636</v>
      </c>
      <c r="B883" s="1" t="s">
        <v>2637</v>
      </c>
      <c r="C883" s="1" t="s">
        <v>2638</v>
      </c>
      <c r="D883" s="1" t="s">
        <v>8</v>
      </c>
      <c r="E883" s="3">
        <v>0</v>
      </c>
      <c r="F883" s="3">
        <v>0</v>
      </c>
      <c r="G883" s="3">
        <v>2193.37</v>
      </c>
      <c r="H883" s="3">
        <v>0</v>
      </c>
      <c r="I883" s="3">
        <v>0</v>
      </c>
      <c r="J883" s="1" t="s">
        <v>4</v>
      </c>
      <c r="K883" s="28"/>
      <c r="L883" s="28"/>
    </row>
    <row r="884" spans="1:12" s="2" customFormat="1" ht="24.95" customHeight="1" x14ac:dyDescent="0.25">
      <c r="A884" s="31" t="s">
        <v>2639</v>
      </c>
      <c r="B884" s="1" t="s">
        <v>2640</v>
      </c>
      <c r="C884" s="1" t="s">
        <v>2641</v>
      </c>
      <c r="D884" s="1" t="s">
        <v>18</v>
      </c>
      <c r="E884" s="3">
        <v>1978.29</v>
      </c>
      <c r="F884" s="3">
        <v>0</v>
      </c>
      <c r="G884" s="3">
        <v>0</v>
      </c>
      <c r="H884" s="3">
        <v>0</v>
      </c>
      <c r="I884" s="3">
        <v>0</v>
      </c>
      <c r="J884" s="1" t="s">
        <v>86</v>
      </c>
      <c r="K884" s="28"/>
      <c r="L884" s="28"/>
    </row>
    <row r="885" spans="1:12"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c r="L885" s="28"/>
    </row>
    <row r="886" spans="1:12"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c r="L886" s="28"/>
    </row>
    <row r="887" spans="1:12" s="2" customFormat="1" ht="24.95" customHeight="1" x14ac:dyDescent="0.25">
      <c r="A887" s="31" t="s">
        <v>2648</v>
      </c>
      <c r="B887" s="1" t="s">
        <v>2649</v>
      </c>
      <c r="C887" s="1" t="s">
        <v>2650</v>
      </c>
      <c r="D887" s="1" t="s">
        <v>13</v>
      </c>
      <c r="E887" s="3">
        <v>0</v>
      </c>
      <c r="F887" s="3">
        <v>1614.49</v>
      </c>
      <c r="G887" s="3">
        <v>0</v>
      </c>
      <c r="H887" s="3">
        <v>4767.88</v>
      </c>
      <c r="I887" s="3">
        <v>0</v>
      </c>
      <c r="J887" s="1" t="s">
        <v>37</v>
      </c>
      <c r="K887" s="28"/>
      <c r="L887" s="28"/>
    </row>
    <row r="888" spans="1:12" s="2" customFormat="1" ht="24.95" customHeight="1" x14ac:dyDescent="0.25">
      <c r="A888" s="31" t="s">
        <v>2651</v>
      </c>
      <c r="B888" s="1" t="s">
        <v>2652</v>
      </c>
      <c r="C888" s="1" t="s">
        <v>2653</v>
      </c>
      <c r="D888" s="1" t="s">
        <v>8</v>
      </c>
      <c r="E888" s="3">
        <v>0</v>
      </c>
      <c r="F888" s="3">
        <v>0</v>
      </c>
      <c r="G888" s="3">
        <v>0</v>
      </c>
      <c r="H888" s="3">
        <v>7289.78</v>
      </c>
      <c r="I888" s="3">
        <v>0</v>
      </c>
      <c r="J888" s="1" t="s">
        <v>93</v>
      </c>
      <c r="K888" s="28"/>
      <c r="L888" s="28"/>
    </row>
    <row r="889" spans="1:12"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c r="L889" s="28"/>
    </row>
    <row r="890" spans="1:12" s="2" customFormat="1" ht="24.95" customHeight="1" x14ac:dyDescent="0.25">
      <c r="A890" s="31" t="s">
        <v>2657</v>
      </c>
      <c r="B890" s="1" t="s">
        <v>2658</v>
      </c>
      <c r="C890" s="1" t="s">
        <v>2659</v>
      </c>
      <c r="D890" s="1" t="s">
        <v>13</v>
      </c>
      <c r="E890" s="3">
        <v>0</v>
      </c>
      <c r="F890" s="3">
        <v>1462.16</v>
      </c>
      <c r="G890" s="3">
        <v>0</v>
      </c>
      <c r="H890" s="3">
        <v>0</v>
      </c>
      <c r="I890" s="3">
        <v>10824.44</v>
      </c>
      <c r="J890" s="1" t="s">
        <v>41</v>
      </c>
      <c r="K890" s="28"/>
      <c r="L890" s="28"/>
    </row>
    <row r="891" spans="1:12" s="2" customFormat="1" ht="24.95" customHeight="1" x14ac:dyDescent="0.25">
      <c r="A891" s="31" t="s">
        <v>2660</v>
      </c>
      <c r="B891" s="1" t="s">
        <v>2661</v>
      </c>
      <c r="C891" s="1" t="s">
        <v>2662</v>
      </c>
      <c r="D891" s="1" t="s">
        <v>3027</v>
      </c>
      <c r="E891" s="3">
        <v>0</v>
      </c>
      <c r="F891" s="3">
        <v>0</v>
      </c>
      <c r="G891" s="3">
        <v>0</v>
      </c>
      <c r="H891" s="3">
        <v>0</v>
      </c>
      <c r="I891" s="3">
        <v>4336.33</v>
      </c>
      <c r="J891" s="1" t="s">
        <v>14</v>
      </c>
      <c r="K891" s="28"/>
      <c r="L891" s="28"/>
    </row>
    <row r="892" spans="1:12"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c r="L892" s="28"/>
    </row>
    <row r="893" spans="1:12"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c r="L893" s="28"/>
    </row>
    <row r="894" spans="1:12"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c r="L894" s="28"/>
    </row>
    <row r="895" spans="1:12" s="2" customFormat="1" ht="24.95" customHeight="1" x14ac:dyDescent="0.25">
      <c r="A895" s="31" t="s">
        <v>2672</v>
      </c>
      <c r="B895" s="1" t="s">
        <v>2673</v>
      </c>
      <c r="C895" s="1" t="s">
        <v>2674</v>
      </c>
      <c r="D895" s="1" t="s">
        <v>18</v>
      </c>
      <c r="E895" s="3">
        <v>0</v>
      </c>
      <c r="F895" s="3">
        <v>0</v>
      </c>
      <c r="G895" s="3">
        <v>2260.64</v>
      </c>
      <c r="H895" s="3">
        <v>0</v>
      </c>
      <c r="I895" s="3">
        <v>0</v>
      </c>
      <c r="J895" s="1" t="s">
        <v>79</v>
      </c>
      <c r="K895" s="28"/>
      <c r="L895" s="28"/>
    </row>
    <row r="896" spans="1:12" s="2" customFormat="1" ht="24.95" customHeight="1" x14ac:dyDescent="0.25">
      <c r="A896" s="31" t="s">
        <v>2675</v>
      </c>
      <c r="B896" s="1" t="s">
        <v>2676</v>
      </c>
      <c r="C896" s="1" t="s">
        <v>2677</v>
      </c>
      <c r="D896" s="1" t="s">
        <v>23</v>
      </c>
      <c r="E896" s="3">
        <v>0</v>
      </c>
      <c r="F896" s="3">
        <v>0</v>
      </c>
      <c r="G896" s="3">
        <v>0</v>
      </c>
      <c r="H896" s="3">
        <v>0</v>
      </c>
      <c r="I896" s="3">
        <v>6296.12</v>
      </c>
      <c r="J896" s="1" t="s">
        <v>14</v>
      </c>
      <c r="K896" s="28"/>
      <c r="L896" s="28"/>
    </row>
    <row r="897" spans="1:12"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c r="L897" s="28"/>
    </row>
    <row r="898" spans="1:12"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c r="L898" s="28"/>
    </row>
    <row r="899" spans="1:12" s="2" customFormat="1" ht="24.95" customHeight="1" x14ac:dyDescent="0.25">
      <c r="A899" s="31" t="s">
        <v>2684</v>
      </c>
      <c r="B899" s="1" t="s">
        <v>2685</v>
      </c>
      <c r="C899" s="1" t="s">
        <v>2686</v>
      </c>
      <c r="D899" s="1" t="s">
        <v>3027</v>
      </c>
      <c r="E899" s="3">
        <v>7806.12</v>
      </c>
      <c r="F899" s="3">
        <v>0</v>
      </c>
      <c r="G899" s="3">
        <v>0</v>
      </c>
      <c r="H899" s="3">
        <v>0</v>
      </c>
      <c r="I899" s="3">
        <v>5857.67</v>
      </c>
      <c r="J899" s="1" t="s">
        <v>86</v>
      </c>
      <c r="K899" s="28"/>
      <c r="L899" s="28"/>
    </row>
    <row r="900" spans="1:12" s="2" customFormat="1" ht="24.95" customHeight="1" x14ac:dyDescent="0.25">
      <c r="A900" s="31" t="s">
        <v>2687</v>
      </c>
      <c r="B900" s="1" t="s">
        <v>2688</v>
      </c>
      <c r="C900" s="1" t="s">
        <v>2689</v>
      </c>
      <c r="D900" s="1" t="s">
        <v>3</v>
      </c>
      <c r="E900" s="3">
        <v>655.23</v>
      </c>
      <c r="F900" s="3">
        <v>0</v>
      </c>
      <c r="G900" s="3">
        <v>1988.81</v>
      </c>
      <c r="H900" s="3">
        <v>123.58</v>
      </c>
      <c r="I900" s="3">
        <v>0</v>
      </c>
      <c r="J900" s="1" t="s">
        <v>9</v>
      </c>
      <c r="K900" s="28"/>
      <c r="L900" s="28"/>
    </row>
    <row r="901" spans="1:12"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c r="L901" s="28"/>
    </row>
    <row r="902" spans="1:12" s="2" customFormat="1" ht="24.95" customHeight="1" x14ac:dyDescent="0.25">
      <c r="A902" s="31" t="s">
        <v>2693</v>
      </c>
      <c r="B902" s="1" t="s">
        <v>2694</v>
      </c>
      <c r="C902" s="1" t="s">
        <v>2695</v>
      </c>
      <c r="D902" s="1" t="s">
        <v>23</v>
      </c>
      <c r="E902" s="3">
        <v>0</v>
      </c>
      <c r="F902" s="3">
        <v>0</v>
      </c>
      <c r="G902" s="3">
        <v>1924.72</v>
      </c>
      <c r="H902" s="3">
        <v>0</v>
      </c>
      <c r="I902" s="3">
        <v>4764.43</v>
      </c>
      <c r="J902" s="1" t="s">
        <v>37</v>
      </c>
      <c r="K902" s="28"/>
      <c r="L902" s="28"/>
    </row>
    <row r="903" spans="1:12"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c r="L903" s="28"/>
    </row>
    <row r="904" spans="1:12" s="2" customFormat="1" ht="24.95" customHeight="1" x14ac:dyDescent="0.25">
      <c r="A904" s="31" t="s">
        <v>2699</v>
      </c>
      <c r="B904" s="1" t="s">
        <v>2700</v>
      </c>
      <c r="C904" s="1" t="s">
        <v>2701</v>
      </c>
      <c r="D904" s="1" t="s">
        <v>18</v>
      </c>
      <c r="E904" s="3">
        <v>0</v>
      </c>
      <c r="F904" s="3">
        <v>1578.58</v>
      </c>
      <c r="G904" s="3">
        <v>2596.71</v>
      </c>
      <c r="H904" s="3">
        <v>0</v>
      </c>
      <c r="I904" s="3">
        <v>0</v>
      </c>
      <c r="J904" s="1" t="s">
        <v>79</v>
      </c>
      <c r="K904" s="28"/>
      <c r="L904" s="28"/>
    </row>
    <row r="905" spans="1:12" s="2" customFormat="1" ht="24.95" customHeight="1" x14ac:dyDescent="0.25">
      <c r="A905" s="31" t="s">
        <v>2702</v>
      </c>
      <c r="B905" s="1" t="s">
        <v>2703</v>
      </c>
      <c r="C905" s="1" t="s">
        <v>2704</v>
      </c>
      <c r="D905" s="1" t="s">
        <v>3</v>
      </c>
      <c r="E905" s="3">
        <v>6698.09</v>
      </c>
      <c r="F905" s="3">
        <v>0</v>
      </c>
      <c r="G905" s="3">
        <v>0</v>
      </c>
      <c r="H905" s="3">
        <v>0</v>
      </c>
      <c r="I905" s="3">
        <v>2025.07</v>
      </c>
      <c r="J905" s="1" t="s">
        <v>24</v>
      </c>
      <c r="K905" s="28"/>
      <c r="L905" s="28"/>
    </row>
    <row r="906" spans="1:12"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c r="L906" s="28"/>
    </row>
    <row r="907" spans="1:12" s="2" customFormat="1" ht="24.95" customHeight="1" x14ac:dyDescent="0.25">
      <c r="A907" s="31" t="s">
        <v>2708</v>
      </c>
      <c r="B907" s="1" t="s">
        <v>2709</v>
      </c>
      <c r="C907" s="1" t="s">
        <v>2710</v>
      </c>
      <c r="D907" s="1" t="s">
        <v>23</v>
      </c>
      <c r="E907" s="3">
        <v>0</v>
      </c>
      <c r="F907" s="3">
        <v>0</v>
      </c>
      <c r="G907" s="3">
        <v>0</v>
      </c>
      <c r="H907" s="3">
        <v>1926.52</v>
      </c>
      <c r="I907" s="3">
        <v>0</v>
      </c>
      <c r="J907" s="1" t="s">
        <v>79</v>
      </c>
      <c r="K907" s="28"/>
      <c r="L907" s="28"/>
    </row>
    <row r="908" spans="1:12" s="2" customFormat="1" ht="24.95" customHeight="1" x14ac:dyDescent="0.25">
      <c r="A908" s="31" t="s">
        <v>2711</v>
      </c>
      <c r="B908" s="1" t="s">
        <v>2712</v>
      </c>
      <c r="C908" s="1" t="s">
        <v>2713</v>
      </c>
      <c r="D908" s="1" t="s">
        <v>3</v>
      </c>
      <c r="E908" s="3">
        <v>1906.38</v>
      </c>
      <c r="F908" s="3">
        <v>0</v>
      </c>
      <c r="G908" s="3">
        <v>0</v>
      </c>
      <c r="H908" s="3">
        <v>0</v>
      </c>
      <c r="I908" s="3">
        <v>12706.11</v>
      </c>
      <c r="J908" s="1" t="s">
        <v>19</v>
      </c>
      <c r="K908" s="28"/>
      <c r="L908" s="28"/>
    </row>
    <row r="909" spans="1:12" s="2" customFormat="1" ht="24.95" customHeight="1" x14ac:dyDescent="0.25">
      <c r="A909" s="31" t="s">
        <v>2714</v>
      </c>
      <c r="B909" s="1" t="s">
        <v>2715</v>
      </c>
      <c r="C909" s="1" t="s">
        <v>2716</v>
      </c>
      <c r="D909" s="1" t="s">
        <v>13</v>
      </c>
      <c r="E909" s="3">
        <v>1846.34</v>
      </c>
      <c r="F909" s="3">
        <v>0</v>
      </c>
      <c r="G909" s="3">
        <v>939.58</v>
      </c>
      <c r="H909" s="3">
        <v>0</v>
      </c>
      <c r="I909" s="3">
        <v>0</v>
      </c>
      <c r="J909" s="1" t="s">
        <v>106</v>
      </c>
      <c r="K909" s="28"/>
      <c r="L909" s="28"/>
    </row>
    <row r="910" spans="1:12"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c r="L910" s="28"/>
    </row>
    <row r="911" spans="1:12"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c r="L911" s="28"/>
    </row>
    <row r="912" spans="1:12"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c r="L912" s="28"/>
    </row>
    <row r="913" spans="1:12"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c r="L913" s="28"/>
    </row>
    <row r="914" spans="1:12"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c r="L914" s="28"/>
    </row>
    <row r="915" spans="1:12" s="2" customFormat="1" ht="24.95" customHeight="1" x14ac:dyDescent="0.25">
      <c r="A915" s="31" t="s">
        <v>2732</v>
      </c>
      <c r="B915" s="1" t="s">
        <v>2733</v>
      </c>
      <c r="C915" s="1" t="s">
        <v>2734</v>
      </c>
      <c r="D915" s="1" t="s">
        <v>13</v>
      </c>
      <c r="E915" s="3">
        <v>5804.28</v>
      </c>
      <c r="F915" s="3">
        <v>0</v>
      </c>
      <c r="G915" s="3">
        <v>199.96</v>
      </c>
      <c r="H915" s="3">
        <v>0</v>
      </c>
      <c r="I915" s="3">
        <v>710.04</v>
      </c>
      <c r="J915" s="1" t="s">
        <v>41</v>
      </c>
      <c r="K915" s="28"/>
      <c r="L915" s="28"/>
    </row>
    <row r="916" spans="1:12" s="2" customFormat="1" ht="24.95" customHeight="1" x14ac:dyDescent="0.25">
      <c r="A916" s="31" t="s">
        <v>2735</v>
      </c>
      <c r="B916" s="1" t="s">
        <v>2736</v>
      </c>
      <c r="C916" s="1" t="s">
        <v>2737</v>
      </c>
      <c r="D916" s="1" t="s">
        <v>3</v>
      </c>
      <c r="E916" s="3">
        <v>0</v>
      </c>
      <c r="F916" s="3">
        <v>2651.96</v>
      </c>
      <c r="G916" s="3">
        <v>660.39</v>
      </c>
      <c r="H916" s="3">
        <v>0</v>
      </c>
      <c r="I916" s="3">
        <v>5452.08</v>
      </c>
      <c r="J916" s="1" t="s">
        <v>19</v>
      </c>
      <c r="K916" s="28"/>
      <c r="L916" s="28"/>
    </row>
    <row r="917" spans="1:12" s="2" customFormat="1" ht="24.95" customHeight="1" x14ac:dyDescent="0.25">
      <c r="A917" s="31" t="s">
        <v>2738</v>
      </c>
      <c r="B917" s="1" t="s">
        <v>2739</v>
      </c>
      <c r="C917" s="1" t="s">
        <v>2740</v>
      </c>
      <c r="D917" s="1" t="s">
        <v>13</v>
      </c>
      <c r="E917" s="3">
        <v>0</v>
      </c>
      <c r="F917" s="3">
        <v>0</v>
      </c>
      <c r="G917" s="3">
        <v>1067.02</v>
      </c>
      <c r="H917" s="3">
        <v>0</v>
      </c>
      <c r="I917" s="3">
        <v>0</v>
      </c>
      <c r="J917" s="1" t="s">
        <v>14</v>
      </c>
      <c r="K917" s="28"/>
      <c r="L917" s="28"/>
    </row>
    <row r="918" spans="1:12"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c r="L918" s="28"/>
    </row>
    <row r="919" spans="1:12" s="2" customFormat="1" ht="24.95" customHeight="1" x14ac:dyDescent="0.25">
      <c r="A919" s="31" t="s">
        <v>2744</v>
      </c>
      <c r="B919" s="1" t="s">
        <v>2745</v>
      </c>
      <c r="C919" s="1" t="s">
        <v>2746</v>
      </c>
      <c r="D919" s="1" t="s">
        <v>3027</v>
      </c>
      <c r="E919" s="3">
        <v>5002.51</v>
      </c>
      <c r="F919" s="3">
        <v>0</v>
      </c>
      <c r="G919" s="3">
        <v>0</v>
      </c>
      <c r="H919" s="3">
        <v>0</v>
      </c>
      <c r="I919" s="3">
        <v>0</v>
      </c>
      <c r="J919" s="1" t="s">
        <v>24</v>
      </c>
      <c r="K919" s="28"/>
      <c r="L919" s="28"/>
    </row>
    <row r="920" spans="1:12"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c r="L920" s="28"/>
    </row>
    <row r="921" spans="1:12"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c r="L921" s="28"/>
    </row>
    <row r="922" spans="1:12"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c r="L922" s="28"/>
    </row>
    <row r="923" spans="1:12"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c r="L923" s="28"/>
    </row>
    <row r="924" spans="1:12"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c r="L924" s="28"/>
    </row>
    <row r="925" spans="1:12" s="2" customFormat="1" ht="24.95" customHeight="1" x14ac:dyDescent="0.25">
      <c r="A925" s="31" t="s">
        <v>2762</v>
      </c>
      <c r="B925" s="1" t="s">
        <v>2763</v>
      </c>
      <c r="C925" s="1" t="s">
        <v>2764</v>
      </c>
      <c r="D925" s="1" t="s">
        <v>8</v>
      </c>
      <c r="E925" s="3">
        <v>0</v>
      </c>
      <c r="F925" s="3">
        <v>3837.14</v>
      </c>
      <c r="G925" s="3">
        <v>597.6</v>
      </c>
      <c r="H925" s="3">
        <v>0</v>
      </c>
      <c r="I925" s="3">
        <v>0</v>
      </c>
      <c r="J925" s="1" t="s">
        <v>9</v>
      </c>
      <c r="K925" s="28"/>
      <c r="L925" s="28"/>
    </row>
    <row r="926" spans="1:12"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c r="L926" s="28"/>
    </row>
    <row r="927" spans="1:12" s="2" customFormat="1" ht="24.95" customHeight="1" x14ac:dyDescent="0.25">
      <c r="A927" s="31" t="s">
        <v>2768</v>
      </c>
      <c r="B927" s="1" t="s">
        <v>2769</v>
      </c>
      <c r="C927" s="1" t="s">
        <v>2770</v>
      </c>
      <c r="D927" s="1" t="s">
        <v>3</v>
      </c>
      <c r="E927" s="3">
        <v>3352.98</v>
      </c>
      <c r="F927" s="3">
        <v>0</v>
      </c>
      <c r="G927" s="3">
        <v>2235.12</v>
      </c>
      <c r="H927" s="3">
        <v>0</v>
      </c>
      <c r="I927" s="3">
        <v>0</v>
      </c>
      <c r="J927" s="1" t="s">
        <v>37</v>
      </c>
      <c r="K927" s="28"/>
      <c r="L927" s="28"/>
    </row>
    <row r="928" spans="1:12" s="2" customFormat="1" ht="24.95" customHeight="1" x14ac:dyDescent="0.25">
      <c r="A928" s="31" t="s">
        <v>2771</v>
      </c>
      <c r="B928" s="1" t="s">
        <v>2772</v>
      </c>
      <c r="C928" s="1" t="s">
        <v>2773</v>
      </c>
      <c r="D928" s="1" t="s">
        <v>13</v>
      </c>
      <c r="E928" s="3">
        <v>2860.98</v>
      </c>
      <c r="F928" s="3">
        <v>0</v>
      </c>
      <c r="G928" s="3">
        <v>0</v>
      </c>
      <c r="H928" s="3">
        <v>0</v>
      </c>
      <c r="I928" s="3">
        <v>0</v>
      </c>
      <c r="J928" s="1" t="s">
        <v>37</v>
      </c>
      <c r="K928" s="28"/>
      <c r="L928" s="28"/>
    </row>
    <row r="929" spans="1:12"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c r="L929" s="28"/>
    </row>
    <row r="930" spans="1:12" s="2" customFormat="1" ht="24.95" customHeight="1" x14ac:dyDescent="0.25">
      <c r="A930" s="31" t="s">
        <v>2777</v>
      </c>
      <c r="B930" s="1" t="s">
        <v>2778</v>
      </c>
      <c r="C930" s="1" t="s">
        <v>2779</v>
      </c>
      <c r="D930" s="1" t="s">
        <v>13</v>
      </c>
      <c r="E930" s="3">
        <v>0</v>
      </c>
      <c r="F930" s="3">
        <v>0</v>
      </c>
      <c r="G930" s="3">
        <v>0</v>
      </c>
      <c r="H930" s="3">
        <v>10781.14</v>
      </c>
      <c r="I930" s="3">
        <v>0</v>
      </c>
      <c r="J930" s="1" t="s">
        <v>24</v>
      </c>
      <c r="K930" s="28"/>
      <c r="L930" s="28"/>
    </row>
    <row r="931" spans="1:12" s="2" customFormat="1" ht="24.95" customHeight="1" x14ac:dyDescent="0.25">
      <c r="A931" s="31" t="s">
        <v>2780</v>
      </c>
      <c r="B931" s="1" t="s">
        <v>2781</v>
      </c>
      <c r="C931" s="1" t="s">
        <v>2782</v>
      </c>
      <c r="D931" s="1" t="s">
        <v>3027</v>
      </c>
      <c r="E931" s="3">
        <v>6393.24</v>
      </c>
      <c r="F931" s="3">
        <v>0</v>
      </c>
      <c r="G931" s="3">
        <v>0</v>
      </c>
      <c r="H931" s="3">
        <v>0</v>
      </c>
      <c r="I931" s="3">
        <v>0</v>
      </c>
      <c r="J931" s="1" t="s">
        <v>14</v>
      </c>
      <c r="K931" s="28"/>
      <c r="L931" s="28"/>
    </row>
    <row r="932" spans="1:12"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c r="L932" s="28"/>
    </row>
    <row r="933" spans="1:12" s="2" customFormat="1" ht="24.95" customHeight="1" x14ac:dyDescent="0.25">
      <c r="A933" s="31" t="s">
        <v>2786</v>
      </c>
      <c r="B933" s="1" t="s">
        <v>2787</v>
      </c>
      <c r="C933" s="1" t="s">
        <v>2788</v>
      </c>
      <c r="D933" s="1" t="s">
        <v>3027</v>
      </c>
      <c r="E933" s="3">
        <v>0</v>
      </c>
      <c r="F933" s="3">
        <v>0</v>
      </c>
      <c r="G933" s="3">
        <v>0</v>
      </c>
      <c r="H933" s="3">
        <v>7370.69</v>
      </c>
      <c r="I933" s="3">
        <v>12151.6</v>
      </c>
      <c r="J933" s="1" t="s">
        <v>93</v>
      </c>
      <c r="K933" s="28"/>
      <c r="L933" s="28"/>
    </row>
    <row r="934" spans="1:12" s="2" customFormat="1" ht="24.95" customHeight="1" x14ac:dyDescent="0.25">
      <c r="A934" s="31" t="s">
        <v>2789</v>
      </c>
      <c r="B934" s="1" t="s">
        <v>2790</v>
      </c>
      <c r="C934" s="1" t="s">
        <v>2791</v>
      </c>
      <c r="D934" s="1" t="s">
        <v>3</v>
      </c>
      <c r="E934" s="3">
        <v>0</v>
      </c>
      <c r="F934" s="3">
        <v>1314.53</v>
      </c>
      <c r="G934" s="3">
        <v>0</v>
      </c>
      <c r="H934" s="3">
        <v>0</v>
      </c>
      <c r="I934" s="3">
        <v>0</v>
      </c>
      <c r="J934" s="1" t="s">
        <v>106</v>
      </c>
      <c r="K934" s="28"/>
      <c r="L934" s="28"/>
    </row>
    <row r="935" spans="1:12"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c r="L935" s="28"/>
    </row>
    <row r="936" spans="1:12" s="2" customFormat="1" ht="24.95" customHeight="1" x14ac:dyDescent="0.25">
      <c r="A936" s="31" t="s">
        <v>2795</v>
      </c>
      <c r="B936" s="1" t="s">
        <v>2796</v>
      </c>
      <c r="C936" s="1" t="s">
        <v>2797</v>
      </c>
      <c r="D936" s="1" t="s">
        <v>8</v>
      </c>
      <c r="E936" s="3">
        <v>0</v>
      </c>
      <c r="F936" s="3">
        <v>1743.81</v>
      </c>
      <c r="G936" s="3">
        <v>0</v>
      </c>
      <c r="H936" s="3">
        <v>0</v>
      </c>
      <c r="I936" s="3">
        <v>4238.78</v>
      </c>
      <c r="J936" s="1" t="s">
        <v>19</v>
      </c>
      <c r="K936" s="28"/>
      <c r="L936" s="28"/>
    </row>
    <row r="937" spans="1:12" s="2" customFormat="1" ht="24.95" customHeight="1" x14ac:dyDescent="0.25">
      <c r="A937" s="31" t="s">
        <v>2798</v>
      </c>
      <c r="B937" s="1" t="s">
        <v>2799</v>
      </c>
      <c r="C937" s="1" t="s">
        <v>2800</v>
      </c>
      <c r="D937" s="1" t="s">
        <v>3027</v>
      </c>
      <c r="E937" s="3">
        <v>2066.15</v>
      </c>
      <c r="F937" s="3">
        <v>425.12</v>
      </c>
      <c r="G937" s="3">
        <v>0</v>
      </c>
      <c r="H937" s="3">
        <v>0</v>
      </c>
      <c r="I937" s="3">
        <v>0</v>
      </c>
      <c r="J937" s="1" t="s">
        <v>93</v>
      </c>
      <c r="K937" s="28"/>
      <c r="L937" s="28"/>
    </row>
    <row r="938" spans="1:12" s="2" customFormat="1" ht="24.95" customHeight="1" x14ac:dyDescent="0.25">
      <c r="A938" s="31" t="s">
        <v>2801</v>
      </c>
      <c r="B938" s="1" t="s">
        <v>2802</v>
      </c>
      <c r="C938" s="1" t="s">
        <v>2803</v>
      </c>
      <c r="D938" s="1" t="s">
        <v>3</v>
      </c>
      <c r="E938" s="3">
        <v>1853.9</v>
      </c>
      <c r="F938" s="3">
        <v>341.35</v>
      </c>
      <c r="G938" s="3">
        <v>0</v>
      </c>
      <c r="H938" s="3">
        <v>2829.92</v>
      </c>
      <c r="I938" s="3">
        <v>0</v>
      </c>
      <c r="J938" s="1" t="s">
        <v>19</v>
      </c>
      <c r="K938" s="28"/>
      <c r="L938" s="28"/>
    </row>
    <row r="939" spans="1:12" s="2" customFormat="1" ht="24.95" customHeight="1" x14ac:dyDescent="0.25">
      <c r="A939" s="31" t="s">
        <v>2804</v>
      </c>
      <c r="B939" s="1" t="s">
        <v>2805</v>
      </c>
      <c r="C939" s="1" t="s">
        <v>2806</v>
      </c>
      <c r="D939" s="1" t="s">
        <v>13</v>
      </c>
      <c r="E939" s="3">
        <v>7636.54</v>
      </c>
      <c r="F939" s="3">
        <v>0</v>
      </c>
      <c r="G939" s="3">
        <v>0</v>
      </c>
      <c r="H939" s="3">
        <v>0</v>
      </c>
      <c r="I939" s="3">
        <v>6455.18</v>
      </c>
      <c r="J939" s="1" t="s">
        <v>41</v>
      </c>
      <c r="K939" s="28"/>
      <c r="L939" s="28"/>
    </row>
    <row r="940" spans="1:12" s="2" customFormat="1" ht="24.95" customHeight="1" x14ac:dyDescent="0.25">
      <c r="A940" s="31" t="s">
        <v>2807</v>
      </c>
      <c r="B940" s="1" t="s">
        <v>2808</v>
      </c>
      <c r="C940" s="1" t="s">
        <v>2809</v>
      </c>
      <c r="D940" s="1" t="s">
        <v>3</v>
      </c>
      <c r="E940" s="3">
        <v>0</v>
      </c>
      <c r="F940" s="3">
        <v>3040.5</v>
      </c>
      <c r="G940" s="3">
        <v>0</v>
      </c>
      <c r="H940" s="3">
        <v>0</v>
      </c>
      <c r="I940" s="3">
        <v>0</v>
      </c>
      <c r="J940" s="1" t="s">
        <v>79</v>
      </c>
      <c r="K940" s="28"/>
      <c r="L940" s="28"/>
    </row>
    <row r="941" spans="1:12" s="2" customFormat="1" ht="24.95" customHeight="1" x14ac:dyDescent="0.25">
      <c r="A941" s="31" t="s">
        <v>2810</v>
      </c>
      <c r="B941" s="1" t="s">
        <v>2811</v>
      </c>
      <c r="C941" s="1" t="s">
        <v>2812</v>
      </c>
      <c r="D941" s="1" t="s">
        <v>3027</v>
      </c>
      <c r="E941" s="3">
        <v>6653.53</v>
      </c>
      <c r="F941" s="3">
        <v>0</v>
      </c>
      <c r="G941" s="3">
        <v>0</v>
      </c>
      <c r="H941" s="3">
        <v>0</v>
      </c>
      <c r="I941" s="3">
        <v>0</v>
      </c>
      <c r="J941" s="1" t="s">
        <v>79</v>
      </c>
      <c r="K941" s="28"/>
      <c r="L941" s="28"/>
    </row>
    <row r="942" spans="1:12" s="2" customFormat="1" ht="24.95" customHeight="1" x14ac:dyDescent="0.25">
      <c r="A942" s="31" t="s">
        <v>2813</v>
      </c>
      <c r="B942" s="1" t="s">
        <v>2814</v>
      </c>
      <c r="C942" s="1" t="s">
        <v>2815</v>
      </c>
      <c r="D942" s="1" t="s">
        <v>3</v>
      </c>
      <c r="E942" s="3">
        <v>0</v>
      </c>
      <c r="F942" s="3">
        <v>0</v>
      </c>
      <c r="G942" s="3">
        <v>0</v>
      </c>
      <c r="H942" s="3">
        <v>0</v>
      </c>
      <c r="I942" s="3">
        <v>12302.83</v>
      </c>
      <c r="J942" s="1" t="s">
        <v>37</v>
      </c>
      <c r="K942" s="28"/>
      <c r="L942" s="28"/>
    </row>
    <row r="943" spans="1:12" s="2" customFormat="1" ht="24.95" customHeight="1" x14ac:dyDescent="0.25">
      <c r="A943" s="31" t="s">
        <v>2816</v>
      </c>
      <c r="B943" s="1" t="s">
        <v>2817</v>
      </c>
      <c r="C943" s="1" t="s">
        <v>2818</v>
      </c>
      <c r="D943" s="1" t="s">
        <v>13</v>
      </c>
      <c r="E943" s="3">
        <v>3796.85</v>
      </c>
      <c r="F943" s="3">
        <v>0</v>
      </c>
      <c r="G943" s="3">
        <v>0</v>
      </c>
      <c r="H943" s="3">
        <v>0</v>
      </c>
      <c r="I943" s="3">
        <v>0</v>
      </c>
      <c r="J943" s="1" t="s">
        <v>79</v>
      </c>
      <c r="K943" s="28"/>
      <c r="L943" s="28"/>
    </row>
    <row r="944" spans="1:12" s="2" customFormat="1" ht="24.95" customHeight="1" x14ac:dyDescent="0.25">
      <c r="A944" s="31" t="s">
        <v>2819</v>
      </c>
      <c r="B944" s="1" t="s">
        <v>2820</v>
      </c>
      <c r="C944" s="1" t="s">
        <v>2821</v>
      </c>
      <c r="D944" s="1" t="s">
        <v>18</v>
      </c>
      <c r="E944" s="3">
        <v>0</v>
      </c>
      <c r="F944" s="3">
        <v>0</v>
      </c>
      <c r="G944" s="3">
        <v>1366.88</v>
      </c>
      <c r="H944" s="3">
        <v>0</v>
      </c>
      <c r="I944" s="3">
        <v>6373.16</v>
      </c>
      <c r="J944" s="1" t="s">
        <v>9</v>
      </c>
      <c r="K944" s="28"/>
      <c r="L944" s="28"/>
    </row>
    <row r="945" spans="1:12"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c r="L945" s="28"/>
    </row>
    <row r="946" spans="1:12" s="2" customFormat="1" ht="24.95" customHeight="1" x14ac:dyDescent="0.25">
      <c r="A946" s="31" t="s">
        <v>2825</v>
      </c>
      <c r="B946" s="1" t="s">
        <v>2826</v>
      </c>
      <c r="C946" s="1" t="s">
        <v>2827</v>
      </c>
      <c r="D946" s="1" t="s">
        <v>8</v>
      </c>
      <c r="E946" s="3">
        <v>0</v>
      </c>
      <c r="F946" s="3">
        <v>2349.1</v>
      </c>
      <c r="G946" s="3">
        <v>0</v>
      </c>
      <c r="H946" s="3">
        <v>0</v>
      </c>
      <c r="I946" s="3">
        <v>0</v>
      </c>
      <c r="J946" s="1" t="s">
        <v>24</v>
      </c>
      <c r="K946" s="28"/>
      <c r="L946" s="28"/>
    </row>
    <row r="947" spans="1:12" s="2" customFormat="1" ht="24.95" customHeight="1" x14ac:dyDescent="0.25">
      <c r="A947" s="31" t="s">
        <v>2828</v>
      </c>
      <c r="B947" s="1" t="s">
        <v>2829</v>
      </c>
      <c r="C947" s="1" t="s">
        <v>2830</v>
      </c>
      <c r="D947" s="1" t="s">
        <v>23</v>
      </c>
      <c r="E947" s="3">
        <v>6558.99</v>
      </c>
      <c r="F947" s="3">
        <v>0</v>
      </c>
      <c r="G947" s="3">
        <v>0</v>
      </c>
      <c r="H947" s="3">
        <v>2169.66</v>
      </c>
      <c r="I947" s="3">
        <v>0</v>
      </c>
      <c r="J947" s="1" t="s">
        <v>48</v>
      </c>
      <c r="K947" s="28"/>
      <c r="L947" s="28"/>
    </row>
    <row r="948" spans="1:12" s="2" customFormat="1" ht="24.95" customHeight="1" x14ac:dyDescent="0.25">
      <c r="A948" s="31" t="s">
        <v>2831</v>
      </c>
      <c r="B948" s="1" t="s">
        <v>2832</v>
      </c>
      <c r="C948" s="1" t="s">
        <v>2833</v>
      </c>
      <c r="D948" s="1" t="s">
        <v>3</v>
      </c>
      <c r="E948" s="3">
        <v>0</v>
      </c>
      <c r="F948" s="3">
        <v>0</v>
      </c>
      <c r="G948" s="3">
        <v>0</v>
      </c>
      <c r="H948" s="3">
        <v>0</v>
      </c>
      <c r="I948" s="3">
        <v>4229.09</v>
      </c>
      <c r="J948" s="1" t="s">
        <v>79</v>
      </c>
      <c r="K948" s="28"/>
      <c r="L948" s="28"/>
    </row>
    <row r="949" spans="1:12" s="2" customFormat="1" ht="24.95" customHeight="1" x14ac:dyDescent="0.25">
      <c r="A949" s="31" t="s">
        <v>2834</v>
      </c>
      <c r="B949" s="1" t="s">
        <v>2835</v>
      </c>
      <c r="C949" s="1" t="s">
        <v>2836</v>
      </c>
      <c r="D949" s="1" t="s">
        <v>23</v>
      </c>
      <c r="E949" s="3">
        <v>0</v>
      </c>
      <c r="F949" s="3">
        <v>0</v>
      </c>
      <c r="G949" s="3">
        <v>0</v>
      </c>
      <c r="H949" s="3">
        <v>0</v>
      </c>
      <c r="I949" s="3">
        <v>13311.12</v>
      </c>
      <c r="J949" s="1" t="s">
        <v>93</v>
      </c>
      <c r="K949" s="28"/>
      <c r="L949" s="28"/>
    </row>
    <row r="950" spans="1:12"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c r="L950" s="28"/>
    </row>
    <row r="951" spans="1:12" s="2" customFormat="1" ht="24.95" customHeight="1" x14ac:dyDescent="0.25">
      <c r="A951" s="31" t="s">
        <v>2840</v>
      </c>
      <c r="B951" s="1" t="s">
        <v>2841</v>
      </c>
      <c r="C951" s="1" t="s">
        <v>2842</v>
      </c>
      <c r="D951" s="1" t="s">
        <v>13</v>
      </c>
      <c r="E951" s="3">
        <v>0</v>
      </c>
      <c r="F951" s="3">
        <v>4397.38</v>
      </c>
      <c r="G951" s="3">
        <v>0</v>
      </c>
      <c r="H951" s="3">
        <v>0</v>
      </c>
      <c r="I951" s="3">
        <v>2014.48</v>
      </c>
      <c r="J951" s="1" t="s">
        <v>86</v>
      </c>
      <c r="K951" s="28"/>
      <c r="L951" s="28"/>
    </row>
    <row r="952" spans="1:12"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c r="L952" s="28"/>
    </row>
    <row r="953" spans="1:12"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c r="L953" s="28"/>
    </row>
    <row r="954" spans="1:12" s="2" customFormat="1" ht="24.95" customHeight="1" x14ac:dyDescent="0.25">
      <c r="A954" s="31" t="s">
        <v>2849</v>
      </c>
      <c r="B954" s="1" t="s">
        <v>2850</v>
      </c>
      <c r="C954" s="1" t="s">
        <v>2851</v>
      </c>
      <c r="D954" s="1" t="s">
        <v>18</v>
      </c>
      <c r="E954" s="3">
        <v>0</v>
      </c>
      <c r="F954" s="3">
        <v>1312.99</v>
      </c>
      <c r="G954" s="3">
        <v>1421.63</v>
      </c>
      <c r="H954" s="3">
        <v>421.06</v>
      </c>
      <c r="I954" s="3">
        <v>0</v>
      </c>
      <c r="J954" s="1" t="s">
        <v>9</v>
      </c>
      <c r="K954" s="28"/>
      <c r="L954" s="28"/>
    </row>
    <row r="955" spans="1:12" s="2" customFormat="1" ht="24.95" customHeight="1" x14ac:dyDescent="0.25">
      <c r="A955" s="31" t="s">
        <v>2852</v>
      </c>
      <c r="B955" s="1" t="s">
        <v>2853</v>
      </c>
      <c r="C955" s="1" t="s">
        <v>2854</v>
      </c>
      <c r="D955" s="1" t="s">
        <v>18</v>
      </c>
      <c r="E955" s="3">
        <v>3691.84</v>
      </c>
      <c r="F955" s="3">
        <v>0</v>
      </c>
      <c r="G955" s="3">
        <v>0</v>
      </c>
      <c r="H955" s="3">
        <v>0</v>
      </c>
      <c r="I955" s="3">
        <v>14030.64</v>
      </c>
      <c r="J955" s="1" t="s">
        <v>37</v>
      </c>
      <c r="K955" s="28"/>
      <c r="L955" s="28"/>
    </row>
    <row r="956" spans="1:12"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c r="L956" s="28"/>
    </row>
    <row r="957" spans="1:12"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c r="L957" s="28"/>
    </row>
    <row r="958" spans="1:12" s="2" customFormat="1" ht="24.95" customHeight="1" x14ac:dyDescent="0.25">
      <c r="A958" s="31" t="s">
        <v>2861</v>
      </c>
      <c r="B958" s="1" t="s">
        <v>2862</v>
      </c>
      <c r="C958" s="1" t="s">
        <v>2863</v>
      </c>
      <c r="D958" s="1" t="s">
        <v>13</v>
      </c>
      <c r="E958" s="3">
        <v>0</v>
      </c>
      <c r="F958" s="3">
        <v>1721.93</v>
      </c>
      <c r="G958" s="3">
        <v>0</v>
      </c>
      <c r="H958" s="3">
        <v>0</v>
      </c>
      <c r="I958" s="3">
        <v>5449.39</v>
      </c>
      <c r="J958" s="1" t="s">
        <v>19</v>
      </c>
      <c r="K958" s="28"/>
      <c r="L958" s="28"/>
    </row>
    <row r="959" spans="1:12" s="2" customFormat="1" ht="24.95" customHeight="1" x14ac:dyDescent="0.25">
      <c r="A959" s="31" t="s">
        <v>2864</v>
      </c>
      <c r="B959" s="1" t="s">
        <v>2865</v>
      </c>
      <c r="C959" s="1" t="s">
        <v>2866</v>
      </c>
      <c r="D959" s="1" t="s">
        <v>18</v>
      </c>
      <c r="E959" s="3">
        <v>1286.48</v>
      </c>
      <c r="F959" s="3">
        <v>0</v>
      </c>
      <c r="G959" s="3">
        <v>0</v>
      </c>
      <c r="H959" s="3">
        <v>0</v>
      </c>
      <c r="I959" s="3">
        <v>5918.39</v>
      </c>
      <c r="J959" s="1" t="s">
        <v>48</v>
      </c>
      <c r="K959" s="28"/>
      <c r="L959" s="28"/>
    </row>
    <row r="960" spans="1:12" s="2" customFormat="1" ht="24.95" customHeight="1" x14ac:dyDescent="0.25">
      <c r="A960" s="31" t="s">
        <v>2867</v>
      </c>
      <c r="B960" s="1" t="s">
        <v>2868</v>
      </c>
      <c r="C960" s="1" t="s">
        <v>2869</v>
      </c>
      <c r="D960" s="1" t="s">
        <v>13</v>
      </c>
      <c r="E960" s="3">
        <v>1850.09</v>
      </c>
      <c r="F960" s="3">
        <v>0</v>
      </c>
      <c r="G960" s="3">
        <v>955.98</v>
      </c>
      <c r="H960" s="3">
        <v>0</v>
      </c>
      <c r="I960" s="3">
        <v>3574.6</v>
      </c>
      <c r="J960" s="1" t="s">
        <v>79</v>
      </c>
      <c r="K960" s="28"/>
      <c r="L960" s="28"/>
    </row>
    <row r="961" spans="1:12" s="2" customFormat="1" ht="24.95" customHeight="1" x14ac:dyDescent="0.25">
      <c r="A961" s="31" t="s">
        <v>2870</v>
      </c>
      <c r="B961" s="1" t="s">
        <v>2871</v>
      </c>
      <c r="C961" s="1" t="s">
        <v>2872</v>
      </c>
      <c r="D961" s="1" t="s">
        <v>8</v>
      </c>
      <c r="E961" s="3">
        <v>0</v>
      </c>
      <c r="F961" s="3">
        <v>0</v>
      </c>
      <c r="G961" s="3">
        <v>0</v>
      </c>
      <c r="H961" s="3">
        <v>2628.25</v>
      </c>
      <c r="I961" s="3">
        <v>0</v>
      </c>
      <c r="J961" s="1" t="s">
        <v>93</v>
      </c>
      <c r="K961" s="28"/>
      <c r="L961" s="28"/>
    </row>
    <row r="962" spans="1:12"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c r="L962" s="28"/>
    </row>
    <row r="963" spans="1:12" s="2" customFormat="1" ht="24.95" customHeight="1" x14ac:dyDescent="0.25">
      <c r="A963" s="31" t="s">
        <v>2876</v>
      </c>
      <c r="B963" s="1" t="s">
        <v>2877</v>
      </c>
      <c r="C963" s="1" t="s">
        <v>2878</v>
      </c>
      <c r="D963" s="1" t="s">
        <v>13</v>
      </c>
      <c r="E963" s="3">
        <v>0</v>
      </c>
      <c r="F963" s="3">
        <v>0</v>
      </c>
      <c r="G963" s="3">
        <v>0</v>
      </c>
      <c r="H963" s="3">
        <v>0</v>
      </c>
      <c r="I963" s="3">
        <v>8138.27</v>
      </c>
      <c r="J963" s="1" t="s">
        <v>4</v>
      </c>
      <c r="K963" s="28"/>
      <c r="L963" s="28"/>
    </row>
    <row r="964" spans="1:12"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c r="L964" s="28"/>
    </row>
    <row r="965" spans="1:12"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c r="L965" s="28"/>
    </row>
    <row r="966" spans="1:12"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c r="L966" s="28"/>
    </row>
    <row r="967" spans="1:12" s="2" customFormat="1" ht="24.95" customHeight="1" x14ac:dyDescent="0.25">
      <c r="A967" s="31" t="s">
        <v>2888</v>
      </c>
      <c r="B967" s="1" t="s">
        <v>2889</v>
      </c>
      <c r="C967" s="1" t="s">
        <v>2890</v>
      </c>
      <c r="D967" s="1" t="s">
        <v>8</v>
      </c>
      <c r="E967" s="3">
        <v>0</v>
      </c>
      <c r="F967" s="3">
        <v>2876.64</v>
      </c>
      <c r="G967" s="3">
        <v>0</v>
      </c>
      <c r="H967" s="3">
        <v>1445.74</v>
      </c>
      <c r="I967" s="3">
        <v>0</v>
      </c>
      <c r="J967" s="1" t="s">
        <v>93</v>
      </c>
      <c r="K967" s="28"/>
      <c r="L967" s="28"/>
    </row>
    <row r="968" spans="1:12" s="2" customFormat="1" ht="24.95" customHeight="1" x14ac:dyDescent="0.25">
      <c r="A968" s="31" t="s">
        <v>2891</v>
      </c>
      <c r="B968" s="1" t="s">
        <v>2892</v>
      </c>
      <c r="C968" s="1" t="s">
        <v>2893</v>
      </c>
      <c r="D968" s="1" t="s">
        <v>3027</v>
      </c>
      <c r="E968" s="3">
        <v>0</v>
      </c>
      <c r="F968" s="3">
        <v>0</v>
      </c>
      <c r="G968" s="3">
        <v>3830.4</v>
      </c>
      <c r="H968" s="3">
        <v>0</v>
      </c>
      <c r="I968" s="3">
        <v>0</v>
      </c>
      <c r="J968" s="1" t="s">
        <v>4</v>
      </c>
      <c r="K968" s="28"/>
      <c r="L968" s="28"/>
    </row>
    <row r="969" spans="1:12" s="2" customFormat="1" ht="24.95" customHeight="1" x14ac:dyDescent="0.25">
      <c r="A969" s="31" t="s">
        <v>2894</v>
      </c>
      <c r="B969" s="1" t="s">
        <v>2895</v>
      </c>
      <c r="C969" s="1" t="s">
        <v>2896</v>
      </c>
      <c r="D969" s="1" t="s">
        <v>23</v>
      </c>
      <c r="E969" s="3">
        <v>0</v>
      </c>
      <c r="F969" s="3">
        <v>0</v>
      </c>
      <c r="G969" s="3">
        <v>405.29</v>
      </c>
      <c r="H969" s="3">
        <v>0</v>
      </c>
      <c r="I969" s="3">
        <v>0</v>
      </c>
      <c r="J969" s="1" t="s">
        <v>19</v>
      </c>
      <c r="K969" s="28"/>
      <c r="L969" s="28"/>
    </row>
    <row r="970" spans="1:12"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c r="L970" s="28"/>
    </row>
    <row r="971" spans="1:12" s="2" customFormat="1" ht="24.95" customHeight="1" x14ac:dyDescent="0.25">
      <c r="A971" s="31" t="s">
        <v>2900</v>
      </c>
      <c r="B971" s="1" t="s">
        <v>2901</v>
      </c>
      <c r="C971" s="1" t="s">
        <v>2902</v>
      </c>
      <c r="D971" s="1" t="s">
        <v>13</v>
      </c>
      <c r="E971" s="3">
        <v>0</v>
      </c>
      <c r="F971" s="3">
        <v>3421.93</v>
      </c>
      <c r="G971" s="3">
        <v>0</v>
      </c>
      <c r="H971" s="3">
        <v>11001.58</v>
      </c>
      <c r="I971" s="3">
        <v>0</v>
      </c>
      <c r="J971" s="1" t="s">
        <v>14</v>
      </c>
      <c r="K971" s="28"/>
      <c r="L971" s="28"/>
    </row>
    <row r="972" spans="1:12"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c r="L972" s="28"/>
    </row>
    <row r="973" spans="1:12"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c r="L973" s="28"/>
    </row>
    <row r="974" spans="1:12"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c r="L974" s="28"/>
    </row>
    <row r="975" spans="1:12" s="2" customFormat="1" ht="24.95" customHeight="1" x14ac:dyDescent="0.25">
      <c r="A975" s="31" t="s">
        <v>2912</v>
      </c>
      <c r="B975" s="1" t="s">
        <v>2913</v>
      </c>
      <c r="C975" s="1" t="s">
        <v>2914</v>
      </c>
      <c r="D975" s="1" t="s">
        <v>3027</v>
      </c>
      <c r="E975" s="3">
        <v>0</v>
      </c>
      <c r="F975" s="3">
        <v>0</v>
      </c>
      <c r="G975" s="3">
        <v>1645.41</v>
      </c>
      <c r="H975" s="3">
        <v>0</v>
      </c>
      <c r="I975" s="3">
        <v>5158.08</v>
      </c>
      <c r="J975" s="1" t="s">
        <v>106</v>
      </c>
      <c r="K975" s="28"/>
      <c r="L975" s="28"/>
    </row>
    <row r="976" spans="1:12" s="2" customFormat="1" ht="24.95" customHeight="1" x14ac:dyDescent="0.25">
      <c r="A976" s="31" t="s">
        <v>2915</v>
      </c>
      <c r="B976" s="1" t="s">
        <v>2916</v>
      </c>
      <c r="C976" s="1" t="s">
        <v>2917</v>
      </c>
      <c r="D976" s="1" t="s">
        <v>23</v>
      </c>
      <c r="E976" s="3">
        <v>7145.94</v>
      </c>
      <c r="F976" s="3">
        <v>0</v>
      </c>
      <c r="G976" s="3">
        <v>869.92</v>
      </c>
      <c r="H976" s="3">
        <v>0</v>
      </c>
      <c r="I976" s="3">
        <v>0</v>
      </c>
      <c r="J976" s="1" t="s">
        <v>93</v>
      </c>
      <c r="K976" s="28"/>
      <c r="L976" s="28"/>
    </row>
    <row r="977" spans="1:12"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c r="L977" s="28"/>
    </row>
    <row r="978" spans="1:12" s="2" customFormat="1" ht="24.95" customHeight="1" x14ac:dyDescent="0.25">
      <c r="A978" s="31" t="s">
        <v>2921</v>
      </c>
      <c r="B978" s="1" t="s">
        <v>2922</v>
      </c>
      <c r="C978" s="1" t="s">
        <v>2923</v>
      </c>
      <c r="D978" s="1" t="s">
        <v>8</v>
      </c>
      <c r="E978" s="3">
        <v>4370.45</v>
      </c>
      <c r="F978" s="3">
        <v>0</v>
      </c>
      <c r="G978" s="3">
        <v>2359.69</v>
      </c>
      <c r="H978" s="3">
        <v>0</v>
      </c>
      <c r="I978" s="3">
        <v>0</v>
      </c>
      <c r="J978" s="1" t="s">
        <v>4</v>
      </c>
      <c r="K978" s="28"/>
      <c r="L978" s="28"/>
    </row>
    <row r="979" spans="1:12" s="2" customFormat="1" ht="24.95" customHeight="1" x14ac:dyDescent="0.25">
      <c r="A979" s="31" t="s">
        <v>2924</v>
      </c>
      <c r="B979" s="1" t="s">
        <v>2925</v>
      </c>
      <c r="C979" s="1" t="s">
        <v>2926</v>
      </c>
      <c r="D979" s="1" t="s">
        <v>23</v>
      </c>
      <c r="E979" s="3">
        <v>0</v>
      </c>
      <c r="F979" s="3">
        <v>4032.84</v>
      </c>
      <c r="G979" s="3">
        <v>0</v>
      </c>
      <c r="H979" s="3">
        <v>0</v>
      </c>
      <c r="I979" s="3">
        <v>2809.61</v>
      </c>
      <c r="J979" s="1" t="s">
        <v>86</v>
      </c>
      <c r="K979" s="28"/>
      <c r="L979" s="28"/>
    </row>
    <row r="980" spans="1:12"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c r="L980" s="28"/>
    </row>
    <row r="981" spans="1:12" s="2" customFormat="1" ht="24.95" customHeight="1" x14ac:dyDescent="0.25">
      <c r="A981" s="31" t="s">
        <v>2930</v>
      </c>
      <c r="B981" s="1" t="s">
        <v>2931</v>
      </c>
      <c r="C981" s="1" t="s">
        <v>2932</v>
      </c>
      <c r="D981" s="1" t="s">
        <v>8</v>
      </c>
      <c r="E981" s="3">
        <v>7381.58</v>
      </c>
      <c r="F981" s="3">
        <v>0</v>
      </c>
      <c r="G981" s="3">
        <v>0</v>
      </c>
      <c r="H981" s="3">
        <v>4530.08</v>
      </c>
      <c r="I981" s="3">
        <v>0</v>
      </c>
      <c r="J981" s="1" t="s">
        <v>19</v>
      </c>
      <c r="K981" s="28"/>
      <c r="L981" s="28"/>
    </row>
    <row r="982" spans="1:12"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c r="L982" s="28"/>
    </row>
    <row r="983" spans="1:12" s="2" customFormat="1" ht="24.95" customHeight="1" x14ac:dyDescent="0.25">
      <c r="A983" s="31" t="s">
        <v>2936</v>
      </c>
      <c r="B983" s="1" t="s">
        <v>2937</v>
      </c>
      <c r="C983" s="1" t="s">
        <v>2938</v>
      </c>
      <c r="D983" s="1" t="s">
        <v>8</v>
      </c>
      <c r="E983" s="3">
        <v>0</v>
      </c>
      <c r="F983" s="3">
        <v>295.42</v>
      </c>
      <c r="G983" s="3">
        <v>0</v>
      </c>
      <c r="H983" s="3">
        <v>0</v>
      </c>
      <c r="I983" s="3">
        <v>0</v>
      </c>
      <c r="J983" s="1" t="s">
        <v>48</v>
      </c>
      <c r="K983" s="28"/>
      <c r="L983" s="28"/>
    </row>
    <row r="984" spans="1:12" s="2" customFormat="1" ht="24.95" customHeight="1" x14ac:dyDescent="0.25">
      <c r="A984" s="31" t="s">
        <v>2939</v>
      </c>
      <c r="B984" s="1" t="s">
        <v>2940</v>
      </c>
      <c r="C984" s="1" t="s">
        <v>2941</v>
      </c>
      <c r="D984" s="1" t="s">
        <v>23</v>
      </c>
      <c r="E984" s="3">
        <v>0</v>
      </c>
      <c r="F984" s="3">
        <v>0</v>
      </c>
      <c r="G984" s="3">
        <v>0</v>
      </c>
      <c r="H984" s="3">
        <v>0</v>
      </c>
      <c r="I984" s="3">
        <v>9330.26</v>
      </c>
      <c r="J984" s="1" t="s">
        <v>93</v>
      </c>
      <c r="K984" s="28"/>
      <c r="L984" s="28"/>
    </row>
    <row r="985" spans="1:12"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c r="L985" s="28"/>
    </row>
    <row r="986" spans="1:12"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c r="L986" s="28"/>
    </row>
    <row r="987" spans="1:12" s="2" customFormat="1" ht="24.95" customHeight="1" x14ac:dyDescent="0.25">
      <c r="A987" s="31" t="s">
        <v>2948</v>
      </c>
      <c r="B987" s="1" t="s">
        <v>2949</v>
      </c>
      <c r="C987" s="1" t="s">
        <v>2950</v>
      </c>
      <c r="D987" s="1" t="s">
        <v>23</v>
      </c>
      <c r="E987" s="3">
        <v>0</v>
      </c>
      <c r="F987" s="3">
        <v>0</v>
      </c>
      <c r="G987" s="3">
        <v>0</v>
      </c>
      <c r="H987" s="3">
        <v>8241.23</v>
      </c>
      <c r="I987" s="3">
        <v>696.29</v>
      </c>
      <c r="J987" s="1" t="s">
        <v>48</v>
      </c>
      <c r="K987" s="28"/>
      <c r="L987" s="28"/>
    </row>
    <row r="988" spans="1:12"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c r="L988" s="28"/>
    </row>
    <row r="989" spans="1:12"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c r="L989" s="28"/>
    </row>
    <row r="990" spans="1:12" s="2" customFormat="1" ht="24.95" customHeight="1" x14ac:dyDescent="0.25">
      <c r="A990" s="31" t="s">
        <v>2957</v>
      </c>
      <c r="B990" s="1" t="s">
        <v>2958</v>
      </c>
      <c r="C990" s="1" t="s">
        <v>2959</v>
      </c>
      <c r="D990" s="1" t="s">
        <v>23</v>
      </c>
      <c r="E990" s="3">
        <v>0</v>
      </c>
      <c r="F990" s="3">
        <v>869.78</v>
      </c>
      <c r="G990" s="3">
        <v>0</v>
      </c>
      <c r="H990" s="3">
        <v>0</v>
      </c>
      <c r="I990" s="3">
        <v>0</v>
      </c>
      <c r="J990" s="1" t="s">
        <v>41</v>
      </c>
      <c r="K990" s="28"/>
      <c r="L990" s="28"/>
    </row>
    <row r="991" spans="1:12"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c r="L991" s="28"/>
    </row>
    <row r="992" spans="1:12" s="2" customFormat="1" ht="24.95" customHeight="1" x14ac:dyDescent="0.25">
      <c r="A992" s="31" t="s">
        <v>2963</v>
      </c>
      <c r="B992" s="1" t="s">
        <v>2964</v>
      </c>
      <c r="C992" s="1" t="s">
        <v>2965</v>
      </c>
      <c r="D992" s="1" t="s">
        <v>8</v>
      </c>
      <c r="E992" s="3">
        <v>3365.26</v>
      </c>
      <c r="F992" s="3">
        <v>0</v>
      </c>
      <c r="G992" s="3">
        <v>2844.69</v>
      </c>
      <c r="H992" s="3">
        <v>0</v>
      </c>
      <c r="I992" s="3">
        <v>0</v>
      </c>
      <c r="J992" s="1" t="s">
        <v>86</v>
      </c>
      <c r="K992" s="28"/>
      <c r="L992" s="28"/>
    </row>
    <row r="993" spans="1:12"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c r="L993" s="28"/>
    </row>
    <row r="994" spans="1:12" s="2" customFormat="1" ht="24.95" customHeight="1" x14ac:dyDescent="0.25">
      <c r="A994" s="31" t="s">
        <v>2969</v>
      </c>
      <c r="B994" s="1" t="s">
        <v>2970</v>
      </c>
      <c r="C994" s="1" t="s">
        <v>2971</v>
      </c>
      <c r="D994" s="1" t="s">
        <v>13</v>
      </c>
      <c r="E994" s="3">
        <v>1912.61</v>
      </c>
      <c r="F994" s="3">
        <v>0</v>
      </c>
      <c r="G994" s="3">
        <v>0</v>
      </c>
      <c r="H994" s="3">
        <v>7374.71</v>
      </c>
      <c r="I994" s="3">
        <v>0</v>
      </c>
      <c r="J994" s="1" t="s">
        <v>4</v>
      </c>
      <c r="K994" s="28"/>
      <c r="L994" s="28"/>
    </row>
    <row r="995" spans="1:12" s="2" customFormat="1" ht="24.95" customHeight="1" x14ac:dyDescent="0.25">
      <c r="A995" s="31" t="s">
        <v>2972</v>
      </c>
      <c r="B995" s="1" t="s">
        <v>2973</v>
      </c>
      <c r="C995" s="1" t="s">
        <v>2974</v>
      </c>
      <c r="D995" s="1" t="s">
        <v>3027</v>
      </c>
      <c r="E995" s="3">
        <v>0</v>
      </c>
      <c r="F995" s="3">
        <v>3004.93</v>
      </c>
      <c r="G995" s="3">
        <v>0</v>
      </c>
      <c r="H995" s="3">
        <v>0</v>
      </c>
      <c r="I995" s="3">
        <v>0</v>
      </c>
      <c r="J995" s="1" t="s">
        <v>14</v>
      </c>
      <c r="K995" s="28"/>
      <c r="L995" s="28"/>
    </row>
    <row r="996" spans="1:12"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c r="L996" s="28"/>
    </row>
    <row r="997" spans="1:12" s="2" customFormat="1" ht="24.95" customHeight="1" x14ac:dyDescent="0.25">
      <c r="A997" s="31" t="s">
        <v>2978</v>
      </c>
      <c r="B997" s="1" t="s">
        <v>2979</v>
      </c>
      <c r="C997" s="1" t="s">
        <v>2980</v>
      </c>
      <c r="D997" s="1" t="s">
        <v>3</v>
      </c>
      <c r="E997" s="3">
        <v>697.94</v>
      </c>
      <c r="F997" s="3">
        <v>0</v>
      </c>
      <c r="G997" s="3">
        <v>0</v>
      </c>
      <c r="H997" s="3">
        <v>0</v>
      </c>
      <c r="I997" s="3">
        <v>9923.61</v>
      </c>
      <c r="J997" s="1" t="s">
        <v>106</v>
      </c>
      <c r="K997" s="28"/>
      <c r="L997" s="28"/>
    </row>
    <row r="998" spans="1:12" s="2" customFormat="1" ht="24.95" customHeight="1" x14ac:dyDescent="0.25">
      <c r="A998" s="31" t="s">
        <v>2981</v>
      </c>
      <c r="B998" s="1" t="s">
        <v>2982</v>
      </c>
      <c r="C998" s="1" t="s">
        <v>2983</v>
      </c>
      <c r="D998" s="1" t="s">
        <v>8</v>
      </c>
      <c r="E998" s="3">
        <v>0</v>
      </c>
      <c r="F998" s="3">
        <v>4363.54</v>
      </c>
      <c r="G998" s="3">
        <v>0</v>
      </c>
      <c r="H998" s="3">
        <v>0</v>
      </c>
      <c r="I998" s="3">
        <v>8701.98</v>
      </c>
      <c r="J998" s="1" t="s">
        <v>93</v>
      </c>
      <c r="K998" s="28"/>
      <c r="L998" s="28"/>
    </row>
    <row r="999" spans="1:12"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c r="L999" s="28"/>
    </row>
    <row r="1000" spans="1:12"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c r="L1000" s="28"/>
    </row>
    <row r="1001" spans="1:12"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c r="L1001" s="28"/>
    </row>
    <row r="1002" spans="1:12"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c r="L1002" s="28"/>
    </row>
    <row r="1003" spans="1:12"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c r="L1003" s="28"/>
    </row>
    <row r="1004" spans="1:12"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c r="L1004" s="28"/>
    </row>
    <row r="1005" spans="1:12"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c r="L1005" s="28"/>
    </row>
    <row r="1006" spans="1:12"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c r="L1006" s="28"/>
    </row>
    <row r="1007" spans="1:12"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c r="L1007" s="28"/>
    </row>
    <row r="1008" spans="1:12"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c r="L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sheetData>
  <phoneticPr fontId="5" type="noConversion"/>
  <conditionalFormatting sqref="D9:D1012">
    <cfRule type="containsText" dxfId="36" priority="1" operator="containsText" text="PERDIDO">
      <formula>NOT(ISERROR(SEARCH("PERDIDO",D9)))</formula>
    </cfRule>
    <cfRule type="containsText" dxfId="35" priority="2" operator="containsText" text="CONCLUÍDO">
      <formula>NOT(ISERROR(SEARCH("CONCLUÍDO",D9)))</formula>
    </cfRule>
    <cfRule type="containsText" dxfId="34" priority="3" operator="containsText" text="TRAMITANDO">
      <formula>NOT(ISERROR(SEARCH("TRAMITANDO",D9)))</formula>
    </cfRule>
    <cfRule type="containsText" dxfId="33" priority="4" operator="containsText" text="EM ANÁLISE">
      <formula>NOT(ISERROR(SEARCH("EM ANÁLISE",D9)))</formula>
    </cfRule>
    <cfRule type="containsText" dxfId="32" priority="5" operator="containsText" text="ALÇADA">
      <formula>NOT(ISERROR(SEARCH("ALÇADA",D9)))</formula>
    </cfRule>
    <cfRule type="containsText" dxfId="31" priority="6" operator="containsText" text="NEGOCIANDO">
      <formula>NOT(ISERROR(SEARCH("NEGOCIANDO",D9)))</formula>
    </cfRule>
  </conditionalFormatting>
  <dataValidations count="1">
    <dataValidation type="list" allowBlank="1" showInputMessage="1" showErrorMessage="1" sqref="D9:D1012"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8"/>
  <sheetViews>
    <sheetView topLeftCell="N1" zoomScale="70" zoomScaleNormal="70" workbookViewId="0">
      <selection activeCell="S58" sqref="S58"/>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93</v>
      </c>
      <c r="Y4" t="s">
        <v>3041</v>
      </c>
    </row>
    <row r="5" spans="1:29" x14ac:dyDescent="0.25">
      <c r="B5"/>
      <c r="R5" s="11">
        <v>0.5</v>
      </c>
      <c r="S5" s="12">
        <v>0.59989999999999999</v>
      </c>
      <c r="T5" s="12">
        <v>0.3</v>
      </c>
      <c r="U5" s="13">
        <v>3.0000000000000001E-3</v>
      </c>
      <c r="W5" s="5" t="s">
        <v>3042</v>
      </c>
      <c r="X5" s="25">
        <v>870823.62000000046</v>
      </c>
      <c r="Y5" s="25">
        <v>870823.62000000046</v>
      </c>
      <c r="AA5" s="4" t="s">
        <v>3040</v>
      </c>
      <c r="AB5" t="s">
        <v>3072</v>
      </c>
      <c r="AC5" t="s">
        <v>3054</v>
      </c>
    </row>
    <row r="6" spans="1:29" x14ac:dyDescent="0.25">
      <c r="B6"/>
      <c r="R6" s="11">
        <f>R5+0.1</f>
        <v>0.6</v>
      </c>
      <c r="S6" s="12">
        <f>S5+0.1</f>
        <v>0.69989999999999997</v>
      </c>
      <c r="T6" s="12">
        <v>0.5</v>
      </c>
      <c r="U6" s="13">
        <f>U5+0.001</f>
        <v>4.0000000000000001E-3</v>
      </c>
      <c r="W6" s="5" t="s">
        <v>3043</v>
      </c>
      <c r="X6" s="25">
        <v>20180.2</v>
      </c>
      <c r="Y6" s="25">
        <v>20180.2</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11491.18</v>
      </c>
      <c r="Y7" s="25">
        <v>11491.18</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11708.56</v>
      </c>
      <c r="Y8" s="25">
        <v>11708.56</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30998.95</v>
      </c>
      <c r="Y9" s="25">
        <v>30998.95</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34197.270000000004</v>
      </c>
      <c r="Y10" s="25">
        <v>34197.270000000004</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144244.72999999998</v>
      </c>
      <c r="Y11" s="25">
        <v>144244.72999999998</v>
      </c>
      <c r="Z11" s="24">
        <f>GETPIVOTDATA("Sum of VALOR_NEGOCIANDO",$W$3)</f>
        <v>144244.72999999998</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175842.61</v>
      </c>
      <c r="Y12" s="25">
        <v>175842.61</v>
      </c>
      <c r="Z12" s="24">
        <f>GETPIVOTDATA("Sum of VALOR_ALÇADA",$W$3)</f>
        <v>175842.61</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137557.26</v>
      </c>
      <c r="Y13" s="25">
        <v>137557.26</v>
      </c>
      <c r="Z13" s="24">
        <f>GETPIVOTDATA("Sum of VALOR_EMANALISE",$W$3)</f>
        <v>137557.26</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167719.22</v>
      </c>
      <c r="Y14" s="25">
        <v>167719.22</v>
      </c>
      <c r="Z14" s="24">
        <f>GETPIVOTDATA("Sum of VALOR_TRAMITANDO",$W$3)</f>
        <v>167719.22</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136883.63999999998</v>
      </c>
      <c r="Y15" s="25">
        <v>136883.63999999998</v>
      </c>
      <c r="Z15" s="24">
        <f>GETPIVOTDATA("Sum of VALOR_PERDIDO",$W$3)</f>
        <v>136883.63999999998</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108576.16</v>
      </c>
      <c r="Y16" s="25">
        <v>108576.16</v>
      </c>
      <c r="Z16" s="24">
        <f>GETPIVOTDATA("Sum of VALOR_CONCLUIDO",$W$3)</f>
        <v>108576.16</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20180.2</v>
      </c>
      <c r="T39" s="25">
        <f>GETPIVOTDATA("Sum of VALOR_CONC_AVANCADO",$W$3)</f>
        <v>11491.18</v>
      </c>
      <c r="U39" s="25">
        <f>GETPIVOTDATA("Sum of VALOR_CONC_FIXABASICA",$W$3)</f>
        <v>11708.56</v>
      </c>
      <c r="V39" s="25">
        <f>GETPIVOTDATA("Sum of VALOR_CONC_TI",$W$3)</f>
        <v>30998.95</v>
      </c>
      <c r="W39" s="25">
        <f>GETPIVOTDATA("Sum of VALOR_CONC_APARELHO",$W$3)</f>
        <v>34197.270000000004</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108576.16</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-5819.7999999999993</v>
      </c>
      <c r="T41" s="25">
        <f>T39-S48</f>
        <v>-14508.82</v>
      </c>
      <c r="U41" s="25">
        <f>U39-S48</f>
        <v>-14291.44</v>
      </c>
      <c r="V41" s="25">
        <f>V39-S48</f>
        <v>4998.9500000000007</v>
      </c>
      <c r="W41" s="25">
        <f>W39-S48</f>
        <v>8197.2700000000041</v>
      </c>
      <c r="X41" s="25">
        <f>T47-S47</f>
        <v>-55621.11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74378.89</v>
      </c>
      <c r="U47" s="23">
        <f>T47/S47</f>
        <v>0.57214530769230765</v>
      </c>
      <c r="V47" s="23">
        <f>IFERROR(_xlfn.XLOOKUP(U47,R4:R22,T4:T22,,-1,1),0)</f>
        <v>0.3</v>
      </c>
      <c r="W47" s="25">
        <f>T47*V47</f>
        <v>22313.666999999998</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34197.270000000004</v>
      </c>
      <c r="U48" s="23">
        <f>T48/S48</f>
        <v>1.3152796153846156</v>
      </c>
      <c r="V48" s="26">
        <f>IFERROR(_xlfn.XLOOKUP(U48,R4:R22,U4:U22,,-1,1),0)</f>
        <v>1.1000000000000003E-2</v>
      </c>
      <c r="W48" s="25">
        <f>T48*U48</f>
        <v>44978.972132803858</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108576.16</v>
      </c>
      <c r="U49" s="23">
        <f>(U47+U48)/2</f>
        <v>0.94371246153846156</v>
      </c>
      <c r="V49" s="23">
        <f>(V47+V48)/2</f>
        <v>0.1555</v>
      </c>
      <c r="W49" s="25">
        <f>SUM(W47:W48)</f>
        <v>67292.639132803859</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e">
        <f>tblVendas[[#This Row],[NR_SIMULACAO]]</f>
        <v>#VALUE!</v>
      </c>
      <c r="B1013" s="34" t="e">
        <f>_xlfn.XLOOKUP(A1013,tblVendas[[#This Row],[NR_SIMULACAO]],tblVendas[[#This Row],[NR_CNPJ]],"")</f>
        <v>#VALUE!</v>
      </c>
      <c r="C1013" s="6" t="e">
        <f>_xlfn.XLOOKUP(A1013,tblVendas[[#This Row],[NR_SIMULACAO]],tblVendas[[#This Row],[STATUS]],"")</f>
        <v>#VALUE!</v>
      </c>
      <c r="D1013" s="6" t="e">
        <f>_xlfn.XLOOKUP(A1013,tblVendas[[#This Row],[NR_SIMULACAO]],tblVendas[[#This Row],[MES]],"")</f>
        <v>#VALUE!</v>
      </c>
      <c r="E1013" s="6" t="e">
        <f>SUM(_xlfn.XLOOKUP(tblCalculo[[#This Row],[NR_SIMULACAO]],tblVendas[[#This Row],[NR_SIMULACAO]],tblVendas[[#This Row],[VALOR_MOVEL]],""):_xlfn.XLOOKUP(tblCalculo[[#This Row],[NR_SIMULACAO]],tblVendas[[#This Row],[NR_SIMULACAO]],tblVendas[[#This Row],[VALOR_APARELHO]],""))</f>
        <v>#VALUE!</v>
      </c>
      <c r="F1013" s="6" t="e">
        <f>IF(tblCalculo[[#This Row],[STATUS]]="CONCLUÍDO",_xlfn.XLOOKUP(tblCalculo[[#This Row],[NR_SIMULACAO]],tblVendas[[#This Row],[NR_SIMULACAO]],tblVendas[[#This Row],[VALOR_MOVEL]],""),0)</f>
        <v>#VALUE!</v>
      </c>
      <c r="G1013" s="6" t="e">
        <f>IF(tblCalculo[[#This Row],[STATUS]]="CONCLUÍDO",_xlfn.XLOOKUP(tblCalculo[[#This Row],[NR_SIMULACAO]],tblVendas[[#This Row],[NR_SIMULACAO]],tblVendas[[#This Row],[VALOR_AVANCADO]],""),0)</f>
        <v>#VALUE!</v>
      </c>
      <c r="H1013" s="6" t="e">
        <f>IF(tblCalculo[[#This Row],[STATUS]]="CONCLUÍDO",_xlfn.XLOOKUP(tblCalculo[[#This Row],[NR_SIMULACAO]],tblVendas[[#This Row],[NR_SIMULACAO]],tblVendas[[#This Row],[VALOR_FIXABASICA]],""),0)</f>
        <v>#VALUE!</v>
      </c>
      <c r="I1013" s="6" t="e">
        <f>IF(tblCalculo[[#This Row],[STATUS]]="CONCLUÍDO",_xlfn.XLOOKUP(tblCalculo[[#This Row],[NR_SIMULACAO]],tblVendas[[#This Row],[NR_SIMULACAO]],tblVendas[[#This Row],[VALOR_TI]],""),0)</f>
        <v>#VALUE!</v>
      </c>
      <c r="J1013" s="6" t="e">
        <f>IF(tblCalculo[[#This Row],[STATUS]]="CONCLUÍDO",_xlfn.XLOOKUP(tblCalculo[[#This Row],[NR_SIMULACAO]],tblVendas[[#This Row],[NR_SIMULACAO]],tblVendas[[#This Row],[VALOR_APARELHO]],""),0)</f>
        <v>#VALUE!</v>
      </c>
      <c r="K1013" s="6" t="e">
        <f>IF(tblCalculo[[#This Row],[STATUS]]="NEGOCIANDO",tblCalculo[[#This Row],[VALOR_TOTAL]],"")</f>
        <v>#VALUE!</v>
      </c>
      <c r="L1013" s="6" t="e">
        <f>IF(tblCalculo[[#This Row],[STATUS]]="ALÇADA",tblCalculo[[#This Row],[VALOR_TOTAL]],"")</f>
        <v>#VALUE!</v>
      </c>
      <c r="M1013" s="6" t="e">
        <f>IF(tblCalculo[[#This Row],[STATUS]]="EM ANÁLISE",tblCalculo[[#This Row],[VALOR_TOTAL]],"")</f>
        <v>#VALUE!</v>
      </c>
      <c r="N1013" s="6" t="e">
        <f>IF(tblCalculo[[#This Row],[STATUS]]="TRAMITANDO",tblCalculo[[#This Row],[VALOR_TOTAL]],"")</f>
        <v>#VALUE!</v>
      </c>
      <c r="O1013" s="6" t="e">
        <f>IF(tblCalculo[[#This Row],[STATUS]]="PERDIDO",tblCalculo[[#This Row],[VALOR_TOTAL]],"")</f>
        <v>#VALUE!</v>
      </c>
      <c r="P1013" s="6" t="e">
        <f>IF(tblCalculo[[#This Row],[STATUS]]="CONCLUÍDO",tblCalculo[[#This Row],[VALOR_TOTAL]],"")</f>
        <v>#VALUE!</v>
      </c>
    </row>
    <row r="1014" spans="1:16" x14ac:dyDescent="0.25">
      <c r="A1014" s="6" t="e">
        <f>tblVendas[[#This Row],[NR_SIMULACAO]]</f>
        <v>#VALUE!</v>
      </c>
      <c r="B1014" s="34" t="e">
        <f>_xlfn.XLOOKUP(A1014,tblVendas[[#This Row],[NR_SIMULACAO]],tblVendas[[#This Row],[NR_CNPJ]],"")</f>
        <v>#VALUE!</v>
      </c>
      <c r="C1014" s="6" t="e">
        <f>_xlfn.XLOOKUP(A1014,tblVendas[[#This Row],[NR_SIMULACAO]],tblVendas[[#This Row],[STATUS]],"")</f>
        <v>#VALUE!</v>
      </c>
      <c r="D1014" s="6" t="e">
        <f>_xlfn.XLOOKUP(A1014,tblVendas[[#This Row],[NR_SIMULACAO]],tblVendas[[#This Row],[MES]],"")</f>
        <v>#VALUE!</v>
      </c>
      <c r="E1014" s="6" t="e">
        <f>SUM(_xlfn.XLOOKUP(tblCalculo[[#This Row],[NR_SIMULACAO]],tblVendas[[#This Row],[NR_SIMULACAO]],tblVendas[[#This Row],[VALOR_MOVEL]],""):_xlfn.XLOOKUP(tblCalculo[[#This Row],[NR_SIMULACAO]],tblVendas[[#This Row],[NR_SIMULACAO]],tblVendas[[#This Row],[VALOR_APARELHO]],""))</f>
        <v>#VALUE!</v>
      </c>
      <c r="F1014" s="6" t="e">
        <f>IF(tblCalculo[[#This Row],[STATUS]]="CONCLUÍDO",_xlfn.XLOOKUP(tblCalculo[[#This Row],[NR_SIMULACAO]],tblVendas[[#This Row],[NR_SIMULACAO]],tblVendas[[#This Row],[VALOR_MOVEL]],""),0)</f>
        <v>#VALUE!</v>
      </c>
      <c r="G1014" s="6" t="e">
        <f>IF(tblCalculo[[#This Row],[STATUS]]="CONCLUÍDO",_xlfn.XLOOKUP(tblCalculo[[#This Row],[NR_SIMULACAO]],tblVendas[[#This Row],[NR_SIMULACAO]],tblVendas[[#This Row],[VALOR_AVANCADO]],""),0)</f>
        <v>#VALUE!</v>
      </c>
      <c r="H1014" s="6" t="e">
        <f>IF(tblCalculo[[#This Row],[STATUS]]="CONCLUÍDO",_xlfn.XLOOKUP(tblCalculo[[#This Row],[NR_SIMULACAO]],tblVendas[[#This Row],[NR_SIMULACAO]],tblVendas[[#This Row],[VALOR_FIXABASICA]],""),0)</f>
        <v>#VALUE!</v>
      </c>
      <c r="I1014" s="6" t="e">
        <f>IF(tblCalculo[[#This Row],[STATUS]]="CONCLUÍDO",_xlfn.XLOOKUP(tblCalculo[[#This Row],[NR_SIMULACAO]],tblVendas[[#This Row],[NR_SIMULACAO]],tblVendas[[#This Row],[VALOR_TI]],""),0)</f>
        <v>#VALUE!</v>
      </c>
      <c r="J1014" s="6" t="e">
        <f>IF(tblCalculo[[#This Row],[STATUS]]="CONCLUÍDO",_xlfn.XLOOKUP(tblCalculo[[#This Row],[NR_SIMULACAO]],tblVendas[[#This Row],[NR_SIMULACAO]],tblVendas[[#This Row],[VALOR_APARELHO]],""),0)</f>
        <v>#VALUE!</v>
      </c>
      <c r="K1014" s="6" t="e">
        <f>IF(tblCalculo[[#This Row],[STATUS]]="NEGOCIANDO",tblCalculo[[#This Row],[VALOR_TOTAL]],"")</f>
        <v>#VALUE!</v>
      </c>
      <c r="L1014" s="6" t="e">
        <f>IF(tblCalculo[[#This Row],[STATUS]]="ALÇADA",tblCalculo[[#This Row],[VALOR_TOTAL]],"")</f>
        <v>#VALUE!</v>
      </c>
      <c r="M1014" s="6" t="e">
        <f>IF(tblCalculo[[#This Row],[STATUS]]="EM ANÁLISE",tblCalculo[[#This Row],[VALOR_TOTAL]],"")</f>
        <v>#VALUE!</v>
      </c>
      <c r="N1014" s="6" t="e">
        <f>IF(tblCalculo[[#This Row],[STATUS]]="TRAMITANDO",tblCalculo[[#This Row],[VALOR_TOTAL]],"")</f>
        <v>#VALUE!</v>
      </c>
      <c r="O1014" s="6" t="e">
        <f>IF(tblCalculo[[#This Row],[STATUS]]="PERDIDO",tblCalculo[[#This Row],[VALOR_TOTAL]],"")</f>
        <v>#VALUE!</v>
      </c>
      <c r="P1014" s="6" t="e">
        <f>IF(tblCalculo[[#This Row],[STATUS]]="CONCLUÍDO",tblCalculo[[#This Row],[VALOR_TOTAL]],"")</f>
        <v>#VALUE!</v>
      </c>
    </row>
    <row r="1015" spans="1:16" x14ac:dyDescent="0.25">
      <c r="A1015" s="6" t="e">
        <f>tblVendas[[#This Row],[NR_SIMULACAO]]</f>
        <v>#VALUE!</v>
      </c>
      <c r="B1015" s="34" t="e">
        <f>_xlfn.XLOOKUP(A1015,tblVendas[[#This Row],[NR_SIMULACAO]],tblVendas[[#This Row],[NR_CNPJ]],"")</f>
        <v>#VALUE!</v>
      </c>
      <c r="C1015" s="6" t="e">
        <f>_xlfn.XLOOKUP(A1015,tblVendas[[#This Row],[NR_SIMULACAO]],tblVendas[[#This Row],[STATUS]],"")</f>
        <v>#VALUE!</v>
      </c>
      <c r="D1015" s="6" t="e">
        <f>_xlfn.XLOOKUP(A1015,tblVendas[[#This Row],[NR_SIMULACAO]],tblVendas[[#This Row],[MES]],"")</f>
        <v>#VALUE!</v>
      </c>
      <c r="E1015" s="6" t="e">
        <f>SUM(_xlfn.XLOOKUP(tblCalculo[[#This Row],[NR_SIMULACAO]],tblVendas[[#This Row],[NR_SIMULACAO]],tblVendas[[#This Row],[VALOR_MOVEL]],""):_xlfn.XLOOKUP(tblCalculo[[#This Row],[NR_SIMULACAO]],tblVendas[[#This Row],[NR_SIMULACAO]],tblVendas[[#This Row],[VALOR_APARELHO]],""))</f>
        <v>#VALUE!</v>
      </c>
      <c r="F1015" s="6" t="e">
        <f>IF(tblCalculo[[#This Row],[STATUS]]="CONCLUÍDO",_xlfn.XLOOKUP(tblCalculo[[#This Row],[NR_SIMULACAO]],tblVendas[[#This Row],[NR_SIMULACAO]],tblVendas[[#This Row],[VALOR_MOVEL]],""),0)</f>
        <v>#VALUE!</v>
      </c>
      <c r="G1015" s="6" t="e">
        <f>IF(tblCalculo[[#This Row],[STATUS]]="CONCLUÍDO",_xlfn.XLOOKUP(tblCalculo[[#This Row],[NR_SIMULACAO]],tblVendas[[#This Row],[NR_SIMULACAO]],tblVendas[[#This Row],[VALOR_AVANCADO]],""),0)</f>
        <v>#VALUE!</v>
      </c>
      <c r="H1015" s="6" t="e">
        <f>IF(tblCalculo[[#This Row],[STATUS]]="CONCLUÍDO",_xlfn.XLOOKUP(tblCalculo[[#This Row],[NR_SIMULACAO]],tblVendas[[#This Row],[NR_SIMULACAO]],tblVendas[[#This Row],[VALOR_FIXABASICA]],""),0)</f>
        <v>#VALUE!</v>
      </c>
      <c r="I1015" s="6" t="e">
        <f>IF(tblCalculo[[#This Row],[STATUS]]="CONCLUÍDO",_xlfn.XLOOKUP(tblCalculo[[#This Row],[NR_SIMULACAO]],tblVendas[[#This Row],[NR_SIMULACAO]],tblVendas[[#This Row],[VALOR_TI]],""),0)</f>
        <v>#VALUE!</v>
      </c>
      <c r="J1015" s="6" t="e">
        <f>IF(tblCalculo[[#This Row],[STATUS]]="CONCLUÍDO",_xlfn.XLOOKUP(tblCalculo[[#This Row],[NR_SIMULACAO]],tblVendas[[#This Row],[NR_SIMULACAO]],tblVendas[[#This Row],[VALOR_APARELHO]],""),0)</f>
        <v>#VALUE!</v>
      </c>
      <c r="K1015" s="6" t="e">
        <f>IF(tblCalculo[[#This Row],[STATUS]]="NEGOCIANDO",tblCalculo[[#This Row],[VALOR_TOTAL]],"")</f>
        <v>#VALUE!</v>
      </c>
      <c r="L1015" s="6" t="e">
        <f>IF(tblCalculo[[#This Row],[STATUS]]="ALÇADA",tblCalculo[[#This Row],[VALOR_TOTAL]],"")</f>
        <v>#VALUE!</v>
      </c>
      <c r="M1015" s="6" t="e">
        <f>IF(tblCalculo[[#This Row],[STATUS]]="EM ANÁLISE",tblCalculo[[#This Row],[VALOR_TOTAL]],"")</f>
        <v>#VALUE!</v>
      </c>
      <c r="N1015" s="6" t="e">
        <f>IF(tblCalculo[[#This Row],[STATUS]]="TRAMITANDO",tblCalculo[[#This Row],[VALOR_TOTAL]],"")</f>
        <v>#VALUE!</v>
      </c>
      <c r="O1015" s="6" t="e">
        <f>IF(tblCalculo[[#This Row],[STATUS]]="PERDIDO",tblCalculo[[#This Row],[VALOR_TOTAL]],"")</f>
        <v>#VALUE!</v>
      </c>
      <c r="P1015" s="6" t="e">
        <f>IF(tblCalculo[[#This Row],[STATUS]]="CONCLUÍDO",tblCalculo[[#This Row],[VALOR_TOTAL]],"")</f>
        <v>#VALUE!</v>
      </c>
    </row>
    <row r="1016" spans="1:16" x14ac:dyDescent="0.25">
      <c r="A1016" s="6" t="e">
        <f>tblVendas[[#This Row],[NR_SIMULACAO]]</f>
        <v>#VALUE!</v>
      </c>
      <c r="B1016" s="34" t="e">
        <f>_xlfn.XLOOKUP(A1016,tblVendas[[#This Row],[NR_SIMULACAO]],tblVendas[[#This Row],[NR_CNPJ]],"")</f>
        <v>#VALUE!</v>
      </c>
      <c r="C1016" s="6" t="e">
        <f>_xlfn.XLOOKUP(A1016,tblVendas[[#This Row],[NR_SIMULACAO]],tblVendas[[#This Row],[STATUS]],"")</f>
        <v>#VALUE!</v>
      </c>
      <c r="D1016" s="6" t="e">
        <f>_xlfn.XLOOKUP(A1016,tblVendas[[#This Row],[NR_SIMULACAO]],tblVendas[[#This Row],[MES]],"")</f>
        <v>#VALUE!</v>
      </c>
      <c r="E1016" s="6" t="e">
        <f>SUM(_xlfn.XLOOKUP(tblCalculo[[#This Row],[NR_SIMULACAO]],tblVendas[[#This Row],[NR_SIMULACAO]],tblVendas[[#This Row],[VALOR_MOVEL]],""):_xlfn.XLOOKUP(tblCalculo[[#This Row],[NR_SIMULACAO]],tblVendas[[#This Row],[NR_SIMULACAO]],tblVendas[[#This Row],[VALOR_APARELHO]],""))</f>
        <v>#VALUE!</v>
      </c>
      <c r="F1016" s="6" t="e">
        <f>IF(tblCalculo[[#This Row],[STATUS]]="CONCLUÍDO",_xlfn.XLOOKUP(tblCalculo[[#This Row],[NR_SIMULACAO]],tblVendas[[#This Row],[NR_SIMULACAO]],tblVendas[[#This Row],[VALOR_MOVEL]],""),0)</f>
        <v>#VALUE!</v>
      </c>
      <c r="G1016" s="6" t="e">
        <f>IF(tblCalculo[[#This Row],[STATUS]]="CONCLUÍDO",_xlfn.XLOOKUP(tblCalculo[[#This Row],[NR_SIMULACAO]],tblVendas[[#This Row],[NR_SIMULACAO]],tblVendas[[#This Row],[VALOR_AVANCADO]],""),0)</f>
        <v>#VALUE!</v>
      </c>
      <c r="H1016" s="6" t="e">
        <f>IF(tblCalculo[[#This Row],[STATUS]]="CONCLUÍDO",_xlfn.XLOOKUP(tblCalculo[[#This Row],[NR_SIMULACAO]],tblVendas[[#This Row],[NR_SIMULACAO]],tblVendas[[#This Row],[VALOR_FIXABASICA]],""),0)</f>
        <v>#VALUE!</v>
      </c>
      <c r="I1016" s="6" t="e">
        <f>IF(tblCalculo[[#This Row],[STATUS]]="CONCLUÍDO",_xlfn.XLOOKUP(tblCalculo[[#This Row],[NR_SIMULACAO]],tblVendas[[#This Row],[NR_SIMULACAO]],tblVendas[[#This Row],[VALOR_TI]],""),0)</f>
        <v>#VALUE!</v>
      </c>
      <c r="J1016" s="6" t="e">
        <f>IF(tblCalculo[[#This Row],[STATUS]]="CONCLUÍDO",_xlfn.XLOOKUP(tblCalculo[[#This Row],[NR_SIMULACAO]],tblVendas[[#This Row],[NR_SIMULACAO]],tblVendas[[#This Row],[VALOR_APARELHO]],""),0)</f>
        <v>#VALUE!</v>
      </c>
      <c r="K1016" s="6" t="e">
        <f>IF(tblCalculo[[#This Row],[STATUS]]="NEGOCIANDO",tblCalculo[[#This Row],[VALOR_TOTAL]],"")</f>
        <v>#VALUE!</v>
      </c>
      <c r="L1016" s="6" t="e">
        <f>IF(tblCalculo[[#This Row],[STATUS]]="ALÇADA",tblCalculo[[#This Row],[VALOR_TOTAL]],"")</f>
        <v>#VALUE!</v>
      </c>
      <c r="M1016" s="6" t="e">
        <f>IF(tblCalculo[[#This Row],[STATUS]]="EM ANÁLISE",tblCalculo[[#This Row],[VALOR_TOTAL]],"")</f>
        <v>#VALUE!</v>
      </c>
      <c r="N1016" s="6" t="e">
        <f>IF(tblCalculo[[#This Row],[STATUS]]="TRAMITANDO",tblCalculo[[#This Row],[VALOR_TOTAL]],"")</f>
        <v>#VALUE!</v>
      </c>
      <c r="O1016" s="6" t="e">
        <f>IF(tblCalculo[[#This Row],[STATUS]]="PERDIDO",tblCalculo[[#This Row],[VALOR_TOTAL]],"")</f>
        <v>#VALUE!</v>
      </c>
      <c r="P1016" s="6" t="e">
        <f>IF(tblCalculo[[#This Row],[STATUS]]="CONCLUÍDO",tblCalculo[[#This Row],[VALOR_TOTAL]],"")</f>
        <v>#VALUE!</v>
      </c>
    </row>
    <row r="1017" spans="1:16" x14ac:dyDescent="0.25">
      <c r="A1017" s="6" t="e">
        <f>tblVendas[[#This Row],[NR_SIMULACAO]]</f>
        <v>#VALUE!</v>
      </c>
      <c r="B1017" s="34" t="e">
        <f>_xlfn.XLOOKUP(A1017,tblVendas[[#This Row],[NR_SIMULACAO]],tblVendas[[#This Row],[NR_CNPJ]],"")</f>
        <v>#VALUE!</v>
      </c>
      <c r="C1017" s="6" t="e">
        <f>_xlfn.XLOOKUP(A1017,tblVendas[[#This Row],[NR_SIMULACAO]],tblVendas[[#This Row],[STATUS]],"")</f>
        <v>#VALUE!</v>
      </c>
      <c r="D1017" s="6" t="e">
        <f>_xlfn.XLOOKUP(A1017,tblVendas[[#This Row],[NR_SIMULACAO]],tblVendas[[#This Row],[MES]],"")</f>
        <v>#VALUE!</v>
      </c>
      <c r="E1017" s="6" t="e">
        <f>SUM(_xlfn.XLOOKUP(tblCalculo[[#This Row],[NR_SIMULACAO]],tblVendas[[#This Row],[NR_SIMULACAO]],tblVendas[[#This Row],[VALOR_MOVEL]],""):_xlfn.XLOOKUP(tblCalculo[[#This Row],[NR_SIMULACAO]],tblVendas[[#This Row],[NR_SIMULACAO]],tblVendas[[#This Row],[VALOR_APARELHO]],""))</f>
        <v>#VALUE!</v>
      </c>
      <c r="F1017" s="6" t="e">
        <f>IF(tblCalculo[[#This Row],[STATUS]]="CONCLUÍDO",_xlfn.XLOOKUP(tblCalculo[[#This Row],[NR_SIMULACAO]],tblVendas[[#This Row],[NR_SIMULACAO]],tblVendas[[#This Row],[VALOR_MOVEL]],""),0)</f>
        <v>#VALUE!</v>
      </c>
      <c r="G1017" s="6" t="e">
        <f>IF(tblCalculo[[#This Row],[STATUS]]="CONCLUÍDO",_xlfn.XLOOKUP(tblCalculo[[#This Row],[NR_SIMULACAO]],tblVendas[[#This Row],[NR_SIMULACAO]],tblVendas[[#This Row],[VALOR_AVANCADO]],""),0)</f>
        <v>#VALUE!</v>
      </c>
      <c r="H1017" s="6" t="e">
        <f>IF(tblCalculo[[#This Row],[STATUS]]="CONCLUÍDO",_xlfn.XLOOKUP(tblCalculo[[#This Row],[NR_SIMULACAO]],tblVendas[[#This Row],[NR_SIMULACAO]],tblVendas[[#This Row],[VALOR_FIXABASICA]],""),0)</f>
        <v>#VALUE!</v>
      </c>
      <c r="I1017" s="6" t="e">
        <f>IF(tblCalculo[[#This Row],[STATUS]]="CONCLUÍDO",_xlfn.XLOOKUP(tblCalculo[[#This Row],[NR_SIMULACAO]],tblVendas[[#This Row],[NR_SIMULACAO]],tblVendas[[#This Row],[VALOR_TI]],""),0)</f>
        <v>#VALUE!</v>
      </c>
      <c r="J1017" s="6" t="e">
        <f>IF(tblCalculo[[#This Row],[STATUS]]="CONCLUÍDO",_xlfn.XLOOKUP(tblCalculo[[#This Row],[NR_SIMULACAO]],tblVendas[[#This Row],[NR_SIMULACAO]],tblVendas[[#This Row],[VALOR_APARELHO]],""),0)</f>
        <v>#VALUE!</v>
      </c>
      <c r="K1017" s="6" t="e">
        <f>IF(tblCalculo[[#This Row],[STATUS]]="NEGOCIANDO",tblCalculo[[#This Row],[VALOR_TOTAL]],"")</f>
        <v>#VALUE!</v>
      </c>
      <c r="L1017" s="6" t="e">
        <f>IF(tblCalculo[[#This Row],[STATUS]]="ALÇADA",tblCalculo[[#This Row],[VALOR_TOTAL]],"")</f>
        <v>#VALUE!</v>
      </c>
      <c r="M1017" s="6" t="e">
        <f>IF(tblCalculo[[#This Row],[STATUS]]="EM ANÁLISE",tblCalculo[[#This Row],[VALOR_TOTAL]],"")</f>
        <v>#VALUE!</v>
      </c>
      <c r="N1017" s="6" t="e">
        <f>IF(tblCalculo[[#This Row],[STATUS]]="TRAMITANDO",tblCalculo[[#This Row],[VALOR_TOTAL]],"")</f>
        <v>#VALUE!</v>
      </c>
      <c r="O1017" s="6" t="e">
        <f>IF(tblCalculo[[#This Row],[STATUS]]="PERDIDO",tblCalculo[[#This Row],[VALOR_TOTAL]],"")</f>
        <v>#VALUE!</v>
      </c>
      <c r="P1017" s="6" t="e">
        <f>IF(tblCalculo[[#This Row],[STATUS]]="CONCLUÍDO",tblCalculo[[#This Row],[VALOR_TOTAL]],"")</f>
        <v>#VALUE!</v>
      </c>
    </row>
    <row r="1018" spans="1:16" x14ac:dyDescent="0.25">
      <c r="A1018" s="6" t="e">
        <f>tblVendas[[#This Row],[NR_SIMULACAO]]</f>
        <v>#VALUE!</v>
      </c>
      <c r="B1018" s="34" t="e">
        <f>_xlfn.XLOOKUP(A1018,tblVendas[[#This Row],[NR_SIMULACAO]],tblVendas[[#This Row],[NR_CNPJ]],"")</f>
        <v>#VALUE!</v>
      </c>
      <c r="C1018" s="6" t="e">
        <f>_xlfn.XLOOKUP(A1018,tblVendas[[#This Row],[NR_SIMULACAO]],tblVendas[[#This Row],[STATUS]],"")</f>
        <v>#VALUE!</v>
      </c>
      <c r="D1018" s="6" t="e">
        <f>_xlfn.XLOOKUP(A1018,tblVendas[[#This Row],[NR_SIMULACAO]],tblVendas[[#This Row],[MES]],"")</f>
        <v>#VALUE!</v>
      </c>
      <c r="E1018" s="6" t="e">
        <f>SUM(_xlfn.XLOOKUP(tblCalculo[[#This Row],[NR_SIMULACAO]],tblVendas[[#This Row],[NR_SIMULACAO]],tblVendas[[#This Row],[VALOR_MOVEL]],""):_xlfn.XLOOKUP(tblCalculo[[#This Row],[NR_SIMULACAO]],tblVendas[[#This Row],[NR_SIMULACAO]],tblVendas[[#This Row],[VALOR_APARELHO]],""))</f>
        <v>#VALUE!</v>
      </c>
      <c r="F1018" s="6" t="e">
        <f>IF(tblCalculo[[#This Row],[STATUS]]="CONCLUÍDO",_xlfn.XLOOKUP(tblCalculo[[#This Row],[NR_SIMULACAO]],tblVendas[[#This Row],[NR_SIMULACAO]],tblVendas[[#This Row],[VALOR_MOVEL]],""),0)</f>
        <v>#VALUE!</v>
      </c>
      <c r="G1018" s="6" t="e">
        <f>IF(tblCalculo[[#This Row],[STATUS]]="CONCLUÍDO",_xlfn.XLOOKUP(tblCalculo[[#This Row],[NR_SIMULACAO]],tblVendas[[#This Row],[NR_SIMULACAO]],tblVendas[[#This Row],[VALOR_AVANCADO]],""),0)</f>
        <v>#VALUE!</v>
      </c>
      <c r="H1018" s="6" t="e">
        <f>IF(tblCalculo[[#This Row],[STATUS]]="CONCLUÍDO",_xlfn.XLOOKUP(tblCalculo[[#This Row],[NR_SIMULACAO]],tblVendas[[#This Row],[NR_SIMULACAO]],tblVendas[[#This Row],[VALOR_FIXABASICA]],""),0)</f>
        <v>#VALUE!</v>
      </c>
      <c r="I1018" s="6" t="e">
        <f>IF(tblCalculo[[#This Row],[STATUS]]="CONCLUÍDO",_xlfn.XLOOKUP(tblCalculo[[#This Row],[NR_SIMULACAO]],tblVendas[[#This Row],[NR_SIMULACAO]],tblVendas[[#This Row],[VALOR_TI]],""),0)</f>
        <v>#VALUE!</v>
      </c>
      <c r="J1018" s="6" t="e">
        <f>IF(tblCalculo[[#This Row],[STATUS]]="CONCLUÍDO",_xlfn.XLOOKUP(tblCalculo[[#This Row],[NR_SIMULACAO]],tblVendas[[#This Row],[NR_SIMULACAO]],tblVendas[[#This Row],[VALOR_APARELHO]],""),0)</f>
        <v>#VALUE!</v>
      </c>
      <c r="K1018" s="6" t="e">
        <f>IF(tblCalculo[[#This Row],[STATUS]]="NEGOCIANDO",tblCalculo[[#This Row],[VALOR_TOTAL]],"")</f>
        <v>#VALUE!</v>
      </c>
      <c r="L1018" s="6" t="e">
        <f>IF(tblCalculo[[#This Row],[STATUS]]="ALÇADA",tblCalculo[[#This Row],[VALOR_TOTAL]],"")</f>
        <v>#VALUE!</v>
      </c>
      <c r="M1018" s="6" t="e">
        <f>IF(tblCalculo[[#This Row],[STATUS]]="EM ANÁLISE",tblCalculo[[#This Row],[VALOR_TOTAL]],"")</f>
        <v>#VALUE!</v>
      </c>
      <c r="N1018" s="6" t="e">
        <f>IF(tblCalculo[[#This Row],[STATUS]]="TRAMITANDO",tblCalculo[[#This Row],[VALOR_TOTAL]],"")</f>
        <v>#VALUE!</v>
      </c>
      <c r="O1018" s="6" t="e">
        <f>IF(tblCalculo[[#This Row],[STATUS]]="PERDIDO",tblCalculo[[#This Row],[VALOR_TOTAL]],"")</f>
        <v>#VALUE!</v>
      </c>
      <c r="P1018" s="6" t="e">
        <f>IF(tblCalculo[[#This Row],[STATUS]]="CONCLUÍDO",tblCalculo[[#This Row],[VALOR_TOTAL]],"")</f>
        <v>#VALUE!</v>
      </c>
    </row>
  </sheetData>
  <sheetProtection algorithmName="SHA-512" hashValue="gnIARCrwQ+VI23oYREiPsWaO0I7HWZ6Q0M2/slF3z5w9uOvsrmri/9lQ7m9SHq7oNlPThtBEuJwZannKaSqISA==" saltValue="ykv6emkCzmxsUuo2rO6G6A=="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2026-06-26T04:36:36Z</dcterms:modified>
</cp:coreProperties>
</file>